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wati_S\90days_get_internship\day2_09_08_2026\"/>
    </mc:Choice>
  </mc:AlternateContent>
  <xr:revisionPtr revIDLastSave="0" documentId="8_{31772A24-385F-4D20-8F01-839D6D3532FC}" xr6:coauthVersionLast="47" xr6:coauthVersionMax="47" xr10:uidLastSave="{00000000-0000-0000-0000-000000000000}"/>
  <bookViews>
    <workbookView xWindow="-108" yWindow="-108" windowWidth="23256" windowHeight="12456" activeTab="2" xr2:uid="{BB007830-7932-4F26-81F1-4040DE59C65A}"/>
  </bookViews>
  <sheets>
    <sheet name="HR_insights" sheetId="9" r:id="rId1"/>
    <sheet name="analytics_begin" sheetId="7" r:id="rId2"/>
    <sheet name="Day2_HR_analytics" sheetId="6" r:id="rId3"/>
    <sheet name="Raw_Data" sheetId="2" r:id="rId4"/>
  </sheets>
  <definedNames>
    <definedName name="all_data">#REF!</definedName>
    <definedName name="ExternalData_1" localSheetId="1" hidden="1">analytics_begin!$A$1:$L$1471</definedName>
    <definedName name="ExternalData_1" localSheetId="2" hidden="1">Day2_HR_analytics!$A$1:$L$1471</definedName>
    <definedName name="ExternalData_1" localSheetId="3" hidden="1">Raw_Data!$A$1:$AL$1481</definedName>
    <definedName name="hr_data">#REF!</definedName>
    <definedName name="no_duplicate" localSheetId="1">analytics_begin!$A$2:$M$1479</definedName>
    <definedName name="no_duplicate">Day2_HR_analytics!$A$2:$L$1481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7" l="1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P2" i="7" a="1"/>
  <c r="P3" i="7" a="1"/>
  <c r="P4" i="7" a="1"/>
  <c r="P5" i="7" a="1"/>
  <c r="P6" i="7" a="1"/>
  <c r="P7" i="7" a="1"/>
  <c r="P8" i="7" a="1"/>
  <c r="P9" i="7" a="1"/>
  <c r="P10" i="7" a="1"/>
  <c r="P11" i="7" a="1"/>
  <c r="P12" i="7" a="1"/>
  <c r="P13" i="7" a="1"/>
  <c r="P14" i="7" a="1"/>
  <c r="P15" i="7" a="1"/>
  <c r="P16" i="7" a="1"/>
  <c r="P17" i="7" a="1"/>
  <c r="P18" i="7" a="1"/>
  <c r="P19" i="7" a="1"/>
  <c r="P20" i="7" a="1"/>
  <c r="P21" i="7" a="1"/>
  <c r="P22" i="7" a="1"/>
  <c r="P23" i="7" a="1"/>
  <c r="P24" i="7" a="1"/>
  <c r="P25" i="7" a="1"/>
  <c r="P26" i="7" a="1"/>
  <c r="P27" i="7" a="1"/>
  <c r="P28" i="7" a="1"/>
  <c r="P29" i="7" a="1"/>
  <c r="P30" i="7" a="1"/>
  <c r="P31" i="7" a="1"/>
  <c r="P32" i="7" a="1"/>
  <c r="P33" i="7" a="1"/>
  <c r="P34" i="7" a="1"/>
  <c r="P35" i="7" a="1"/>
  <c r="P36" i="7" a="1"/>
  <c r="P37" i="7" a="1"/>
  <c r="P38" i="7" a="1"/>
  <c r="P39" i="7" a="1"/>
  <c r="P40" i="7" a="1"/>
  <c r="P41" i="7" a="1"/>
  <c r="P42" i="7" a="1"/>
  <c r="P43" i="7" a="1"/>
  <c r="P44" i="7" a="1"/>
  <c r="P45" i="7" a="1"/>
  <c r="P46" i="7" a="1"/>
  <c r="P47" i="7" a="1"/>
  <c r="P48" i="7" a="1"/>
  <c r="P49" i="7" a="1"/>
  <c r="P50" i="7" a="1"/>
  <c r="P51" i="7" a="1"/>
  <c r="P52" i="7" a="1"/>
  <c r="P53" i="7" a="1"/>
  <c r="P54" i="7" a="1"/>
  <c r="P55" i="7" a="1"/>
  <c r="P56" i="7" a="1"/>
  <c r="P57" i="7" a="1"/>
  <c r="P58" i="7" a="1"/>
  <c r="P59" i="7" a="1"/>
  <c r="P60" i="7" a="1"/>
  <c r="P61" i="7" a="1"/>
  <c r="P62" i="7" a="1"/>
  <c r="P63" i="7" a="1"/>
  <c r="P64" i="7" a="1"/>
  <c r="P65" i="7" a="1"/>
  <c r="P66" i="7" a="1"/>
  <c r="P67" i="7" a="1"/>
  <c r="P68" i="7" a="1"/>
  <c r="P69" i="7" a="1"/>
  <c r="P70" i="7" a="1"/>
  <c r="P71" i="7" a="1"/>
  <c r="P72" i="7" a="1"/>
  <c r="P73" i="7" a="1"/>
  <c r="P74" i="7" a="1"/>
  <c r="P75" i="7" a="1"/>
  <c r="P76" i="7" a="1"/>
  <c r="P77" i="7" a="1"/>
  <c r="P78" i="7" a="1"/>
  <c r="P79" i="7" a="1"/>
  <c r="P80" i="7" a="1"/>
  <c r="P81" i="7" a="1"/>
  <c r="P82" i="7" a="1"/>
  <c r="P83" i="7" a="1"/>
  <c r="P84" i="7" a="1"/>
  <c r="P85" i="7" a="1"/>
  <c r="P86" i="7" a="1"/>
  <c r="P87" i="7" a="1"/>
  <c r="P88" i="7" a="1"/>
  <c r="P89" i="7" a="1"/>
  <c r="P90" i="7" a="1"/>
  <c r="P91" i="7" a="1"/>
  <c r="P92" i="7" a="1"/>
  <c r="P93" i="7" a="1"/>
  <c r="P94" i="7" a="1"/>
  <c r="P95" i="7" a="1"/>
  <c r="P96" i="7" a="1"/>
  <c r="P97" i="7" a="1"/>
  <c r="P98" i="7" a="1"/>
  <c r="P99" i="7" a="1"/>
  <c r="P100" i="7" a="1"/>
  <c r="P101" i="7" a="1"/>
  <c r="P102" i="7" a="1"/>
  <c r="P103" i="7" a="1"/>
  <c r="P104" i="7" a="1"/>
  <c r="P105" i="7" a="1"/>
  <c r="P106" i="7" a="1"/>
  <c r="P107" i="7" a="1"/>
  <c r="P108" i="7" a="1"/>
  <c r="P109" i="7" a="1"/>
  <c r="P110" i="7" a="1"/>
  <c r="P111" i="7" a="1"/>
  <c r="P112" i="7" a="1"/>
  <c r="P113" i="7" a="1"/>
  <c r="P114" i="7" a="1"/>
  <c r="P115" i="7" a="1"/>
  <c r="P116" i="7" a="1"/>
  <c r="P117" i="7" a="1"/>
  <c r="P118" i="7" a="1"/>
  <c r="P119" i="7" a="1"/>
  <c r="P120" i="7" a="1"/>
  <c r="P121" i="7" a="1"/>
  <c r="P122" i="7" a="1"/>
  <c r="P123" i="7" a="1"/>
  <c r="P124" i="7" a="1"/>
  <c r="P125" i="7" a="1"/>
  <c r="P126" i="7" a="1"/>
  <c r="P127" i="7" a="1"/>
  <c r="P128" i="7" a="1"/>
  <c r="P129" i="7" a="1"/>
  <c r="P130" i="7" a="1"/>
  <c r="P131" i="7" a="1"/>
  <c r="P132" i="7" a="1"/>
  <c r="P133" i="7" a="1"/>
  <c r="P134" i="7" a="1"/>
  <c r="P135" i="7" a="1"/>
  <c r="P136" i="7" a="1"/>
  <c r="P137" i="7" a="1"/>
  <c r="P138" i="7" a="1"/>
  <c r="P139" i="7" a="1"/>
  <c r="P140" i="7" a="1"/>
  <c r="P141" i="7" a="1"/>
  <c r="P142" i="7" a="1"/>
  <c r="P143" i="7" a="1"/>
  <c r="P144" i="7" a="1"/>
  <c r="P145" i="7" a="1"/>
  <c r="P146" i="7" a="1"/>
  <c r="P147" i="7" a="1"/>
  <c r="P148" i="7" a="1"/>
  <c r="P149" i="7" a="1"/>
  <c r="P150" i="7" a="1"/>
  <c r="P151" i="7" a="1"/>
  <c r="P152" i="7" a="1"/>
  <c r="P153" i="7" a="1"/>
  <c r="P154" i="7" a="1"/>
  <c r="P155" i="7" a="1"/>
  <c r="P156" i="7" a="1"/>
  <c r="P157" i="7" a="1"/>
  <c r="P158" i="7" a="1"/>
  <c r="P159" i="7" a="1"/>
  <c r="P160" i="7" a="1"/>
  <c r="P161" i="7" a="1"/>
  <c r="P162" i="7" a="1"/>
  <c r="P163" i="7" a="1"/>
  <c r="P164" i="7" a="1"/>
  <c r="P165" i="7" a="1"/>
  <c r="P166" i="7" a="1"/>
  <c r="P167" i="7" a="1"/>
  <c r="P168" i="7" a="1"/>
  <c r="P169" i="7" a="1"/>
  <c r="P170" i="7" a="1"/>
  <c r="P171" i="7" a="1"/>
  <c r="P172" i="7" a="1"/>
  <c r="P173" i="7" a="1"/>
  <c r="P174" i="7" a="1"/>
  <c r="P175" i="7" a="1"/>
  <c r="P176" i="7" a="1"/>
  <c r="P177" i="7" a="1"/>
  <c r="P178" i="7" a="1"/>
  <c r="P179" i="7" a="1"/>
  <c r="P180" i="7" a="1"/>
  <c r="P181" i="7" a="1"/>
  <c r="P182" i="7" a="1"/>
  <c r="P183" i="7" a="1"/>
  <c r="P184" i="7" a="1"/>
  <c r="P185" i="7" a="1"/>
  <c r="P186" i="7" a="1"/>
  <c r="P187" i="7" a="1"/>
  <c r="P188" i="7" a="1"/>
  <c r="P189" i="7" a="1"/>
  <c r="P190" i="7" a="1"/>
  <c r="P191" i="7" a="1"/>
  <c r="P192" i="7" a="1"/>
  <c r="P193" i="7" a="1"/>
  <c r="P194" i="7" a="1"/>
  <c r="P195" i="7" a="1"/>
  <c r="P196" i="7" a="1"/>
  <c r="P197" i="7" a="1"/>
  <c r="P198" i="7" a="1"/>
  <c r="P199" i="7" a="1"/>
  <c r="P200" i="7" a="1"/>
  <c r="P201" i="7" a="1"/>
  <c r="P202" i="7" a="1"/>
  <c r="P203" i="7" a="1"/>
  <c r="P204" i="7" a="1"/>
  <c r="P205" i="7" a="1"/>
  <c r="P206" i="7" a="1"/>
  <c r="P207" i="7" a="1"/>
  <c r="P208" i="7" a="1"/>
  <c r="P209" i="7" a="1"/>
  <c r="P210" i="7" a="1"/>
  <c r="P211" i="7" a="1"/>
  <c r="P212" i="7" a="1"/>
  <c r="P213" i="7" a="1"/>
  <c r="P214" i="7" a="1"/>
  <c r="P215" i="7" a="1"/>
  <c r="P216" i="7" a="1"/>
  <c r="P217" i="7" a="1"/>
  <c r="P218" i="7" a="1"/>
  <c r="P219" i="7" a="1"/>
  <c r="P220" i="7" a="1"/>
  <c r="P221" i="7" a="1"/>
  <c r="P222" i="7" a="1"/>
  <c r="P223" i="7" a="1"/>
  <c r="P224" i="7" a="1"/>
  <c r="P225" i="7" a="1"/>
  <c r="P226" i="7" a="1"/>
  <c r="P227" i="7" a="1"/>
  <c r="P228" i="7" a="1"/>
  <c r="P229" i="7" a="1"/>
  <c r="P230" i="7" a="1"/>
  <c r="P231" i="7" a="1"/>
  <c r="P232" i="7" a="1"/>
  <c r="P233" i="7" a="1"/>
  <c r="P234" i="7" a="1"/>
  <c r="P235" i="7" a="1"/>
  <c r="P236" i="7" a="1"/>
  <c r="P237" i="7" a="1"/>
  <c r="P238" i="7" a="1"/>
  <c r="P239" i="7" a="1"/>
  <c r="P240" i="7" a="1"/>
  <c r="P241" i="7" a="1"/>
  <c r="P242" i="7" a="1"/>
  <c r="P243" i="7" a="1"/>
  <c r="P244" i="7" a="1"/>
  <c r="P245" i="7" a="1"/>
  <c r="P246" i="7" a="1"/>
  <c r="P247" i="7" a="1"/>
  <c r="P248" i="7" a="1"/>
  <c r="P249" i="7" a="1"/>
  <c r="P250" i="7" a="1"/>
  <c r="P251" i="7" a="1"/>
  <c r="P252" i="7" a="1"/>
  <c r="P253" i="7" a="1"/>
  <c r="P254" i="7" a="1"/>
  <c r="P255" i="7" a="1"/>
  <c r="P256" i="7" a="1"/>
  <c r="P257" i="7" a="1"/>
  <c r="P258" i="7" a="1"/>
  <c r="P259" i="7" a="1"/>
  <c r="P260" i="7" a="1"/>
  <c r="P261" i="7" a="1"/>
  <c r="P262" i="7" a="1"/>
  <c r="P263" i="7" a="1"/>
  <c r="P264" i="7" a="1"/>
  <c r="P265" i="7" a="1"/>
  <c r="P266" i="7" a="1"/>
  <c r="P267" i="7" a="1"/>
  <c r="P268" i="7" a="1"/>
  <c r="P269" i="7" a="1"/>
  <c r="P270" i="7" a="1"/>
  <c r="P271" i="7" a="1"/>
  <c r="P272" i="7" a="1"/>
  <c r="P273" i="7" a="1"/>
  <c r="P274" i="7" a="1"/>
  <c r="P275" i="7" a="1"/>
  <c r="P276" i="7" a="1"/>
  <c r="P277" i="7" a="1"/>
  <c r="P278" i="7" a="1"/>
  <c r="P279" i="7" a="1"/>
  <c r="P280" i="7" a="1"/>
  <c r="P281" i="7" a="1"/>
  <c r="P282" i="7" a="1"/>
  <c r="P283" i="7" a="1"/>
  <c r="P284" i="7" a="1"/>
  <c r="P285" i="7" a="1"/>
  <c r="P286" i="7" a="1"/>
  <c r="P287" i="7" a="1"/>
  <c r="P288" i="7" a="1"/>
  <c r="P289" i="7" a="1"/>
  <c r="P290" i="7" a="1"/>
  <c r="P291" i="7" a="1"/>
  <c r="P292" i="7" a="1"/>
  <c r="P293" i="7" a="1"/>
  <c r="P294" i="7" a="1"/>
  <c r="P295" i="7" a="1"/>
  <c r="P296" i="7" a="1"/>
  <c r="P297" i="7" a="1"/>
  <c r="P298" i="7" a="1"/>
  <c r="P299" i="7" a="1"/>
  <c r="P300" i="7" a="1"/>
  <c r="P301" i="7" a="1"/>
  <c r="P302" i="7" a="1"/>
  <c r="P303" i="7" a="1"/>
  <c r="P304" i="7" a="1"/>
  <c r="P305" i="7" a="1"/>
  <c r="P306" i="7" a="1"/>
  <c r="P307" i="7" a="1"/>
  <c r="P308" i="7" a="1"/>
  <c r="P309" i="7" a="1"/>
  <c r="P310" i="7" a="1"/>
  <c r="P311" i="7" a="1"/>
  <c r="P312" i="7" a="1"/>
  <c r="P313" i="7" a="1"/>
  <c r="P314" i="7" a="1"/>
  <c r="P315" i="7" a="1"/>
  <c r="P316" i="7" a="1"/>
  <c r="P317" i="7" a="1"/>
  <c r="P318" i="7" a="1"/>
  <c r="P319" i="7" a="1"/>
  <c r="P320" i="7" a="1"/>
  <c r="P321" i="7" a="1"/>
  <c r="P322" i="7" a="1"/>
  <c r="P323" i="7" a="1"/>
  <c r="P324" i="7" a="1"/>
  <c r="P325" i="7" a="1"/>
  <c r="P326" i="7" a="1"/>
  <c r="P327" i="7" a="1"/>
  <c r="P328" i="7" a="1"/>
  <c r="P329" i="7" a="1"/>
  <c r="P330" i="7" a="1"/>
  <c r="P331" i="7" a="1"/>
  <c r="P332" i="7" a="1"/>
  <c r="P333" i="7" a="1"/>
  <c r="P334" i="7" a="1"/>
  <c r="P335" i="7" a="1"/>
  <c r="P336" i="7" a="1"/>
  <c r="P337" i="7" a="1"/>
  <c r="P338" i="7" a="1"/>
  <c r="P339" i="7" a="1"/>
  <c r="P340" i="7" a="1"/>
  <c r="P341" i="7" a="1"/>
  <c r="P342" i="7" a="1"/>
  <c r="P343" i="7" a="1"/>
  <c r="P344" i="7" a="1"/>
  <c r="P345" i="7" a="1"/>
  <c r="P346" i="7" a="1"/>
  <c r="P347" i="7" a="1"/>
  <c r="P348" i="7" a="1"/>
  <c r="P349" i="7" a="1"/>
  <c r="P350" i="7" a="1"/>
  <c r="P351" i="7" a="1"/>
  <c r="P352" i="7" a="1"/>
  <c r="P353" i="7" a="1"/>
  <c r="P354" i="7" a="1"/>
  <c r="P355" i="7" a="1"/>
  <c r="P356" i="7" a="1"/>
  <c r="P357" i="7" a="1"/>
  <c r="P358" i="7" a="1"/>
  <c r="P359" i="7" a="1"/>
  <c r="P360" i="7" a="1"/>
  <c r="P361" i="7" a="1"/>
  <c r="P362" i="7" a="1"/>
  <c r="P363" i="7" a="1"/>
  <c r="P364" i="7" a="1"/>
  <c r="P365" i="7" a="1"/>
  <c r="P366" i="7" a="1"/>
  <c r="P367" i="7" a="1"/>
  <c r="P368" i="7" a="1"/>
  <c r="P369" i="7" a="1"/>
  <c r="P370" i="7" a="1"/>
  <c r="P371" i="7" a="1"/>
  <c r="P372" i="7" a="1"/>
  <c r="P373" i="7" a="1"/>
  <c r="P374" i="7" a="1"/>
  <c r="P375" i="7" a="1"/>
  <c r="P376" i="7" a="1"/>
  <c r="P377" i="7" a="1"/>
  <c r="P378" i="7" a="1"/>
  <c r="P379" i="7" a="1"/>
  <c r="P380" i="7" a="1"/>
  <c r="P381" i="7" a="1"/>
  <c r="P382" i="7" a="1"/>
  <c r="P383" i="7" a="1"/>
  <c r="P384" i="7" a="1"/>
  <c r="P385" i="7" a="1"/>
  <c r="P386" i="7" a="1"/>
  <c r="P387" i="7" a="1"/>
  <c r="P388" i="7" a="1"/>
  <c r="P389" i="7" a="1"/>
  <c r="P390" i="7" a="1"/>
  <c r="P391" i="7" a="1"/>
  <c r="P392" i="7" a="1"/>
  <c r="P393" i="7" a="1"/>
  <c r="P394" i="7" a="1"/>
  <c r="P395" i="7" a="1"/>
  <c r="P396" i="7" a="1"/>
  <c r="P397" i="7" a="1"/>
  <c r="P398" i="7" a="1"/>
  <c r="P399" i="7" a="1"/>
  <c r="P400" i="7" a="1"/>
  <c r="P401" i="7" a="1"/>
  <c r="P402" i="7" a="1"/>
  <c r="P403" i="7" a="1"/>
  <c r="P404" i="7" a="1"/>
  <c r="P405" i="7" a="1"/>
  <c r="P406" i="7" a="1"/>
  <c r="P407" i="7" a="1"/>
  <c r="P408" i="7" a="1"/>
  <c r="P409" i="7" a="1"/>
  <c r="P410" i="7" a="1"/>
  <c r="P411" i="7" a="1"/>
  <c r="P412" i="7" a="1"/>
  <c r="P413" i="7" a="1"/>
  <c r="P414" i="7" a="1"/>
  <c r="P415" i="7" a="1"/>
  <c r="P416" i="7" a="1"/>
  <c r="P417" i="7" a="1"/>
  <c r="P418" i="7" a="1"/>
  <c r="P419" i="7" a="1"/>
  <c r="P420" i="7" a="1"/>
  <c r="P421" i="7" a="1"/>
  <c r="P422" i="7" a="1"/>
  <c r="P423" i="7" a="1"/>
  <c r="P424" i="7" a="1"/>
  <c r="P425" i="7" a="1"/>
  <c r="P426" i="7" a="1"/>
  <c r="P427" i="7" a="1"/>
  <c r="P428" i="7" a="1"/>
  <c r="P429" i="7" a="1"/>
  <c r="P430" i="7" a="1"/>
  <c r="P431" i="7" a="1"/>
  <c r="P432" i="7" a="1"/>
  <c r="P433" i="7" a="1"/>
  <c r="P434" i="7" a="1"/>
  <c r="P435" i="7" a="1"/>
  <c r="P436" i="7" a="1"/>
  <c r="P437" i="7" a="1"/>
  <c r="P438" i="7" a="1"/>
  <c r="P439" i="7" a="1"/>
  <c r="P440" i="7" a="1"/>
  <c r="P441" i="7" a="1"/>
  <c r="P442" i="7" a="1"/>
  <c r="P443" i="7" a="1"/>
  <c r="P444" i="7" a="1"/>
  <c r="P445" i="7" a="1"/>
  <c r="P446" i="7" a="1"/>
  <c r="P447" i="7" a="1"/>
  <c r="P448" i="7" a="1"/>
  <c r="P449" i="7" a="1"/>
  <c r="P450" i="7" a="1"/>
  <c r="P451" i="7" a="1"/>
  <c r="P452" i="7" a="1"/>
  <c r="P453" i="7" a="1"/>
  <c r="P454" i="7" a="1"/>
  <c r="P455" i="7" a="1"/>
  <c r="P456" i="7" a="1"/>
  <c r="P457" i="7" a="1"/>
  <c r="P458" i="7" a="1"/>
  <c r="P459" i="7" a="1"/>
  <c r="P460" i="7" a="1"/>
  <c r="P461" i="7" a="1"/>
  <c r="P462" i="7" a="1"/>
  <c r="P463" i="7" a="1"/>
  <c r="P464" i="7" a="1"/>
  <c r="P465" i="7" a="1"/>
  <c r="P466" i="7" a="1"/>
  <c r="P467" i="7" a="1"/>
  <c r="P468" i="7" a="1"/>
  <c r="P469" i="7" a="1"/>
  <c r="P470" i="7" a="1"/>
  <c r="P471" i="7" a="1"/>
  <c r="P472" i="7" a="1"/>
  <c r="P473" i="7" a="1"/>
  <c r="P474" i="7" a="1"/>
  <c r="P475" i="7" a="1"/>
  <c r="P476" i="7" a="1"/>
  <c r="P477" i="7" a="1"/>
  <c r="P478" i="7" a="1"/>
  <c r="P479" i="7" a="1"/>
  <c r="P480" i="7" a="1"/>
  <c r="P481" i="7" a="1"/>
  <c r="P482" i="7" a="1"/>
  <c r="P483" i="7" a="1"/>
  <c r="P484" i="7" a="1"/>
  <c r="P485" i="7" a="1"/>
  <c r="P486" i="7" a="1"/>
  <c r="P487" i="7" a="1"/>
  <c r="P488" i="7" a="1"/>
  <c r="P489" i="7" a="1"/>
  <c r="P490" i="7" a="1"/>
  <c r="P491" i="7" a="1"/>
  <c r="P492" i="7" a="1"/>
  <c r="P493" i="7" a="1"/>
  <c r="P494" i="7" a="1"/>
  <c r="P495" i="7" a="1"/>
  <c r="P496" i="7" a="1"/>
  <c r="P497" i="7" a="1"/>
  <c r="P498" i="7" a="1"/>
  <c r="P499" i="7" a="1"/>
  <c r="P500" i="7" a="1"/>
  <c r="P501" i="7" a="1"/>
  <c r="P502" i="7" a="1"/>
  <c r="P503" i="7" a="1"/>
  <c r="P504" i="7" a="1"/>
  <c r="P505" i="7" a="1"/>
  <c r="P506" i="7" a="1"/>
  <c r="P507" i="7" a="1"/>
  <c r="P508" i="7" a="1"/>
  <c r="P509" i="7" a="1"/>
  <c r="P510" i="7" a="1"/>
  <c r="P511" i="7" a="1"/>
  <c r="P512" i="7" a="1"/>
  <c r="P513" i="7" a="1"/>
  <c r="P514" i="7" a="1"/>
  <c r="P515" i="7" a="1"/>
  <c r="P516" i="7" a="1"/>
  <c r="P517" i="7" a="1"/>
  <c r="P518" i="7" a="1"/>
  <c r="P519" i="7" a="1"/>
  <c r="P520" i="7" a="1"/>
  <c r="P521" i="7" a="1"/>
  <c r="P522" i="7" a="1"/>
  <c r="P523" i="7" a="1"/>
  <c r="P524" i="7" a="1"/>
  <c r="P525" i="7" a="1"/>
  <c r="P526" i="7" a="1"/>
  <c r="P527" i="7" a="1"/>
  <c r="P528" i="7" a="1"/>
  <c r="P529" i="7" a="1"/>
  <c r="P530" i="7" a="1"/>
  <c r="P531" i="7" a="1"/>
  <c r="P532" i="7" a="1"/>
  <c r="P533" i="7" a="1"/>
  <c r="P534" i="7" a="1"/>
  <c r="P535" i="7" a="1"/>
  <c r="P536" i="7" a="1"/>
  <c r="P537" i="7" a="1"/>
  <c r="P538" i="7" a="1"/>
  <c r="P539" i="7" a="1"/>
  <c r="P540" i="7" a="1"/>
  <c r="P541" i="7" a="1"/>
  <c r="P542" i="7" a="1"/>
  <c r="P543" i="7" a="1"/>
  <c r="P544" i="7" a="1"/>
  <c r="P545" i="7" a="1"/>
  <c r="P546" i="7" a="1"/>
  <c r="P547" i="7" a="1"/>
  <c r="P548" i="7" a="1"/>
  <c r="P549" i="7" a="1"/>
  <c r="P550" i="7" a="1"/>
  <c r="P551" i="7" a="1"/>
  <c r="P552" i="7" a="1"/>
  <c r="P553" i="7" a="1"/>
  <c r="P554" i="7" a="1"/>
  <c r="P555" i="7" a="1"/>
  <c r="P556" i="7" a="1"/>
  <c r="P557" i="7" a="1"/>
  <c r="P558" i="7" a="1"/>
  <c r="P559" i="7" a="1"/>
  <c r="P560" i="7" a="1"/>
  <c r="P561" i="7" a="1"/>
  <c r="P562" i="7" a="1"/>
  <c r="P563" i="7" a="1"/>
  <c r="P564" i="7" a="1"/>
  <c r="P565" i="7" a="1"/>
  <c r="P566" i="7" a="1"/>
  <c r="P567" i="7" a="1"/>
  <c r="P568" i="7" a="1"/>
  <c r="P569" i="7" a="1"/>
  <c r="P570" i="7" a="1"/>
  <c r="P571" i="7" a="1"/>
  <c r="P572" i="7" a="1"/>
  <c r="P573" i="7" a="1"/>
  <c r="P574" i="7" a="1"/>
  <c r="P575" i="7" a="1"/>
  <c r="P576" i="7" a="1"/>
  <c r="P577" i="7" a="1"/>
  <c r="P578" i="7" a="1"/>
  <c r="P579" i="7" a="1"/>
  <c r="P580" i="7" a="1"/>
  <c r="P581" i="7" a="1"/>
  <c r="P582" i="7" a="1"/>
  <c r="P583" i="7" a="1"/>
  <c r="P584" i="7" a="1"/>
  <c r="P585" i="7" a="1"/>
  <c r="P586" i="7" a="1"/>
  <c r="P587" i="7" a="1"/>
  <c r="P588" i="7" a="1"/>
  <c r="P589" i="7" a="1"/>
  <c r="P590" i="7" a="1"/>
  <c r="P591" i="7" a="1"/>
  <c r="P592" i="7" a="1"/>
  <c r="P593" i="7" a="1"/>
  <c r="P594" i="7" a="1"/>
  <c r="P595" i="7" a="1"/>
  <c r="P596" i="7" a="1"/>
  <c r="P597" i="7" a="1"/>
  <c r="P598" i="7" a="1"/>
  <c r="P599" i="7" a="1"/>
  <c r="P600" i="7" a="1"/>
  <c r="P601" i="7" a="1"/>
  <c r="P602" i="7" a="1"/>
  <c r="P603" i="7" a="1"/>
  <c r="P604" i="7" a="1"/>
  <c r="P605" i="7" a="1"/>
  <c r="P606" i="7" a="1"/>
  <c r="P607" i="7" a="1"/>
  <c r="P608" i="7" a="1"/>
  <c r="P609" i="7" a="1"/>
  <c r="P610" i="7" a="1"/>
  <c r="P611" i="7" a="1"/>
  <c r="P612" i="7" a="1"/>
  <c r="P613" i="7" a="1"/>
  <c r="P614" i="7" a="1"/>
  <c r="P615" i="7" a="1"/>
  <c r="P616" i="7" a="1"/>
  <c r="P617" i="7" a="1"/>
  <c r="P618" i="7" a="1"/>
  <c r="P619" i="7" a="1"/>
  <c r="P620" i="7" a="1"/>
  <c r="P621" i="7" a="1"/>
  <c r="P622" i="7" a="1"/>
  <c r="P623" i="7" a="1"/>
  <c r="P624" i="7" a="1"/>
  <c r="P625" i="7" a="1"/>
  <c r="P626" i="7" a="1"/>
  <c r="P627" i="7" a="1"/>
  <c r="P628" i="7" a="1"/>
  <c r="P629" i="7" a="1"/>
  <c r="P630" i="7" a="1"/>
  <c r="P631" i="7" a="1"/>
  <c r="P632" i="7" a="1"/>
  <c r="P633" i="7" a="1"/>
  <c r="P634" i="7" a="1"/>
  <c r="P635" i="7" a="1"/>
  <c r="P636" i="7" a="1"/>
  <c r="P637" i="7" a="1"/>
  <c r="P638" i="7" a="1"/>
  <c r="P639" i="7" a="1"/>
  <c r="P640" i="7" a="1"/>
  <c r="P641" i="7" a="1"/>
  <c r="P642" i="7" a="1"/>
  <c r="P643" i="7" a="1"/>
  <c r="P644" i="7" a="1"/>
  <c r="P645" i="7" a="1"/>
  <c r="P646" i="7" a="1"/>
  <c r="P647" i="7" a="1"/>
  <c r="P648" i="7" a="1"/>
  <c r="P649" i="7" a="1"/>
  <c r="P650" i="7" a="1"/>
  <c r="P651" i="7" a="1"/>
  <c r="P652" i="7" a="1"/>
  <c r="P653" i="7" a="1"/>
  <c r="P654" i="7" a="1"/>
  <c r="P655" i="7" a="1"/>
  <c r="P656" i="7" a="1"/>
  <c r="P657" i="7" a="1"/>
  <c r="P658" i="7" a="1"/>
  <c r="P659" i="7" a="1"/>
  <c r="P660" i="7" a="1"/>
  <c r="P661" i="7" a="1"/>
  <c r="P662" i="7" a="1"/>
  <c r="P663" i="7" a="1"/>
  <c r="P664" i="7" a="1"/>
  <c r="P665" i="7" a="1"/>
  <c r="P666" i="7" a="1"/>
  <c r="P667" i="7" a="1"/>
  <c r="P668" i="7" a="1"/>
  <c r="P669" i="7" a="1"/>
  <c r="P670" i="7" a="1"/>
  <c r="P671" i="7" a="1"/>
  <c r="P672" i="7" a="1"/>
  <c r="P673" i="7" a="1"/>
  <c r="P674" i="7" a="1"/>
  <c r="P675" i="7" a="1"/>
  <c r="P676" i="7" a="1"/>
  <c r="P677" i="7" a="1"/>
  <c r="P678" i="7" a="1"/>
  <c r="P679" i="7" a="1"/>
  <c r="P680" i="7" a="1"/>
  <c r="P681" i="7" a="1"/>
  <c r="P682" i="7" a="1"/>
  <c r="P683" i="7" a="1"/>
  <c r="P684" i="7" a="1"/>
  <c r="P685" i="7" a="1"/>
  <c r="P686" i="7" a="1"/>
  <c r="P687" i="7" a="1"/>
  <c r="P688" i="7" a="1"/>
  <c r="P689" i="7" a="1"/>
  <c r="P690" i="7" a="1"/>
  <c r="P691" i="7" a="1"/>
  <c r="P692" i="7" a="1"/>
  <c r="P693" i="7" a="1"/>
  <c r="P694" i="7" a="1"/>
  <c r="P695" i="7" a="1"/>
  <c r="P696" i="7" a="1"/>
  <c r="P697" i="7" a="1"/>
  <c r="P698" i="7" a="1"/>
  <c r="P699" i="7" a="1"/>
  <c r="P700" i="7" a="1"/>
  <c r="P701" i="7" a="1"/>
  <c r="P702" i="7" a="1"/>
  <c r="P703" i="7" a="1"/>
  <c r="P704" i="7" a="1"/>
  <c r="P705" i="7" a="1"/>
  <c r="P706" i="7" a="1"/>
  <c r="P707" i="7" a="1"/>
  <c r="P708" i="7" a="1"/>
  <c r="P709" i="7" a="1"/>
  <c r="P710" i="7" a="1"/>
  <c r="P711" i="7" a="1"/>
  <c r="P712" i="7" a="1"/>
  <c r="P713" i="7" a="1"/>
  <c r="P714" i="7" a="1"/>
  <c r="P715" i="7" a="1"/>
  <c r="P716" i="7" a="1"/>
  <c r="P717" i="7" a="1"/>
  <c r="P718" i="7" a="1"/>
  <c r="P719" i="7" a="1"/>
  <c r="P720" i="7" a="1"/>
  <c r="P721" i="7" a="1"/>
  <c r="P722" i="7" a="1"/>
  <c r="P723" i="7" a="1"/>
  <c r="P724" i="7" a="1"/>
  <c r="P725" i="7" a="1"/>
  <c r="P726" i="7" a="1"/>
  <c r="P727" i="7" a="1"/>
  <c r="P728" i="7" a="1"/>
  <c r="P729" i="7" a="1"/>
  <c r="P730" i="7" a="1"/>
  <c r="P731" i="7" a="1"/>
  <c r="P732" i="7" a="1"/>
  <c r="P733" i="7" a="1"/>
  <c r="P734" i="7" a="1"/>
  <c r="P735" i="7" a="1"/>
  <c r="P736" i="7" a="1"/>
  <c r="P737" i="7" a="1"/>
  <c r="P738" i="7" a="1"/>
  <c r="P739" i="7" a="1"/>
  <c r="P740" i="7" a="1"/>
  <c r="P741" i="7" a="1"/>
  <c r="P742" i="7" a="1"/>
  <c r="P743" i="7" a="1"/>
  <c r="P744" i="7" a="1"/>
  <c r="P745" i="7" a="1"/>
  <c r="P746" i="7" a="1"/>
  <c r="P747" i="7" a="1"/>
  <c r="P748" i="7" a="1"/>
  <c r="P749" i="7" a="1"/>
  <c r="P750" i="7" a="1"/>
  <c r="P751" i="7" a="1"/>
  <c r="P752" i="7" a="1"/>
  <c r="P753" i="7" a="1"/>
  <c r="P754" i="7" a="1"/>
  <c r="P755" i="7" a="1"/>
  <c r="P756" i="7" a="1"/>
  <c r="P757" i="7" a="1"/>
  <c r="P758" i="7" a="1"/>
  <c r="P759" i="7" a="1"/>
  <c r="P760" i="7" a="1"/>
  <c r="P761" i="7" a="1"/>
  <c r="P762" i="7" a="1"/>
  <c r="P763" i="7" a="1"/>
  <c r="P764" i="7" a="1"/>
  <c r="P765" i="7" a="1"/>
  <c r="P766" i="7" a="1"/>
  <c r="P767" i="7" a="1"/>
  <c r="P768" i="7" a="1"/>
  <c r="P769" i="7" a="1"/>
  <c r="P770" i="7" a="1"/>
  <c r="P771" i="7" a="1"/>
  <c r="P772" i="7" a="1"/>
  <c r="P773" i="7" a="1"/>
  <c r="P774" i="7" a="1"/>
  <c r="P775" i="7" a="1"/>
  <c r="P776" i="7" a="1"/>
  <c r="P777" i="7" a="1"/>
  <c r="P778" i="7" a="1"/>
  <c r="P779" i="7" a="1"/>
  <c r="P780" i="7" a="1"/>
  <c r="P781" i="7" a="1"/>
  <c r="P782" i="7" a="1"/>
  <c r="P783" i="7" a="1"/>
  <c r="P784" i="7" a="1"/>
  <c r="P785" i="7" a="1"/>
  <c r="P786" i="7" a="1"/>
  <c r="P787" i="7" a="1"/>
  <c r="P788" i="7" a="1"/>
  <c r="P789" i="7" a="1"/>
  <c r="P790" i="7" a="1"/>
  <c r="P791" i="7" a="1"/>
  <c r="P792" i="7" a="1"/>
  <c r="P793" i="7" a="1"/>
  <c r="P794" i="7" a="1"/>
  <c r="P795" i="7" a="1"/>
  <c r="P796" i="7" a="1"/>
  <c r="P797" i="7" a="1"/>
  <c r="P798" i="7" a="1"/>
  <c r="P799" i="7" a="1"/>
  <c r="P800" i="7" a="1"/>
  <c r="P801" i="7" a="1"/>
  <c r="P802" i="7" a="1"/>
  <c r="P803" i="7" a="1"/>
  <c r="P804" i="7" a="1"/>
  <c r="P805" i="7" a="1"/>
  <c r="P806" i="7" a="1"/>
  <c r="P807" i="7" a="1"/>
  <c r="P808" i="7" a="1"/>
  <c r="P809" i="7" a="1"/>
  <c r="P810" i="7" a="1"/>
  <c r="P811" i="7" a="1"/>
  <c r="P812" i="7" a="1"/>
  <c r="P813" i="7" a="1"/>
  <c r="P814" i="7" a="1"/>
  <c r="P815" i="7" a="1"/>
  <c r="P816" i="7" a="1"/>
  <c r="P817" i="7" a="1"/>
  <c r="P818" i="7" a="1"/>
  <c r="P819" i="7" a="1"/>
  <c r="P820" i="7" a="1"/>
  <c r="P821" i="7" a="1"/>
  <c r="P822" i="7" a="1"/>
  <c r="P823" i="7" a="1"/>
  <c r="P824" i="7" a="1"/>
  <c r="P825" i="7" a="1"/>
  <c r="P826" i="7" a="1"/>
  <c r="P827" i="7" a="1"/>
  <c r="P828" i="7" a="1"/>
  <c r="P829" i="7" a="1"/>
  <c r="P830" i="7" a="1"/>
  <c r="P831" i="7" a="1"/>
  <c r="P832" i="7" a="1"/>
  <c r="P833" i="7" a="1"/>
  <c r="P834" i="7" a="1"/>
  <c r="P835" i="7" a="1"/>
  <c r="P836" i="7" a="1"/>
  <c r="P837" i="7" a="1"/>
  <c r="P838" i="7" a="1"/>
  <c r="P839" i="7" a="1"/>
  <c r="P840" i="7" a="1"/>
  <c r="P841" i="7" a="1"/>
  <c r="P842" i="7" a="1"/>
  <c r="P843" i="7" a="1"/>
  <c r="P844" i="7" a="1"/>
  <c r="P845" i="7" a="1"/>
  <c r="P846" i="7" a="1"/>
  <c r="P847" i="7" a="1"/>
  <c r="P848" i="7" a="1"/>
  <c r="P849" i="7" a="1"/>
  <c r="P850" i="7" a="1"/>
  <c r="P851" i="7" a="1"/>
  <c r="P852" i="7" a="1"/>
  <c r="P853" i="7" a="1"/>
  <c r="P854" i="7" a="1"/>
  <c r="P855" i="7" a="1"/>
  <c r="P856" i="7" a="1"/>
  <c r="P857" i="7" a="1"/>
  <c r="P858" i="7" a="1"/>
  <c r="P859" i="7" a="1"/>
  <c r="P860" i="7" a="1"/>
  <c r="P861" i="7" a="1"/>
  <c r="P862" i="7" a="1"/>
  <c r="P863" i="7" a="1"/>
  <c r="P864" i="7" a="1"/>
  <c r="P865" i="7" a="1"/>
  <c r="P866" i="7" a="1"/>
  <c r="P867" i="7" a="1"/>
  <c r="P868" i="7" a="1"/>
  <c r="P869" i="7" a="1"/>
  <c r="P870" i="7" a="1"/>
  <c r="P871" i="7" a="1"/>
  <c r="P872" i="7" a="1"/>
  <c r="P873" i="7" a="1"/>
  <c r="P874" i="7" a="1"/>
  <c r="P875" i="7" a="1"/>
  <c r="P876" i="7" a="1"/>
  <c r="P877" i="7" a="1"/>
  <c r="P878" i="7" a="1"/>
  <c r="P879" i="7" a="1"/>
  <c r="P880" i="7" a="1"/>
  <c r="P881" i="7" a="1"/>
  <c r="P882" i="7" a="1"/>
  <c r="P883" i="7" a="1"/>
  <c r="P884" i="7" a="1"/>
  <c r="P885" i="7" a="1"/>
  <c r="P886" i="7" a="1"/>
  <c r="P887" i="7" a="1"/>
  <c r="P888" i="7" a="1"/>
  <c r="P889" i="7" a="1"/>
  <c r="P890" i="7" a="1"/>
  <c r="P891" i="7" a="1"/>
  <c r="P892" i="7" a="1"/>
  <c r="P893" i="7" a="1"/>
  <c r="P894" i="7" a="1"/>
  <c r="P895" i="7" a="1"/>
  <c r="P896" i="7" a="1"/>
  <c r="P897" i="7" a="1"/>
  <c r="P898" i="7" a="1"/>
  <c r="P899" i="7" a="1"/>
  <c r="P900" i="7" a="1"/>
  <c r="P901" i="7" a="1"/>
  <c r="P902" i="7" a="1"/>
  <c r="P903" i="7" a="1"/>
  <c r="P904" i="7" a="1"/>
  <c r="P905" i="7" a="1"/>
  <c r="P906" i="7" a="1"/>
  <c r="P907" i="7" a="1"/>
  <c r="P908" i="7" a="1"/>
  <c r="P909" i="7" a="1"/>
  <c r="P910" i="7" a="1"/>
  <c r="P911" i="7" a="1"/>
  <c r="P912" i="7" a="1"/>
  <c r="P913" i="7" a="1"/>
  <c r="P914" i="7" a="1"/>
  <c r="P915" i="7" a="1"/>
  <c r="P916" i="7" a="1"/>
  <c r="P917" i="7" a="1"/>
  <c r="P918" i="7" a="1"/>
  <c r="P919" i="7" a="1"/>
  <c r="P920" i="7" a="1"/>
  <c r="P921" i="7" a="1"/>
  <c r="P922" i="7" a="1"/>
  <c r="P923" i="7" a="1"/>
  <c r="P924" i="7" a="1"/>
  <c r="P925" i="7" a="1"/>
  <c r="P926" i="7" a="1"/>
  <c r="P927" i="7" a="1"/>
  <c r="P928" i="7" a="1"/>
  <c r="P929" i="7" a="1"/>
  <c r="P930" i="7" a="1"/>
  <c r="P931" i="7" a="1"/>
  <c r="P932" i="7" a="1"/>
  <c r="P933" i="7" a="1"/>
  <c r="P934" i="7" a="1"/>
  <c r="P935" i="7" a="1"/>
  <c r="P936" i="7" a="1"/>
  <c r="P937" i="7" a="1"/>
  <c r="P938" i="7" a="1"/>
  <c r="P939" i="7" a="1"/>
  <c r="P940" i="7" a="1"/>
  <c r="P941" i="7" a="1"/>
  <c r="P942" i="7" a="1"/>
  <c r="P943" i="7" a="1"/>
  <c r="P944" i="7" a="1"/>
  <c r="P945" i="7" a="1"/>
  <c r="P946" i="7" a="1"/>
  <c r="P947" i="7" a="1"/>
  <c r="P948" i="7" a="1"/>
  <c r="P949" i="7" a="1"/>
  <c r="P950" i="7" a="1"/>
  <c r="P951" i="7" a="1"/>
  <c r="P952" i="7" a="1"/>
  <c r="P953" i="7" a="1"/>
  <c r="P954" i="7" a="1"/>
  <c r="P955" i="7" a="1"/>
  <c r="P956" i="7" a="1"/>
  <c r="P957" i="7" a="1"/>
  <c r="P958" i="7" a="1"/>
  <c r="P959" i="7" a="1"/>
  <c r="P960" i="7" a="1"/>
  <c r="P961" i="7" a="1"/>
  <c r="P962" i="7" a="1"/>
  <c r="P963" i="7" a="1"/>
  <c r="P964" i="7" a="1"/>
  <c r="P965" i="7" a="1"/>
  <c r="P966" i="7" a="1"/>
  <c r="P967" i="7" a="1"/>
  <c r="P968" i="7" a="1"/>
  <c r="P969" i="7" a="1"/>
  <c r="P970" i="7" a="1"/>
  <c r="P971" i="7" a="1"/>
  <c r="P972" i="7" a="1"/>
  <c r="P973" i="7" a="1"/>
  <c r="P974" i="7" a="1"/>
  <c r="P975" i="7" a="1"/>
  <c r="P976" i="7" a="1"/>
  <c r="P977" i="7" a="1"/>
  <c r="P978" i="7" a="1"/>
  <c r="P979" i="7" a="1"/>
  <c r="P980" i="7" a="1"/>
  <c r="P981" i="7" a="1"/>
  <c r="P982" i="7" a="1"/>
  <c r="P983" i="7" a="1"/>
  <c r="P984" i="7" a="1"/>
  <c r="P985" i="7" a="1"/>
  <c r="P986" i="7" a="1"/>
  <c r="P987" i="7" a="1"/>
  <c r="P988" i="7" a="1"/>
  <c r="P989" i="7" a="1"/>
  <c r="P990" i="7" a="1"/>
  <c r="P991" i="7" a="1"/>
  <c r="P992" i="7" a="1"/>
  <c r="P993" i="7" a="1"/>
  <c r="P994" i="7" a="1"/>
  <c r="P995" i="7" a="1"/>
  <c r="P996" i="7" a="1"/>
  <c r="P997" i="7" a="1"/>
  <c r="P998" i="7" a="1"/>
  <c r="P999" i="7" a="1"/>
  <c r="P1000" i="7" a="1"/>
  <c r="P1001" i="7" a="1"/>
  <c r="P1002" i="7" a="1"/>
  <c r="P1003" i="7" a="1"/>
  <c r="P1004" i="7" a="1"/>
  <c r="P1005" i="7" a="1"/>
  <c r="P1006" i="7" a="1"/>
  <c r="P1007" i="7" a="1"/>
  <c r="P1008" i="7" a="1"/>
  <c r="P1009" i="7" a="1"/>
  <c r="P1010" i="7" a="1"/>
  <c r="P1011" i="7" a="1"/>
  <c r="P1012" i="7" a="1"/>
  <c r="P1013" i="7" a="1"/>
  <c r="P1014" i="7" a="1"/>
  <c r="P1015" i="7" a="1"/>
  <c r="P1016" i="7" a="1"/>
  <c r="P1017" i="7" a="1"/>
  <c r="P1018" i="7" a="1"/>
  <c r="P1019" i="7" a="1"/>
  <c r="P1020" i="7" a="1"/>
  <c r="P1021" i="7" a="1"/>
  <c r="P1022" i="7" a="1"/>
  <c r="P1023" i="7" a="1"/>
  <c r="P1024" i="7" a="1"/>
  <c r="P1025" i="7" a="1"/>
  <c r="P1026" i="7" a="1"/>
  <c r="P1027" i="7" a="1"/>
  <c r="P1028" i="7" a="1"/>
  <c r="P1029" i="7" a="1"/>
  <c r="P1030" i="7" a="1"/>
  <c r="P1031" i="7" a="1"/>
  <c r="P1032" i="7" a="1"/>
  <c r="P1033" i="7" a="1"/>
  <c r="P1034" i="7" a="1"/>
  <c r="P1035" i="7" a="1"/>
  <c r="P1036" i="7" a="1"/>
  <c r="P1037" i="7" a="1"/>
  <c r="P1038" i="7" a="1"/>
  <c r="P1039" i="7" a="1"/>
  <c r="P1040" i="7" a="1"/>
  <c r="P1041" i="7" a="1"/>
  <c r="P1042" i="7" a="1"/>
  <c r="P1043" i="7" a="1"/>
  <c r="P1044" i="7" a="1"/>
  <c r="P1045" i="7" a="1"/>
  <c r="P1046" i="7" a="1"/>
  <c r="P1047" i="7" a="1"/>
  <c r="P1048" i="7" a="1"/>
  <c r="P1049" i="7" a="1"/>
  <c r="P1050" i="7" a="1"/>
  <c r="P1051" i="7" a="1"/>
  <c r="P1052" i="7" a="1"/>
  <c r="P1053" i="7" a="1"/>
  <c r="P1054" i="7" a="1"/>
  <c r="P1055" i="7" a="1"/>
  <c r="P1056" i="7" a="1"/>
  <c r="P1057" i="7" a="1"/>
  <c r="P1058" i="7" a="1"/>
  <c r="P1059" i="7" a="1"/>
  <c r="P1060" i="7" a="1"/>
  <c r="P1061" i="7" a="1"/>
  <c r="P1062" i="7" a="1"/>
  <c r="P1063" i="7" a="1"/>
  <c r="P1064" i="7" a="1"/>
  <c r="P1065" i="7" a="1"/>
  <c r="P1066" i="7" a="1"/>
  <c r="P1067" i="7" a="1"/>
  <c r="P1068" i="7" a="1"/>
  <c r="P1069" i="7" a="1"/>
  <c r="P1070" i="7" a="1"/>
  <c r="P1071" i="7" a="1"/>
  <c r="P1072" i="7" a="1"/>
  <c r="P1073" i="7" a="1"/>
  <c r="P1074" i="7" a="1"/>
  <c r="P1075" i="7" a="1"/>
  <c r="P1076" i="7" a="1"/>
  <c r="P1077" i="7" a="1"/>
  <c r="P1078" i="7" a="1"/>
  <c r="P1079" i="7" a="1"/>
  <c r="P1080" i="7" a="1"/>
  <c r="P1081" i="7" a="1"/>
  <c r="P1082" i="7" a="1"/>
  <c r="P1083" i="7" a="1"/>
  <c r="P1084" i="7" a="1"/>
  <c r="P1085" i="7" a="1"/>
  <c r="P1086" i="7" a="1"/>
  <c r="P1087" i="7" a="1"/>
  <c r="P1088" i="7" a="1"/>
  <c r="P1089" i="7" a="1"/>
  <c r="P1090" i="7" a="1"/>
  <c r="P1091" i="7" a="1"/>
  <c r="P1092" i="7" a="1"/>
  <c r="P1093" i="7" a="1"/>
  <c r="P1094" i="7" a="1"/>
  <c r="P1095" i="7" a="1"/>
  <c r="P1096" i="7" a="1"/>
  <c r="P1097" i="7" a="1"/>
  <c r="P1098" i="7" a="1"/>
  <c r="P1099" i="7" a="1"/>
  <c r="P1100" i="7" a="1"/>
  <c r="P1101" i="7" a="1"/>
  <c r="P1102" i="7" a="1"/>
  <c r="P1103" i="7" a="1"/>
  <c r="P1104" i="7" a="1"/>
  <c r="P1105" i="7" a="1"/>
  <c r="P1106" i="7" a="1"/>
  <c r="P1107" i="7" a="1"/>
  <c r="P1108" i="7" a="1"/>
  <c r="P1109" i="7" a="1"/>
  <c r="P1110" i="7" a="1"/>
  <c r="P1111" i="7" a="1"/>
  <c r="P1112" i="7" a="1"/>
  <c r="P1113" i="7" a="1"/>
  <c r="P1114" i="7" a="1"/>
  <c r="P1115" i="7" a="1"/>
  <c r="P1116" i="7" a="1"/>
  <c r="P1117" i="7" a="1"/>
  <c r="P1118" i="7" a="1"/>
  <c r="P1119" i="7" a="1"/>
  <c r="P1120" i="7" a="1"/>
  <c r="P1121" i="7" a="1"/>
  <c r="P1122" i="7" a="1"/>
  <c r="P1123" i="7" a="1"/>
  <c r="P1124" i="7" a="1"/>
  <c r="P1125" i="7" a="1"/>
  <c r="P1126" i="7" a="1"/>
  <c r="P1127" i="7" a="1"/>
  <c r="P1128" i="7" a="1"/>
  <c r="P1129" i="7" a="1"/>
  <c r="P1130" i="7" a="1"/>
  <c r="P1131" i="7" a="1"/>
  <c r="P1132" i="7" a="1"/>
  <c r="P1133" i="7" a="1"/>
  <c r="P1134" i="7" a="1"/>
  <c r="P1135" i="7" a="1"/>
  <c r="P1136" i="7" a="1"/>
  <c r="P1137" i="7" a="1"/>
  <c r="P1138" i="7" a="1"/>
  <c r="P1139" i="7" a="1"/>
  <c r="P1140" i="7" a="1"/>
  <c r="P1141" i="7" a="1"/>
  <c r="P1142" i="7" a="1"/>
  <c r="P1143" i="7" a="1"/>
  <c r="P1144" i="7" a="1"/>
  <c r="P1145" i="7" a="1"/>
  <c r="P1146" i="7" a="1"/>
  <c r="P1147" i="7" a="1"/>
  <c r="P1148" i="7" a="1"/>
  <c r="P1149" i="7" a="1"/>
  <c r="P1150" i="7" a="1"/>
  <c r="P1151" i="7" a="1"/>
  <c r="P1152" i="7" a="1"/>
  <c r="P1153" i="7" a="1"/>
  <c r="P1154" i="7" a="1"/>
  <c r="P1155" i="7" a="1"/>
  <c r="P1156" i="7" a="1"/>
  <c r="P1157" i="7" a="1"/>
  <c r="P1158" i="7" a="1"/>
  <c r="P1159" i="7" a="1"/>
  <c r="P1160" i="7" a="1"/>
  <c r="P1161" i="7" a="1"/>
  <c r="P1162" i="7" a="1"/>
  <c r="P1163" i="7" a="1"/>
  <c r="P1164" i="7" a="1"/>
  <c r="P1165" i="7" a="1"/>
  <c r="P1166" i="7" a="1"/>
  <c r="P1167" i="7" a="1"/>
  <c r="P1168" i="7" a="1"/>
  <c r="P1169" i="7" a="1"/>
  <c r="P1170" i="7" a="1"/>
  <c r="P1171" i="7" a="1"/>
  <c r="P1172" i="7" a="1"/>
  <c r="P1173" i="7" a="1"/>
  <c r="P1174" i="7" a="1"/>
  <c r="P1175" i="7" a="1"/>
  <c r="P1176" i="7" a="1"/>
  <c r="P1177" i="7" a="1"/>
  <c r="P1178" i="7" a="1"/>
  <c r="P1179" i="7" a="1"/>
  <c r="P1180" i="7" a="1"/>
  <c r="P1181" i="7" a="1"/>
  <c r="P1182" i="7" a="1"/>
  <c r="P1183" i="7" a="1"/>
  <c r="P1184" i="7" a="1"/>
  <c r="P1185" i="7" a="1"/>
  <c r="P1186" i="7" a="1"/>
  <c r="P1187" i="7" a="1"/>
  <c r="P1188" i="7" a="1"/>
  <c r="P1189" i="7" a="1"/>
  <c r="P1190" i="7" a="1"/>
  <c r="P1191" i="7" a="1"/>
  <c r="P1192" i="7" a="1"/>
  <c r="P1193" i="7" a="1"/>
  <c r="P1194" i="7" a="1"/>
  <c r="P1195" i="7" a="1"/>
  <c r="P1196" i="7" a="1"/>
  <c r="P1197" i="7" a="1"/>
  <c r="P1198" i="7" a="1"/>
  <c r="P1199" i="7" a="1"/>
  <c r="P1200" i="7" a="1"/>
  <c r="P1201" i="7" a="1"/>
  <c r="P1202" i="7" a="1"/>
  <c r="P1203" i="7" a="1"/>
  <c r="P1204" i="7" a="1"/>
  <c r="P1205" i="7" a="1"/>
  <c r="P1206" i="7" a="1"/>
  <c r="P1207" i="7" a="1"/>
  <c r="P1208" i="7" a="1"/>
  <c r="P1209" i="7" a="1"/>
  <c r="P1210" i="7" a="1"/>
  <c r="P1211" i="7" a="1"/>
  <c r="P1212" i="7" a="1"/>
  <c r="P1213" i="7" a="1"/>
  <c r="P1214" i="7" a="1"/>
  <c r="P1215" i="7" a="1"/>
  <c r="P1216" i="7" a="1"/>
  <c r="P1217" i="7" a="1"/>
  <c r="P1218" i="7" a="1"/>
  <c r="P1219" i="7" a="1"/>
  <c r="P1220" i="7" a="1"/>
  <c r="P1221" i="7" a="1"/>
  <c r="P1222" i="7" a="1"/>
  <c r="P1223" i="7" a="1"/>
  <c r="P1224" i="7" a="1"/>
  <c r="P1225" i="7" a="1"/>
  <c r="P1226" i="7" a="1"/>
  <c r="P1227" i="7" a="1"/>
  <c r="P1228" i="7" a="1"/>
  <c r="P1229" i="7" a="1"/>
  <c r="P1230" i="7" a="1"/>
  <c r="P1231" i="7" a="1"/>
  <c r="P1232" i="7" a="1"/>
  <c r="P1233" i="7" a="1"/>
  <c r="P1234" i="7" a="1"/>
  <c r="P1235" i="7" a="1"/>
  <c r="P1236" i="7" a="1"/>
  <c r="P1237" i="7" a="1"/>
  <c r="P1238" i="7" a="1"/>
  <c r="P1239" i="7" a="1"/>
  <c r="P1240" i="7" a="1"/>
  <c r="P1241" i="7" a="1"/>
  <c r="P1242" i="7" a="1"/>
  <c r="P1243" i="7" a="1"/>
  <c r="P1244" i="7" a="1"/>
  <c r="P1245" i="7" a="1"/>
  <c r="P1246" i="7" a="1"/>
  <c r="P1247" i="7" a="1"/>
  <c r="P1248" i="7" a="1"/>
  <c r="P1249" i="7" a="1"/>
  <c r="P1250" i="7" a="1"/>
  <c r="P1251" i="7" a="1"/>
  <c r="P1252" i="7" a="1"/>
  <c r="P1253" i="7" a="1"/>
  <c r="P1254" i="7" a="1"/>
  <c r="P1255" i="7" a="1"/>
  <c r="P1256" i="7" a="1"/>
  <c r="P1257" i="7" a="1"/>
  <c r="P1258" i="7" a="1"/>
  <c r="P1259" i="7" a="1"/>
  <c r="P1260" i="7" a="1"/>
  <c r="P1261" i="7" a="1"/>
  <c r="P1262" i="7" a="1"/>
  <c r="P1263" i="7" a="1"/>
  <c r="P1264" i="7" a="1"/>
  <c r="P1265" i="7" a="1"/>
  <c r="P1266" i="7" a="1"/>
  <c r="P1267" i="7" a="1"/>
  <c r="P1268" i="7" a="1"/>
  <c r="P1269" i="7" a="1"/>
  <c r="P1270" i="7" a="1"/>
  <c r="P1271" i="7" a="1"/>
  <c r="P1272" i="7" a="1"/>
  <c r="P1273" i="7" a="1"/>
  <c r="P1274" i="7" a="1"/>
  <c r="P1275" i="7" a="1"/>
  <c r="P1276" i="7" a="1"/>
  <c r="P1277" i="7" a="1"/>
  <c r="P1278" i="7" a="1"/>
  <c r="P1279" i="7" a="1"/>
  <c r="P1280" i="7" a="1"/>
  <c r="P1281" i="7" a="1"/>
  <c r="P1282" i="7" a="1"/>
  <c r="P1283" i="7" a="1"/>
  <c r="P1284" i="7" a="1"/>
  <c r="P1285" i="7" a="1"/>
  <c r="P1286" i="7" a="1"/>
  <c r="P1287" i="7" a="1"/>
  <c r="P1288" i="7" a="1"/>
  <c r="P1289" i="7" a="1"/>
  <c r="P1290" i="7" a="1"/>
  <c r="P1291" i="7" a="1"/>
  <c r="P1292" i="7" a="1"/>
  <c r="P1293" i="7" a="1"/>
  <c r="P1294" i="7" a="1"/>
  <c r="P1295" i="7" a="1"/>
  <c r="P1296" i="7" a="1"/>
  <c r="P1297" i="7" a="1"/>
  <c r="P1298" i="7" a="1"/>
  <c r="P1299" i="7" a="1"/>
  <c r="P1300" i="7" a="1"/>
  <c r="P1301" i="7" a="1"/>
  <c r="P1302" i="7" a="1"/>
  <c r="P1303" i="7" a="1"/>
  <c r="P1304" i="7" a="1"/>
  <c r="P1305" i="7" a="1"/>
  <c r="P1306" i="7" a="1"/>
  <c r="P1307" i="7" a="1"/>
  <c r="P1308" i="7" a="1"/>
  <c r="P1309" i="7" a="1"/>
  <c r="P1310" i="7" a="1"/>
  <c r="P1311" i="7" a="1"/>
  <c r="P1312" i="7" a="1"/>
  <c r="P1313" i="7" a="1"/>
  <c r="P1314" i="7" a="1"/>
  <c r="P1315" i="7" a="1"/>
  <c r="P1316" i="7" a="1"/>
  <c r="P1317" i="7" a="1"/>
  <c r="P1318" i="7" a="1"/>
  <c r="P1319" i="7" a="1"/>
  <c r="P1320" i="7" a="1"/>
  <c r="P1321" i="7" a="1"/>
  <c r="P1322" i="7" a="1"/>
  <c r="P1323" i="7" a="1"/>
  <c r="P1324" i="7" a="1"/>
  <c r="P1325" i="7" a="1"/>
  <c r="P1326" i="7" a="1"/>
  <c r="P1327" i="7" a="1"/>
  <c r="P1328" i="7" a="1"/>
  <c r="P1329" i="7" a="1"/>
  <c r="P1330" i="7" a="1"/>
  <c r="P1331" i="7" a="1"/>
  <c r="P1332" i="7" a="1"/>
  <c r="P1333" i="7" a="1"/>
  <c r="P1334" i="7" a="1"/>
  <c r="P1335" i="7" a="1"/>
  <c r="P1336" i="7" a="1"/>
  <c r="P1337" i="7" a="1"/>
  <c r="P1338" i="7" a="1"/>
  <c r="P1339" i="7" a="1"/>
  <c r="P1340" i="7" a="1"/>
  <c r="P1341" i="7" a="1"/>
  <c r="P1342" i="7" a="1"/>
  <c r="P1343" i="7" a="1"/>
  <c r="P1344" i="7" a="1"/>
  <c r="P1345" i="7" a="1"/>
  <c r="P1346" i="7" a="1"/>
  <c r="P1347" i="7" a="1"/>
  <c r="P1348" i="7" a="1"/>
  <c r="P1349" i="7" a="1"/>
  <c r="P1350" i="7" a="1"/>
  <c r="P1351" i="7" a="1"/>
  <c r="P1352" i="7" a="1"/>
  <c r="P1353" i="7" a="1"/>
  <c r="P1354" i="7" a="1"/>
  <c r="P1355" i="7" a="1"/>
  <c r="P1356" i="7" a="1"/>
  <c r="P1357" i="7" a="1"/>
  <c r="P1358" i="7" a="1"/>
  <c r="P1359" i="7" a="1"/>
  <c r="P1360" i="7" a="1"/>
  <c r="P1361" i="7" a="1"/>
  <c r="P1362" i="7" a="1"/>
  <c r="P1363" i="7" a="1"/>
  <c r="P1364" i="7" a="1"/>
  <c r="P1365" i="7" a="1"/>
  <c r="P1366" i="7" a="1"/>
  <c r="P1367" i="7" a="1"/>
  <c r="P1368" i="7" a="1"/>
  <c r="P1369" i="7" a="1"/>
  <c r="P1370" i="7" a="1"/>
  <c r="P1371" i="7" a="1"/>
  <c r="P1372" i="7" a="1"/>
  <c r="P1373" i="7" a="1"/>
  <c r="P1374" i="7" a="1"/>
  <c r="P1375" i="7" a="1"/>
  <c r="P1376" i="7" a="1"/>
  <c r="P1377" i="7" a="1"/>
  <c r="P1378" i="7" a="1"/>
  <c r="P1379" i="7" a="1"/>
  <c r="P1380" i="7" a="1"/>
  <c r="P1381" i="7" a="1"/>
  <c r="P1382" i="7" a="1"/>
  <c r="P1383" i="7" a="1"/>
  <c r="P1384" i="7" a="1"/>
  <c r="P1385" i="7" a="1"/>
  <c r="P1386" i="7" a="1"/>
  <c r="P1387" i="7" a="1"/>
  <c r="P1388" i="7" a="1"/>
  <c r="P1389" i="7" a="1"/>
  <c r="P1390" i="7" a="1"/>
  <c r="P1391" i="7" a="1"/>
  <c r="P1392" i="7" a="1"/>
  <c r="P1393" i="7" a="1"/>
  <c r="P1394" i="7" a="1"/>
  <c r="P1395" i="7" a="1"/>
  <c r="P1396" i="7" a="1"/>
  <c r="P1397" i="7" a="1"/>
  <c r="P1398" i="7" a="1"/>
  <c r="P1399" i="7" a="1"/>
  <c r="P1400" i="7" a="1"/>
  <c r="P1401" i="7" a="1"/>
  <c r="P1402" i="7" a="1"/>
  <c r="P1403" i="7" a="1"/>
  <c r="P1404" i="7" a="1"/>
  <c r="P1405" i="7" a="1"/>
  <c r="P1406" i="7" a="1"/>
  <c r="P1407" i="7" a="1"/>
  <c r="P1408" i="7" a="1"/>
  <c r="P1409" i="7" a="1"/>
  <c r="P1410" i="7" a="1"/>
  <c r="P1411" i="7" a="1"/>
  <c r="P1412" i="7" a="1"/>
  <c r="P1413" i="7" a="1"/>
  <c r="P1414" i="7" a="1"/>
  <c r="P1415" i="7" a="1"/>
  <c r="P1416" i="7" a="1"/>
  <c r="P1417" i="7" a="1"/>
  <c r="P1418" i="7" a="1"/>
  <c r="P1419" i="7" a="1"/>
  <c r="P1420" i="7" a="1"/>
  <c r="P1421" i="7" a="1"/>
  <c r="P1422" i="7" a="1"/>
  <c r="P1423" i="7" a="1"/>
  <c r="P1424" i="7" a="1"/>
  <c r="P1425" i="7" a="1"/>
  <c r="P1426" i="7" a="1"/>
  <c r="P1427" i="7" a="1"/>
  <c r="P1428" i="7" a="1"/>
  <c r="P1429" i="7" a="1"/>
  <c r="P1430" i="7" a="1"/>
  <c r="P1431" i="7" a="1"/>
  <c r="P1432" i="7" a="1"/>
  <c r="P1433" i="7" a="1"/>
  <c r="P1434" i="7" a="1"/>
  <c r="P1435" i="7" a="1"/>
  <c r="P1436" i="7" a="1"/>
  <c r="P1437" i="7" a="1"/>
  <c r="P1438" i="7" a="1"/>
  <c r="P1439" i="7" a="1"/>
  <c r="P1440" i="7" a="1"/>
  <c r="P1441" i="7" a="1"/>
  <c r="P1442" i="7" a="1"/>
  <c r="P1443" i="7" a="1"/>
  <c r="P1444" i="7" a="1"/>
  <c r="P1445" i="7" a="1"/>
  <c r="P1446" i="7" a="1"/>
  <c r="P1447" i="7" a="1"/>
  <c r="P1448" i="7" a="1"/>
  <c r="P1449" i="7" a="1"/>
  <c r="P1450" i="7" a="1"/>
  <c r="P1451" i="7" a="1"/>
  <c r="P1452" i="7" a="1"/>
  <c r="P1453" i="7" a="1"/>
  <c r="P1454" i="7" a="1"/>
  <c r="P1455" i="7" a="1"/>
  <c r="P1456" i="7" a="1"/>
  <c r="P1457" i="7" a="1"/>
  <c r="P1458" i="7" a="1"/>
  <c r="P1459" i="7" a="1"/>
  <c r="P1460" i="7" a="1"/>
  <c r="P1461" i="7" a="1"/>
  <c r="P1462" i="7" a="1"/>
  <c r="P1463" i="7" a="1"/>
  <c r="P1464" i="7" a="1"/>
  <c r="P1465" i="7" a="1"/>
  <c r="P1466" i="7" a="1"/>
  <c r="P1467" i="7" a="1"/>
  <c r="P1468" i="7" a="1"/>
  <c r="P1469" i="7" a="1"/>
  <c r="P1470" i="7" a="1"/>
  <c r="P1471" i="7" a="1"/>
  <c r="N2" i="7" a="1"/>
  <c r="N3" i="7" a="1"/>
  <c r="N4" i="7" a="1"/>
  <c r="N5" i="7" a="1"/>
  <c r="N6" i="7" a="1"/>
  <c r="N7" i="7" a="1"/>
  <c r="N8" i="7" a="1"/>
  <c r="N9" i="7" a="1"/>
  <c r="N10" i="7" a="1"/>
  <c r="N11" i="7" a="1"/>
  <c r="N12" i="7" a="1"/>
  <c r="N13" i="7" a="1"/>
  <c r="N14" i="7" a="1"/>
  <c r="N15" i="7" a="1"/>
  <c r="N16" i="7" a="1"/>
  <c r="N17" i="7" a="1"/>
  <c r="N18" i="7" a="1"/>
  <c r="N19" i="7" a="1"/>
  <c r="N20" i="7" a="1"/>
  <c r="N21" i="7" a="1"/>
  <c r="N22" i="7" a="1"/>
  <c r="N23" i="7" a="1"/>
  <c r="N24" i="7" a="1"/>
  <c r="N25" i="7" a="1"/>
  <c r="N26" i="7" a="1"/>
  <c r="N27" i="7" a="1"/>
  <c r="N28" i="7" a="1"/>
  <c r="N29" i="7" a="1"/>
  <c r="N30" i="7" a="1"/>
  <c r="N31" i="7" a="1"/>
  <c r="N32" i="7" a="1"/>
  <c r="N33" i="7" a="1"/>
  <c r="N34" i="7" a="1"/>
  <c r="N35" i="7" a="1"/>
  <c r="N36" i="7" a="1"/>
  <c r="N37" i="7" a="1"/>
  <c r="N38" i="7" a="1"/>
  <c r="N39" i="7" a="1"/>
  <c r="N40" i="7" a="1"/>
  <c r="N41" i="7" a="1"/>
  <c r="N42" i="7" a="1"/>
  <c r="N43" i="7" a="1"/>
  <c r="N44" i="7" a="1"/>
  <c r="N45" i="7" a="1"/>
  <c r="N46" i="7" a="1"/>
  <c r="N47" i="7" a="1"/>
  <c r="N48" i="7" a="1"/>
  <c r="N49" i="7" a="1"/>
  <c r="N50" i="7" a="1"/>
  <c r="N51" i="7" a="1"/>
  <c r="N52" i="7" a="1"/>
  <c r="N53" i="7" a="1"/>
  <c r="N54" i="7" a="1"/>
  <c r="N55" i="7" a="1"/>
  <c r="N56" i="7" a="1"/>
  <c r="N57" i="7" a="1"/>
  <c r="N58" i="7" a="1"/>
  <c r="N59" i="7" a="1"/>
  <c r="N60" i="7" a="1"/>
  <c r="N61" i="7" a="1"/>
  <c r="N62" i="7" a="1"/>
  <c r="N63" i="7" a="1"/>
  <c r="N64" i="7" a="1"/>
  <c r="N65" i="7" a="1"/>
  <c r="N66" i="7" a="1"/>
  <c r="N67" i="7" a="1"/>
  <c r="N68" i="7" a="1"/>
  <c r="N69" i="7" a="1"/>
  <c r="N70" i="7" a="1"/>
  <c r="N71" i="7" a="1"/>
  <c r="N72" i="7" a="1"/>
  <c r="N73" i="7" a="1"/>
  <c r="N74" i="7" a="1"/>
  <c r="N75" i="7" a="1"/>
  <c r="N76" i="7" a="1"/>
  <c r="N77" i="7" a="1"/>
  <c r="N78" i="7" a="1"/>
  <c r="N79" i="7" a="1"/>
  <c r="N80" i="7" a="1"/>
  <c r="N81" i="7" a="1"/>
  <c r="N82" i="7" a="1"/>
  <c r="N83" i="7" a="1"/>
  <c r="N84" i="7" a="1"/>
  <c r="N85" i="7" a="1"/>
  <c r="N86" i="7" a="1"/>
  <c r="N87" i="7" a="1"/>
  <c r="N88" i="7" a="1"/>
  <c r="N89" i="7" a="1"/>
  <c r="N90" i="7" a="1"/>
  <c r="N91" i="7" a="1"/>
  <c r="N92" i="7" a="1"/>
  <c r="N93" i="7" a="1"/>
  <c r="N94" i="7" a="1"/>
  <c r="N95" i="7" a="1"/>
  <c r="N96" i="7" a="1"/>
  <c r="N97" i="7" a="1"/>
  <c r="N98" i="7" a="1"/>
  <c r="N99" i="7" a="1"/>
  <c r="N100" i="7" a="1"/>
  <c r="N101" i="7" a="1"/>
  <c r="N102" i="7" a="1"/>
  <c r="N103" i="7" a="1"/>
  <c r="N104" i="7" a="1"/>
  <c r="N105" i="7" a="1"/>
  <c r="N106" i="7" a="1"/>
  <c r="N107" i="7" a="1"/>
  <c r="N108" i="7" a="1"/>
  <c r="N109" i="7" a="1"/>
  <c r="N110" i="7" a="1"/>
  <c r="N111" i="7" a="1"/>
  <c r="N112" i="7" a="1"/>
  <c r="N113" i="7" a="1"/>
  <c r="N114" i="7" a="1"/>
  <c r="N115" i="7" a="1"/>
  <c r="N116" i="7" a="1"/>
  <c r="N117" i="7" a="1"/>
  <c r="N118" i="7" a="1"/>
  <c r="N119" i="7" a="1"/>
  <c r="N120" i="7" a="1"/>
  <c r="N121" i="7" a="1"/>
  <c r="N122" i="7" a="1"/>
  <c r="N123" i="7" a="1"/>
  <c r="N124" i="7" a="1"/>
  <c r="N125" i="7" a="1"/>
  <c r="N126" i="7" a="1"/>
  <c r="N127" i="7" a="1"/>
  <c r="N128" i="7" a="1"/>
  <c r="N129" i="7" a="1"/>
  <c r="N130" i="7" a="1"/>
  <c r="N131" i="7" a="1"/>
  <c r="N132" i="7" a="1"/>
  <c r="N133" i="7" a="1"/>
  <c r="N134" i="7" a="1"/>
  <c r="N135" i="7" a="1"/>
  <c r="N136" i="7" a="1"/>
  <c r="N137" i="7" a="1"/>
  <c r="N138" i="7" a="1"/>
  <c r="N139" i="7" a="1"/>
  <c r="N140" i="7" a="1"/>
  <c r="N141" i="7" a="1"/>
  <c r="N142" i="7" a="1"/>
  <c r="N143" i="7" a="1"/>
  <c r="N144" i="7" a="1"/>
  <c r="N145" i="7" a="1"/>
  <c r="N146" i="7" a="1"/>
  <c r="N147" i="7" a="1"/>
  <c r="N148" i="7" a="1"/>
  <c r="N149" i="7" a="1"/>
  <c r="N150" i="7" a="1"/>
  <c r="N151" i="7" a="1"/>
  <c r="N152" i="7" a="1"/>
  <c r="N153" i="7" a="1"/>
  <c r="N154" i="7" a="1"/>
  <c r="N155" i="7" a="1"/>
  <c r="N156" i="7" a="1"/>
  <c r="N157" i="7" a="1"/>
  <c r="N158" i="7" a="1"/>
  <c r="N159" i="7" a="1"/>
  <c r="N160" i="7" a="1"/>
  <c r="N161" i="7" a="1"/>
  <c r="N162" i="7" a="1"/>
  <c r="N163" i="7" a="1"/>
  <c r="N164" i="7" a="1"/>
  <c r="N165" i="7" a="1"/>
  <c r="N166" i="7" a="1"/>
  <c r="N167" i="7" a="1"/>
  <c r="N168" i="7" a="1"/>
  <c r="N169" i="7" a="1"/>
  <c r="N170" i="7" a="1"/>
  <c r="N171" i="7" a="1"/>
  <c r="N172" i="7" a="1"/>
  <c r="N173" i="7" a="1"/>
  <c r="N174" i="7" a="1"/>
  <c r="N175" i="7" a="1"/>
  <c r="N176" i="7" a="1"/>
  <c r="N177" i="7" a="1"/>
  <c r="N178" i="7" a="1"/>
  <c r="N179" i="7" a="1"/>
  <c r="N180" i="7" a="1"/>
  <c r="N181" i="7" a="1"/>
  <c r="N182" i="7" a="1"/>
  <c r="N183" i="7" a="1"/>
  <c r="N184" i="7" a="1"/>
  <c r="N185" i="7" a="1"/>
  <c r="N186" i="7" a="1"/>
  <c r="N187" i="7" a="1"/>
  <c r="N188" i="7" a="1"/>
  <c r="N189" i="7" a="1"/>
  <c r="N190" i="7" a="1"/>
  <c r="N191" i="7" a="1"/>
  <c r="N192" i="7" a="1"/>
  <c r="N193" i="7" a="1"/>
  <c r="N194" i="7" a="1"/>
  <c r="N195" i="7" a="1"/>
  <c r="N196" i="7" a="1"/>
  <c r="N197" i="7" a="1"/>
  <c r="N198" i="7" a="1"/>
  <c r="N199" i="7" a="1"/>
  <c r="N200" i="7" a="1"/>
  <c r="N201" i="7" a="1"/>
  <c r="N202" i="7" a="1"/>
  <c r="N203" i="7" a="1"/>
  <c r="N204" i="7" a="1"/>
  <c r="N205" i="7" a="1"/>
  <c r="N206" i="7" a="1"/>
  <c r="N207" i="7" a="1"/>
  <c r="N208" i="7" a="1"/>
  <c r="N209" i="7" a="1"/>
  <c r="N210" i="7" a="1"/>
  <c r="N211" i="7" a="1"/>
  <c r="N212" i="7" a="1"/>
  <c r="N213" i="7" a="1"/>
  <c r="N214" i="7" a="1"/>
  <c r="N215" i="7" a="1"/>
  <c r="N216" i="7" a="1"/>
  <c r="N217" i="7" a="1"/>
  <c r="N218" i="7" a="1"/>
  <c r="N219" i="7" a="1"/>
  <c r="N220" i="7" a="1"/>
  <c r="N221" i="7" a="1"/>
  <c r="N222" i="7" a="1"/>
  <c r="N223" i="7" a="1"/>
  <c r="N224" i="7" a="1"/>
  <c r="N225" i="7" a="1"/>
  <c r="N226" i="7" a="1"/>
  <c r="N227" i="7" a="1"/>
  <c r="N228" i="7" a="1"/>
  <c r="N229" i="7" a="1"/>
  <c r="N230" i="7" a="1"/>
  <c r="N231" i="7" a="1"/>
  <c r="N232" i="7" a="1"/>
  <c r="N233" i="7" a="1"/>
  <c r="N234" i="7" a="1"/>
  <c r="N235" i="7" a="1"/>
  <c r="N236" i="7" a="1"/>
  <c r="N237" i="7" a="1"/>
  <c r="N238" i="7" a="1"/>
  <c r="N239" i="7" a="1"/>
  <c r="N240" i="7" a="1"/>
  <c r="N241" i="7" a="1"/>
  <c r="N242" i="7" a="1"/>
  <c r="N243" i="7" a="1"/>
  <c r="N244" i="7" a="1"/>
  <c r="N245" i="7" a="1"/>
  <c r="N246" i="7" a="1"/>
  <c r="N247" i="7" a="1"/>
  <c r="N248" i="7" a="1"/>
  <c r="N249" i="7" a="1"/>
  <c r="N250" i="7" a="1"/>
  <c r="N251" i="7" a="1"/>
  <c r="N252" i="7" a="1"/>
  <c r="N253" i="7" a="1"/>
  <c r="N254" i="7" a="1"/>
  <c r="N255" i="7" a="1"/>
  <c r="N256" i="7" a="1"/>
  <c r="N257" i="7" a="1"/>
  <c r="N258" i="7" a="1"/>
  <c r="N259" i="7" a="1"/>
  <c r="N260" i="7" a="1"/>
  <c r="N261" i="7" a="1"/>
  <c r="N262" i="7" a="1"/>
  <c r="N263" i="7" a="1"/>
  <c r="N264" i="7" a="1"/>
  <c r="N265" i="7" a="1"/>
  <c r="N266" i="7" a="1"/>
  <c r="N267" i="7" a="1"/>
  <c r="N268" i="7" a="1"/>
  <c r="N269" i="7" a="1"/>
  <c r="N270" i="7" a="1"/>
  <c r="N271" i="7" a="1"/>
  <c r="N272" i="7" a="1"/>
  <c r="N273" i="7" a="1"/>
  <c r="N274" i="7" a="1"/>
  <c r="N275" i="7" a="1"/>
  <c r="N276" i="7" a="1"/>
  <c r="N277" i="7" a="1"/>
  <c r="N278" i="7" a="1"/>
  <c r="N279" i="7" a="1"/>
  <c r="N280" i="7" a="1"/>
  <c r="N281" i="7" a="1"/>
  <c r="N282" i="7" a="1"/>
  <c r="N283" i="7" a="1"/>
  <c r="N284" i="7" a="1"/>
  <c r="N285" i="7" a="1"/>
  <c r="N286" i="7" a="1"/>
  <c r="N287" i="7" a="1"/>
  <c r="N288" i="7" a="1"/>
  <c r="N289" i="7" a="1"/>
  <c r="N290" i="7" a="1"/>
  <c r="N291" i="7" a="1"/>
  <c r="N292" i="7" a="1"/>
  <c r="N293" i="7" a="1"/>
  <c r="N294" i="7" a="1"/>
  <c r="N295" i="7" a="1"/>
  <c r="N296" i="7" a="1"/>
  <c r="N297" i="7" a="1"/>
  <c r="N298" i="7" a="1"/>
  <c r="N299" i="7" a="1"/>
  <c r="N300" i="7" a="1"/>
  <c r="N301" i="7" a="1"/>
  <c r="N302" i="7" a="1"/>
  <c r="N303" i="7" a="1"/>
  <c r="N304" i="7" a="1"/>
  <c r="N305" i="7" a="1"/>
  <c r="N306" i="7" a="1"/>
  <c r="N307" i="7" a="1"/>
  <c r="N308" i="7" a="1"/>
  <c r="N309" i="7" a="1"/>
  <c r="N310" i="7" a="1"/>
  <c r="N311" i="7" a="1"/>
  <c r="N312" i="7" a="1"/>
  <c r="N313" i="7" a="1"/>
  <c r="N314" i="7" a="1"/>
  <c r="N315" i="7" a="1"/>
  <c r="N316" i="7" a="1"/>
  <c r="N317" i="7" a="1"/>
  <c r="N318" i="7" a="1"/>
  <c r="N319" i="7" a="1"/>
  <c r="N320" i="7" a="1"/>
  <c r="N321" i="7" a="1"/>
  <c r="N322" i="7" a="1"/>
  <c r="N323" i="7" a="1"/>
  <c r="N324" i="7" a="1"/>
  <c r="N325" i="7" a="1"/>
  <c r="N326" i="7" a="1"/>
  <c r="N327" i="7" a="1"/>
  <c r="N328" i="7" a="1"/>
  <c r="N329" i="7" a="1"/>
  <c r="N330" i="7" a="1"/>
  <c r="N331" i="7" a="1"/>
  <c r="N332" i="7" a="1"/>
  <c r="N333" i="7" a="1"/>
  <c r="N334" i="7" a="1"/>
  <c r="N335" i="7" a="1"/>
  <c r="N336" i="7" a="1"/>
  <c r="N337" i="7" a="1"/>
  <c r="N338" i="7" a="1"/>
  <c r="N339" i="7" a="1"/>
  <c r="N340" i="7" a="1"/>
  <c r="N341" i="7" a="1"/>
  <c r="N342" i="7" a="1"/>
  <c r="N343" i="7" a="1"/>
  <c r="N344" i="7" a="1"/>
  <c r="N345" i="7" a="1"/>
  <c r="N346" i="7" a="1"/>
  <c r="N347" i="7" a="1"/>
  <c r="N348" i="7" a="1"/>
  <c r="N349" i="7" a="1"/>
  <c r="N350" i="7" a="1"/>
  <c r="N351" i="7" a="1"/>
  <c r="N352" i="7" a="1"/>
  <c r="N353" i="7" a="1"/>
  <c r="N354" i="7" a="1"/>
  <c r="N355" i="7" a="1"/>
  <c r="N356" i="7" a="1"/>
  <c r="N357" i="7" a="1"/>
  <c r="N358" i="7" a="1"/>
  <c r="N359" i="7" a="1"/>
  <c r="N360" i="7" a="1"/>
  <c r="N361" i="7" a="1"/>
  <c r="N362" i="7" a="1"/>
  <c r="N363" i="7" a="1"/>
  <c r="N364" i="7" a="1"/>
  <c r="N365" i="7" a="1"/>
  <c r="N366" i="7" a="1"/>
  <c r="N367" i="7" a="1"/>
  <c r="N368" i="7" a="1"/>
  <c r="N369" i="7" a="1"/>
  <c r="N370" i="7" a="1"/>
  <c r="N371" i="7" a="1"/>
  <c r="N372" i="7" a="1"/>
  <c r="N373" i="7" a="1"/>
  <c r="N374" i="7" a="1"/>
  <c r="N375" i="7" a="1"/>
  <c r="N376" i="7" a="1"/>
  <c r="N377" i="7" a="1"/>
  <c r="N378" i="7" a="1"/>
  <c r="N379" i="7" a="1"/>
  <c r="N380" i="7" a="1"/>
  <c r="N381" i="7" a="1"/>
  <c r="N382" i="7" a="1"/>
  <c r="N383" i="7" a="1"/>
  <c r="N384" i="7" a="1"/>
  <c r="N385" i="7" a="1"/>
  <c r="N386" i="7" a="1"/>
  <c r="N387" i="7" a="1"/>
  <c r="N388" i="7" a="1"/>
  <c r="N389" i="7" a="1"/>
  <c r="N390" i="7" a="1"/>
  <c r="N391" i="7" a="1"/>
  <c r="N392" i="7" a="1"/>
  <c r="N393" i="7" a="1"/>
  <c r="N394" i="7" a="1"/>
  <c r="N395" i="7" a="1"/>
  <c r="N396" i="7" a="1"/>
  <c r="N397" i="7" a="1"/>
  <c r="N398" i="7" a="1"/>
  <c r="N399" i="7" a="1"/>
  <c r="N400" i="7" a="1"/>
  <c r="N401" i="7" a="1"/>
  <c r="N402" i="7" a="1"/>
  <c r="N403" i="7" a="1"/>
  <c r="N404" i="7" a="1"/>
  <c r="N405" i="7" a="1"/>
  <c r="N406" i="7" a="1"/>
  <c r="N407" i="7" a="1"/>
  <c r="N408" i="7" a="1"/>
  <c r="N409" i="7" a="1"/>
  <c r="N410" i="7" a="1"/>
  <c r="N411" i="7" a="1"/>
  <c r="N412" i="7" a="1"/>
  <c r="N413" i="7" a="1"/>
  <c r="N414" i="7" a="1"/>
  <c r="N415" i="7" a="1"/>
  <c r="N416" i="7" a="1"/>
  <c r="N417" i="7" a="1"/>
  <c r="N418" i="7" a="1"/>
  <c r="N419" i="7" a="1"/>
  <c r="N420" i="7" a="1"/>
  <c r="N421" i="7" a="1"/>
  <c r="N422" i="7" a="1"/>
  <c r="N423" i="7" a="1"/>
  <c r="N424" i="7" a="1"/>
  <c r="N425" i="7" a="1"/>
  <c r="N426" i="7" a="1"/>
  <c r="N427" i="7" a="1"/>
  <c r="N428" i="7" a="1"/>
  <c r="N429" i="7" a="1"/>
  <c r="N430" i="7" a="1"/>
  <c r="N431" i="7" a="1"/>
  <c r="N432" i="7" a="1"/>
  <c r="N433" i="7" a="1"/>
  <c r="N434" i="7" a="1"/>
  <c r="N435" i="7" a="1"/>
  <c r="N436" i="7" a="1"/>
  <c r="N437" i="7" a="1"/>
  <c r="N438" i="7" a="1"/>
  <c r="N439" i="7" a="1"/>
  <c r="N440" i="7" a="1"/>
  <c r="N441" i="7" a="1"/>
  <c r="N442" i="7" a="1"/>
  <c r="N443" i="7" a="1"/>
  <c r="N444" i="7" a="1"/>
  <c r="N445" i="7" a="1"/>
  <c r="N446" i="7" a="1"/>
  <c r="N447" i="7" a="1"/>
  <c r="N448" i="7" a="1"/>
  <c r="N449" i="7" a="1"/>
  <c r="N450" i="7" a="1"/>
  <c r="N451" i="7" a="1"/>
  <c r="N452" i="7" a="1"/>
  <c r="N453" i="7" a="1"/>
  <c r="N454" i="7" a="1"/>
  <c r="N455" i="7" a="1"/>
  <c r="N456" i="7" a="1"/>
  <c r="N457" i="7" a="1"/>
  <c r="N458" i="7" a="1"/>
  <c r="N459" i="7" a="1"/>
  <c r="N460" i="7" a="1"/>
  <c r="N461" i="7" a="1"/>
  <c r="N462" i="7" a="1"/>
  <c r="N463" i="7" a="1"/>
  <c r="N464" i="7" a="1"/>
  <c r="N465" i="7" a="1"/>
  <c r="N466" i="7" a="1"/>
  <c r="N467" i="7" a="1"/>
  <c r="N468" i="7" a="1"/>
  <c r="N469" i="7" a="1"/>
  <c r="N470" i="7" a="1"/>
  <c r="N471" i="7" a="1"/>
  <c r="N472" i="7" a="1"/>
  <c r="N473" i="7" a="1"/>
  <c r="N474" i="7" a="1"/>
  <c r="N475" i="7" a="1"/>
  <c r="N476" i="7" a="1"/>
  <c r="N477" i="7" a="1"/>
  <c r="N478" i="7" a="1"/>
  <c r="N479" i="7" a="1"/>
  <c r="N480" i="7" a="1"/>
  <c r="N481" i="7" a="1"/>
  <c r="N482" i="7" a="1"/>
  <c r="N483" i="7" a="1"/>
  <c r="N484" i="7" a="1"/>
  <c r="N485" i="7" a="1"/>
  <c r="N486" i="7" a="1"/>
  <c r="N487" i="7" a="1"/>
  <c r="N488" i="7" a="1"/>
  <c r="N489" i="7" a="1"/>
  <c r="N490" i="7" a="1"/>
  <c r="N491" i="7" a="1"/>
  <c r="N492" i="7" a="1"/>
  <c r="N493" i="7" a="1"/>
  <c r="N494" i="7" a="1"/>
  <c r="N495" i="7" a="1"/>
  <c r="N496" i="7" a="1"/>
  <c r="N497" i="7" a="1"/>
  <c r="N498" i="7" a="1"/>
  <c r="N499" i="7" a="1"/>
  <c r="N500" i="7" a="1"/>
  <c r="N501" i="7" a="1"/>
  <c r="N502" i="7" a="1"/>
  <c r="N503" i="7" a="1"/>
  <c r="N504" i="7" a="1"/>
  <c r="N505" i="7" a="1"/>
  <c r="N506" i="7" a="1"/>
  <c r="N507" i="7" a="1"/>
  <c r="N508" i="7" a="1"/>
  <c r="N509" i="7" a="1"/>
  <c r="N510" i="7" a="1"/>
  <c r="N511" i="7" a="1"/>
  <c r="N512" i="7" a="1"/>
  <c r="N513" i="7" a="1"/>
  <c r="N514" i="7" a="1"/>
  <c r="N515" i="7" a="1"/>
  <c r="N516" i="7" a="1"/>
  <c r="N517" i="7" a="1"/>
  <c r="N518" i="7" a="1"/>
  <c r="N519" i="7" a="1"/>
  <c r="N520" i="7" a="1"/>
  <c r="N521" i="7" a="1"/>
  <c r="N522" i="7" a="1"/>
  <c r="N523" i="7" a="1"/>
  <c r="N524" i="7" a="1"/>
  <c r="N525" i="7" a="1"/>
  <c r="N526" i="7" a="1"/>
  <c r="N527" i="7" a="1"/>
  <c r="N528" i="7" a="1"/>
  <c r="N529" i="7" a="1"/>
  <c r="N530" i="7" a="1"/>
  <c r="N531" i="7" a="1"/>
  <c r="N532" i="7" a="1"/>
  <c r="N533" i="7" a="1"/>
  <c r="N534" i="7" a="1"/>
  <c r="N535" i="7" a="1"/>
  <c r="N536" i="7" a="1"/>
  <c r="N537" i="7" a="1"/>
  <c r="N538" i="7" a="1"/>
  <c r="N539" i="7" a="1"/>
  <c r="N540" i="7" a="1"/>
  <c r="N541" i="7" a="1"/>
  <c r="N542" i="7" a="1"/>
  <c r="N543" i="7" a="1"/>
  <c r="N544" i="7" a="1"/>
  <c r="N545" i="7" a="1"/>
  <c r="N546" i="7" a="1"/>
  <c r="N547" i="7" a="1"/>
  <c r="N548" i="7" a="1"/>
  <c r="N549" i="7" a="1"/>
  <c r="N550" i="7" a="1"/>
  <c r="N551" i="7" a="1"/>
  <c r="N552" i="7" a="1"/>
  <c r="N553" i="7" a="1"/>
  <c r="N554" i="7" a="1"/>
  <c r="N555" i="7" a="1"/>
  <c r="N556" i="7" a="1"/>
  <c r="N557" i="7" a="1"/>
  <c r="N558" i="7" a="1"/>
  <c r="N559" i="7" a="1"/>
  <c r="N560" i="7" a="1"/>
  <c r="N561" i="7" a="1"/>
  <c r="N562" i="7" a="1"/>
  <c r="N563" i="7" a="1"/>
  <c r="N564" i="7" a="1"/>
  <c r="N565" i="7" a="1"/>
  <c r="N566" i="7" a="1"/>
  <c r="N567" i="7" a="1"/>
  <c r="N568" i="7" a="1"/>
  <c r="N569" i="7" a="1"/>
  <c r="N570" i="7" a="1"/>
  <c r="N571" i="7" a="1"/>
  <c r="N572" i="7" a="1"/>
  <c r="N573" i="7" a="1"/>
  <c r="N574" i="7" a="1"/>
  <c r="N575" i="7" a="1"/>
  <c r="N576" i="7" a="1"/>
  <c r="N577" i="7" a="1"/>
  <c r="N578" i="7" a="1"/>
  <c r="N579" i="7" a="1"/>
  <c r="N580" i="7" a="1"/>
  <c r="N581" i="7" a="1"/>
  <c r="N582" i="7" a="1"/>
  <c r="N583" i="7" a="1"/>
  <c r="N584" i="7" a="1"/>
  <c r="N585" i="7" a="1"/>
  <c r="N586" i="7" a="1"/>
  <c r="N587" i="7" a="1"/>
  <c r="N588" i="7" a="1"/>
  <c r="N589" i="7" a="1"/>
  <c r="N590" i="7" a="1"/>
  <c r="N591" i="7" a="1"/>
  <c r="N592" i="7" a="1"/>
  <c r="N593" i="7" a="1"/>
  <c r="N594" i="7" a="1"/>
  <c r="N595" i="7" a="1"/>
  <c r="N596" i="7" a="1"/>
  <c r="N597" i="7" a="1"/>
  <c r="N598" i="7" a="1"/>
  <c r="N599" i="7" a="1"/>
  <c r="N600" i="7" a="1"/>
  <c r="N601" i="7" a="1"/>
  <c r="N602" i="7" a="1"/>
  <c r="N603" i="7" a="1"/>
  <c r="N604" i="7" a="1"/>
  <c r="N605" i="7" a="1"/>
  <c r="N606" i="7" a="1"/>
  <c r="N607" i="7" a="1"/>
  <c r="N608" i="7" a="1"/>
  <c r="N609" i="7" a="1"/>
  <c r="N610" i="7" a="1"/>
  <c r="N611" i="7" a="1"/>
  <c r="N612" i="7" a="1"/>
  <c r="N613" i="7" a="1"/>
  <c r="N614" i="7" a="1"/>
  <c r="N615" i="7" a="1"/>
  <c r="N616" i="7" a="1"/>
  <c r="N617" i="7" a="1"/>
  <c r="N618" i="7" a="1"/>
  <c r="N619" i="7" a="1"/>
  <c r="N620" i="7" a="1"/>
  <c r="N621" i="7" a="1"/>
  <c r="N622" i="7" a="1"/>
  <c r="N623" i="7" a="1"/>
  <c r="N624" i="7" a="1"/>
  <c r="N625" i="7" a="1"/>
  <c r="N626" i="7" a="1"/>
  <c r="N627" i="7" a="1"/>
  <c r="N628" i="7" a="1"/>
  <c r="N629" i="7" a="1"/>
  <c r="N630" i="7" a="1"/>
  <c r="N631" i="7" a="1"/>
  <c r="N632" i="7" a="1"/>
  <c r="N633" i="7" a="1"/>
  <c r="N634" i="7" a="1"/>
  <c r="N635" i="7" a="1"/>
  <c r="N636" i="7" a="1"/>
  <c r="N637" i="7" a="1"/>
  <c r="N638" i="7" a="1"/>
  <c r="N639" i="7" a="1"/>
  <c r="N640" i="7" a="1"/>
  <c r="N641" i="7" a="1"/>
  <c r="N642" i="7" a="1"/>
  <c r="N643" i="7" a="1"/>
  <c r="N644" i="7" a="1"/>
  <c r="N645" i="7" a="1"/>
  <c r="N646" i="7" a="1"/>
  <c r="N647" i="7" a="1"/>
  <c r="N648" i="7" a="1"/>
  <c r="N649" i="7" a="1"/>
  <c r="N650" i="7" a="1"/>
  <c r="N651" i="7" a="1"/>
  <c r="N652" i="7" a="1"/>
  <c r="N653" i="7" a="1"/>
  <c r="N654" i="7" a="1"/>
  <c r="N655" i="7" a="1"/>
  <c r="N656" i="7" a="1"/>
  <c r="N657" i="7" a="1"/>
  <c r="N658" i="7" a="1"/>
  <c r="N659" i="7" a="1"/>
  <c r="N660" i="7" a="1"/>
  <c r="N661" i="7" a="1"/>
  <c r="N662" i="7" a="1"/>
  <c r="N663" i="7" a="1"/>
  <c r="N664" i="7" a="1"/>
  <c r="N665" i="7" a="1"/>
  <c r="N666" i="7" a="1"/>
  <c r="N667" i="7" a="1"/>
  <c r="N668" i="7" a="1"/>
  <c r="N669" i="7" a="1"/>
  <c r="N670" i="7" a="1"/>
  <c r="N671" i="7" a="1"/>
  <c r="N672" i="7" a="1"/>
  <c r="N673" i="7" a="1"/>
  <c r="N674" i="7" a="1"/>
  <c r="N675" i="7" a="1"/>
  <c r="N676" i="7" a="1"/>
  <c r="N677" i="7" a="1"/>
  <c r="N678" i="7" a="1"/>
  <c r="N679" i="7" a="1"/>
  <c r="N680" i="7" a="1"/>
  <c r="N681" i="7" a="1"/>
  <c r="N682" i="7" a="1"/>
  <c r="N683" i="7" a="1"/>
  <c r="N684" i="7" a="1"/>
  <c r="N685" i="7" a="1"/>
  <c r="N686" i="7" a="1"/>
  <c r="N687" i="7" a="1"/>
  <c r="N688" i="7" a="1"/>
  <c r="N689" i="7" a="1"/>
  <c r="N690" i="7" a="1"/>
  <c r="N691" i="7" a="1"/>
  <c r="N692" i="7" a="1"/>
  <c r="N693" i="7" a="1"/>
  <c r="N694" i="7" a="1"/>
  <c r="N695" i="7" a="1"/>
  <c r="N696" i="7" a="1"/>
  <c r="N697" i="7" a="1"/>
  <c r="N698" i="7" a="1"/>
  <c r="N699" i="7" a="1"/>
  <c r="N700" i="7" a="1"/>
  <c r="N701" i="7" a="1"/>
  <c r="N702" i="7" a="1"/>
  <c r="N703" i="7" a="1"/>
  <c r="N704" i="7" a="1"/>
  <c r="N705" i="7" a="1"/>
  <c r="N706" i="7" a="1"/>
  <c r="N707" i="7" a="1"/>
  <c r="N708" i="7" a="1"/>
  <c r="N709" i="7" a="1"/>
  <c r="N710" i="7" a="1"/>
  <c r="N711" i="7" a="1"/>
  <c r="N712" i="7" a="1"/>
  <c r="N713" i="7" a="1"/>
  <c r="N714" i="7" a="1"/>
  <c r="N715" i="7" a="1"/>
  <c r="N716" i="7" a="1"/>
  <c r="N717" i="7" a="1"/>
  <c r="N718" i="7" a="1"/>
  <c r="N719" i="7" a="1"/>
  <c r="N720" i="7" a="1"/>
  <c r="N721" i="7" a="1"/>
  <c r="N722" i="7" a="1"/>
  <c r="N723" i="7" a="1"/>
  <c r="N724" i="7" a="1"/>
  <c r="N725" i="7" a="1"/>
  <c r="N726" i="7" a="1"/>
  <c r="N727" i="7" a="1"/>
  <c r="N728" i="7" a="1"/>
  <c r="N729" i="7" a="1"/>
  <c r="N730" i="7" a="1"/>
  <c r="N731" i="7" a="1"/>
  <c r="N732" i="7" a="1"/>
  <c r="N733" i="7" a="1"/>
  <c r="N734" i="7" a="1"/>
  <c r="N735" i="7" a="1"/>
  <c r="N736" i="7" a="1"/>
  <c r="N737" i="7" a="1"/>
  <c r="N738" i="7" a="1"/>
  <c r="N739" i="7" a="1"/>
  <c r="N740" i="7" a="1"/>
  <c r="N741" i="7" a="1"/>
  <c r="N742" i="7" a="1"/>
  <c r="N743" i="7" a="1"/>
  <c r="N744" i="7" a="1"/>
  <c r="N745" i="7" a="1"/>
  <c r="N746" i="7" a="1"/>
  <c r="N747" i="7" a="1"/>
  <c r="N748" i="7" a="1"/>
  <c r="N749" i="7" a="1"/>
  <c r="N750" i="7" a="1"/>
  <c r="N751" i="7" a="1"/>
  <c r="N752" i="7" a="1"/>
  <c r="N753" i="7" a="1"/>
  <c r="N754" i="7" a="1"/>
  <c r="N755" i="7" a="1"/>
  <c r="N756" i="7" a="1"/>
  <c r="N757" i="7" a="1"/>
  <c r="N758" i="7" a="1"/>
  <c r="N759" i="7" a="1"/>
  <c r="N760" i="7" a="1"/>
  <c r="N761" i="7" a="1"/>
  <c r="N762" i="7" a="1"/>
  <c r="N763" i="7" a="1"/>
  <c r="N764" i="7" a="1"/>
  <c r="N765" i="7" a="1"/>
  <c r="N766" i="7" a="1"/>
  <c r="N767" i="7" a="1"/>
  <c r="N768" i="7" a="1"/>
  <c r="N769" i="7" a="1"/>
  <c r="N770" i="7" a="1"/>
  <c r="N771" i="7" a="1"/>
  <c r="N772" i="7" a="1"/>
  <c r="N773" i="7" a="1"/>
  <c r="N774" i="7" a="1"/>
  <c r="N775" i="7" a="1"/>
  <c r="N776" i="7" a="1"/>
  <c r="N777" i="7" a="1"/>
  <c r="N778" i="7" a="1"/>
  <c r="N779" i="7" a="1"/>
  <c r="N780" i="7" a="1"/>
  <c r="N781" i="7" a="1"/>
  <c r="N782" i="7" a="1"/>
  <c r="N783" i="7" a="1"/>
  <c r="N784" i="7" a="1"/>
  <c r="N785" i="7" a="1"/>
  <c r="N786" i="7" a="1"/>
  <c r="N787" i="7" a="1"/>
  <c r="N788" i="7" a="1"/>
  <c r="N789" i="7" a="1"/>
  <c r="N790" i="7" a="1"/>
  <c r="N791" i="7" a="1"/>
  <c r="N792" i="7" a="1"/>
  <c r="N793" i="7" a="1"/>
  <c r="N794" i="7" a="1"/>
  <c r="N795" i="7" a="1"/>
  <c r="N796" i="7" a="1"/>
  <c r="N797" i="7" a="1"/>
  <c r="N798" i="7" a="1"/>
  <c r="N799" i="7" a="1"/>
  <c r="N800" i="7" a="1"/>
  <c r="N801" i="7" a="1"/>
  <c r="N802" i="7" a="1"/>
  <c r="N803" i="7" a="1"/>
  <c r="N804" i="7" a="1"/>
  <c r="N805" i="7" a="1"/>
  <c r="N806" i="7" a="1"/>
  <c r="N807" i="7" a="1"/>
  <c r="N808" i="7" a="1"/>
  <c r="N809" i="7" a="1"/>
  <c r="N810" i="7" a="1"/>
  <c r="N811" i="7" a="1"/>
  <c r="N812" i="7" a="1"/>
  <c r="N813" i="7" a="1"/>
  <c r="N814" i="7" a="1"/>
  <c r="N815" i="7" a="1"/>
  <c r="N816" i="7" a="1"/>
  <c r="N817" i="7" a="1"/>
  <c r="N818" i="7" a="1"/>
  <c r="N819" i="7" a="1"/>
  <c r="N820" i="7" a="1"/>
  <c r="N821" i="7" a="1"/>
  <c r="N822" i="7" a="1"/>
  <c r="N823" i="7" a="1"/>
  <c r="N824" i="7" a="1"/>
  <c r="N825" i="7" a="1"/>
  <c r="N826" i="7" a="1"/>
  <c r="N827" i="7" a="1"/>
  <c r="N828" i="7" a="1"/>
  <c r="N829" i="7" a="1"/>
  <c r="N830" i="7" a="1"/>
  <c r="N831" i="7" a="1"/>
  <c r="N832" i="7" a="1"/>
  <c r="N833" i="7" a="1"/>
  <c r="N834" i="7" a="1"/>
  <c r="N835" i="7" a="1"/>
  <c r="N836" i="7" a="1"/>
  <c r="N837" i="7" a="1"/>
  <c r="N838" i="7" a="1"/>
  <c r="N839" i="7" a="1"/>
  <c r="N840" i="7" a="1"/>
  <c r="N841" i="7" a="1"/>
  <c r="N842" i="7" a="1"/>
  <c r="N843" i="7" a="1"/>
  <c r="N844" i="7" a="1"/>
  <c r="N845" i="7" a="1"/>
  <c r="N846" i="7" a="1"/>
  <c r="N847" i="7" a="1"/>
  <c r="N848" i="7" a="1"/>
  <c r="N849" i="7" a="1"/>
  <c r="N850" i="7" a="1"/>
  <c r="N851" i="7" a="1"/>
  <c r="N852" i="7" a="1"/>
  <c r="N853" i="7" a="1"/>
  <c r="N854" i="7" a="1"/>
  <c r="N855" i="7" a="1"/>
  <c r="N856" i="7" a="1"/>
  <c r="N857" i="7" a="1"/>
  <c r="N858" i="7" a="1"/>
  <c r="N859" i="7" a="1"/>
  <c r="N860" i="7" a="1"/>
  <c r="N861" i="7" a="1"/>
  <c r="N862" i="7" a="1"/>
  <c r="N863" i="7" a="1"/>
  <c r="N864" i="7" a="1"/>
  <c r="N865" i="7" a="1"/>
  <c r="N866" i="7" a="1"/>
  <c r="N867" i="7" a="1"/>
  <c r="N868" i="7" a="1"/>
  <c r="N869" i="7" a="1"/>
  <c r="N870" i="7" a="1"/>
  <c r="N871" i="7" a="1"/>
  <c r="N872" i="7" a="1"/>
  <c r="N873" i="7" a="1"/>
  <c r="N874" i="7" a="1"/>
  <c r="N875" i="7" a="1"/>
  <c r="N876" i="7" a="1"/>
  <c r="N877" i="7" a="1"/>
  <c r="N878" i="7" a="1"/>
  <c r="N879" i="7" a="1"/>
  <c r="N880" i="7" a="1"/>
  <c r="N881" i="7" a="1"/>
  <c r="N882" i="7" a="1"/>
  <c r="N883" i="7" a="1"/>
  <c r="N884" i="7" a="1"/>
  <c r="N885" i="7" a="1"/>
  <c r="N886" i="7" a="1"/>
  <c r="N887" i="7" a="1"/>
  <c r="N888" i="7" a="1"/>
  <c r="N889" i="7" a="1"/>
  <c r="N890" i="7" a="1"/>
  <c r="N891" i="7" a="1"/>
  <c r="N892" i="7" a="1"/>
  <c r="N893" i="7" a="1"/>
  <c r="N894" i="7" a="1"/>
  <c r="N895" i="7" a="1"/>
  <c r="N896" i="7" a="1"/>
  <c r="N897" i="7" a="1"/>
  <c r="N898" i="7" a="1"/>
  <c r="N899" i="7" a="1"/>
  <c r="N900" i="7" a="1"/>
  <c r="N901" i="7" a="1"/>
  <c r="N902" i="7" a="1"/>
  <c r="N903" i="7" a="1"/>
  <c r="N904" i="7" a="1"/>
  <c r="N905" i="7" a="1"/>
  <c r="N906" i="7" a="1"/>
  <c r="N907" i="7" a="1"/>
  <c r="N908" i="7" a="1"/>
  <c r="N909" i="7" a="1"/>
  <c r="N910" i="7" a="1"/>
  <c r="N911" i="7" a="1"/>
  <c r="N912" i="7" a="1"/>
  <c r="N913" i="7" a="1"/>
  <c r="N914" i="7" a="1"/>
  <c r="N915" i="7" a="1"/>
  <c r="N916" i="7" a="1"/>
  <c r="N917" i="7" a="1"/>
  <c r="N918" i="7" a="1"/>
  <c r="N919" i="7" a="1"/>
  <c r="N920" i="7" a="1"/>
  <c r="N921" i="7" a="1"/>
  <c r="N922" i="7" a="1"/>
  <c r="N923" i="7" a="1"/>
  <c r="N924" i="7" a="1"/>
  <c r="N925" i="7" a="1"/>
  <c r="N926" i="7" a="1"/>
  <c r="N927" i="7" a="1"/>
  <c r="N928" i="7" a="1"/>
  <c r="N929" i="7" a="1"/>
  <c r="N930" i="7" a="1"/>
  <c r="N931" i="7" a="1"/>
  <c r="N932" i="7" a="1"/>
  <c r="N933" i="7" a="1"/>
  <c r="N934" i="7" a="1"/>
  <c r="N935" i="7" a="1"/>
  <c r="N936" i="7" a="1"/>
  <c r="N937" i="7" a="1"/>
  <c r="N938" i="7" a="1"/>
  <c r="N939" i="7" a="1"/>
  <c r="N940" i="7" a="1"/>
  <c r="N941" i="7" a="1"/>
  <c r="N942" i="7" a="1"/>
  <c r="N943" i="7" a="1"/>
  <c r="N944" i="7" a="1"/>
  <c r="N945" i="7" a="1"/>
  <c r="N946" i="7" a="1"/>
  <c r="N947" i="7" a="1"/>
  <c r="N948" i="7" a="1"/>
  <c r="N949" i="7" a="1"/>
  <c r="N950" i="7" a="1"/>
  <c r="N951" i="7" a="1"/>
  <c r="N952" i="7" a="1"/>
  <c r="N953" i="7" a="1"/>
  <c r="N954" i="7" a="1"/>
  <c r="N955" i="7" a="1"/>
  <c r="N956" i="7" a="1"/>
  <c r="N957" i="7" a="1"/>
  <c r="N958" i="7" a="1"/>
  <c r="N959" i="7" a="1"/>
  <c r="N960" i="7" a="1"/>
  <c r="N961" i="7" a="1"/>
  <c r="N962" i="7" a="1"/>
  <c r="N963" i="7" a="1"/>
  <c r="N964" i="7" a="1"/>
  <c r="N965" i="7" a="1"/>
  <c r="N966" i="7" a="1"/>
  <c r="N967" i="7" a="1"/>
  <c r="N968" i="7" a="1"/>
  <c r="N969" i="7" a="1"/>
  <c r="N970" i="7" a="1"/>
  <c r="N971" i="7" a="1"/>
  <c r="N972" i="7" a="1"/>
  <c r="N973" i="7" a="1"/>
  <c r="N974" i="7" a="1"/>
  <c r="N975" i="7" a="1"/>
  <c r="N976" i="7" a="1"/>
  <c r="N977" i="7" a="1"/>
  <c r="N978" i="7" a="1"/>
  <c r="N979" i="7" a="1"/>
  <c r="N980" i="7" a="1"/>
  <c r="N981" i="7" a="1"/>
  <c r="N982" i="7" a="1"/>
  <c r="N983" i="7" a="1"/>
  <c r="N984" i="7" a="1"/>
  <c r="N985" i="7" a="1"/>
  <c r="N986" i="7" a="1"/>
  <c r="N987" i="7" a="1"/>
  <c r="N988" i="7" a="1"/>
  <c r="N989" i="7" a="1"/>
  <c r="N990" i="7" a="1"/>
  <c r="N991" i="7" a="1"/>
  <c r="N992" i="7" a="1"/>
  <c r="N993" i="7" a="1"/>
  <c r="N994" i="7" a="1"/>
  <c r="N995" i="7" a="1"/>
  <c r="N996" i="7" a="1"/>
  <c r="N997" i="7" a="1"/>
  <c r="N998" i="7" a="1"/>
  <c r="N999" i="7" a="1"/>
  <c r="N1000" i="7" a="1"/>
  <c r="N1001" i="7" a="1"/>
  <c r="N1002" i="7" a="1"/>
  <c r="N1003" i="7" a="1"/>
  <c r="N1004" i="7" a="1"/>
  <c r="N1005" i="7" a="1"/>
  <c r="N1006" i="7" a="1"/>
  <c r="N1007" i="7" a="1"/>
  <c r="N1008" i="7" a="1"/>
  <c r="N1009" i="7" a="1"/>
  <c r="N1010" i="7" a="1"/>
  <c r="N1011" i="7" a="1"/>
  <c r="N1012" i="7" a="1"/>
  <c r="N1013" i="7" a="1"/>
  <c r="N1014" i="7" a="1"/>
  <c r="N1015" i="7" a="1"/>
  <c r="N1016" i="7" a="1"/>
  <c r="N1017" i="7" a="1"/>
  <c r="N1018" i="7" a="1"/>
  <c r="N1019" i="7" a="1"/>
  <c r="N1020" i="7" a="1"/>
  <c r="N1021" i="7" a="1"/>
  <c r="N1022" i="7" a="1"/>
  <c r="N1023" i="7" a="1"/>
  <c r="N1024" i="7" a="1"/>
  <c r="N1025" i="7" a="1"/>
  <c r="N1026" i="7" a="1"/>
  <c r="N1027" i="7" a="1"/>
  <c r="N1028" i="7" a="1"/>
  <c r="N1029" i="7" a="1"/>
  <c r="N1030" i="7" a="1"/>
  <c r="N1031" i="7" a="1"/>
  <c r="N1032" i="7" a="1"/>
  <c r="N1033" i="7" a="1"/>
  <c r="N1034" i="7" a="1"/>
  <c r="N1035" i="7" a="1"/>
  <c r="N1036" i="7" a="1"/>
  <c r="N1037" i="7" a="1"/>
  <c r="N1038" i="7" a="1"/>
  <c r="N1039" i="7" a="1"/>
  <c r="N1040" i="7" a="1"/>
  <c r="N1041" i="7" a="1"/>
  <c r="N1042" i="7" a="1"/>
  <c r="N1043" i="7" a="1"/>
  <c r="N1044" i="7" a="1"/>
  <c r="N1045" i="7" a="1"/>
  <c r="N1046" i="7" a="1"/>
  <c r="N1047" i="7" a="1"/>
  <c r="N1048" i="7" a="1"/>
  <c r="N1049" i="7" a="1"/>
  <c r="N1050" i="7" a="1"/>
  <c r="N1051" i="7" a="1"/>
  <c r="N1052" i="7" a="1"/>
  <c r="N1053" i="7" a="1"/>
  <c r="N1054" i="7" a="1"/>
  <c r="N1055" i="7" a="1"/>
  <c r="N1056" i="7" a="1"/>
  <c r="N1057" i="7" a="1"/>
  <c r="N1058" i="7" a="1"/>
  <c r="N1059" i="7" a="1"/>
  <c r="N1060" i="7" a="1"/>
  <c r="N1061" i="7" a="1"/>
  <c r="N1062" i="7" a="1"/>
  <c r="N1063" i="7" a="1"/>
  <c r="N1064" i="7" a="1"/>
  <c r="N1065" i="7" a="1"/>
  <c r="N1066" i="7" a="1"/>
  <c r="N1067" i="7" a="1"/>
  <c r="N1068" i="7" a="1"/>
  <c r="N1069" i="7" a="1"/>
  <c r="N1070" i="7" a="1"/>
  <c r="N1071" i="7" a="1"/>
  <c r="N1072" i="7" a="1"/>
  <c r="N1073" i="7" a="1"/>
  <c r="N1074" i="7" a="1"/>
  <c r="N1075" i="7" a="1"/>
  <c r="N1076" i="7" a="1"/>
  <c r="N1077" i="7" a="1"/>
  <c r="N1078" i="7" a="1"/>
  <c r="N1079" i="7" a="1"/>
  <c r="N1080" i="7" a="1"/>
  <c r="N1081" i="7" a="1"/>
  <c r="N1082" i="7" a="1"/>
  <c r="N1083" i="7" a="1"/>
  <c r="N1084" i="7" a="1"/>
  <c r="N1085" i="7" a="1"/>
  <c r="N1086" i="7" a="1"/>
  <c r="N1087" i="7" a="1"/>
  <c r="N1088" i="7" a="1"/>
  <c r="N1089" i="7" a="1"/>
  <c r="N1090" i="7" a="1"/>
  <c r="N1091" i="7" a="1"/>
  <c r="N1092" i="7" a="1"/>
  <c r="N1093" i="7" a="1"/>
  <c r="N1094" i="7" a="1"/>
  <c r="N1095" i="7" a="1"/>
  <c r="N1096" i="7" a="1"/>
  <c r="N1097" i="7" a="1"/>
  <c r="N1098" i="7" a="1"/>
  <c r="N1099" i="7" a="1"/>
  <c r="N1100" i="7" a="1"/>
  <c r="N1101" i="7" a="1"/>
  <c r="N1102" i="7" a="1"/>
  <c r="N1103" i="7" a="1"/>
  <c r="N1104" i="7" a="1"/>
  <c r="N1105" i="7" a="1"/>
  <c r="N1106" i="7" a="1"/>
  <c r="N1107" i="7" a="1"/>
  <c r="N1108" i="7" a="1"/>
  <c r="N1109" i="7" a="1"/>
  <c r="N1110" i="7" a="1"/>
  <c r="N1111" i="7" a="1"/>
  <c r="N1112" i="7" a="1"/>
  <c r="N1113" i="7" a="1"/>
  <c r="N1114" i="7" a="1"/>
  <c r="N1115" i="7" a="1"/>
  <c r="N1116" i="7" a="1"/>
  <c r="N1117" i="7" a="1"/>
  <c r="N1118" i="7" a="1"/>
  <c r="N1119" i="7" a="1"/>
  <c r="N1120" i="7" a="1"/>
  <c r="N1121" i="7" a="1"/>
  <c r="N1122" i="7" a="1"/>
  <c r="N1123" i="7" a="1"/>
  <c r="N1124" i="7" a="1"/>
  <c r="N1125" i="7" a="1"/>
  <c r="N1126" i="7" a="1"/>
  <c r="N1127" i="7" a="1"/>
  <c r="N1128" i="7" a="1"/>
  <c r="N1129" i="7" a="1"/>
  <c r="N1130" i="7" a="1"/>
  <c r="N1131" i="7" a="1"/>
  <c r="N1132" i="7" a="1"/>
  <c r="N1133" i="7" a="1"/>
  <c r="N1134" i="7" a="1"/>
  <c r="N1135" i="7" a="1"/>
  <c r="N1136" i="7" a="1"/>
  <c r="N1137" i="7" a="1"/>
  <c r="N1138" i="7" a="1"/>
  <c r="N1139" i="7" a="1"/>
  <c r="N1140" i="7" a="1"/>
  <c r="N1141" i="7" a="1"/>
  <c r="N1142" i="7" a="1"/>
  <c r="N1143" i="7" a="1"/>
  <c r="N1144" i="7" a="1"/>
  <c r="N1145" i="7" a="1"/>
  <c r="N1146" i="7" a="1"/>
  <c r="N1147" i="7" a="1"/>
  <c r="N1148" i="7" a="1"/>
  <c r="N1149" i="7" a="1"/>
  <c r="N1150" i="7" a="1"/>
  <c r="N1151" i="7" a="1"/>
  <c r="N1152" i="7" a="1"/>
  <c r="N1153" i="7" a="1"/>
  <c r="N1154" i="7" a="1"/>
  <c r="N1155" i="7" a="1"/>
  <c r="N1156" i="7" a="1"/>
  <c r="N1157" i="7" a="1"/>
  <c r="N1158" i="7" a="1"/>
  <c r="N1159" i="7" a="1"/>
  <c r="N1160" i="7" a="1"/>
  <c r="N1161" i="7" a="1"/>
  <c r="N1162" i="7" a="1"/>
  <c r="N1163" i="7" a="1"/>
  <c r="N1164" i="7" a="1"/>
  <c r="N1165" i="7" a="1"/>
  <c r="N1166" i="7" a="1"/>
  <c r="N1167" i="7" a="1"/>
  <c r="N1168" i="7" a="1"/>
  <c r="N1169" i="7" a="1"/>
  <c r="N1170" i="7" a="1"/>
  <c r="N1171" i="7" a="1"/>
  <c r="N1172" i="7" a="1"/>
  <c r="N1173" i="7" a="1"/>
  <c r="N1174" i="7" a="1"/>
  <c r="N1175" i="7" a="1"/>
  <c r="N1176" i="7" a="1"/>
  <c r="N1177" i="7" a="1"/>
  <c r="N1178" i="7" a="1"/>
  <c r="N1179" i="7" a="1"/>
  <c r="N1180" i="7" a="1"/>
  <c r="N1181" i="7" a="1"/>
  <c r="N1182" i="7" a="1"/>
  <c r="N1183" i="7" a="1"/>
  <c r="N1184" i="7" a="1"/>
  <c r="N1185" i="7" a="1"/>
  <c r="N1186" i="7" a="1"/>
  <c r="N1187" i="7" a="1"/>
  <c r="N1188" i="7" a="1"/>
  <c r="N1189" i="7" a="1"/>
  <c r="N1190" i="7" a="1"/>
  <c r="N1191" i="7" a="1"/>
  <c r="N1192" i="7" a="1"/>
  <c r="N1193" i="7" a="1"/>
  <c r="N1194" i="7" a="1"/>
  <c r="N1195" i="7" a="1"/>
  <c r="N1196" i="7" a="1"/>
  <c r="N1197" i="7" a="1"/>
  <c r="N1198" i="7" a="1"/>
  <c r="N1199" i="7" a="1"/>
  <c r="N1200" i="7" a="1"/>
  <c r="N1201" i="7" a="1"/>
  <c r="N1202" i="7" a="1"/>
  <c r="N1203" i="7" a="1"/>
  <c r="N1204" i="7" a="1"/>
  <c r="N1205" i="7" a="1"/>
  <c r="N1206" i="7" a="1"/>
  <c r="N1207" i="7" a="1"/>
  <c r="N1208" i="7" a="1"/>
  <c r="N1209" i="7" a="1"/>
  <c r="N1210" i="7" a="1"/>
  <c r="N1211" i="7" a="1"/>
  <c r="N1212" i="7" a="1"/>
  <c r="N1213" i="7" a="1"/>
  <c r="N1214" i="7" a="1"/>
  <c r="N1215" i="7" a="1"/>
  <c r="N1216" i="7" a="1"/>
  <c r="N1217" i="7" a="1"/>
  <c r="N1218" i="7" a="1"/>
  <c r="N1219" i="7" a="1"/>
  <c r="N1220" i="7" a="1"/>
  <c r="N1221" i="7" a="1"/>
  <c r="N1222" i="7" a="1"/>
  <c r="N1223" i="7" a="1"/>
  <c r="N1224" i="7" a="1"/>
  <c r="N1225" i="7" a="1"/>
  <c r="N1226" i="7" a="1"/>
  <c r="N1227" i="7" a="1"/>
  <c r="N1228" i="7" a="1"/>
  <c r="N1229" i="7" a="1"/>
  <c r="N1230" i="7" a="1"/>
  <c r="N1231" i="7" a="1"/>
  <c r="N1232" i="7" a="1"/>
  <c r="N1233" i="7" a="1"/>
  <c r="N1234" i="7" a="1"/>
  <c r="N1235" i="7" a="1"/>
  <c r="N1236" i="7" a="1"/>
  <c r="N1237" i="7" a="1"/>
  <c r="N1238" i="7" a="1"/>
  <c r="N1239" i="7" a="1"/>
  <c r="N1240" i="7" a="1"/>
  <c r="N1241" i="7" a="1"/>
  <c r="N1242" i="7" a="1"/>
  <c r="N1243" i="7" a="1"/>
  <c r="N1244" i="7" a="1"/>
  <c r="N1245" i="7" a="1"/>
  <c r="N1246" i="7" a="1"/>
  <c r="N1247" i="7" a="1"/>
  <c r="N1248" i="7" a="1"/>
  <c r="N1249" i="7" a="1"/>
  <c r="N1250" i="7" a="1"/>
  <c r="N1251" i="7" a="1"/>
  <c r="N1252" i="7" a="1"/>
  <c r="N1253" i="7" a="1"/>
  <c r="N1254" i="7" a="1"/>
  <c r="N1255" i="7" a="1"/>
  <c r="N1256" i="7" a="1"/>
  <c r="N1257" i="7" a="1"/>
  <c r="N1258" i="7" a="1"/>
  <c r="N1259" i="7" a="1"/>
  <c r="N1260" i="7" a="1"/>
  <c r="N1261" i="7" a="1"/>
  <c r="N1262" i="7" a="1"/>
  <c r="N1263" i="7" a="1"/>
  <c r="N1264" i="7" a="1"/>
  <c r="N1265" i="7" a="1"/>
  <c r="N1266" i="7" a="1"/>
  <c r="N1267" i="7" a="1"/>
  <c r="N1268" i="7" a="1"/>
  <c r="N1269" i="7" a="1"/>
  <c r="N1270" i="7" a="1"/>
  <c r="N1271" i="7" a="1"/>
  <c r="N1272" i="7" a="1"/>
  <c r="N1273" i="7" a="1"/>
  <c r="N1274" i="7" a="1"/>
  <c r="N1275" i="7" a="1"/>
  <c r="N1276" i="7" a="1"/>
  <c r="N1277" i="7" a="1"/>
  <c r="N1278" i="7" a="1"/>
  <c r="N1279" i="7" a="1"/>
  <c r="N1280" i="7" a="1"/>
  <c r="N1281" i="7" a="1"/>
  <c r="N1282" i="7" a="1"/>
  <c r="N1283" i="7" a="1"/>
  <c r="N1284" i="7" a="1"/>
  <c r="N1285" i="7" a="1"/>
  <c r="N1286" i="7" a="1"/>
  <c r="N1287" i="7" a="1"/>
  <c r="N1288" i="7" a="1"/>
  <c r="N1289" i="7" a="1"/>
  <c r="N1290" i="7" a="1"/>
  <c r="N1291" i="7" a="1"/>
  <c r="N1292" i="7" a="1"/>
  <c r="N1293" i="7" a="1"/>
  <c r="N1294" i="7" a="1"/>
  <c r="N1295" i="7" a="1"/>
  <c r="N1296" i="7" a="1"/>
  <c r="N1297" i="7" a="1"/>
  <c r="N1298" i="7" a="1"/>
  <c r="N1299" i="7" a="1"/>
  <c r="N1300" i="7" a="1"/>
  <c r="N1301" i="7" a="1"/>
  <c r="N1302" i="7" a="1"/>
  <c r="N1303" i="7" a="1"/>
  <c r="N1304" i="7" a="1"/>
  <c r="N1305" i="7" a="1"/>
  <c r="N1306" i="7" a="1"/>
  <c r="N1307" i="7" a="1"/>
  <c r="N1308" i="7" a="1"/>
  <c r="N1309" i="7" a="1"/>
  <c r="N1310" i="7" a="1"/>
  <c r="N1311" i="7" a="1"/>
  <c r="N1312" i="7" a="1"/>
  <c r="N1313" i="7" a="1"/>
  <c r="N1314" i="7" a="1"/>
  <c r="N1315" i="7" a="1"/>
  <c r="N1316" i="7" a="1"/>
  <c r="N1317" i="7" a="1"/>
  <c r="N1318" i="7" a="1"/>
  <c r="N1319" i="7" a="1"/>
  <c r="N1320" i="7" a="1"/>
  <c r="N1321" i="7" a="1"/>
  <c r="N1322" i="7" a="1"/>
  <c r="N1323" i="7" a="1"/>
  <c r="N1324" i="7" a="1"/>
  <c r="N1325" i="7" a="1"/>
  <c r="N1326" i="7" a="1"/>
  <c r="N1327" i="7" a="1"/>
  <c r="N1328" i="7" a="1"/>
  <c r="N1329" i="7" a="1"/>
  <c r="N1330" i="7" a="1"/>
  <c r="N1331" i="7" a="1"/>
  <c r="N1332" i="7" a="1"/>
  <c r="N1333" i="7" a="1"/>
  <c r="N1334" i="7" a="1"/>
  <c r="N1335" i="7" a="1"/>
  <c r="N1336" i="7" a="1"/>
  <c r="N1337" i="7" a="1"/>
  <c r="N1338" i="7" a="1"/>
  <c r="N1339" i="7" a="1"/>
  <c r="N1340" i="7" a="1"/>
  <c r="N1341" i="7" a="1"/>
  <c r="N1342" i="7" a="1"/>
  <c r="N1343" i="7" a="1"/>
  <c r="N1344" i="7" a="1"/>
  <c r="N1345" i="7" a="1"/>
  <c r="N1346" i="7" a="1"/>
  <c r="N1347" i="7" a="1"/>
  <c r="N1348" i="7" a="1"/>
  <c r="N1349" i="7" a="1"/>
  <c r="N1350" i="7" a="1"/>
  <c r="N1351" i="7" a="1"/>
  <c r="N1352" i="7" a="1"/>
  <c r="N1353" i="7" a="1"/>
  <c r="N1354" i="7" a="1"/>
  <c r="N1355" i="7" a="1"/>
  <c r="N1356" i="7" a="1"/>
  <c r="N1357" i="7" a="1"/>
  <c r="N1358" i="7" a="1"/>
  <c r="N1359" i="7" a="1"/>
  <c r="N1360" i="7" a="1"/>
  <c r="N1361" i="7" a="1"/>
  <c r="N1362" i="7" a="1"/>
  <c r="N1363" i="7" a="1"/>
  <c r="N1364" i="7" a="1"/>
  <c r="N1365" i="7" a="1"/>
  <c r="N1366" i="7" a="1"/>
  <c r="N1367" i="7" a="1"/>
  <c r="N1368" i="7" a="1"/>
  <c r="N1369" i="7" a="1"/>
  <c r="N1370" i="7" a="1"/>
  <c r="N1371" i="7" a="1"/>
  <c r="N1372" i="7" a="1"/>
  <c r="N1373" i="7" a="1"/>
  <c r="N1374" i="7" a="1"/>
  <c r="N1375" i="7" a="1"/>
  <c r="N1376" i="7" a="1"/>
  <c r="N1377" i="7" a="1"/>
  <c r="N1378" i="7" a="1"/>
  <c r="N1379" i="7" a="1"/>
  <c r="N1380" i="7" a="1"/>
  <c r="N1381" i="7" a="1"/>
  <c r="N1382" i="7" a="1"/>
  <c r="N1383" i="7" a="1"/>
  <c r="N1384" i="7" a="1"/>
  <c r="N1385" i="7" a="1"/>
  <c r="N1386" i="7" a="1"/>
  <c r="N1387" i="7" a="1"/>
  <c r="N1388" i="7" a="1"/>
  <c r="N1389" i="7" a="1"/>
  <c r="N1390" i="7" a="1"/>
  <c r="N1391" i="7" a="1"/>
  <c r="N1392" i="7" a="1"/>
  <c r="N1393" i="7" a="1"/>
  <c r="N1394" i="7" a="1"/>
  <c r="N1395" i="7" a="1"/>
  <c r="N1396" i="7" a="1"/>
  <c r="N1397" i="7" a="1"/>
  <c r="N1398" i="7" a="1"/>
  <c r="N1399" i="7" a="1"/>
  <c r="N1400" i="7" a="1"/>
  <c r="N1401" i="7" a="1"/>
  <c r="N1402" i="7" a="1"/>
  <c r="N1403" i="7" a="1"/>
  <c r="N1404" i="7" a="1"/>
  <c r="N1405" i="7" a="1"/>
  <c r="N1406" i="7" a="1"/>
  <c r="N1407" i="7" a="1"/>
  <c r="N1408" i="7" a="1"/>
  <c r="N1409" i="7" a="1"/>
  <c r="N1410" i="7" a="1"/>
  <c r="N1411" i="7" a="1"/>
  <c r="N1412" i="7" a="1"/>
  <c r="N1413" i="7" a="1"/>
  <c r="N1414" i="7" a="1"/>
  <c r="N1415" i="7" a="1"/>
  <c r="N1416" i="7" a="1"/>
  <c r="N1417" i="7" a="1"/>
  <c r="N1418" i="7" a="1"/>
  <c r="N1419" i="7" a="1"/>
  <c r="N1420" i="7" a="1"/>
  <c r="N1421" i="7" a="1"/>
  <c r="N1422" i="7" a="1"/>
  <c r="N1423" i="7" a="1"/>
  <c r="N1424" i="7" a="1"/>
  <c r="N1425" i="7" a="1"/>
  <c r="N1426" i="7" a="1"/>
  <c r="N1427" i="7" a="1"/>
  <c r="N1428" i="7" a="1"/>
  <c r="N1429" i="7" a="1"/>
  <c r="N1430" i="7" a="1"/>
  <c r="N1431" i="7" a="1"/>
  <c r="N1432" i="7" a="1"/>
  <c r="N1433" i="7" a="1"/>
  <c r="N1434" i="7" a="1"/>
  <c r="N1435" i="7" a="1"/>
  <c r="N1436" i="7" a="1"/>
  <c r="N1437" i="7" a="1"/>
  <c r="N1438" i="7" a="1"/>
  <c r="N1439" i="7" a="1"/>
  <c r="N1440" i="7" a="1"/>
  <c r="N1441" i="7" a="1"/>
  <c r="N1442" i="7" a="1"/>
  <c r="N1443" i="7" a="1"/>
  <c r="N1444" i="7" a="1"/>
  <c r="N1445" i="7" a="1"/>
  <c r="N1446" i="7" a="1"/>
  <c r="N1447" i="7" a="1"/>
  <c r="N1448" i="7" a="1"/>
  <c r="N1449" i="7" a="1"/>
  <c r="N1450" i="7" a="1"/>
  <c r="N1451" i="7" a="1"/>
  <c r="N1452" i="7" a="1"/>
  <c r="N1453" i="7" a="1"/>
  <c r="N1454" i="7" a="1"/>
  <c r="N1455" i="7" a="1"/>
  <c r="N1456" i="7" a="1"/>
  <c r="N1457" i="7" a="1"/>
  <c r="N1458" i="7" a="1"/>
  <c r="N1459" i="7" a="1"/>
  <c r="N1460" i="7" a="1"/>
  <c r="N1461" i="7" a="1"/>
  <c r="N1462" i="7" a="1"/>
  <c r="N1463" i="7" a="1"/>
  <c r="N1464" i="7" a="1"/>
  <c r="N1465" i="7" a="1"/>
  <c r="N1466" i="7" a="1"/>
  <c r="N1467" i="7" a="1"/>
  <c r="N1468" i="7" a="1"/>
  <c r="N1469" i="7" a="1"/>
  <c r="N1470" i="7" a="1"/>
  <c r="N1471" i="7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1F78CB-7A0E-4525-A70E-1608A805E994}" keepAlive="1" name="Query - HR_Analytics" description="Connection to the 'HR_Analytics' query in the workbook." type="5" refreshedVersion="8" background="1" saveData="1">
    <dbPr connection="Provider=Microsoft.Mashup.OleDb.1;Data Source=$Workbook$;Location=HR_Analytics;Extended Properties=&quot;&quot;" command="SELECT * FROM [HR_Analytics]"/>
  </connection>
  <connection id="2" xr16:uid="{6A297A59-3853-484D-AF69-FC48AD193399}" keepAlive="1" name="Query - HR_Analytics (2)" description="Connection to the 'HR_Analytics (2)' query in the workbook." type="5" refreshedVersion="8" background="1" saveData="1">
    <dbPr connection="Provider=Microsoft.Mashup.OleDb.1;Data Source=$Workbook$;Location=&quot;HR_Analytics (2)&quot;;Extended Properties=&quot;&quot;" command="SELECT * FROM [HR_Analytics (2)]"/>
  </connection>
  <connection id="3" xr16:uid="{FF07BBD9-864C-48CD-B4BB-D34079769D70}" keepAlive="1" name="Query - HR_Analytics (3)" description="Connection to the 'HR_Analytics (3)' query in the workbook." type="5" refreshedVersion="8" background="1" saveData="1">
    <dbPr connection="Provider=Microsoft.Mashup.OleDb.1;Data Source=$Workbook$;Location=&quot;HR_Analytics (3)&quot;;Extended Properties=&quot;&quot;" command="SELECT * FROM [HR_Analytics (3)]"/>
  </connection>
  <connection id="4" xr16:uid="{00ACA10C-7E47-455C-848C-5EA082309636}" keepAlive="1" name="Query - HR_Analytics (4)" description="Connection to the 'HR_Analytics (4)' query in the workbook." type="5" refreshedVersion="8" background="1" saveData="1">
    <dbPr connection="Provider=Microsoft.Mashup.OleDb.1;Data Source=$Workbook$;Location=&quot;HR_Analytics (4)&quot;;Extended Properties=&quot;&quot;" command="SELECT * FROM [HR_Analytics (4)]"/>
  </connection>
  <connection id="5" xr16:uid="{22B5F9B4-C460-48F8-97B6-D4C4522BCDDC}" keepAlive="1" name="Query - HR_Analytics (5)" description="Connection to the 'HR_Analytics (5)' query in the workbook." type="5" refreshedVersion="8" background="1" saveData="1">
    <dbPr connection="Provider=Microsoft.Mashup.OleDb.1;Data Source=$Workbook$;Location=&quot;HR_Analytics (5)&quot;;Extended Properties=&quot;&quot;" command="SELECT * FROM [HR_Analytics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<sst xmlns="http://schemas.openxmlformats.org/spreadsheetml/2006/main" count="35528" uniqueCount="1579">
  <si>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</si>
  <si>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</si>
  <si>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</si>
  <si>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</si>
  <si>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</si>
  <si>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</si>
  <si>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</si>
  <si>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</si>
  <si>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</si>
  <si>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</si>
  <si>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</si>
  <si>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</si>
  <si>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</si>
  <si>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</si>
  <si>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</si>
  <si>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</si>
  <si>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</si>
  <si>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</si>
  <si>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</si>
  <si>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</si>
  <si>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</si>
  <si>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</si>
  <si>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</si>
  <si>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</si>
  <si>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</si>
  <si>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</si>
  <si>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</si>
  <si>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</si>
  <si>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</si>
  <si>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</si>
  <si>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</si>
  <si>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</si>
  <si>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</si>
  <si>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</si>
  <si>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</si>
  <si>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</si>
  <si>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</si>
  <si>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</si>
  <si>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</si>
  <si>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</si>
  <si>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</si>
  <si>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</si>
  <si>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</si>
  <si>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</si>
  <si>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</si>
  <si>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</si>
  <si>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</si>
  <si>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</si>
  <si>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</si>
  <si>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</si>
  <si>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</si>
  <si>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</si>
  <si>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</si>
  <si>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</si>
  <si>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</si>
  <si>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</si>
  <si>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</si>
  <si>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</si>
  <si>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</si>
  <si>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</si>
  <si>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</si>
  <si>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</si>
  <si>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</si>
  <si>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</si>
  <si>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</si>
  <si>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</si>
  <si>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</si>
  <si>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</si>
  <si>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</si>
  <si>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</si>
  <si>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</si>
  <si>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</si>
  <si>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</si>
  <si>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</si>
  <si>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</si>
  <si>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</si>
  <si>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</si>
  <si>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</si>
  <si>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</si>
  <si>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</si>
  <si>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</si>
  <si>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</si>
  <si>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</si>
  <si>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</si>
  <si>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</si>
  <si>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</si>
  <si>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</si>
  <si>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</si>
  <si>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</si>
  <si>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</si>
  <si>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</si>
  <si>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</si>
  <si>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</si>
  <si>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</si>
  <si>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</si>
  <si>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</si>
  <si>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</si>
  <si>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</si>
  <si>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</si>
  <si>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</si>
  <si>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</si>
  <si>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</si>
  <si>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</si>
  <si>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</si>
  <si>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</si>
  <si>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</si>
  <si>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</si>
  <si>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</si>
  <si>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</si>
  <si>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</si>
  <si>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</si>
  <si>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</si>
  <si>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</si>
  <si>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</si>
  <si>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</si>
  <si>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</si>
  <si>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</si>
  <si>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</si>
  <si>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</si>
  <si>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</si>
  <si>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</si>
  <si>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</si>
  <si>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</si>
  <si>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</si>
  <si>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</si>
  <si>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</si>
  <si>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</si>
  <si>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</si>
  <si>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</si>
  <si>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</si>
  <si>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</si>
  <si>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</si>
  <si>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</si>
  <si>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</si>
  <si>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</si>
  <si>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</si>
  <si>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</si>
  <si>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</si>
  <si>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</si>
  <si>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</si>
  <si>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</si>
  <si>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</si>
  <si>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</si>
  <si>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</si>
  <si>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</si>
  <si>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</si>
  <si>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</si>
  <si>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</si>
  <si>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</si>
  <si>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</si>
  <si>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</si>
  <si>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</si>
  <si>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</si>
  <si>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</si>
  <si>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</si>
  <si>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</si>
  <si>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</si>
  <si>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</si>
  <si>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</si>
  <si>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</si>
  <si>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</si>
  <si>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</si>
  <si>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</si>
  <si>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</si>
  <si>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</si>
  <si>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</si>
  <si>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</si>
  <si>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</si>
  <si>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</si>
  <si>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</si>
  <si>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</si>
  <si>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</si>
  <si>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</si>
  <si>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</si>
  <si>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</si>
  <si>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</si>
  <si>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</si>
  <si>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</si>
  <si>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</si>
  <si>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</si>
  <si>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</si>
  <si>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</si>
  <si>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</si>
  <si>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</si>
  <si>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</si>
  <si>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</si>
  <si>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</si>
  <si>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</si>
  <si>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</si>
  <si>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</si>
  <si>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</si>
  <si>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</si>
  <si>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</si>
  <si>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</si>
  <si>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</si>
  <si>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</si>
  <si>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</si>
  <si>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</si>
  <si>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</si>
  <si>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</si>
  <si>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</si>
  <si>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</si>
  <si>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</si>
  <si>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</si>
  <si>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</si>
  <si>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</si>
  <si>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</si>
  <si>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</si>
  <si>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</si>
  <si>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</si>
  <si>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</si>
  <si>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</si>
  <si>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</si>
  <si>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</si>
  <si>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</si>
  <si>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</si>
  <si>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</si>
  <si>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</si>
  <si>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</si>
  <si>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</si>
  <si>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</si>
  <si>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</si>
  <si>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</si>
  <si>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</si>
  <si>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</si>
  <si>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</si>
  <si>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</si>
  <si>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</si>
  <si>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</si>
  <si>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</si>
  <si>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</si>
  <si>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</si>
  <si>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</si>
  <si>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</si>
  <si>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</si>
  <si>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</si>
  <si>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</si>
  <si>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</si>
  <si>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</si>
  <si>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</si>
  <si>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</si>
  <si>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</si>
  <si>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</si>
  <si>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</si>
  <si>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</si>
  <si>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</si>
  <si>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</si>
  <si>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</si>
  <si>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</si>
  <si>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</si>
  <si>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</si>
  <si>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</si>
  <si>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</si>
  <si>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</si>
  <si>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</si>
  <si>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</si>
  <si>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</si>
  <si>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</si>
  <si>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</si>
  <si>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</si>
  <si>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</si>
  <si>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</si>
  <si>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</si>
  <si>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</si>
  <si>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</si>
  <si>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</si>
  <si>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</si>
  <si>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</si>
  <si>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</si>
  <si>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</si>
  <si>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</si>
  <si>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</si>
  <si>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</si>
  <si>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</si>
  <si>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</si>
  <si>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</si>
  <si>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</si>
  <si>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</si>
  <si>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</si>
  <si>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</si>
  <si>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</si>
  <si>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</si>
  <si>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</si>
  <si>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</si>
  <si>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</si>
  <si>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</si>
  <si>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</si>
  <si>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</si>
  <si>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</si>
  <si>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</si>
  <si>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</si>
  <si>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</si>
  <si>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</si>
  <si>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</si>
  <si>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</si>
  <si>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</si>
  <si>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</si>
  <si>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</si>
  <si>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</si>
  <si>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</si>
  <si>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</si>
  <si>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</si>
  <si>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</si>
  <si>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</si>
  <si>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</si>
  <si>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</si>
  <si>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</si>
  <si>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</si>
  <si>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</si>
  <si>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</si>
  <si>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</si>
  <si>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</si>
  <si>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</si>
  <si>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</si>
  <si>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</si>
  <si>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</si>
  <si>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</si>
  <si>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</si>
  <si>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</si>
  <si>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</si>
  <si>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</si>
  <si>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</si>
  <si>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</si>
  <si>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</si>
  <si>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</si>
  <si>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</si>
  <si>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</si>
  <si>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</si>
  <si>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</si>
  <si>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</si>
  <si>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</si>
  <si>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</si>
  <si>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</si>
  <si>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</si>
  <si>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</si>
  <si>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</si>
  <si>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</si>
  <si>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</si>
  <si>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</si>
  <si>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</si>
  <si>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</si>
  <si>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</si>
  <si>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</si>
  <si>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</si>
  <si>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</si>
  <si>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</si>
  <si>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</si>
  <si>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</si>
  <si>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</si>
  <si>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</si>
  <si>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</si>
  <si>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</si>
  <si>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</si>
  <si>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</si>
  <si>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</si>
  <si>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</si>
  <si>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</si>
  <si>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</si>
  <si>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</si>
  <si>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</si>
  <si>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</si>
  <si>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</si>
  <si>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</si>
  <si>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</si>
  <si>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</si>
  <si>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</si>
  <si>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</si>
  <si>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</si>
  <si>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</si>
  <si>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</si>
  <si>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</si>
  <si>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</si>
  <si>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</si>
  <si>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</si>
  <si>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</si>
  <si>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</si>
  <si>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</si>
  <si>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</si>
  <si>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</si>
  <si>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</si>
  <si>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</si>
  <si>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</si>
  <si>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</si>
  <si>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</si>
  <si>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</si>
  <si>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</si>
  <si>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</si>
  <si>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</si>
  <si>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</si>
  <si>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</si>
  <si>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</si>
  <si>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</si>
  <si>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</si>
  <si>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</si>
  <si>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</si>
  <si>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</si>
  <si>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</si>
  <si>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</si>
  <si>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</si>
  <si>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</si>
  <si>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</si>
  <si>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</si>
  <si>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</si>
  <si>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</si>
  <si>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</si>
  <si>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</si>
  <si>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</si>
  <si>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</si>
  <si>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</si>
  <si>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</si>
  <si>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</si>
  <si>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</si>
  <si>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</si>
  <si>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</si>
  <si>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</si>
  <si>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</si>
  <si>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</si>
  <si>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</si>
  <si>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</si>
  <si>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</si>
  <si>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</si>
  <si>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</si>
  <si>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</si>
  <si>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</si>
  <si>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</si>
  <si>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</si>
  <si>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</si>
  <si>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</si>
  <si>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</si>
  <si>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</si>
  <si>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</si>
  <si>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</si>
  <si>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</si>
  <si>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</si>
  <si>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</si>
  <si>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</si>
  <si>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</si>
  <si>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</si>
  <si>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</si>
  <si>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</si>
  <si>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</si>
  <si>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</si>
  <si>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</si>
  <si>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</si>
  <si>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</si>
  <si>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</si>
  <si>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</si>
  <si>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</si>
  <si>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</si>
  <si>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</si>
  <si>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</si>
  <si>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</si>
  <si>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</si>
  <si>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</si>
  <si>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</si>
  <si>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</si>
  <si>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</si>
  <si>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</si>
  <si>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</si>
  <si>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</si>
  <si>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</si>
  <si>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</si>
  <si>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</si>
  <si>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</si>
  <si>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</si>
  <si>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</si>
  <si>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</si>
  <si>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</si>
  <si>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</si>
  <si>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</si>
  <si>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</si>
  <si>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</si>
  <si>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</si>
  <si>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</si>
  <si>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</si>
  <si>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</si>
  <si>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</si>
  <si>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</si>
  <si>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</si>
  <si>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</si>
  <si>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</si>
  <si>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</si>
  <si>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</si>
  <si>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</si>
  <si>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</si>
  <si>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</si>
  <si>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</si>
  <si>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</si>
  <si>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</si>
  <si>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</si>
  <si>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</si>
  <si>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</si>
  <si>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</si>
  <si>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</si>
  <si>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</si>
  <si>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</si>
  <si>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</si>
  <si>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</si>
  <si>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</si>
  <si>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</si>
  <si>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</si>
  <si>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</si>
  <si>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</si>
  <si>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</si>
  <si>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</si>
  <si>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</si>
  <si>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</si>
  <si>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</si>
  <si>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</si>
  <si>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</si>
  <si>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</si>
  <si>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</si>
  <si>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</si>
  <si>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</si>
  <si>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</si>
  <si>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</si>
  <si>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</si>
  <si>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</si>
  <si>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</si>
  <si>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</si>
  <si>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</si>
  <si>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</si>
  <si>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</si>
  <si>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</si>
  <si>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</si>
  <si>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</si>
  <si>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</si>
  <si>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</si>
  <si>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</si>
  <si>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</si>
  <si>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</si>
  <si>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</si>
  <si>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</si>
  <si>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</si>
  <si>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</si>
  <si>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</si>
  <si>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</si>
  <si>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</si>
  <si>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</si>
  <si>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</si>
  <si>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</si>
  <si>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</si>
  <si>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</si>
  <si>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</si>
  <si>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</si>
  <si>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</si>
  <si>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</si>
  <si>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</si>
  <si>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</si>
  <si>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</si>
  <si>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</si>
  <si>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</si>
  <si>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</si>
  <si>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</si>
  <si>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</si>
  <si>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</si>
  <si>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</si>
  <si>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</si>
  <si>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</si>
  <si>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</si>
  <si>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</si>
  <si>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</si>
  <si>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</si>
  <si>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</si>
  <si>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</si>
  <si>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</si>
  <si>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</si>
  <si>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</si>
  <si>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</si>
  <si>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</si>
  <si>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</si>
  <si>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</si>
  <si>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</si>
  <si>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</si>
  <si>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</si>
  <si>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</si>
  <si>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</si>
  <si>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</si>
  <si>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</si>
  <si>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</si>
  <si>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</si>
  <si>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</si>
  <si>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</si>
  <si>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</si>
  <si>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</si>
  <si>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</si>
  <si>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</si>
  <si>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</si>
  <si>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</si>
  <si>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</si>
  <si>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</si>
  <si>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</si>
  <si>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</si>
  <si>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</si>
  <si>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</si>
  <si>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</si>
  <si>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</si>
  <si>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</si>
  <si>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</si>
  <si>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</si>
  <si>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</si>
  <si>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</si>
  <si>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</si>
  <si>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</si>
  <si>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</si>
  <si>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</si>
  <si>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</si>
  <si>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</si>
  <si>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</si>
  <si>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</si>
  <si>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</si>
  <si>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</si>
  <si>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</si>
  <si>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</si>
  <si>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</si>
  <si>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</si>
  <si>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</si>
  <si>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</si>
  <si>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</si>
  <si>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</si>
  <si>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</si>
  <si>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</si>
  <si>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</si>
  <si>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</si>
  <si>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</si>
  <si>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</si>
  <si>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</si>
  <si>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</si>
  <si>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</si>
  <si>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</si>
  <si>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</si>
  <si>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</si>
  <si>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</si>
  <si>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</si>
  <si>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</si>
  <si>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</si>
  <si>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</si>
  <si>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</si>
  <si>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</si>
  <si>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</si>
  <si>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</si>
  <si>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</si>
  <si>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</si>
  <si>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</si>
  <si>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</si>
  <si>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</si>
  <si>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</si>
  <si>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</si>
  <si>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</si>
  <si>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</si>
  <si>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</si>
  <si>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</si>
  <si>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</si>
  <si>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</si>
  <si>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</si>
  <si>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</si>
  <si>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</si>
  <si>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</si>
  <si>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</si>
  <si>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</si>
  <si>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</si>
  <si>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</si>
  <si>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</si>
  <si>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</si>
  <si>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</si>
  <si>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</si>
  <si>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</si>
  <si>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</si>
  <si>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</si>
  <si>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</si>
  <si>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</si>
  <si>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</si>
  <si>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</si>
  <si>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</si>
  <si>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</si>
  <si>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</si>
  <si>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</si>
  <si>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</si>
  <si>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</si>
  <si>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</si>
  <si>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</si>
  <si>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</si>
  <si>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</si>
  <si>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</si>
  <si>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</si>
  <si>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</si>
  <si>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</si>
  <si>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</si>
  <si>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</si>
  <si>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</si>
  <si>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</si>
  <si>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</si>
  <si>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</si>
  <si>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</si>
  <si>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</si>
  <si>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</si>
  <si>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</si>
  <si>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</si>
  <si>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</si>
  <si>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</si>
  <si>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</si>
  <si>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</si>
  <si>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</si>
  <si>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</si>
  <si>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</si>
  <si>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</si>
  <si>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</si>
  <si>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</si>
  <si>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</si>
  <si>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</si>
  <si>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</si>
  <si>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</si>
  <si>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</si>
  <si>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</si>
  <si>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</si>
  <si>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</si>
  <si>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</si>
  <si>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</si>
  <si>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</si>
  <si>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</si>
  <si>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</si>
  <si>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</si>
  <si>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</si>
  <si>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</si>
  <si>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</si>
  <si>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</si>
  <si>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</si>
  <si>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</si>
  <si>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</si>
  <si>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</si>
  <si>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</si>
  <si>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</si>
  <si>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</si>
  <si>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</si>
  <si>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</si>
  <si>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</si>
  <si>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</si>
  <si>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</si>
  <si>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</si>
  <si>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</si>
  <si>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</si>
  <si>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</si>
  <si>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</si>
  <si>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</si>
  <si>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</si>
  <si>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</si>
  <si>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</si>
  <si>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</si>
  <si>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</si>
  <si>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</si>
  <si>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</si>
  <si>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</si>
  <si>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</si>
  <si>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</si>
  <si>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</si>
  <si>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</si>
  <si>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</si>
  <si>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</si>
  <si>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</si>
  <si>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</si>
  <si>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</si>
  <si>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</si>
  <si>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</si>
  <si>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</si>
  <si>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</si>
  <si>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</si>
  <si>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</si>
  <si>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</si>
  <si>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</si>
  <si>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</si>
  <si>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</si>
  <si>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</si>
  <si>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</si>
  <si>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</si>
  <si>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</si>
  <si>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</si>
  <si>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</si>
  <si>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</si>
  <si>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</si>
  <si>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</si>
  <si>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</si>
  <si>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</si>
  <si>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</si>
  <si>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</si>
  <si>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</si>
  <si>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</si>
  <si>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</si>
  <si>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</si>
  <si>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</si>
  <si>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</si>
  <si>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</si>
  <si>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</si>
  <si>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</si>
  <si>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</si>
  <si>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</si>
  <si>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</si>
  <si>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</si>
  <si>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</si>
  <si>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</si>
  <si>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</si>
  <si>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</si>
  <si>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</si>
  <si>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</si>
  <si>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</si>
  <si>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</si>
  <si>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</si>
  <si>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</si>
  <si>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</si>
  <si>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</si>
  <si>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</si>
  <si>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</si>
  <si>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</si>
  <si>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</si>
  <si>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</si>
  <si>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</si>
  <si>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</si>
  <si>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</si>
  <si>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</si>
  <si>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</si>
  <si>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</si>
  <si>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</si>
  <si>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</si>
  <si>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</si>
  <si>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</si>
  <si>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</si>
  <si>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</si>
  <si>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</si>
  <si>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</si>
  <si>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</si>
  <si>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</si>
  <si>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</si>
  <si>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</si>
  <si>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</si>
  <si>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</si>
  <si>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</si>
  <si>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</si>
  <si>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</si>
  <si>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</si>
  <si>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</si>
  <si>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</si>
  <si>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</si>
  <si>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</si>
  <si>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</si>
  <si>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</si>
  <si>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</si>
  <si>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</si>
  <si>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</si>
  <si>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</si>
  <si>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</si>
  <si>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</si>
  <si>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</si>
  <si>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</si>
  <si>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</si>
  <si>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</si>
  <si>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</si>
  <si>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</si>
  <si>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</si>
  <si>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</si>
  <si>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</si>
  <si>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</si>
  <si>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</si>
  <si>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</si>
  <si>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</si>
  <si>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</si>
  <si>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</si>
  <si>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</si>
  <si>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</si>
  <si>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</si>
  <si>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</si>
  <si>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</si>
  <si>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</si>
  <si>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</si>
  <si>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</si>
  <si>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</si>
  <si>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</si>
  <si>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</si>
  <si>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</si>
  <si>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</si>
  <si>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</si>
  <si>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</si>
  <si>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</si>
  <si>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</si>
  <si>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</si>
  <si>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</si>
  <si>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</si>
  <si>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</si>
  <si>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</si>
  <si>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</si>
  <si>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</si>
  <si>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</si>
  <si>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</si>
  <si>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</si>
  <si>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</si>
  <si>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</si>
  <si>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</si>
  <si>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</si>
  <si>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</si>
  <si>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</si>
  <si>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</si>
  <si>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</si>
  <si>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</si>
  <si>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</si>
  <si>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</si>
  <si>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</si>
  <si>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</si>
  <si>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</si>
  <si>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</si>
  <si>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</si>
  <si>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</si>
  <si>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</si>
  <si>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</si>
  <si>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</si>
  <si>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</si>
  <si>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</si>
  <si>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</si>
  <si>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</si>
  <si>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</si>
  <si>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</si>
  <si>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</si>
  <si>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</si>
  <si>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</si>
  <si>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</si>
  <si>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</si>
  <si>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</si>
  <si>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</si>
  <si>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</si>
  <si>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</si>
  <si>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</si>
  <si>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</si>
  <si>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</si>
  <si>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</si>
  <si>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</si>
  <si>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</si>
  <si>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</si>
  <si>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</si>
  <si>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</si>
  <si>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</si>
  <si>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</si>
  <si>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</si>
  <si>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</si>
  <si>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</si>
  <si>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</si>
  <si>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</si>
  <si>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</si>
  <si>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</si>
  <si>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</si>
  <si>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</si>
  <si>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</si>
  <si>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</si>
  <si>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</si>
  <si>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</si>
  <si>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</si>
  <si>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</si>
  <si>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</si>
  <si>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</si>
  <si>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</si>
  <si>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</si>
  <si>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</si>
  <si>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</si>
  <si>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</si>
  <si>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</si>
  <si>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</si>
  <si>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</si>
  <si>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</si>
  <si>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</si>
  <si>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</si>
  <si>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</si>
  <si>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</si>
  <si>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</si>
  <si>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</si>
  <si>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</si>
  <si>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</si>
  <si>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</si>
  <si>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</si>
  <si>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</si>
  <si>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</si>
  <si>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</si>
  <si>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</si>
  <si>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</si>
  <si>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</si>
  <si>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</si>
  <si>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</si>
  <si>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</si>
  <si>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</si>
  <si>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</si>
  <si>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</si>
  <si>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</si>
  <si>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</si>
  <si>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</si>
  <si>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</si>
  <si>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</si>
  <si>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</si>
  <si>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</si>
  <si>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</si>
  <si>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</si>
  <si>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</si>
  <si>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</si>
  <si>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</si>
  <si>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</si>
  <si>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</si>
  <si>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</si>
  <si>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</si>
  <si>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</si>
  <si>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</si>
  <si>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</si>
  <si>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</si>
  <si>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</si>
  <si>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</si>
  <si>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</si>
  <si>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</si>
  <si>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</si>
  <si>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</si>
  <si>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</si>
  <si>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</si>
  <si>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</si>
  <si>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</si>
  <si>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</si>
  <si>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</si>
  <si>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</si>
  <si>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</si>
  <si>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</si>
  <si>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</si>
  <si>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</si>
  <si>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</si>
  <si>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</si>
  <si>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</si>
  <si>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</si>
  <si>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</si>
  <si>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</si>
  <si>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</si>
  <si>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</si>
  <si>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</si>
  <si>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</si>
  <si>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</si>
  <si>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</si>
  <si>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</si>
  <si>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</si>
  <si>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</si>
  <si>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</si>
  <si>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</si>
  <si>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</si>
  <si>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</si>
  <si>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</si>
  <si>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</si>
  <si>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</si>
  <si>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</si>
  <si>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</si>
  <si>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</si>
  <si>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</si>
  <si>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</si>
  <si>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</si>
  <si>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</si>
  <si>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</si>
  <si>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</si>
  <si>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</si>
  <si>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</si>
  <si>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</si>
  <si>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</si>
  <si>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</si>
  <si>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</si>
  <si>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</si>
  <si>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</si>
  <si>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</si>
  <si>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</si>
  <si>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</si>
  <si>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</si>
  <si>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</si>
  <si>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</si>
  <si>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</si>
  <si>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</si>
  <si>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</si>
  <si>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</si>
  <si>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</si>
  <si>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</si>
  <si>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</si>
  <si>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</si>
  <si>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</si>
  <si>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</si>
  <si>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</si>
  <si>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</si>
  <si>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</si>
  <si>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</si>
  <si>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</si>
  <si>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</si>
  <si>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</si>
  <si>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</si>
  <si>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</si>
  <si>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</si>
  <si>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</si>
  <si>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</si>
  <si>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</si>
  <si>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</si>
  <si>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</si>
  <si>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</si>
  <si>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</si>
  <si>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</si>
  <si>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</si>
  <si>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</si>
  <si>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</si>
  <si>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</si>
  <si>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</si>
  <si>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</si>
  <si>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</si>
  <si>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</si>
  <si>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</si>
  <si>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</si>
  <si>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</si>
  <si>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</si>
  <si>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</si>
  <si>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</si>
  <si>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</si>
  <si>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</si>
  <si>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</si>
  <si>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</si>
  <si>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</si>
  <si>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</si>
  <si>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</si>
  <si>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</si>
  <si>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</si>
  <si>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</si>
  <si>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</si>
  <si>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</si>
  <si>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</si>
  <si>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</si>
  <si>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</si>
  <si>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</si>
  <si>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</si>
  <si>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</si>
  <si>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</si>
  <si>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</si>
  <si>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</si>
  <si>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</si>
  <si>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</si>
  <si>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</si>
  <si>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</si>
  <si>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</si>
  <si>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</si>
  <si>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</si>
  <si>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</si>
  <si>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</si>
  <si>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</si>
  <si>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</si>
  <si>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</si>
  <si>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</si>
  <si>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</si>
  <si>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</si>
  <si>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</si>
  <si>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</si>
  <si>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</si>
  <si>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</si>
  <si>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</si>
  <si>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</si>
  <si>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</si>
  <si>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</si>
  <si>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</si>
  <si>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</si>
  <si>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</si>
  <si>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</si>
  <si>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</si>
  <si>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</si>
  <si>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</si>
  <si>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</si>
  <si>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</si>
  <si>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</si>
  <si>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</si>
  <si>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</si>
  <si>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</si>
  <si>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</si>
  <si>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</si>
  <si>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</si>
  <si>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</si>
  <si>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</si>
  <si>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</si>
  <si>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</si>
  <si>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</si>
  <si>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</si>
  <si>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</si>
  <si>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</si>
  <si>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</si>
  <si>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</si>
  <si>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</si>
  <si>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</si>
  <si>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</si>
  <si>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</si>
  <si>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</si>
  <si>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</si>
  <si>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</si>
  <si>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</si>
  <si>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</si>
  <si>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</si>
  <si>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</si>
  <si>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</si>
  <si>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</si>
  <si>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</si>
  <si>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</si>
  <si>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</si>
  <si>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</si>
  <si>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</si>
  <si>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</si>
  <si>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</si>
  <si>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</si>
  <si>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</si>
  <si>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</si>
  <si>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</si>
  <si>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</si>
  <si>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</si>
  <si>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</si>
  <si>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</si>
  <si>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</si>
  <si>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</si>
  <si>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</si>
  <si>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</si>
  <si>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</si>
  <si>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</si>
  <si>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</si>
  <si>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</si>
  <si>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</si>
  <si>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</si>
  <si>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</si>
  <si>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</si>
  <si>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</si>
  <si>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</si>
  <si>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</si>
  <si>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</si>
  <si>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</si>
  <si>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</si>
  <si>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</si>
  <si>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</si>
  <si>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</si>
  <si>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</si>
  <si>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</si>
  <si>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</si>
  <si>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</si>
  <si>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</si>
  <si>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</si>
  <si>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</si>
  <si>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</si>
  <si>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</si>
  <si>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</si>
  <si>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</si>
  <si>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</si>
  <si>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</si>
  <si>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</si>
  <si>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</si>
  <si>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</si>
  <si>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</si>
  <si>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</si>
  <si>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</si>
  <si>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</si>
  <si>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</si>
  <si>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</si>
  <si>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</si>
  <si>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</si>
  <si>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</si>
  <si>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</si>
  <si>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</si>
  <si>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</si>
  <si>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</si>
  <si>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</si>
  <si>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</si>
  <si>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</si>
  <si>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</si>
  <si>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</si>
  <si>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</si>
  <si>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</si>
  <si>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</si>
  <si>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</si>
  <si>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</si>
  <si>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</si>
  <si>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</si>
  <si>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</si>
  <si>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</si>
  <si>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</si>
  <si>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</si>
  <si>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</si>
  <si>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</si>
  <si>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</si>
  <si>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</si>
  <si>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</si>
  <si>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</si>
  <si>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</si>
  <si>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</si>
  <si>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</si>
  <si>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</si>
  <si>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</si>
  <si>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</si>
  <si>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</si>
  <si>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</si>
  <si>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</si>
  <si>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</si>
  <si>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</si>
  <si>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</si>
  <si>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</si>
  <si>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</si>
  <si>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</si>
  <si>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</si>
  <si>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</si>
  <si>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</si>
  <si>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</si>
  <si>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</si>
  <si>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</si>
  <si>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</si>
  <si>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</si>
  <si>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</si>
  <si>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</si>
  <si>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</si>
  <si>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</si>
  <si>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</si>
  <si>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</si>
  <si>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</si>
  <si>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</si>
  <si>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</si>
  <si>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</si>
  <si>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</si>
  <si>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</si>
  <si>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</si>
  <si>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</si>
  <si>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</si>
  <si>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</si>
  <si>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</si>
  <si>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</si>
  <si>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</si>
  <si>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</si>
  <si>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</si>
  <si>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</si>
  <si>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</si>
  <si>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</si>
  <si>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</si>
  <si>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</si>
  <si>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</si>
  <si>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</si>
  <si>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</si>
  <si>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</si>
  <si>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</si>
  <si>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</si>
  <si>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</si>
  <si>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</si>
  <si>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</si>
  <si>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</si>
  <si>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</si>
  <si>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</si>
  <si>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</si>
  <si>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</si>
  <si>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</si>
  <si>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</si>
  <si>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</si>
  <si>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</si>
  <si>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</si>
  <si>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</si>
  <si>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</si>
  <si>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</si>
  <si>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</si>
  <si>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</si>
  <si>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</si>
  <si>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</si>
  <si>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</si>
  <si>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</si>
  <si>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</si>
  <si>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</si>
  <si>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</si>
  <si>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</si>
  <si>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</si>
  <si>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</si>
  <si>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</si>
  <si>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</si>
  <si>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</si>
  <si>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</si>
  <si>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</si>
  <si>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</si>
  <si>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</si>
  <si>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</si>
  <si>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</si>
  <si>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</si>
  <si>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</si>
  <si>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</si>
  <si>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</si>
  <si>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</si>
  <si>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</si>
  <si>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</si>
  <si>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</si>
  <si>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</si>
  <si>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</si>
  <si>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</si>
  <si>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</si>
  <si>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</si>
  <si>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</si>
  <si>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</si>
  <si>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</si>
  <si>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</si>
  <si>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</si>
  <si>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</si>
  <si>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</si>
  <si>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</si>
  <si>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</si>
  <si>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</si>
  <si>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</si>
  <si>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</si>
  <si>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</si>
  <si>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</si>
  <si>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</si>
  <si>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</si>
  <si>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</si>
  <si>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</si>
  <si>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</si>
  <si>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</si>
  <si>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</si>
  <si>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</si>
  <si>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</si>
  <si>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</si>
  <si>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</si>
  <si>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</si>
  <si>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</si>
  <si>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</si>
  <si>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</si>
  <si>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</si>
  <si>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</si>
  <si>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</si>
  <si>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</si>
  <si>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</si>
  <si>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</si>
  <si>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</si>
  <si>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</si>
  <si>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</si>
  <si>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</si>
  <si>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</si>
  <si>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</si>
  <si>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</si>
  <si>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</si>
  <si>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</si>
  <si>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</si>
  <si>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</si>
  <si>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</si>
  <si>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</si>
  <si>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</si>
  <si>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</si>
  <si>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</si>
  <si>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</si>
  <si>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</si>
  <si>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</si>
  <si>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</si>
  <si>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</si>
  <si>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</si>
  <si>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</si>
  <si>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</si>
  <si>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</si>
  <si>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</si>
  <si>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</si>
  <si>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</si>
  <si>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</si>
  <si>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</si>
  <si>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</si>
  <si>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</si>
  <si>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</si>
  <si>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</si>
  <si>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</si>
  <si>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</si>
  <si>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</si>
  <si>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</si>
  <si>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</si>
  <si>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</si>
  <si>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</si>
  <si>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</si>
  <si>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</si>
  <si>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</si>
  <si>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</si>
  <si>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</si>
  <si>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</si>
  <si>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</si>
  <si>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</si>
  <si>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</si>
  <si>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</si>
  <si>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</si>
  <si>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</si>
  <si>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</si>
  <si>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</si>
  <si>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</si>
  <si>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</si>
  <si>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</si>
  <si>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</si>
  <si>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</si>
  <si>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</si>
  <si>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</si>
  <si>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</si>
  <si>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</si>
  <si>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</si>
  <si>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</si>
  <si>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</si>
  <si>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</si>
  <si>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</si>
  <si>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</si>
  <si>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</si>
  <si>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</si>
  <si>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</si>
  <si>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</si>
  <si>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</si>
  <si>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</si>
  <si>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</si>
  <si>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</si>
  <si>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</si>
  <si>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</si>
  <si>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</si>
  <si>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</si>
  <si>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</si>
  <si>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</si>
  <si>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</si>
  <si>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</si>
  <si>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</si>
  <si>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</si>
  <si>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</si>
  <si>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</si>
  <si>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</si>
  <si>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</si>
  <si>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</si>
  <si>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</si>
  <si>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</si>
  <si>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</si>
  <si>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</si>
  <si>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</si>
  <si>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</si>
  <si>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</si>
  <si>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</si>
  <si>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</si>
  <si>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</si>
  <si>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</si>
  <si>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</si>
  <si>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</si>
  <si>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</si>
  <si>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</si>
  <si>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</si>
  <si>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</si>
  <si>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</si>
  <si>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</si>
  <si>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</si>
  <si>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</si>
  <si>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</si>
  <si>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</si>
  <si>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</si>
  <si>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</si>
  <si>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</si>
  <si>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</si>
  <si>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</si>
  <si>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</si>
  <si>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</si>
  <si>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</si>
  <si>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</si>
  <si>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Job Role</t>
  </si>
  <si>
    <t>Attrition_Risk</t>
  </si>
  <si>
    <t>Performance_Category</t>
  </si>
  <si>
    <t>Salary_Category</t>
  </si>
  <si>
    <t>Training_Recommendation</t>
  </si>
  <si>
    <t>Conditional Formatting</t>
  </si>
  <si>
    <t>Color</t>
  </si>
  <si>
    <t>Top 10% highest-paid employees</t>
  </si>
  <si>
    <t>Red</t>
  </si>
  <si>
    <t>Employees with PerformanceRating = 4</t>
  </si>
  <si>
    <t>Attrition = Yes</t>
  </si>
  <si>
    <t>Overtime = Yes</t>
  </si>
  <si>
    <t>Sky Blue</t>
  </si>
  <si>
    <t>Purple</t>
  </si>
  <si>
    <t>Brown</t>
  </si>
  <si>
    <t>Data Validation</t>
  </si>
  <si>
    <t>Employee Department</t>
  </si>
  <si>
    <t>Bonus Questions</t>
  </si>
  <si>
    <t>Q.1 Which department has the highest number of employees?</t>
  </si>
  <si>
    <t>Row Labels</t>
  </si>
  <si>
    <t>Grand Total</t>
  </si>
  <si>
    <t>Count of EmpID</t>
  </si>
  <si>
    <t>Q.2 Which job role has the highest attrition?</t>
  </si>
  <si>
    <t>Count of Attrition</t>
  </si>
  <si>
    <t>Q.3 Does overtime appear related to attrition?</t>
  </si>
  <si>
    <t>Q.4 Which age group has the most employees leaving?</t>
  </si>
  <si>
    <t>Ans :- Age group 35</t>
  </si>
  <si>
    <t>Q.5 Which department has the highest average monthly income?</t>
  </si>
  <si>
    <t>Average of MonthlyIncome</t>
  </si>
  <si>
    <t>Ans : Sales dept highest avg income of 6959 Rs</t>
  </si>
  <si>
    <t>Count of OverTime</t>
  </si>
  <si>
    <t>Ans : No OverTime is not appear related to attrition</t>
  </si>
  <si>
    <t>Ans :- Research &amp; Development</t>
  </si>
  <si>
    <t>Ans :-Laboratory Technician 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</si>
</sst>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  <font>
      <sz val="12"/>
      <color theme="0"/>
      <name val="Mangal"/>
      <family val="2"/>
      <scheme val="minor"/>
    </font>
    <font>
      <sz val="12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  <font>
      <b/>
      <sz val="12"/>
      <color theme="1"/>
      <name val="Mangal"/>
      <family val="1"/>
      <scheme val="minor"/>
    </font>
    <font>
      <b/>
      <sz val="12"/>
      <color rgb="FF002060"/>
      <name val="Mangal"/>
      <family val="1"/>
      <scheme val="minor"/>
    </font>
    <font>
      <sz val="12"/>
      <color theme="1"/>
      <name val="Manga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1" fontId="0" fillId="2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0" fillId="0" borderId="0" xfId="0" applyNumberFormat="1" applyBorder="1"/>
    <xf numFmtId="0" fontId="0" fillId="0" borderId="0" xfId="0" applyBorder="1"/>
    <xf numFmtId="49" fontId="0" fillId="0" borderId="0" xfId="0" applyNumberFormat="1" applyBorder="1"/>
    <xf numFmtId="1" fontId="0" fillId="0" borderId="7" xfId="0" applyNumberFormat="1" applyBorder="1"/>
    <xf numFmtId="1" fontId="0" fillId="0" borderId="4" xfId="0" applyNumberFormat="1" applyBorder="1"/>
    <xf numFmtId="0" fontId="1" fillId="3" borderId="1" xfId="0" applyFont="1" applyFill="1" applyBorder="1"/>
    <xf numFmtId="49" fontId="3" fillId="2" borderId="4" xfId="0" applyNumberFormat="1" applyFont="1" applyFill="1" applyBorder="1"/>
    <xf numFmtId="1" fontId="3" fillId="2" borderId="4" xfId="0" applyNumberFormat="1" applyFont="1" applyFill="1" applyBorder="1"/>
    <xf numFmtId="0" fontId="1" fillId="3" borderId="4" xfId="0" applyFont="1" applyFill="1" applyBorder="1"/>
    <xf numFmtId="0" fontId="2" fillId="3" borderId="1" xfId="0" applyFont="1" applyFill="1" applyBorder="1"/>
    <xf numFmtId="0" fontId="0" fillId="0" borderId="9" xfId="0" applyBorder="1"/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5" fillId="3" borderId="4" xfId="0" applyFont="1" applyFill="1" applyBorder="1" applyAlignment="1">
      <alignment horizontal="center"/>
    </xf>
    <xf numFmtId="0" fontId="6" fillId="0" borderId="1" xfId="0" applyFont="1" applyBorder="1" applyAlignment="1"/>
  </cellXfs>
  <cellStyles count="1">
    <cellStyle name="Normal" xfId="0" builtinId="0"/>
  </cellStyles>
  <dxfs count="9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 outline="0">
        <left/>
        <right/>
        <top/>
        <bottom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4.023815972221" createdVersion="8" refreshedVersion="8" minRefreshableVersion="3" recordCount="1470" xr:uid="{FD871083-6AE3-4374-AB6E-9E575511CB2C}">
  <cacheSource type="worksheet">
    <worksheetSource name="HR_Analytics56"/>
  </cacheSource>
  <cacheFields count="17">
    <cacheField name="EmpID" numFmtId="49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1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ttrition" numFmtId="49">
      <sharedItems count="2">
        <s v="Yes"/>
        <s v="No"/>
      </sharedItems>
    </cacheField>
    <cacheField name="Department" numFmtId="49">
      <sharedItems count="3">
        <s v="Research &amp; Development"/>
        <s v="Sales"/>
        <s v="Human Resources"/>
      </sharedItems>
    </cacheField>
    <cacheField name="EmployeeNumber" numFmtId="1">
      <sharedItems containsSemiMixedTypes="0" containsString="0" containsNumber="1" containsInteger="1" minValue="1" maxValue="2068"/>
    </cacheField>
    <cacheField name="Gender" numFmtId="49">
      <sharedItems/>
    </cacheField>
    <cacheField name="JobRole" numFmtId="49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1">
      <sharedItems containsSemiMixedTypes="0" containsString="0" containsNumber="1" containsInteger="1" minValue="1" maxValue="4"/>
    </cacheField>
    <cacheField name="MonthlyIncome" numFmtId="1">
      <sharedItems containsSemiMixedTypes="0" containsString="0" containsNumber="1" containsInteger="1" minValue="1009" maxValue="19999"/>
    </cacheField>
    <cacheField name="OverTime" numFmtId="49">
      <sharedItems count="2">
        <s v="No"/>
        <s v="Yes"/>
      </sharedItems>
    </cacheField>
    <cacheField name="PerformanceRating" numFmtId="1">
      <sharedItems containsSemiMixedTypes="0" containsString="0" containsNumber="1" containsInteger="1" minValue="3" maxValue="4"/>
    </cacheField>
    <cacheField name="TrainingTimesLastYear" numFmtId="1">
      <sharedItems containsSemiMixedTypes="0" containsString="0" containsNumber="1" containsInteger="1" minValue="0" maxValue="6"/>
    </cacheField>
    <cacheField name="YearsAtCompany" numFmtId="1">
      <sharedItems containsSemiMixedTypes="0" containsString="0" containsNumber="1" containsInteger="1" minValue="0" maxValue="40"/>
    </cacheField>
    <cacheField name="Attrition_Risk" numFmtId="1">
      <sharedItems count="3">
        <s v="medium risk"/>
        <s v="No Risk"/>
        <s v="High Risk"/>
      </sharedItems>
    </cacheField>
    <cacheField name="Performance_Category" numFmtId="1">
      <sharedItems/>
    </cacheField>
    <cacheField name="Salary_Category" numFmtId="1">
      <sharedItems/>
    </cacheField>
    <cacheField name="Training_Recommendation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x v="0"/>
    <n v="405"/>
    <s v="Male"/>
    <x v="0"/>
    <n v="3"/>
    <n v="1420"/>
    <x v="0"/>
    <n v="3"/>
    <n v="2"/>
    <n v="0"/>
    <x v="0"/>
    <s v="Good"/>
    <s v="₹ 3,000- ₹ 7,000"/>
    <s v="Recommend training"/>
  </r>
  <r>
    <x v="1"/>
    <x v="0"/>
    <x v="1"/>
    <x v="1"/>
    <n v="411"/>
    <s v="Female"/>
    <x v="1"/>
    <n v="3"/>
    <n v="1200"/>
    <x v="0"/>
    <n v="3"/>
    <n v="2"/>
    <n v="0"/>
    <x v="1"/>
    <s v="Good"/>
    <s v="₹ 3,000- ₹ 7,000"/>
    <s v="Recommend training"/>
  </r>
  <r>
    <x v="2"/>
    <x v="0"/>
    <x v="0"/>
    <x v="1"/>
    <n v="614"/>
    <s v="Male"/>
    <x v="1"/>
    <n v="2"/>
    <n v="1878"/>
    <x v="1"/>
    <n v="3"/>
    <n v="3"/>
    <n v="0"/>
    <x v="2"/>
    <s v="Good"/>
    <s v="₹ 3,000- ₹ 7,000"/>
    <s v="Recommend training"/>
  </r>
  <r>
    <x v="3"/>
    <x v="0"/>
    <x v="1"/>
    <x v="0"/>
    <n v="1012"/>
    <s v="Male"/>
    <x v="2"/>
    <n v="4"/>
    <n v="1051"/>
    <x v="0"/>
    <n v="3"/>
    <n v="2"/>
    <n v="0"/>
    <x v="1"/>
    <s v="Good"/>
    <s v="₹ 3,000- ₹ 7,000"/>
    <s v="Recommend training"/>
  </r>
  <r>
    <x v="4"/>
    <x v="0"/>
    <x v="0"/>
    <x v="0"/>
    <n v="1156"/>
    <s v="Male"/>
    <x v="0"/>
    <n v="3"/>
    <n v="1904"/>
    <x v="0"/>
    <n v="3"/>
    <n v="0"/>
    <n v="0"/>
    <x v="0"/>
    <s v="Good"/>
    <s v="₹ 3,000- ₹ 7,000"/>
    <s v="Recommend training"/>
  </r>
  <r>
    <x v="5"/>
    <x v="0"/>
    <x v="1"/>
    <x v="0"/>
    <n v="1368"/>
    <s v="Female"/>
    <x v="0"/>
    <n v="4"/>
    <n v="1611"/>
    <x v="0"/>
    <n v="3"/>
    <n v="5"/>
    <n v="0"/>
    <x v="1"/>
    <s v="Good"/>
    <s v="₹ 3,000- ₹ 7,000"/>
    <s v="Recommend training"/>
  </r>
  <r>
    <x v="6"/>
    <x v="0"/>
    <x v="0"/>
    <x v="1"/>
    <n v="1624"/>
    <s v="Female"/>
    <x v="1"/>
    <n v="4"/>
    <n v="1569"/>
    <x v="1"/>
    <n v="3"/>
    <n v="2"/>
    <n v="0"/>
    <x v="2"/>
    <s v="Good"/>
    <s v="₹ 3,000- ₹ 7,000"/>
    <s v="Recommend training"/>
  </r>
  <r>
    <x v="7"/>
    <x v="0"/>
    <x v="1"/>
    <x v="0"/>
    <n v="1839"/>
    <s v="Female"/>
    <x v="2"/>
    <n v="3"/>
    <n v="1514"/>
    <x v="0"/>
    <n v="3"/>
    <n v="4"/>
    <n v="0"/>
    <x v="1"/>
    <s v="Good"/>
    <s v="₹ 3,000- ₹ 7,000"/>
    <s v="Recommend training"/>
  </r>
  <r>
    <x v="8"/>
    <x v="1"/>
    <x v="0"/>
    <x v="1"/>
    <n v="167"/>
    <s v="Male"/>
    <x v="1"/>
    <n v="3"/>
    <n v="1675"/>
    <x v="1"/>
    <n v="3"/>
    <n v="2"/>
    <n v="0"/>
    <x v="2"/>
    <s v="Good"/>
    <s v="₹ 3,000- ₹ 7,000"/>
    <s v="Recommend training"/>
  </r>
  <r>
    <x v="9"/>
    <x v="1"/>
    <x v="1"/>
    <x v="0"/>
    <n v="201"/>
    <s v="Female"/>
    <x v="0"/>
    <n v="2"/>
    <n v="1483"/>
    <x v="0"/>
    <n v="3"/>
    <n v="3"/>
    <n v="1"/>
    <x v="1"/>
    <s v="Good"/>
    <s v="₹ 3,000- ₹ 7,000"/>
    <s v="Recommend training"/>
  </r>
  <r>
    <x v="10"/>
    <x v="1"/>
    <x v="0"/>
    <x v="1"/>
    <n v="235"/>
    <s v="Female"/>
    <x v="1"/>
    <n v="1"/>
    <n v="2325"/>
    <x v="0"/>
    <n v="4"/>
    <n v="5"/>
    <n v="0"/>
    <x v="0"/>
    <s v="Excellent"/>
    <s v="₹ 3,000- ₹ 7,000"/>
    <s v="Not recommend training"/>
  </r>
  <r>
    <x v="11"/>
    <x v="1"/>
    <x v="0"/>
    <x v="0"/>
    <n v="243"/>
    <s v="Male"/>
    <x v="0"/>
    <n v="4"/>
    <n v="1102"/>
    <x v="0"/>
    <n v="4"/>
    <n v="3"/>
    <n v="1"/>
    <x v="0"/>
    <s v="Excellent"/>
    <s v="₹ 3,000- ₹ 7,000"/>
    <s v="Recommend training"/>
  </r>
  <r>
    <x v="12"/>
    <x v="1"/>
    <x v="0"/>
    <x v="2"/>
    <n v="566"/>
    <s v="Male"/>
    <x v="3"/>
    <n v="4"/>
    <n v="2564"/>
    <x v="0"/>
    <n v="3"/>
    <n v="3"/>
    <n v="1"/>
    <x v="0"/>
    <s v="Good"/>
    <s v="₹ 3,000- ₹ 7,000"/>
    <s v="Recommend training"/>
  </r>
  <r>
    <x v="13"/>
    <x v="1"/>
    <x v="0"/>
    <x v="1"/>
    <n v="959"/>
    <s v="Male"/>
    <x v="1"/>
    <n v="2"/>
    <n v="2121"/>
    <x v="1"/>
    <n v="3"/>
    <n v="3"/>
    <n v="1"/>
    <x v="2"/>
    <s v="Good"/>
    <s v="₹ 3,000- ₹ 7,000"/>
    <s v="Recommend training"/>
  </r>
  <r>
    <x v="14"/>
    <x v="1"/>
    <x v="1"/>
    <x v="0"/>
    <n v="1193"/>
    <s v="Male"/>
    <x v="2"/>
    <n v="1"/>
    <n v="2552"/>
    <x v="0"/>
    <n v="4"/>
    <n v="4"/>
    <n v="1"/>
    <x v="1"/>
    <s v="Excellent"/>
    <s v="₹ 3,000- ₹ 7,000"/>
    <s v="Recommend training"/>
  </r>
  <r>
    <x v="15"/>
    <x v="1"/>
    <x v="0"/>
    <x v="0"/>
    <n v="1248"/>
    <s v="Female"/>
    <x v="2"/>
    <n v="2"/>
    <n v="1859"/>
    <x v="1"/>
    <n v="4"/>
    <n v="2"/>
    <n v="1"/>
    <x v="2"/>
    <s v="Excellent"/>
    <s v="₹ 3,000- ₹ 7,000"/>
    <s v="Recommend training"/>
  </r>
  <r>
    <x v="16"/>
    <x v="1"/>
    <x v="1"/>
    <x v="0"/>
    <n v="1269"/>
    <s v="Female"/>
    <x v="2"/>
    <n v="4"/>
    <n v="2994"/>
    <x v="1"/>
    <n v="3"/>
    <n v="2"/>
    <n v="1"/>
    <x v="0"/>
    <s v="Good"/>
    <s v="₹ 3,000- ₹ 7,000"/>
    <s v="Recommend training"/>
  </r>
  <r>
    <x v="17"/>
    <x v="2"/>
    <x v="0"/>
    <x v="0"/>
    <n v="137"/>
    <s v="Female"/>
    <x v="0"/>
    <n v="4"/>
    <n v="2926"/>
    <x v="1"/>
    <n v="3"/>
    <n v="5"/>
    <n v="1"/>
    <x v="2"/>
    <s v="Good"/>
    <s v="₹ 3,000- ₹ 7,000"/>
    <s v="Recommend training"/>
  </r>
  <r>
    <x v="18"/>
    <x v="2"/>
    <x v="1"/>
    <x v="0"/>
    <n v="657"/>
    <s v="Female"/>
    <x v="2"/>
    <n v="2"/>
    <n v="2836"/>
    <x v="0"/>
    <n v="3"/>
    <n v="0"/>
    <n v="1"/>
    <x v="1"/>
    <s v="Good"/>
    <s v="₹ 3,000- ₹ 7,000"/>
    <s v="Recommend training"/>
  </r>
  <r>
    <x v="19"/>
    <x v="2"/>
    <x v="0"/>
    <x v="0"/>
    <n v="701"/>
    <s v="Male"/>
    <x v="2"/>
    <n v="3"/>
    <n v="1009"/>
    <x v="1"/>
    <n v="3"/>
    <n v="5"/>
    <n v="1"/>
    <x v="2"/>
    <s v="Good"/>
    <s v="₹ 3,000- ₹ 7,000"/>
    <s v="Recommend training"/>
  </r>
  <r>
    <x v="20"/>
    <x v="2"/>
    <x v="0"/>
    <x v="1"/>
    <n v="922"/>
    <s v="Female"/>
    <x v="1"/>
    <n v="3"/>
    <n v="2044"/>
    <x v="0"/>
    <n v="3"/>
    <n v="3"/>
    <n v="2"/>
    <x v="0"/>
    <s v="Good"/>
    <s v="₹ 3,000- ₹ 7,000"/>
    <s v="Recommend training"/>
  </r>
  <r>
    <x v="21"/>
    <x v="2"/>
    <x v="0"/>
    <x v="0"/>
    <n v="960"/>
    <s v="Male"/>
    <x v="0"/>
    <n v="1"/>
    <n v="2973"/>
    <x v="0"/>
    <n v="3"/>
    <n v="2"/>
    <n v="1"/>
    <x v="0"/>
    <s v="Good"/>
    <s v="₹ 3,000- ₹ 7,000"/>
    <s v="Recommend training"/>
  </r>
  <r>
    <x v="22"/>
    <x v="2"/>
    <x v="0"/>
    <x v="0"/>
    <n v="1016"/>
    <s v="Female"/>
    <x v="2"/>
    <n v="1"/>
    <n v="2600"/>
    <x v="1"/>
    <n v="3"/>
    <n v="2"/>
    <n v="1"/>
    <x v="2"/>
    <s v="Good"/>
    <s v="₹ 3,000- ₹ 7,000"/>
    <s v="Recommend training"/>
  </r>
  <r>
    <x v="23"/>
    <x v="2"/>
    <x v="0"/>
    <x v="1"/>
    <n v="1077"/>
    <s v="Female"/>
    <x v="1"/>
    <n v="4"/>
    <n v="2323"/>
    <x v="1"/>
    <n v="3"/>
    <n v="3"/>
    <n v="2"/>
    <x v="2"/>
    <s v="Good"/>
    <s v="₹ 3,000- ₹ 7,000"/>
    <s v="Recommend training"/>
  </r>
  <r>
    <x v="24"/>
    <x v="2"/>
    <x v="1"/>
    <x v="0"/>
    <n v="1198"/>
    <s v="Male"/>
    <x v="0"/>
    <n v="3"/>
    <n v="3033"/>
    <x v="0"/>
    <n v="3"/>
    <n v="2"/>
    <n v="2"/>
    <x v="1"/>
    <s v="Good"/>
    <s v="₹ 10000 - ₹ 19,999"/>
    <s v="Recommend training"/>
  </r>
  <r>
    <x v="25"/>
    <x v="2"/>
    <x v="1"/>
    <x v="1"/>
    <n v="1226"/>
    <s v="Male"/>
    <x v="1"/>
    <n v="4"/>
    <n v="2678"/>
    <x v="0"/>
    <n v="3"/>
    <n v="2"/>
    <n v="2"/>
    <x v="1"/>
    <s v="Good"/>
    <s v="₹ 3,000- ₹ 7,000"/>
    <s v="Recommend training"/>
  </r>
  <r>
    <x v="26"/>
    <x v="2"/>
    <x v="1"/>
    <x v="1"/>
    <n v="1657"/>
    <s v="Female"/>
    <x v="1"/>
    <n v="3"/>
    <n v="2783"/>
    <x v="0"/>
    <n v="3"/>
    <n v="3"/>
    <n v="2"/>
    <x v="1"/>
    <s v="Good"/>
    <s v="₹ 3,000- ₹ 7,000"/>
    <s v="Recommend training"/>
  </r>
  <r>
    <x v="27"/>
    <x v="2"/>
    <x v="1"/>
    <x v="1"/>
    <n v="1680"/>
    <s v="Male"/>
    <x v="1"/>
    <n v="1"/>
    <n v="2728"/>
    <x v="0"/>
    <n v="3"/>
    <n v="3"/>
    <n v="2"/>
    <x v="1"/>
    <s v="Good"/>
    <s v="₹ 3,000- ₹ 7,000"/>
    <s v="Recommend training"/>
  </r>
  <r>
    <x v="28"/>
    <x v="3"/>
    <x v="1"/>
    <x v="0"/>
    <n v="30"/>
    <s v="Male"/>
    <x v="2"/>
    <n v="4"/>
    <n v="1232"/>
    <x v="0"/>
    <n v="3"/>
    <n v="6"/>
    <n v="0"/>
    <x v="1"/>
    <s v="Good"/>
    <s v="₹ 3,000- ₹ 7,000"/>
    <s v="Recommend training"/>
  </r>
  <r>
    <x v="29"/>
    <x v="3"/>
    <x v="1"/>
    <x v="0"/>
    <n v="379"/>
    <s v="Male"/>
    <x v="2"/>
    <n v="3"/>
    <n v="3230"/>
    <x v="0"/>
    <n v="3"/>
    <n v="4"/>
    <n v="3"/>
    <x v="1"/>
    <s v="Good"/>
    <s v="₹ 10000 - ₹ 19,999"/>
    <s v="Recommend training"/>
  </r>
  <r>
    <x v="30"/>
    <x v="3"/>
    <x v="0"/>
    <x v="1"/>
    <n v="478"/>
    <s v="Female"/>
    <x v="1"/>
    <n v="2"/>
    <n v="2174"/>
    <x v="1"/>
    <n v="3"/>
    <n v="3"/>
    <n v="3"/>
    <x v="2"/>
    <s v="Good"/>
    <s v="₹ 3,000- ₹ 7,000"/>
    <s v="Recommend training"/>
  </r>
  <r>
    <x v="31"/>
    <x v="3"/>
    <x v="1"/>
    <x v="1"/>
    <n v="484"/>
    <s v="Male"/>
    <x v="1"/>
    <n v="4"/>
    <n v="2610"/>
    <x v="0"/>
    <n v="4"/>
    <n v="3"/>
    <n v="3"/>
    <x v="1"/>
    <s v="Excellent"/>
    <s v="₹ 3,000- ₹ 7,000"/>
    <s v="Not recommend training"/>
  </r>
  <r>
    <x v="32"/>
    <x v="3"/>
    <x v="0"/>
    <x v="1"/>
    <n v="494"/>
    <s v="Female"/>
    <x v="1"/>
    <n v="2"/>
    <n v="2716"/>
    <x v="0"/>
    <n v="3"/>
    <n v="0"/>
    <n v="1"/>
    <x v="0"/>
    <s v="Good"/>
    <s v="₹ 3,000- ₹ 7,000"/>
    <s v="Recommend training"/>
  </r>
  <r>
    <x v="33"/>
    <x v="3"/>
    <x v="1"/>
    <x v="1"/>
    <n v="669"/>
    <s v="Male"/>
    <x v="1"/>
    <n v="3"/>
    <n v="3447"/>
    <x v="0"/>
    <n v="3"/>
    <n v="2"/>
    <n v="3"/>
    <x v="1"/>
    <s v="Good"/>
    <s v="₹ 10000 - ₹ 19,999"/>
    <s v="Recommend training"/>
  </r>
  <r>
    <x v="34"/>
    <x v="3"/>
    <x v="0"/>
    <x v="0"/>
    <n v="923"/>
    <s v="Female"/>
    <x v="2"/>
    <n v="4"/>
    <n v="2693"/>
    <x v="0"/>
    <n v="3"/>
    <n v="3"/>
    <n v="1"/>
    <x v="0"/>
    <s v="Good"/>
    <s v="₹ 3,000- ₹ 7,000"/>
    <s v="Recommend training"/>
  </r>
  <r>
    <x v="35"/>
    <x v="3"/>
    <x v="0"/>
    <x v="0"/>
    <n v="1079"/>
    <s v="Female"/>
    <x v="0"/>
    <n v="1"/>
    <n v="1416"/>
    <x v="0"/>
    <n v="3"/>
    <n v="6"/>
    <n v="1"/>
    <x v="0"/>
    <s v="Good"/>
    <s v="₹ 3,000- ₹ 7,000"/>
    <s v="Recommend training"/>
  </r>
  <r>
    <x v="36"/>
    <x v="3"/>
    <x v="1"/>
    <x v="0"/>
    <n v="1131"/>
    <s v="Female"/>
    <x v="2"/>
    <n v="2"/>
    <n v="2070"/>
    <x v="1"/>
    <n v="3"/>
    <n v="6"/>
    <n v="2"/>
    <x v="0"/>
    <s v="Good"/>
    <s v="₹ 3,000- ₹ 7,000"/>
    <s v="Recommend training"/>
  </r>
  <r>
    <x v="37"/>
    <x v="3"/>
    <x v="0"/>
    <x v="0"/>
    <n v="1279"/>
    <s v="Female"/>
    <x v="0"/>
    <n v="3"/>
    <n v="2625"/>
    <x v="0"/>
    <n v="4"/>
    <n v="2"/>
    <n v="2"/>
    <x v="0"/>
    <s v="Excellent"/>
    <s v="₹ 3,000- ₹ 7,000"/>
    <s v="Recommend training"/>
  </r>
  <r>
    <x v="38"/>
    <x v="3"/>
    <x v="1"/>
    <x v="0"/>
    <n v="1623"/>
    <s v="Male"/>
    <x v="2"/>
    <n v="4"/>
    <n v="3117"/>
    <x v="0"/>
    <n v="3"/>
    <n v="2"/>
    <n v="2"/>
    <x v="1"/>
    <s v="Good"/>
    <s v="₹ 10000 - ₹ 19,999"/>
    <s v="Recommend training"/>
  </r>
  <r>
    <x v="39"/>
    <x v="3"/>
    <x v="0"/>
    <x v="1"/>
    <n v="1780"/>
    <s v="Male"/>
    <x v="1"/>
    <n v="2"/>
    <n v="2679"/>
    <x v="0"/>
    <n v="3"/>
    <n v="3"/>
    <n v="1"/>
    <x v="0"/>
    <s v="Good"/>
    <s v="₹ 3,000- ₹ 7,000"/>
    <s v="Recommend training"/>
  </r>
  <r>
    <x v="40"/>
    <x v="3"/>
    <x v="1"/>
    <x v="1"/>
    <n v="2021"/>
    <s v="Male"/>
    <x v="1"/>
    <n v="1"/>
    <n v="2380"/>
    <x v="1"/>
    <n v="3"/>
    <n v="6"/>
    <n v="2"/>
    <x v="0"/>
    <s v="Good"/>
    <s v="₹ 3,000- ₹ 7,000"/>
    <s v="Recommend training"/>
  </r>
  <r>
    <x v="41"/>
    <x v="4"/>
    <x v="1"/>
    <x v="0"/>
    <n v="22"/>
    <s v="Male"/>
    <x v="0"/>
    <n v="4"/>
    <n v="2935"/>
    <x v="1"/>
    <n v="3"/>
    <n v="2"/>
    <n v="1"/>
    <x v="0"/>
    <s v="Good"/>
    <s v="₹ 3,000- ₹ 7,000"/>
    <s v="Recommend training"/>
  </r>
  <r>
    <x v="42"/>
    <x v="4"/>
    <x v="1"/>
    <x v="0"/>
    <n v="144"/>
    <s v="Female"/>
    <x v="0"/>
    <n v="4"/>
    <n v="2871"/>
    <x v="0"/>
    <n v="3"/>
    <n v="5"/>
    <n v="0"/>
    <x v="1"/>
    <s v="Good"/>
    <s v="₹ 3,000- ₹ 7,000"/>
    <s v="Recommend training"/>
  </r>
  <r>
    <x v="43"/>
    <x v="4"/>
    <x v="1"/>
    <x v="0"/>
    <n v="169"/>
    <s v="Male"/>
    <x v="0"/>
    <n v="4"/>
    <n v="2523"/>
    <x v="0"/>
    <n v="3"/>
    <n v="2"/>
    <n v="2"/>
    <x v="1"/>
    <s v="Good"/>
    <s v="₹ 3,000- ₹ 7,000"/>
    <s v="Recommend training"/>
  </r>
  <r>
    <x v="44"/>
    <x v="4"/>
    <x v="1"/>
    <x v="0"/>
    <n v="217"/>
    <s v="Male"/>
    <x v="2"/>
    <n v="4"/>
    <n v="2323"/>
    <x v="0"/>
    <n v="4"/>
    <n v="6"/>
    <n v="2"/>
    <x v="1"/>
    <s v="Excellent"/>
    <s v="₹ 3,000- ₹ 7,000"/>
    <s v="Not recommend training"/>
  </r>
  <r>
    <x v="45"/>
    <x v="4"/>
    <x v="1"/>
    <x v="0"/>
    <n v="284"/>
    <s v="Male"/>
    <x v="2"/>
    <n v="2"/>
    <n v="2328"/>
    <x v="1"/>
    <n v="3"/>
    <n v="2"/>
    <n v="4"/>
    <x v="0"/>
    <s v="Good"/>
    <s v="₹ 3,000- ₹ 7,000"/>
    <s v="Recommend training"/>
  </r>
  <r>
    <x v="46"/>
    <x v="4"/>
    <x v="1"/>
    <x v="0"/>
    <n v="511"/>
    <s v="Female"/>
    <x v="2"/>
    <n v="2"/>
    <n v="2244"/>
    <x v="0"/>
    <n v="3"/>
    <n v="1"/>
    <n v="2"/>
    <x v="1"/>
    <s v="Good"/>
    <s v="₹ 3,000- ₹ 7,000"/>
    <s v="Recommend training"/>
  </r>
  <r>
    <x v="47"/>
    <x v="4"/>
    <x v="0"/>
    <x v="0"/>
    <n v="593"/>
    <s v="Male"/>
    <x v="0"/>
    <n v="3"/>
    <n v="3894"/>
    <x v="0"/>
    <n v="3"/>
    <n v="3"/>
    <n v="2"/>
    <x v="0"/>
    <s v="Good"/>
    <s v="₹ 10000 - ₹ 19,999"/>
    <s v="Recommend training"/>
  </r>
  <r>
    <x v="48"/>
    <x v="4"/>
    <x v="1"/>
    <x v="0"/>
    <n v="675"/>
    <s v="Male"/>
    <x v="2"/>
    <n v="3"/>
    <n v="2773"/>
    <x v="0"/>
    <n v="4"/>
    <n v="3"/>
    <n v="2"/>
    <x v="1"/>
    <s v="Excellent"/>
    <s v="₹ 3,000- ₹ 7,000"/>
    <s v="Not recommend training"/>
  </r>
  <r>
    <x v="49"/>
    <x v="4"/>
    <x v="1"/>
    <x v="0"/>
    <n v="872"/>
    <s v="Male"/>
    <x v="4"/>
    <n v="4"/>
    <n v="4775"/>
    <x v="0"/>
    <n v="4"/>
    <n v="2"/>
    <n v="2"/>
    <x v="1"/>
    <s v="Excellent"/>
    <s v="₹ 10000 - ₹ 19,999"/>
    <s v="Recommend training"/>
  </r>
  <r>
    <x v="50"/>
    <x v="4"/>
    <x v="0"/>
    <x v="0"/>
    <n v="926"/>
    <s v="Female"/>
    <x v="4"/>
    <n v="3"/>
    <n v="4171"/>
    <x v="1"/>
    <n v="3"/>
    <n v="3"/>
    <n v="3"/>
    <x v="2"/>
    <s v="Good"/>
    <s v="₹ 10000 - ₹ 19,999"/>
    <s v="Recommend training"/>
  </r>
  <r>
    <x v="51"/>
    <x v="4"/>
    <x v="1"/>
    <x v="0"/>
    <n v="1019"/>
    <s v="Male"/>
    <x v="0"/>
    <n v="1"/>
    <n v="2451"/>
    <x v="0"/>
    <n v="3"/>
    <n v="3"/>
    <n v="4"/>
    <x v="1"/>
    <s v="Good"/>
    <s v="₹ 3,000- ₹ 7,000"/>
    <s v="Recommend training"/>
  </r>
  <r>
    <x v="52"/>
    <x v="4"/>
    <x v="0"/>
    <x v="0"/>
    <n v="1203"/>
    <s v="Male"/>
    <x v="2"/>
    <n v="4"/>
    <n v="2853"/>
    <x v="1"/>
    <n v="3"/>
    <n v="5"/>
    <n v="0"/>
    <x v="2"/>
    <s v="Good"/>
    <s v="₹ 3,000- ₹ 7,000"/>
    <s v="Recommend training"/>
  </r>
  <r>
    <x v="53"/>
    <x v="4"/>
    <x v="1"/>
    <x v="0"/>
    <n v="1605"/>
    <s v="Female"/>
    <x v="2"/>
    <n v="3"/>
    <n v="2814"/>
    <x v="1"/>
    <n v="3"/>
    <n v="2"/>
    <n v="4"/>
    <x v="0"/>
    <s v="Good"/>
    <s v="₹ 3,000- ₹ 7,000"/>
    <s v="Recommend training"/>
  </r>
  <r>
    <x v="54"/>
    <x v="4"/>
    <x v="0"/>
    <x v="0"/>
    <n v="1783"/>
    <s v="Female"/>
    <x v="0"/>
    <n v="1"/>
    <n v="2398"/>
    <x v="1"/>
    <n v="3"/>
    <n v="6"/>
    <n v="1"/>
    <x v="2"/>
    <s v="Good"/>
    <s v="₹ 3,000- ₹ 7,000"/>
    <s v="Recommend training"/>
  </r>
  <r>
    <x v="55"/>
    <x v="4"/>
    <x v="0"/>
    <x v="0"/>
    <n v="1878"/>
    <s v="Male"/>
    <x v="2"/>
    <n v="2"/>
    <n v="2472"/>
    <x v="1"/>
    <n v="4"/>
    <n v="2"/>
    <n v="1"/>
    <x v="2"/>
    <s v="Excellent"/>
    <s v="₹ 3,000- ₹ 7,000"/>
    <s v="Recommend training"/>
  </r>
  <r>
    <x v="56"/>
    <x v="4"/>
    <x v="1"/>
    <x v="0"/>
    <n v="2007"/>
    <s v="Male"/>
    <x v="2"/>
    <n v="3"/>
    <n v="3375"/>
    <x v="0"/>
    <n v="3"/>
    <n v="2"/>
    <n v="3"/>
    <x v="1"/>
    <s v="Good"/>
    <s v="₹ 10000 - ₹ 19,999"/>
    <s v="Recommend training"/>
  </r>
  <r>
    <x v="57"/>
    <x v="5"/>
    <x v="1"/>
    <x v="1"/>
    <n v="113"/>
    <s v="Male"/>
    <x v="1"/>
    <n v="1"/>
    <n v="2322"/>
    <x v="0"/>
    <n v="3"/>
    <n v="3"/>
    <n v="0"/>
    <x v="1"/>
    <s v="Good"/>
    <s v="₹ 3,000- ₹ 7,000"/>
    <s v="Recommend training"/>
  </r>
  <r>
    <x v="58"/>
    <x v="5"/>
    <x v="1"/>
    <x v="0"/>
    <n v="465"/>
    <s v="Male"/>
    <x v="2"/>
    <n v="4"/>
    <n v="2904"/>
    <x v="0"/>
    <n v="3"/>
    <n v="2"/>
    <n v="4"/>
    <x v="1"/>
    <s v="Good"/>
    <s v="₹ 3,000- ₹ 7,000"/>
    <s v="Recommend training"/>
  </r>
  <r>
    <x v="59"/>
    <x v="5"/>
    <x v="1"/>
    <x v="0"/>
    <n v="705"/>
    <s v="Male"/>
    <x v="2"/>
    <n v="1"/>
    <n v="2819"/>
    <x v="0"/>
    <n v="3"/>
    <n v="3"/>
    <n v="3"/>
    <x v="1"/>
    <s v="Good"/>
    <s v="₹ 3,000- ₹ 7,000"/>
    <s v="Recommend training"/>
  </r>
  <r>
    <x v="60"/>
    <x v="5"/>
    <x v="1"/>
    <x v="0"/>
    <n v="758"/>
    <s v="Male"/>
    <x v="0"/>
    <n v="1"/>
    <n v="2500"/>
    <x v="0"/>
    <n v="3"/>
    <n v="2"/>
    <n v="4"/>
    <x v="1"/>
    <s v="Good"/>
    <s v="₹ 3,000- ₹ 7,000"/>
    <s v="Recommend training"/>
  </r>
  <r>
    <x v="61"/>
    <x v="5"/>
    <x v="1"/>
    <x v="0"/>
    <n v="784"/>
    <s v="Male"/>
    <x v="2"/>
    <n v="3"/>
    <n v="3505"/>
    <x v="0"/>
    <n v="3"/>
    <n v="3"/>
    <n v="2"/>
    <x v="1"/>
    <s v="Good"/>
    <s v="₹ 10000 - ₹ 19,999"/>
    <s v="Recommend training"/>
  </r>
  <r>
    <x v="62"/>
    <x v="5"/>
    <x v="0"/>
    <x v="0"/>
    <n v="811"/>
    <s v="Male"/>
    <x v="0"/>
    <n v="1"/>
    <n v="1601"/>
    <x v="1"/>
    <n v="4"/>
    <n v="2"/>
    <n v="0"/>
    <x v="2"/>
    <s v="Excellent"/>
    <s v="₹ 3,000- ₹ 7,000"/>
    <s v="Recommend training"/>
  </r>
  <r>
    <x v="63"/>
    <x v="5"/>
    <x v="1"/>
    <x v="0"/>
    <n v="1270"/>
    <s v="Male"/>
    <x v="2"/>
    <n v="3"/>
    <n v="1223"/>
    <x v="0"/>
    <n v="4"/>
    <n v="2"/>
    <n v="1"/>
    <x v="1"/>
    <s v="Excellent"/>
    <s v="₹ 3,000- ₹ 7,000"/>
    <s v="Recommend training"/>
  </r>
  <r>
    <x v="64"/>
    <x v="5"/>
    <x v="1"/>
    <x v="0"/>
    <n v="1533"/>
    <s v="Male"/>
    <x v="0"/>
    <n v="3"/>
    <n v="2272"/>
    <x v="0"/>
    <n v="3"/>
    <n v="2"/>
    <n v="4"/>
    <x v="1"/>
    <s v="Good"/>
    <s v="₹ 3,000- ₹ 7,000"/>
    <s v="Recommend training"/>
  </r>
  <r>
    <x v="65"/>
    <x v="5"/>
    <x v="1"/>
    <x v="0"/>
    <n v="1592"/>
    <s v="Male"/>
    <x v="2"/>
    <n v="3"/>
    <n v="2073"/>
    <x v="0"/>
    <n v="3"/>
    <n v="2"/>
    <n v="2"/>
    <x v="1"/>
    <s v="Good"/>
    <s v="₹ 3,000- ₹ 7,000"/>
    <s v="Recommend training"/>
  </r>
  <r>
    <x v="66"/>
    <x v="5"/>
    <x v="0"/>
    <x v="0"/>
    <n v="1684"/>
    <s v="Male"/>
    <x v="0"/>
    <n v="3"/>
    <n v="3989"/>
    <x v="1"/>
    <n v="3"/>
    <n v="2"/>
    <n v="5"/>
    <x v="2"/>
    <s v="Good"/>
    <s v="₹ 10000 - ₹ 19,999"/>
    <s v="Recommend training"/>
  </r>
  <r>
    <x v="67"/>
    <x v="5"/>
    <x v="0"/>
    <x v="1"/>
    <n v="1702"/>
    <s v="Male"/>
    <x v="1"/>
    <n v="4"/>
    <n v="2275"/>
    <x v="1"/>
    <n v="4"/>
    <n v="2"/>
    <n v="3"/>
    <x v="2"/>
    <s v="Excellent"/>
    <s v="₹ 3,000- ₹ 7,000"/>
    <s v="Recommend training"/>
  </r>
  <r>
    <x v="68"/>
    <x v="5"/>
    <x v="1"/>
    <x v="0"/>
    <n v="1735"/>
    <s v="Female"/>
    <x v="0"/>
    <n v="2"/>
    <n v="3295"/>
    <x v="0"/>
    <n v="3"/>
    <n v="3"/>
    <n v="3"/>
    <x v="1"/>
    <s v="Good"/>
    <s v="₹ 10000 - ₹ 19,999"/>
    <s v="Recommend training"/>
  </r>
  <r>
    <x v="69"/>
    <x v="5"/>
    <x v="1"/>
    <x v="0"/>
    <n v="1982"/>
    <s v="Male"/>
    <x v="0"/>
    <n v="4"/>
    <n v="2647"/>
    <x v="0"/>
    <n v="3"/>
    <n v="6"/>
    <n v="5"/>
    <x v="1"/>
    <s v="Good"/>
    <s v="₹ 3,000- ₹ 7,000"/>
    <s v="Recommend training"/>
  </r>
  <r>
    <x v="70"/>
    <x v="5"/>
    <x v="0"/>
    <x v="1"/>
    <n v="2023"/>
    <s v="Male"/>
    <x v="1"/>
    <n v="1"/>
    <n v="1790"/>
    <x v="0"/>
    <n v="3"/>
    <n v="3"/>
    <n v="1"/>
    <x v="0"/>
    <s v="Good"/>
    <s v="₹ 3,000- ₹ 7,000"/>
    <s v="Recommend training"/>
  </r>
  <r>
    <x v="71"/>
    <x v="6"/>
    <x v="1"/>
    <x v="0"/>
    <n v="26"/>
    <s v="Female"/>
    <x v="4"/>
    <n v="3"/>
    <n v="4011"/>
    <x v="0"/>
    <n v="3"/>
    <n v="5"/>
    <n v="4"/>
    <x v="1"/>
    <s v="Good"/>
    <s v="₹ 10000 - ₹ 19,999"/>
    <s v="Recommend training"/>
  </r>
  <r>
    <x v="72"/>
    <x v="6"/>
    <x v="0"/>
    <x v="0"/>
    <n v="45"/>
    <s v="Male"/>
    <x v="2"/>
    <n v="4"/>
    <n v="2293"/>
    <x v="1"/>
    <n v="3"/>
    <n v="2"/>
    <n v="2"/>
    <x v="2"/>
    <s v="Good"/>
    <s v="₹ 3,000- ₹ 7,000"/>
    <s v="Recommend training"/>
  </r>
  <r>
    <x v="73"/>
    <x v="6"/>
    <x v="1"/>
    <x v="1"/>
    <n v="128"/>
    <s v="Female"/>
    <x v="5"/>
    <n v="3"/>
    <n v="4999"/>
    <x v="0"/>
    <n v="4"/>
    <n v="2"/>
    <n v="3"/>
    <x v="1"/>
    <s v="Excellent"/>
    <s v="₹ 10000 - ₹ 19,999"/>
    <s v="Recommend training"/>
  </r>
  <r>
    <x v="74"/>
    <x v="6"/>
    <x v="1"/>
    <x v="0"/>
    <n v="150"/>
    <s v="Male"/>
    <x v="0"/>
    <n v="3"/>
    <n v="2774"/>
    <x v="0"/>
    <n v="3"/>
    <n v="2"/>
    <n v="5"/>
    <x v="1"/>
    <s v="Good"/>
    <s v="₹ 3,000- ₹ 7,000"/>
    <s v="Recommend training"/>
  </r>
  <r>
    <x v="75"/>
    <x v="6"/>
    <x v="1"/>
    <x v="1"/>
    <n v="507"/>
    <s v="Female"/>
    <x v="5"/>
    <n v="3"/>
    <n v="4260"/>
    <x v="1"/>
    <n v="3"/>
    <n v="2"/>
    <n v="5"/>
    <x v="0"/>
    <s v="Good"/>
    <s v="₹ 10000 - ₹ 19,999"/>
    <s v="Recommend training"/>
  </r>
  <r>
    <x v="76"/>
    <x v="6"/>
    <x v="0"/>
    <x v="1"/>
    <n v="554"/>
    <s v="Female"/>
    <x v="1"/>
    <n v="2"/>
    <n v="3202"/>
    <x v="1"/>
    <n v="3"/>
    <n v="4"/>
    <n v="5"/>
    <x v="2"/>
    <s v="Good"/>
    <s v="₹ 10000 - ₹ 19,999"/>
    <s v="Recommend training"/>
  </r>
  <r>
    <x v="77"/>
    <x v="6"/>
    <x v="1"/>
    <x v="1"/>
    <n v="632"/>
    <s v="Male"/>
    <x v="1"/>
    <n v="4"/>
    <n v="2400"/>
    <x v="0"/>
    <n v="3"/>
    <n v="3"/>
    <n v="2"/>
    <x v="1"/>
    <s v="Good"/>
    <s v="₹ 3,000- ₹ 7,000"/>
    <s v="Recommend training"/>
  </r>
  <r>
    <x v="78"/>
    <x v="6"/>
    <x v="1"/>
    <x v="0"/>
    <n v="639"/>
    <s v="Male"/>
    <x v="2"/>
    <n v="4"/>
    <n v="2725"/>
    <x v="1"/>
    <n v="3"/>
    <n v="3"/>
    <n v="6"/>
    <x v="0"/>
    <s v="Good"/>
    <s v="₹ 3,000- ₹ 7,000"/>
    <s v="Recommend training"/>
  </r>
  <r>
    <x v="79"/>
    <x v="6"/>
    <x v="1"/>
    <x v="0"/>
    <n v="643"/>
    <s v="Male"/>
    <x v="0"/>
    <n v="2"/>
    <n v="2127"/>
    <x v="0"/>
    <n v="4"/>
    <n v="2"/>
    <n v="1"/>
    <x v="1"/>
    <s v="Excellent"/>
    <s v="₹ 3,000- ₹ 7,000"/>
    <s v="Recommend training"/>
  </r>
  <r>
    <x v="80"/>
    <x v="6"/>
    <x v="0"/>
    <x v="0"/>
    <n v="647"/>
    <s v="Female"/>
    <x v="0"/>
    <n v="3"/>
    <n v="2886"/>
    <x v="1"/>
    <n v="3"/>
    <n v="4"/>
    <n v="6"/>
    <x v="2"/>
    <s v="Good"/>
    <s v="₹ 3,000- ₹ 7,000"/>
    <s v="Recommend training"/>
  </r>
  <r>
    <x v="81"/>
    <x v="6"/>
    <x v="0"/>
    <x v="1"/>
    <n v="720"/>
    <s v="Female"/>
    <x v="5"/>
    <n v="3"/>
    <n v="4577"/>
    <x v="0"/>
    <n v="3"/>
    <n v="3"/>
    <n v="2"/>
    <x v="0"/>
    <s v="Good"/>
    <s v="₹ 10000 - ₹ 19,999"/>
    <s v="Recommend training"/>
  </r>
  <r>
    <x v="82"/>
    <x v="6"/>
    <x v="1"/>
    <x v="0"/>
    <n v="812"/>
    <s v="Male"/>
    <x v="0"/>
    <n v="2"/>
    <n v="2694"/>
    <x v="0"/>
    <n v="3"/>
    <n v="4"/>
    <n v="1"/>
    <x v="1"/>
    <s v="Good"/>
    <s v="₹ 3,000- ₹ 7,000"/>
    <s v="Recommend training"/>
  </r>
  <r>
    <x v="83"/>
    <x v="6"/>
    <x v="1"/>
    <x v="0"/>
    <n v="888"/>
    <s v="Male"/>
    <x v="0"/>
    <n v="4"/>
    <n v="3162"/>
    <x v="0"/>
    <n v="3"/>
    <n v="2"/>
    <n v="5"/>
    <x v="1"/>
    <s v="Good"/>
    <s v="₹ 10000 - ₹ 19,999"/>
    <s v="Recommend training"/>
  </r>
  <r>
    <x v="84"/>
    <x v="6"/>
    <x v="1"/>
    <x v="0"/>
    <n v="1009"/>
    <s v="Female"/>
    <x v="4"/>
    <n v="3"/>
    <n v="4377"/>
    <x v="0"/>
    <n v="3"/>
    <n v="6"/>
    <n v="4"/>
    <x v="1"/>
    <s v="Good"/>
    <s v="₹ 10000 - ₹ 19,999"/>
    <s v="Recommend training"/>
  </r>
  <r>
    <x v="85"/>
    <x v="6"/>
    <x v="1"/>
    <x v="0"/>
    <n v="1173"/>
    <s v="Male"/>
    <x v="0"/>
    <n v="2"/>
    <n v="3597"/>
    <x v="0"/>
    <n v="4"/>
    <n v="2"/>
    <n v="4"/>
    <x v="1"/>
    <s v="Excellent"/>
    <s v="₹ 10000 - ₹ 19,999"/>
    <s v="Recommend training"/>
  </r>
  <r>
    <x v="86"/>
    <x v="6"/>
    <x v="0"/>
    <x v="0"/>
    <n v="1219"/>
    <s v="Female"/>
    <x v="0"/>
    <n v="2"/>
    <n v="2210"/>
    <x v="0"/>
    <n v="3"/>
    <n v="3"/>
    <n v="1"/>
    <x v="0"/>
    <s v="Good"/>
    <s v="₹ 3,000- ₹ 7,000"/>
    <s v="Recommend training"/>
  </r>
  <r>
    <x v="87"/>
    <x v="6"/>
    <x v="1"/>
    <x v="1"/>
    <n v="1445"/>
    <s v="Female"/>
    <x v="5"/>
    <n v="3"/>
    <n v="4162"/>
    <x v="1"/>
    <n v="3"/>
    <n v="3"/>
    <n v="5"/>
    <x v="0"/>
    <s v="Good"/>
    <s v="₹ 10000 - ₹ 19,999"/>
    <s v="Recommend training"/>
  </r>
  <r>
    <x v="88"/>
    <x v="6"/>
    <x v="0"/>
    <x v="0"/>
    <n v="1494"/>
    <s v="Male"/>
    <x v="0"/>
    <n v="1"/>
    <n v="3172"/>
    <x v="1"/>
    <n v="3"/>
    <n v="2"/>
    <n v="0"/>
    <x v="2"/>
    <s v="Good"/>
    <s v="₹ 10000 - ₹ 19,999"/>
    <s v="Recommend training"/>
  </r>
  <r>
    <x v="89"/>
    <x v="6"/>
    <x v="1"/>
    <x v="1"/>
    <n v="1495"/>
    <s v="Female"/>
    <x v="1"/>
    <n v="2"/>
    <n v="2033"/>
    <x v="0"/>
    <n v="3"/>
    <n v="2"/>
    <n v="1"/>
    <x v="1"/>
    <s v="Good"/>
    <s v="₹ 3,000- ₹ 7,000"/>
    <s v="Recommend training"/>
  </r>
  <r>
    <x v="90"/>
    <x v="6"/>
    <x v="1"/>
    <x v="0"/>
    <n v="1551"/>
    <s v="Male"/>
    <x v="0"/>
    <n v="1"/>
    <n v="2296"/>
    <x v="0"/>
    <n v="3"/>
    <n v="3"/>
    <n v="1"/>
    <x v="1"/>
    <s v="Good"/>
    <s v="₹ 3,000- ₹ 7,000"/>
    <s v="Recommend training"/>
  </r>
  <r>
    <x v="91"/>
    <x v="6"/>
    <x v="1"/>
    <x v="0"/>
    <n v="1646"/>
    <s v="Female"/>
    <x v="2"/>
    <n v="4"/>
    <n v="3760"/>
    <x v="1"/>
    <n v="3"/>
    <n v="2"/>
    <n v="6"/>
    <x v="0"/>
    <s v="Good"/>
    <s v="₹ 10000 - ₹ 19,999"/>
    <s v="Recommend training"/>
  </r>
  <r>
    <x v="92"/>
    <x v="6"/>
    <x v="1"/>
    <x v="0"/>
    <n v="1707"/>
    <s v="Male"/>
    <x v="2"/>
    <n v="3"/>
    <n v="4401"/>
    <x v="0"/>
    <n v="3"/>
    <n v="1"/>
    <n v="5"/>
    <x v="1"/>
    <s v="Good"/>
    <s v="₹ 10000 - ₹ 19,999"/>
    <s v="Recommend training"/>
  </r>
  <r>
    <x v="93"/>
    <x v="6"/>
    <x v="0"/>
    <x v="2"/>
    <n v="1714"/>
    <s v="Male"/>
    <x v="3"/>
    <n v="3"/>
    <n v="1555"/>
    <x v="0"/>
    <n v="3"/>
    <n v="2"/>
    <n v="1"/>
    <x v="0"/>
    <s v="Good"/>
    <s v="₹ 3,000- ₹ 7,000"/>
    <s v="Recommend training"/>
  </r>
  <r>
    <x v="94"/>
    <x v="6"/>
    <x v="1"/>
    <x v="0"/>
    <n v="1725"/>
    <s v="Male"/>
    <x v="0"/>
    <n v="1"/>
    <n v="3907"/>
    <x v="0"/>
    <n v="3"/>
    <n v="2"/>
    <n v="6"/>
    <x v="1"/>
    <s v="Good"/>
    <s v="₹ 10000 - ₹ 19,999"/>
    <s v="Recommend training"/>
  </r>
  <r>
    <x v="95"/>
    <x v="6"/>
    <x v="1"/>
    <x v="2"/>
    <n v="1746"/>
    <s v="Male"/>
    <x v="3"/>
    <n v="4"/>
    <n v="2145"/>
    <x v="0"/>
    <n v="3"/>
    <n v="2"/>
    <n v="2"/>
    <x v="1"/>
    <s v="Good"/>
    <s v="₹ 3,000- ₹ 7,000"/>
    <s v="Recommend training"/>
  </r>
  <r>
    <x v="96"/>
    <x v="6"/>
    <x v="1"/>
    <x v="0"/>
    <n v="1981"/>
    <s v="Male"/>
    <x v="6"/>
    <n v="3"/>
    <n v="4617"/>
    <x v="0"/>
    <n v="3"/>
    <n v="2"/>
    <n v="4"/>
    <x v="1"/>
    <s v="Good"/>
    <s v="₹ 10000 - ₹ 19,999"/>
    <s v="Recommend training"/>
  </r>
  <r>
    <x v="97"/>
    <x v="7"/>
    <x v="0"/>
    <x v="1"/>
    <n v="142"/>
    <s v="Male"/>
    <x v="5"/>
    <n v="3"/>
    <n v="5744"/>
    <x v="1"/>
    <n v="3"/>
    <n v="1"/>
    <n v="6"/>
    <x v="2"/>
    <s v="Good"/>
    <s v="₹ 10000 - ₹ 19,999"/>
    <s v="Recommend training"/>
  </r>
  <r>
    <x v="98"/>
    <x v="7"/>
    <x v="1"/>
    <x v="0"/>
    <n v="143"/>
    <s v="Male"/>
    <x v="2"/>
    <n v="4"/>
    <n v="2889"/>
    <x v="0"/>
    <n v="3"/>
    <n v="2"/>
    <n v="2"/>
    <x v="1"/>
    <s v="Good"/>
    <s v="₹ 3,000- ₹ 7,000"/>
    <s v="Recommend training"/>
  </r>
  <r>
    <x v="99"/>
    <x v="7"/>
    <x v="1"/>
    <x v="1"/>
    <n v="183"/>
    <s v="Male"/>
    <x v="5"/>
    <n v="3"/>
    <n v="8639"/>
    <x v="0"/>
    <n v="3"/>
    <n v="3"/>
    <n v="2"/>
    <x v="1"/>
    <s v="Good"/>
    <s v="₹ 7,000 - ₹ 10,000"/>
    <s v="Recommend training"/>
  </r>
  <r>
    <x v="100"/>
    <x v="7"/>
    <x v="1"/>
    <x v="0"/>
    <n v="350"/>
    <s v="Female"/>
    <x v="4"/>
    <n v="3"/>
    <n v="4898"/>
    <x v="0"/>
    <n v="3"/>
    <n v="3"/>
    <n v="4"/>
    <x v="1"/>
    <s v="Good"/>
    <s v="₹ 10000 - ₹ 19,999"/>
    <s v="Recommend training"/>
  </r>
  <r>
    <x v="101"/>
    <x v="7"/>
    <x v="1"/>
    <x v="0"/>
    <n v="369"/>
    <s v="Male"/>
    <x v="6"/>
    <n v="1"/>
    <n v="4000"/>
    <x v="0"/>
    <n v="3"/>
    <n v="2"/>
    <n v="6"/>
    <x v="1"/>
    <s v="Good"/>
    <s v="₹ 10000 - ₹ 19,999"/>
    <s v="Recommend training"/>
  </r>
  <r>
    <x v="102"/>
    <x v="7"/>
    <x v="1"/>
    <x v="1"/>
    <n v="527"/>
    <s v="Female"/>
    <x v="5"/>
    <n v="4"/>
    <n v="4487"/>
    <x v="1"/>
    <n v="3"/>
    <n v="3"/>
    <n v="5"/>
    <x v="0"/>
    <s v="Good"/>
    <s v="₹ 10000 - ₹ 19,999"/>
    <s v="Recommend training"/>
  </r>
  <r>
    <x v="103"/>
    <x v="7"/>
    <x v="0"/>
    <x v="0"/>
    <n v="538"/>
    <s v="Male"/>
    <x v="0"/>
    <n v="1"/>
    <n v="4031"/>
    <x v="0"/>
    <n v="3"/>
    <n v="5"/>
    <n v="2"/>
    <x v="0"/>
    <s v="Good"/>
    <s v="₹ 10000 - ₹ 19,999"/>
    <s v="Recommend training"/>
  </r>
  <r>
    <x v="104"/>
    <x v="7"/>
    <x v="1"/>
    <x v="1"/>
    <n v="645"/>
    <s v="Male"/>
    <x v="1"/>
    <n v="3"/>
    <n v="2096"/>
    <x v="0"/>
    <n v="3"/>
    <n v="1"/>
    <n v="7"/>
    <x v="1"/>
    <s v="Good"/>
    <s v="₹ 3,000- ₹ 7,000"/>
    <s v="Recommend training"/>
  </r>
  <r>
    <x v="105"/>
    <x v="7"/>
    <x v="1"/>
    <x v="1"/>
    <n v="707"/>
    <s v="Male"/>
    <x v="5"/>
    <n v="2"/>
    <n v="4851"/>
    <x v="0"/>
    <n v="4"/>
    <n v="4"/>
    <n v="3"/>
    <x v="1"/>
    <s v="Excellent"/>
    <s v="₹ 10000 - ₹ 19,999"/>
    <s v="Not recommend training"/>
  </r>
  <r>
    <x v="106"/>
    <x v="7"/>
    <x v="1"/>
    <x v="1"/>
    <n v="781"/>
    <s v="Female"/>
    <x v="5"/>
    <n v="4"/>
    <n v="6180"/>
    <x v="0"/>
    <n v="4"/>
    <n v="5"/>
    <n v="6"/>
    <x v="1"/>
    <s v="Excellent"/>
    <s v="₹ 10000 - ₹ 19,999"/>
    <s v="Not recommend training"/>
  </r>
  <r>
    <x v="107"/>
    <x v="7"/>
    <x v="1"/>
    <x v="0"/>
    <n v="854"/>
    <s v="Male"/>
    <x v="2"/>
    <n v="1"/>
    <n v="3424"/>
    <x v="0"/>
    <n v="3"/>
    <n v="3"/>
    <n v="4"/>
    <x v="1"/>
    <s v="Good"/>
    <s v="₹ 10000 - ₹ 19,999"/>
    <s v="Recommend training"/>
  </r>
  <r>
    <x v="108"/>
    <x v="7"/>
    <x v="1"/>
    <x v="1"/>
    <n v="879"/>
    <s v="Male"/>
    <x v="5"/>
    <n v="1"/>
    <n v="4194"/>
    <x v="1"/>
    <n v="3"/>
    <n v="3"/>
    <n v="5"/>
    <x v="0"/>
    <s v="Good"/>
    <s v="₹ 10000 - ₹ 19,999"/>
    <s v="Recommend training"/>
  </r>
  <r>
    <x v="109"/>
    <x v="7"/>
    <x v="1"/>
    <x v="1"/>
    <n v="885"/>
    <s v="Male"/>
    <x v="5"/>
    <n v="1"/>
    <n v="4256"/>
    <x v="0"/>
    <n v="3"/>
    <n v="1"/>
    <n v="5"/>
    <x v="1"/>
    <s v="Good"/>
    <s v="₹ 10000 - ₹ 19,999"/>
    <s v="Recommend training"/>
  </r>
  <r>
    <x v="110"/>
    <x v="7"/>
    <x v="0"/>
    <x v="1"/>
    <n v="952"/>
    <s v="Male"/>
    <x v="1"/>
    <n v="2"/>
    <n v="2413"/>
    <x v="1"/>
    <n v="3"/>
    <n v="2"/>
    <n v="1"/>
    <x v="2"/>
    <s v="Good"/>
    <s v="₹ 3,000- ₹ 7,000"/>
    <s v="Recommend training"/>
  </r>
  <r>
    <x v="111"/>
    <x v="7"/>
    <x v="0"/>
    <x v="0"/>
    <n v="1106"/>
    <s v="Male"/>
    <x v="0"/>
    <n v="4"/>
    <n v="3691"/>
    <x v="1"/>
    <n v="3"/>
    <n v="3"/>
    <n v="7"/>
    <x v="2"/>
    <s v="Good"/>
    <s v="₹ 10000 - ₹ 19,999"/>
    <s v="Recommend training"/>
  </r>
  <r>
    <x v="112"/>
    <x v="7"/>
    <x v="1"/>
    <x v="1"/>
    <n v="1240"/>
    <s v="Male"/>
    <x v="5"/>
    <n v="4"/>
    <n v="4950"/>
    <x v="0"/>
    <n v="3"/>
    <n v="4"/>
    <n v="4"/>
    <x v="1"/>
    <s v="Good"/>
    <s v="₹ 10000 - ₹ 19,999"/>
    <s v="Recommend training"/>
  </r>
  <r>
    <x v="113"/>
    <x v="7"/>
    <x v="0"/>
    <x v="1"/>
    <n v="1273"/>
    <s v="Male"/>
    <x v="1"/>
    <n v="4"/>
    <n v="1118"/>
    <x v="1"/>
    <n v="3"/>
    <n v="4"/>
    <n v="1"/>
    <x v="2"/>
    <s v="Good"/>
    <s v="₹ 3,000- ₹ 7,000"/>
    <s v="Recommend training"/>
  </r>
  <r>
    <x v="114"/>
    <x v="7"/>
    <x v="1"/>
    <x v="0"/>
    <n v="1303"/>
    <s v="Female"/>
    <x v="2"/>
    <n v="2"/>
    <n v="2096"/>
    <x v="0"/>
    <n v="3"/>
    <n v="3"/>
    <n v="2"/>
    <x v="1"/>
    <s v="Good"/>
    <s v="₹ 3,000- ₹ 7,000"/>
    <s v="Recommend training"/>
  </r>
  <r>
    <x v="115"/>
    <x v="7"/>
    <x v="1"/>
    <x v="0"/>
    <n v="1358"/>
    <s v="Male"/>
    <x v="0"/>
    <n v="4"/>
    <n v="3669"/>
    <x v="0"/>
    <n v="3"/>
    <n v="6"/>
    <n v="3"/>
    <x v="1"/>
    <s v="Good"/>
    <s v="₹ 10000 - ₹ 19,999"/>
    <s v="Recommend training"/>
  </r>
  <r>
    <x v="116"/>
    <x v="7"/>
    <x v="1"/>
    <x v="1"/>
    <n v="1399"/>
    <s v="Male"/>
    <x v="5"/>
    <n v="3"/>
    <n v="6232"/>
    <x v="0"/>
    <n v="3"/>
    <n v="3"/>
    <n v="3"/>
    <x v="1"/>
    <s v="Good"/>
    <s v="₹ 10000 - ₹ 19,999"/>
    <s v="Recommend training"/>
  </r>
  <r>
    <x v="117"/>
    <x v="7"/>
    <x v="1"/>
    <x v="0"/>
    <n v="1415"/>
    <s v="Male"/>
    <x v="0"/>
    <n v="4"/>
    <n v="3229"/>
    <x v="0"/>
    <n v="3"/>
    <n v="2"/>
    <n v="3"/>
    <x v="1"/>
    <s v="Good"/>
    <s v="₹ 10000 - ₹ 19,999"/>
    <s v="Recommend training"/>
  </r>
  <r>
    <x v="118"/>
    <x v="7"/>
    <x v="0"/>
    <x v="1"/>
    <n v="1439"/>
    <s v="Male"/>
    <x v="1"/>
    <n v="1"/>
    <n v="4400"/>
    <x v="0"/>
    <n v="3"/>
    <n v="2"/>
    <n v="3"/>
    <x v="0"/>
    <s v="Good"/>
    <s v="₹ 10000 - ₹ 19,999"/>
    <s v="Recommend training"/>
  </r>
  <r>
    <x v="119"/>
    <x v="7"/>
    <x v="1"/>
    <x v="0"/>
    <n v="1653"/>
    <s v="Male"/>
    <x v="4"/>
    <n v="3"/>
    <n v="5206"/>
    <x v="0"/>
    <n v="3"/>
    <n v="6"/>
    <n v="7"/>
    <x v="1"/>
    <s v="Good"/>
    <s v="₹ 10000 - ₹ 19,999"/>
    <s v="Recommend training"/>
  </r>
  <r>
    <x v="120"/>
    <x v="7"/>
    <x v="1"/>
    <x v="2"/>
    <n v="1987"/>
    <s v="Female"/>
    <x v="3"/>
    <n v="2"/>
    <n v="2187"/>
    <x v="0"/>
    <n v="3"/>
    <n v="3"/>
    <n v="2"/>
    <x v="1"/>
    <s v="Good"/>
    <s v="₹ 3,000- ₹ 7,000"/>
    <s v="Recommend training"/>
  </r>
  <r>
    <x v="121"/>
    <x v="7"/>
    <x v="1"/>
    <x v="0"/>
    <n v="1992"/>
    <s v="Male"/>
    <x v="0"/>
    <n v="3"/>
    <n v="3977"/>
    <x v="1"/>
    <n v="3"/>
    <n v="2"/>
    <n v="2"/>
    <x v="0"/>
    <s v="Good"/>
    <s v="₹ 10000 - ₹ 19,999"/>
    <s v="Recommend training"/>
  </r>
  <r>
    <x v="122"/>
    <x v="7"/>
    <x v="1"/>
    <x v="1"/>
    <n v="2018"/>
    <s v="Female"/>
    <x v="5"/>
    <n v="3"/>
    <n v="4907"/>
    <x v="1"/>
    <n v="4"/>
    <n v="3"/>
    <n v="5"/>
    <x v="0"/>
    <s v="Excellent"/>
    <s v="₹ 10000 - ₹ 19,999"/>
    <s v="Not recommend training"/>
  </r>
  <r>
    <x v="123"/>
    <x v="8"/>
    <x v="0"/>
    <x v="0"/>
    <n v="55"/>
    <s v="Male"/>
    <x v="0"/>
    <n v="3"/>
    <n v="2293"/>
    <x v="0"/>
    <n v="3"/>
    <n v="2"/>
    <n v="1"/>
    <x v="0"/>
    <s v="Good"/>
    <s v="₹ 3,000- ₹ 7,000"/>
    <s v="Recommend training"/>
  </r>
  <r>
    <x v="124"/>
    <x v="8"/>
    <x v="1"/>
    <x v="1"/>
    <n v="72"/>
    <s v="Female"/>
    <x v="5"/>
    <n v="4"/>
    <n v="4157"/>
    <x v="1"/>
    <n v="3"/>
    <n v="2"/>
    <n v="2"/>
    <x v="0"/>
    <s v="Good"/>
    <s v="₹ 10000 - ₹ 19,999"/>
    <s v="Recommend training"/>
  </r>
  <r>
    <x v="125"/>
    <x v="8"/>
    <x v="1"/>
    <x v="0"/>
    <n v="164"/>
    <s v="Female"/>
    <x v="2"/>
    <n v="2"/>
    <n v="2368"/>
    <x v="0"/>
    <n v="3"/>
    <n v="3"/>
    <n v="5"/>
    <x v="1"/>
    <s v="Good"/>
    <s v="₹ 3,000- ₹ 7,000"/>
    <s v="Recommend training"/>
  </r>
  <r>
    <x v="126"/>
    <x v="8"/>
    <x v="1"/>
    <x v="2"/>
    <n v="177"/>
    <s v="Female"/>
    <x v="3"/>
    <n v="3"/>
    <n v="2942"/>
    <x v="0"/>
    <n v="4"/>
    <n v="3"/>
    <n v="8"/>
    <x v="1"/>
    <s v="Excellent"/>
    <s v="₹ 3,000- ₹ 7,000"/>
    <s v="Not recommend training"/>
  </r>
  <r>
    <x v="127"/>
    <x v="8"/>
    <x v="1"/>
    <x v="0"/>
    <n v="384"/>
    <s v="Female"/>
    <x v="4"/>
    <n v="2"/>
    <n v="6397"/>
    <x v="0"/>
    <n v="4"/>
    <n v="6"/>
    <n v="6"/>
    <x v="1"/>
    <s v="Excellent"/>
    <s v="₹ 10000 - ₹ 19,999"/>
    <s v="Not recommend training"/>
  </r>
  <r>
    <x v="128"/>
    <x v="8"/>
    <x v="1"/>
    <x v="0"/>
    <n v="390"/>
    <s v="Male"/>
    <x v="6"/>
    <n v="1"/>
    <n v="4741"/>
    <x v="1"/>
    <n v="3"/>
    <n v="3"/>
    <n v="5"/>
    <x v="0"/>
    <s v="Good"/>
    <s v="₹ 10000 - ₹ 19,999"/>
    <s v="Recommend training"/>
  </r>
  <r>
    <x v="129"/>
    <x v="8"/>
    <x v="0"/>
    <x v="0"/>
    <n v="394"/>
    <s v="Male"/>
    <x v="0"/>
    <n v="2"/>
    <n v="2373"/>
    <x v="1"/>
    <n v="3"/>
    <n v="2"/>
    <n v="3"/>
    <x v="2"/>
    <s v="Good"/>
    <s v="₹ 3,000- ₹ 7,000"/>
    <s v="Recommend training"/>
  </r>
  <r>
    <x v="130"/>
    <x v="8"/>
    <x v="0"/>
    <x v="1"/>
    <n v="401"/>
    <s v="Male"/>
    <x v="5"/>
    <n v="4"/>
    <n v="5828"/>
    <x v="1"/>
    <n v="3"/>
    <n v="0"/>
    <n v="8"/>
    <x v="2"/>
    <s v="Good"/>
    <s v="₹ 10000 - ₹ 19,999"/>
    <s v="Recommend training"/>
  </r>
  <r>
    <x v="131"/>
    <x v="8"/>
    <x v="1"/>
    <x v="1"/>
    <n v="476"/>
    <s v="Male"/>
    <x v="5"/>
    <n v="3"/>
    <n v="5296"/>
    <x v="0"/>
    <n v="3"/>
    <n v="3"/>
    <n v="8"/>
    <x v="1"/>
    <s v="Good"/>
    <s v="₹ 10000 - ₹ 19,999"/>
    <s v="Recommend training"/>
  </r>
  <r>
    <x v="132"/>
    <x v="8"/>
    <x v="0"/>
    <x v="0"/>
    <n v="510"/>
    <s v="Male"/>
    <x v="2"/>
    <n v="1"/>
    <n v="3102"/>
    <x v="0"/>
    <n v="4"/>
    <n v="2"/>
    <n v="6"/>
    <x v="0"/>
    <s v="Excellent"/>
    <s v="₹ 10000 - ₹ 19,999"/>
    <s v="Recommend training"/>
  </r>
  <r>
    <x v="133"/>
    <x v="8"/>
    <x v="1"/>
    <x v="0"/>
    <n v="560"/>
    <s v="Female"/>
    <x v="2"/>
    <n v="4"/>
    <n v="2886"/>
    <x v="0"/>
    <n v="4"/>
    <n v="3"/>
    <n v="3"/>
    <x v="1"/>
    <s v="Excellent"/>
    <s v="₹ 3,000- ₹ 7,000"/>
    <s v="Not recommend training"/>
  </r>
  <r>
    <x v="134"/>
    <x v="8"/>
    <x v="0"/>
    <x v="2"/>
    <n v="608"/>
    <s v="Female"/>
    <x v="3"/>
    <n v="3"/>
    <n v="2741"/>
    <x v="1"/>
    <n v="3"/>
    <n v="2"/>
    <n v="7"/>
    <x v="2"/>
    <s v="Good"/>
    <s v="₹ 3,000- ₹ 7,000"/>
    <s v="Recommend training"/>
  </r>
  <r>
    <x v="135"/>
    <x v="8"/>
    <x v="1"/>
    <x v="1"/>
    <n v="618"/>
    <s v="Male"/>
    <x v="5"/>
    <n v="3"/>
    <n v="4306"/>
    <x v="0"/>
    <n v="3"/>
    <n v="5"/>
    <n v="0"/>
    <x v="1"/>
    <s v="Good"/>
    <s v="₹ 10000 - ₹ 19,999"/>
    <s v="Recommend training"/>
  </r>
  <r>
    <x v="136"/>
    <x v="8"/>
    <x v="0"/>
    <x v="0"/>
    <n v="622"/>
    <s v="Male"/>
    <x v="0"/>
    <n v="4"/>
    <n v="2340"/>
    <x v="1"/>
    <n v="3"/>
    <n v="3"/>
    <n v="1"/>
    <x v="2"/>
    <s v="Good"/>
    <s v="₹ 3,000- ₹ 7,000"/>
    <s v="Recommend training"/>
  </r>
  <r>
    <x v="137"/>
    <x v="8"/>
    <x v="1"/>
    <x v="1"/>
    <n v="641"/>
    <s v="Male"/>
    <x v="5"/>
    <n v="2"/>
    <n v="6272"/>
    <x v="0"/>
    <n v="4"/>
    <n v="5"/>
    <n v="5"/>
    <x v="1"/>
    <s v="Excellent"/>
    <s v="₹ 10000 - ₹ 19,999"/>
    <s v="Not recommend training"/>
  </r>
  <r>
    <x v="138"/>
    <x v="8"/>
    <x v="1"/>
    <x v="0"/>
    <n v="686"/>
    <s v="Female"/>
    <x v="0"/>
    <n v="4"/>
    <n v="2659"/>
    <x v="1"/>
    <n v="3"/>
    <n v="2"/>
    <n v="3"/>
    <x v="0"/>
    <s v="Good"/>
    <s v="₹ 3,000- ₹ 7,000"/>
    <s v="Recommend training"/>
  </r>
  <r>
    <x v="139"/>
    <x v="8"/>
    <x v="1"/>
    <x v="0"/>
    <n v="792"/>
    <s v="Female"/>
    <x v="0"/>
    <n v="4"/>
    <n v="4364"/>
    <x v="0"/>
    <n v="3"/>
    <n v="2"/>
    <n v="2"/>
    <x v="1"/>
    <s v="Good"/>
    <s v="₹ 10000 - ₹ 19,999"/>
    <s v="Recommend training"/>
  </r>
  <r>
    <x v="140"/>
    <x v="8"/>
    <x v="0"/>
    <x v="1"/>
    <n v="796"/>
    <s v="Male"/>
    <x v="5"/>
    <n v="1"/>
    <n v="5326"/>
    <x v="0"/>
    <n v="3"/>
    <n v="2"/>
    <n v="4"/>
    <x v="0"/>
    <s v="Good"/>
    <s v="₹ 10000 - ₹ 19,999"/>
    <s v="Recommend training"/>
  </r>
  <r>
    <x v="141"/>
    <x v="8"/>
    <x v="0"/>
    <x v="0"/>
    <n v="848"/>
    <s v="Female"/>
    <x v="2"/>
    <n v="3"/>
    <n v="2366"/>
    <x v="1"/>
    <n v="3"/>
    <n v="2"/>
    <n v="8"/>
    <x v="2"/>
    <s v="Good"/>
    <s v="₹ 3,000- ₹ 7,000"/>
    <s v="Recommend training"/>
  </r>
  <r>
    <x v="142"/>
    <x v="8"/>
    <x v="1"/>
    <x v="1"/>
    <n v="956"/>
    <s v="Male"/>
    <x v="5"/>
    <n v="1"/>
    <n v="4294"/>
    <x v="0"/>
    <n v="3"/>
    <n v="2"/>
    <n v="7"/>
    <x v="1"/>
    <s v="Good"/>
    <s v="₹ 10000 - ₹ 19,999"/>
    <s v="Recommend training"/>
  </r>
  <r>
    <x v="143"/>
    <x v="8"/>
    <x v="1"/>
    <x v="0"/>
    <n v="1018"/>
    <s v="Male"/>
    <x v="4"/>
    <n v="4"/>
    <n v="5472"/>
    <x v="0"/>
    <n v="3"/>
    <n v="2"/>
    <n v="8"/>
    <x v="1"/>
    <s v="Good"/>
    <s v="₹ 10000 - ₹ 19,999"/>
    <s v="Recommend training"/>
  </r>
  <r>
    <x v="144"/>
    <x v="8"/>
    <x v="0"/>
    <x v="1"/>
    <n v="1037"/>
    <s v="Male"/>
    <x v="5"/>
    <n v="1"/>
    <n v="4969"/>
    <x v="0"/>
    <n v="3"/>
    <n v="6"/>
    <n v="2"/>
    <x v="0"/>
    <s v="Good"/>
    <s v="₹ 10000 - ₹ 19,999"/>
    <s v="Recommend training"/>
  </r>
  <r>
    <x v="145"/>
    <x v="8"/>
    <x v="0"/>
    <x v="0"/>
    <n v="1053"/>
    <s v="Male"/>
    <x v="2"/>
    <n v="1"/>
    <n v="2042"/>
    <x v="1"/>
    <n v="3"/>
    <n v="2"/>
    <n v="3"/>
    <x v="2"/>
    <s v="Good"/>
    <s v="₹ 3,000- ₹ 7,000"/>
    <s v="Recommend training"/>
  </r>
  <r>
    <x v="146"/>
    <x v="8"/>
    <x v="1"/>
    <x v="0"/>
    <n v="1068"/>
    <s v="Female"/>
    <x v="2"/>
    <n v="3"/>
    <n v="2007"/>
    <x v="0"/>
    <n v="3"/>
    <n v="5"/>
    <n v="5"/>
    <x v="1"/>
    <s v="Good"/>
    <s v="₹ 3,000- ₹ 7,000"/>
    <s v="Recommend training"/>
  </r>
  <r>
    <x v="147"/>
    <x v="8"/>
    <x v="1"/>
    <x v="0"/>
    <n v="1083"/>
    <s v="Male"/>
    <x v="0"/>
    <n v="1"/>
    <n v="3955"/>
    <x v="0"/>
    <n v="3"/>
    <n v="2"/>
    <n v="5"/>
    <x v="1"/>
    <s v="Good"/>
    <s v="₹ 10000 - ₹ 19,999"/>
    <s v="Recommend training"/>
  </r>
  <r>
    <x v="148"/>
    <x v="8"/>
    <x v="0"/>
    <x v="0"/>
    <n v="1107"/>
    <s v="Male"/>
    <x v="0"/>
    <n v="3"/>
    <n v="2377"/>
    <x v="0"/>
    <n v="4"/>
    <n v="0"/>
    <n v="1"/>
    <x v="0"/>
    <s v="Excellent"/>
    <s v="₹ 3,000- ₹ 7,000"/>
    <s v="Recommend training"/>
  </r>
  <r>
    <x v="149"/>
    <x v="8"/>
    <x v="1"/>
    <x v="0"/>
    <n v="1177"/>
    <s v="Male"/>
    <x v="0"/>
    <n v="4"/>
    <n v="4420"/>
    <x v="0"/>
    <n v="4"/>
    <n v="2"/>
    <n v="8"/>
    <x v="1"/>
    <s v="Excellent"/>
    <s v="₹ 10000 - ₹ 19,999"/>
    <s v="Recommend training"/>
  </r>
  <r>
    <x v="150"/>
    <x v="8"/>
    <x v="1"/>
    <x v="0"/>
    <n v="1275"/>
    <s v="Male"/>
    <x v="2"/>
    <n v="4"/>
    <n v="2875"/>
    <x v="1"/>
    <n v="4"/>
    <n v="2"/>
    <n v="8"/>
    <x v="0"/>
    <s v="Excellent"/>
    <s v="₹ 3,000- ₹ 7,000"/>
    <s v="Recommend training"/>
  </r>
  <r>
    <x v="151"/>
    <x v="8"/>
    <x v="1"/>
    <x v="0"/>
    <n v="1407"/>
    <s v="Male"/>
    <x v="2"/>
    <n v="4"/>
    <n v="3904"/>
    <x v="0"/>
    <n v="3"/>
    <n v="2"/>
    <n v="4"/>
    <x v="1"/>
    <s v="Good"/>
    <s v="₹ 10000 - ₹ 19,999"/>
    <s v="Recommend training"/>
  </r>
  <r>
    <x v="152"/>
    <x v="8"/>
    <x v="1"/>
    <x v="0"/>
    <n v="1417"/>
    <s v="Male"/>
    <x v="0"/>
    <n v="1"/>
    <n v="3578"/>
    <x v="0"/>
    <n v="3"/>
    <n v="2"/>
    <n v="7"/>
    <x v="1"/>
    <s v="Good"/>
    <s v="₹ 10000 - ₹ 19,999"/>
    <s v="Recommend training"/>
  </r>
  <r>
    <x v="153"/>
    <x v="8"/>
    <x v="1"/>
    <x v="0"/>
    <n v="1581"/>
    <s v="Female"/>
    <x v="2"/>
    <n v="4"/>
    <n v="2061"/>
    <x v="0"/>
    <n v="4"/>
    <n v="5"/>
    <n v="1"/>
    <x v="1"/>
    <s v="Excellent"/>
    <s v="₹ 3,000- ₹ 7,000"/>
    <s v="Recommend training"/>
  </r>
  <r>
    <x v="154"/>
    <x v="8"/>
    <x v="1"/>
    <x v="0"/>
    <n v="1693"/>
    <s v="Male"/>
    <x v="0"/>
    <n v="4"/>
    <n v="2570"/>
    <x v="0"/>
    <n v="4"/>
    <n v="5"/>
    <n v="7"/>
    <x v="1"/>
    <s v="Excellent"/>
    <s v="₹ 3,000- ₹ 7,000"/>
    <s v="Not recommend training"/>
  </r>
  <r>
    <x v="155"/>
    <x v="8"/>
    <x v="1"/>
    <x v="0"/>
    <n v="1718"/>
    <s v="Male"/>
    <x v="0"/>
    <n v="3"/>
    <n v="2305"/>
    <x v="0"/>
    <n v="3"/>
    <n v="3"/>
    <n v="3"/>
    <x v="1"/>
    <s v="Good"/>
    <s v="₹ 3,000- ₹ 7,000"/>
    <s v="Recommend training"/>
  </r>
  <r>
    <x v="156"/>
    <x v="8"/>
    <x v="0"/>
    <x v="2"/>
    <n v="1818"/>
    <s v="Female"/>
    <x v="3"/>
    <n v="2"/>
    <n v="2148"/>
    <x v="1"/>
    <n v="3"/>
    <n v="3"/>
    <n v="5"/>
    <x v="2"/>
    <s v="Good"/>
    <s v="₹ 3,000- ₹ 7,000"/>
    <s v="Recommend training"/>
  </r>
  <r>
    <x v="157"/>
    <x v="8"/>
    <x v="1"/>
    <x v="1"/>
    <n v="1836"/>
    <s v="Male"/>
    <x v="5"/>
    <n v="4"/>
    <n v="4684"/>
    <x v="0"/>
    <n v="3"/>
    <n v="4"/>
    <n v="5"/>
    <x v="1"/>
    <s v="Good"/>
    <s v="₹ 10000 - ₹ 19,999"/>
    <s v="Recommend training"/>
  </r>
  <r>
    <x v="158"/>
    <x v="8"/>
    <x v="1"/>
    <x v="0"/>
    <n v="1893"/>
    <s v="Female"/>
    <x v="2"/>
    <n v="3"/>
    <n v="2933"/>
    <x v="1"/>
    <n v="3"/>
    <n v="3"/>
    <n v="1"/>
    <x v="0"/>
    <s v="Good"/>
    <s v="₹ 3,000- ₹ 7,000"/>
    <s v="Recommend training"/>
  </r>
  <r>
    <x v="159"/>
    <x v="8"/>
    <x v="1"/>
    <x v="0"/>
    <n v="1918"/>
    <s v="Male"/>
    <x v="0"/>
    <n v="4"/>
    <n v="2544"/>
    <x v="0"/>
    <n v="3"/>
    <n v="3"/>
    <n v="7"/>
    <x v="1"/>
    <s v="Good"/>
    <s v="₹ 3,000- ₹ 7,000"/>
    <s v="Recommend training"/>
  </r>
  <r>
    <x v="160"/>
    <x v="8"/>
    <x v="1"/>
    <x v="0"/>
    <n v="1952"/>
    <s v="Male"/>
    <x v="0"/>
    <n v="1"/>
    <n v="2867"/>
    <x v="0"/>
    <n v="3"/>
    <n v="6"/>
    <n v="7"/>
    <x v="1"/>
    <s v="Good"/>
    <s v="₹ 3,000- ₹ 7,000"/>
    <s v="Recommend training"/>
  </r>
  <r>
    <x v="161"/>
    <x v="8"/>
    <x v="1"/>
    <x v="1"/>
    <n v="2060"/>
    <s v="Female"/>
    <x v="1"/>
    <n v="3"/>
    <n v="2966"/>
    <x v="0"/>
    <n v="3"/>
    <n v="2"/>
    <n v="4"/>
    <x v="1"/>
    <s v="Good"/>
    <s v="₹ 3,000- ₹ 7,000"/>
    <s v="Recommend training"/>
  </r>
  <r>
    <x v="162"/>
    <x v="9"/>
    <x v="1"/>
    <x v="0"/>
    <n v="7"/>
    <s v="Male"/>
    <x v="0"/>
    <n v="2"/>
    <n v="3468"/>
    <x v="0"/>
    <n v="3"/>
    <n v="3"/>
    <n v="2"/>
    <x v="1"/>
    <s v="Good"/>
    <s v="₹ 10000 - ₹ 19,999"/>
    <s v="Recommend training"/>
  </r>
  <r>
    <x v="163"/>
    <x v="9"/>
    <x v="1"/>
    <x v="0"/>
    <n v="54"/>
    <s v="Female"/>
    <x v="0"/>
    <n v="1"/>
    <n v="2341"/>
    <x v="0"/>
    <n v="3"/>
    <n v="6"/>
    <n v="1"/>
    <x v="1"/>
    <s v="Good"/>
    <s v="₹ 3,000- ₹ 7,000"/>
    <s v="Recommend training"/>
  </r>
  <r>
    <x v="164"/>
    <x v="9"/>
    <x v="1"/>
    <x v="1"/>
    <n v="56"/>
    <s v="Male"/>
    <x v="5"/>
    <n v="3"/>
    <n v="8726"/>
    <x v="0"/>
    <n v="3"/>
    <n v="0"/>
    <n v="9"/>
    <x v="1"/>
    <s v="Good"/>
    <s v="₹ 7,000 - ₹ 10,000"/>
    <s v="Recommend training"/>
  </r>
  <r>
    <x v="165"/>
    <x v="9"/>
    <x v="1"/>
    <x v="0"/>
    <n v="218"/>
    <s v="Male"/>
    <x v="2"/>
    <n v="2"/>
    <n v="2024"/>
    <x v="0"/>
    <n v="3"/>
    <n v="1"/>
    <n v="2"/>
    <x v="1"/>
    <s v="Good"/>
    <s v="₹ 3,000- ₹ 7,000"/>
    <s v="Recommend training"/>
  </r>
  <r>
    <x v="166"/>
    <x v="9"/>
    <x v="1"/>
    <x v="0"/>
    <n v="224"/>
    <s v="Male"/>
    <x v="2"/>
    <n v="3"/>
    <n v="2566"/>
    <x v="1"/>
    <n v="3"/>
    <n v="2"/>
    <n v="1"/>
    <x v="0"/>
    <s v="Good"/>
    <s v="₹ 3,000- ₹ 7,000"/>
    <s v="Recommend training"/>
  </r>
  <r>
    <x v="167"/>
    <x v="9"/>
    <x v="1"/>
    <x v="0"/>
    <n v="233"/>
    <s v="Male"/>
    <x v="2"/>
    <n v="2"/>
    <n v="3058"/>
    <x v="1"/>
    <n v="3"/>
    <n v="3"/>
    <n v="5"/>
    <x v="0"/>
    <s v="Good"/>
    <s v="₹ 10000 - ₹ 19,999"/>
    <s v="Recommend training"/>
  </r>
  <r>
    <x v="168"/>
    <x v="9"/>
    <x v="1"/>
    <x v="0"/>
    <n v="260"/>
    <s v="Female"/>
    <x v="2"/>
    <n v="2"/>
    <n v="2279"/>
    <x v="0"/>
    <n v="3"/>
    <n v="2"/>
    <n v="7"/>
    <x v="1"/>
    <s v="Good"/>
    <s v="₹ 3,000- ₹ 7,000"/>
    <s v="Recommend training"/>
  </r>
  <r>
    <x v="169"/>
    <x v="9"/>
    <x v="1"/>
    <x v="0"/>
    <n v="274"/>
    <s v="Male"/>
    <x v="4"/>
    <n v="1"/>
    <n v="4298"/>
    <x v="0"/>
    <n v="3"/>
    <n v="1"/>
    <n v="2"/>
    <x v="1"/>
    <s v="Good"/>
    <s v="₹ 10000 - ₹ 19,999"/>
    <s v="Recommend training"/>
  </r>
  <r>
    <x v="170"/>
    <x v="9"/>
    <x v="1"/>
    <x v="1"/>
    <n v="293"/>
    <s v="Female"/>
    <x v="5"/>
    <n v="3"/>
    <n v="9981"/>
    <x v="0"/>
    <n v="3"/>
    <n v="2"/>
    <n v="7"/>
    <x v="1"/>
    <s v="Good"/>
    <s v="₹ 7,000 - ₹ 10,000"/>
    <s v="Recommend training"/>
  </r>
  <r>
    <x v="171"/>
    <x v="9"/>
    <x v="1"/>
    <x v="0"/>
    <n v="434"/>
    <s v="Female"/>
    <x v="2"/>
    <n v="2"/>
    <n v="2478"/>
    <x v="1"/>
    <n v="3"/>
    <n v="2"/>
    <n v="4"/>
    <x v="0"/>
    <s v="Good"/>
    <s v="₹ 3,000- ₹ 7,000"/>
    <s v="Recommend training"/>
  </r>
  <r>
    <x v="172"/>
    <x v="9"/>
    <x v="1"/>
    <x v="1"/>
    <n v="437"/>
    <s v="Male"/>
    <x v="5"/>
    <n v="3"/>
    <n v="4478"/>
    <x v="1"/>
    <n v="3"/>
    <n v="3"/>
    <n v="5"/>
    <x v="0"/>
    <s v="Good"/>
    <s v="₹ 10000 - ₹ 19,999"/>
    <s v="Recommend training"/>
  </r>
  <r>
    <x v="173"/>
    <x v="9"/>
    <x v="1"/>
    <x v="1"/>
    <n v="449"/>
    <s v="Male"/>
    <x v="5"/>
    <n v="2"/>
    <n v="6349"/>
    <x v="1"/>
    <n v="3"/>
    <n v="0"/>
    <n v="5"/>
    <x v="0"/>
    <s v="Good"/>
    <s v="₹ 10000 - ₹ 19,999"/>
    <s v="Recommend training"/>
  </r>
  <r>
    <x v="174"/>
    <x v="9"/>
    <x v="1"/>
    <x v="1"/>
    <n v="458"/>
    <s v="Female"/>
    <x v="5"/>
    <n v="2"/>
    <n v="6214"/>
    <x v="0"/>
    <n v="3"/>
    <n v="3"/>
    <n v="8"/>
    <x v="1"/>
    <s v="Good"/>
    <s v="₹ 10000 - ₹ 19,999"/>
    <s v="Recommend training"/>
  </r>
  <r>
    <x v="175"/>
    <x v="9"/>
    <x v="1"/>
    <x v="0"/>
    <n v="497"/>
    <s v="Male"/>
    <x v="0"/>
    <n v="2"/>
    <n v="3816"/>
    <x v="0"/>
    <n v="3"/>
    <n v="2"/>
    <n v="5"/>
    <x v="1"/>
    <s v="Good"/>
    <s v="₹ 10000 - ₹ 19,999"/>
    <s v="Recommend training"/>
  </r>
  <r>
    <x v="176"/>
    <x v="9"/>
    <x v="1"/>
    <x v="0"/>
    <n v="655"/>
    <s v="Female"/>
    <x v="2"/>
    <n v="3"/>
    <n v="2187"/>
    <x v="0"/>
    <n v="3"/>
    <n v="5"/>
    <n v="5"/>
    <x v="1"/>
    <s v="Good"/>
    <s v="₹ 3,000- ₹ 7,000"/>
    <s v="Recommend training"/>
  </r>
  <r>
    <x v="177"/>
    <x v="9"/>
    <x v="0"/>
    <x v="1"/>
    <n v="667"/>
    <s v="Male"/>
    <x v="1"/>
    <n v="1"/>
    <n v="3041"/>
    <x v="0"/>
    <n v="3"/>
    <n v="3"/>
    <n v="4"/>
    <x v="0"/>
    <s v="Good"/>
    <s v="₹ 10000 - ₹ 19,999"/>
    <s v="Recommend training"/>
  </r>
  <r>
    <x v="178"/>
    <x v="9"/>
    <x v="1"/>
    <x v="0"/>
    <n v="700"/>
    <s v="Male"/>
    <x v="2"/>
    <n v="4"/>
    <n v="2045"/>
    <x v="0"/>
    <n v="3"/>
    <n v="0"/>
    <n v="4"/>
    <x v="1"/>
    <s v="Good"/>
    <s v="₹ 3,000- ₹ 7,000"/>
    <s v="Recommend training"/>
  </r>
  <r>
    <x v="179"/>
    <x v="9"/>
    <x v="1"/>
    <x v="1"/>
    <n v="714"/>
    <s v="Female"/>
    <x v="5"/>
    <n v="4"/>
    <n v="4647"/>
    <x v="1"/>
    <n v="4"/>
    <n v="3"/>
    <n v="6"/>
    <x v="0"/>
    <s v="Excellent"/>
    <s v="₹ 10000 - ₹ 19,999"/>
    <s v="Not recommend training"/>
  </r>
  <r>
    <x v="180"/>
    <x v="9"/>
    <x v="1"/>
    <x v="0"/>
    <n v="725"/>
    <s v="Female"/>
    <x v="4"/>
    <n v="1"/>
    <n v="7412"/>
    <x v="0"/>
    <n v="3"/>
    <n v="3"/>
    <n v="9"/>
    <x v="1"/>
    <s v="Good"/>
    <s v="₹ 7,000 - ₹ 10,000"/>
    <s v="Recommend training"/>
  </r>
  <r>
    <x v="181"/>
    <x v="9"/>
    <x v="1"/>
    <x v="0"/>
    <n v="733"/>
    <s v="Male"/>
    <x v="4"/>
    <n v="1"/>
    <n v="8793"/>
    <x v="0"/>
    <n v="4"/>
    <n v="4"/>
    <n v="9"/>
    <x v="1"/>
    <s v="Excellent"/>
    <s v="₹ 7,000 - ₹ 10,000"/>
    <s v="Not recommend training"/>
  </r>
  <r>
    <x v="182"/>
    <x v="9"/>
    <x v="1"/>
    <x v="0"/>
    <n v="764"/>
    <s v="Female"/>
    <x v="6"/>
    <n v="1"/>
    <n v="6811"/>
    <x v="0"/>
    <n v="3"/>
    <n v="2"/>
    <n v="7"/>
    <x v="1"/>
    <s v="Good"/>
    <s v="₹ 10000 - ₹ 19,999"/>
    <s v="Recommend training"/>
  </r>
  <r>
    <x v="183"/>
    <x v="9"/>
    <x v="1"/>
    <x v="1"/>
    <n v="800"/>
    <s v="Male"/>
    <x v="5"/>
    <n v="4"/>
    <n v="4342"/>
    <x v="0"/>
    <n v="3"/>
    <n v="3"/>
    <n v="4"/>
    <x v="1"/>
    <s v="Good"/>
    <s v="₹ 10000 - ₹ 19,999"/>
    <s v="Recommend training"/>
  </r>
  <r>
    <x v="184"/>
    <x v="9"/>
    <x v="1"/>
    <x v="0"/>
    <n v="844"/>
    <s v="Male"/>
    <x v="7"/>
    <n v="4"/>
    <n v="12808"/>
    <x v="1"/>
    <n v="3"/>
    <n v="3"/>
    <n v="9"/>
    <x v="0"/>
    <s v="Good"/>
    <s v="₹ 10000 - ₹ 19,999"/>
    <s v="Recommend training"/>
  </r>
  <r>
    <x v="185"/>
    <x v="9"/>
    <x v="1"/>
    <x v="0"/>
    <n v="850"/>
    <s v="Male"/>
    <x v="2"/>
    <n v="4"/>
    <n v="1706"/>
    <x v="0"/>
    <n v="3"/>
    <n v="6"/>
    <n v="0"/>
    <x v="1"/>
    <s v="Good"/>
    <s v="₹ 3,000- ₹ 7,000"/>
    <s v="Recommend training"/>
  </r>
  <r>
    <x v="186"/>
    <x v="9"/>
    <x v="1"/>
    <x v="0"/>
    <n v="933"/>
    <s v="Female"/>
    <x v="2"/>
    <n v="3"/>
    <n v="2318"/>
    <x v="0"/>
    <n v="3"/>
    <n v="2"/>
    <n v="1"/>
    <x v="1"/>
    <s v="Good"/>
    <s v="₹ 3,000- ₹ 7,000"/>
    <s v="Recommend training"/>
  </r>
  <r>
    <x v="187"/>
    <x v="9"/>
    <x v="1"/>
    <x v="0"/>
    <n v="1001"/>
    <s v="Female"/>
    <x v="0"/>
    <n v="2"/>
    <n v="2811"/>
    <x v="0"/>
    <n v="3"/>
    <n v="2"/>
    <n v="2"/>
    <x v="1"/>
    <s v="Good"/>
    <s v="₹ 3,000- ₹ 7,000"/>
    <s v="Recommend training"/>
  </r>
  <r>
    <x v="188"/>
    <x v="9"/>
    <x v="1"/>
    <x v="0"/>
    <n v="1027"/>
    <s v="Female"/>
    <x v="4"/>
    <n v="4"/>
    <n v="4227"/>
    <x v="0"/>
    <n v="3"/>
    <n v="2"/>
    <n v="3"/>
    <x v="1"/>
    <s v="Good"/>
    <s v="₹ 10000 - ₹ 19,999"/>
    <s v="Recommend training"/>
  </r>
  <r>
    <x v="189"/>
    <x v="9"/>
    <x v="1"/>
    <x v="0"/>
    <n v="1094"/>
    <s v="Male"/>
    <x v="0"/>
    <n v="3"/>
    <n v="4621"/>
    <x v="0"/>
    <n v="3"/>
    <n v="4"/>
    <n v="3"/>
    <x v="1"/>
    <s v="Good"/>
    <s v="₹ 10000 - ₹ 19,999"/>
    <s v="Recommend training"/>
  </r>
  <r>
    <x v="190"/>
    <x v="9"/>
    <x v="1"/>
    <x v="0"/>
    <n v="1162"/>
    <s v="Male"/>
    <x v="2"/>
    <n v="3"/>
    <n v="2539"/>
    <x v="0"/>
    <n v="3"/>
    <n v="0"/>
    <n v="4"/>
    <x v="1"/>
    <s v="Good"/>
    <s v="₹ 3,000- ₹ 7,000"/>
    <s v="Recommend training"/>
  </r>
  <r>
    <x v="191"/>
    <x v="9"/>
    <x v="1"/>
    <x v="0"/>
    <n v="1244"/>
    <s v="Male"/>
    <x v="2"/>
    <n v="1"/>
    <n v="2235"/>
    <x v="1"/>
    <n v="3"/>
    <n v="3"/>
    <n v="9"/>
    <x v="0"/>
    <s v="Good"/>
    <s v="₹ 3,000- ₹ 7,000"/>
    <s v="Recommend training"/>
  </r>
  <r>
    <x v="192"/>
    <x v="9"/>
    <x v="1"/>
    <x v="0"/>
    <n v="1259"/>
    <s v="Male"/>
    <x v="2"/>
    <n v="3"/>
    <n v="2517"/>
    <x v="0"/>
    <n v="3"/>
    <n v="2"/>
    <n v="5"/>
    <x v="1"/>
    <s v="Good"/>
    <s v="₹ 3,000- ₹ 7,000"/>
    <s v="Recommend training"/>
  </r>
  <r>
    <x v="193"/>
    <x v="9"/>
    <x v="1"/>
    <x v="1"/>
    <n v="1364"/>
    <s v="Female"/>
    <x v="1"/>
    <n v="4"/>
    <n v="2534"/>
    <x v="0"/>
    <n v="3"/>
    <n v="4"/>
    <n v="1"/>
    <x v="1"/>
    <s v="Good"/>
    <s v="₹ 3,000- ₹ 7,000"/>
    <s v="Recommend training"/>
  </r>
  <r>
    <x v="194"/>
    <x v="9"/>
    <x v="1"/>
    <x v="1"/>
    <n v="1371"/>
    <s v="Male"/>
    <x v="5"/>
    <n v="4"/>
    <n v="5071"/>
    <x v="0"/>
    <n v="4"/>
    <n v="3"/>
    <n v="6"/>
    <x v="1"/>
    <s v="Excellent"/>
    <s v="₹ 10000 - ₹ 19,999"/>
    <s v="Not recommend training"/>
  </r>
  <r>
    <x v="195"/>
    <x v="9"/>
    <x v="1"/>
    <x v="1"/>
    <n v="1403"/>
    <s v="Female"/>
    <x v="5"/>
    <n v="4"/>
    <n v="5769"/>
    <x v="1"/>
    <n v="3"/>
    <n v="3"/>
    <n v="6"/>
    <x v="0"/>
    <s v="Good"/>
    <s v="₹ 10000 - ₹ 19,999"/>
    <s v="Recommend training"/>
  </r>
  <r>
    <x v="196"/>
    <x v="9"/>
    <x v="0"/>
    <x v="0"/>
    <n v="1405"/>
    <s v="Female"/>
    <x v="2"/>
    <n v="3"/>
    <n v="2394"/>
    <x v="1"/>
    <n v="3"/>
    <n v="2"/>
    <n v="8"/>
    <x v="2"/>
    <s v="Good"/>
    <s v="₹ 3,000- ₹ 7,000"/>
    <s v="Recommend training"/>
  </r>
  <r>
    <x v="197"/>
    <x v="9"/>
    <x v="1"/>
    <x v="0"/>
    <n v="1434"/>
    <s v="Male"/>
    <x v="0"/>
    <n v="1"/>
    <n v="2099"/>
    <x v="0"/>
    <n v="3"/>
    <n v="3"/>
    <n v="5"/>
    <x v="1"/>
    <s v="Good"/>
    <s v="₹ 3,000- ₹ 7,000"/>
    <s v="Recommend training"/>
  </r>
  <r>
    <x v="198"/>
    <x v="9"/>
    <x v="1"/>
    <x v="0"/>
    <n v="1619"/>
    <s v="Male"/>
    <x v="0"/>
    <n v="1"/>
    <n v="4066"/>
    <x v="0"/>
    <n v="3"/>
    <n v="3"/>
    <n v="7"/>
    <x v="1"/>
    <s v="Good"/>
    <s v="₹ 10000 - ₹ 19,999"/>
    <s v="Recommend training"/>
  </r>
  <r>
    <x v="199"/>
    <x v="9"/>
    <x v="1"/>
    <x v="0"/>
    <n v="1647"/>
    <s v="Female"/>
    <x v="2"/>
    <n v="3"/>
    <n v="3517"/>
    <x v="0"/>
    <n v="3"/>
    <n v="0"/>
    <n v="3"/>
    <x v="1"/>
    <s v="Good"/>
    <s v="₹ 10000 - ₹ 19,999"/>
    <s v="Recommend training"/>
  </r>
  <r>
    <x v="200"/>
    <x v="9"/>
    <x v="1"/>
    <x v="0"/>
    <n v="1648"/>
    <s v="Male"/>
    <x v="2"/>
    <n v="4"/>
    <n v="2580"/>
    <x v="0"/>
    <n v="3"/>
    <n v="0"/>
    <n v="4"/>
    <x v="1"/>
    <s v="Good"/>
    <s v="₹ 3,000- ₹ 7,000"/>
    <s v="Recommend training"/>
  </r>
  <r>
    <x v="201"/>
    <x v="9"/>
    <x v="1"/>
    <x v="0"/>
    <n v="1751"/>
    <s v="Female"/>
    <x v="2"/>
    <n v="4"/>
    <n v="3445"/>
    <x v="0"/>
    <n v="3"/>
    <n v="5"/>
    <n v="6"/>
    <x v="1"/>
    <s v="Good"/>
    <s v="₹ 10000 - ₹ 19,999"/>
    <s v="Recommend training"/>
  </r>
  <r>
    <x v="202"/>
    <x v="9"/>
    <x v="1"/>
    <x v="0"/>
    <n v="1850"/>
    <s v="Female"/>
    <x v="0"/>
    <n v="4"/>
    <n v="2379"/>
    <x v="1"/>
    <n v="3"/>
    <n v="3"/>
    <n v="5"/>
    <x v="0"/>
    <s v="Good"/>
    <s v="₹ 3,000- ₹ 7,000"/>
    <s v="Recommend training"/>
  </r>
  <r>
    <x v="203"/>
    <x v="9"/>
    <x v="1"/>
    <x v="1"/>
    <n v="1864"/>
    <s v="Female"/>
    <x v="1"/>
    <n v="3"/>
    <n v="3540"/>
    <x v="0"/>
    <n v="4"/>
    <n v="5"/>
    <n v="9"/>
    <x v="1"/>
    <s v="Excellent"/>
    <s v="₹ 10000 - ₹ 19,999"/>
    <s v="Not recommend training"/>
  </r>
  <r>
    <x v="204"/>
    <x v="9"/>
    <x v="1"/>
    <x v="0"/>
    <n v="1870"/>
    <s v="Female"/>
    <x v="2"/>
    <n v="1"/>
    <n v="4774"/>
    <x v="0"/>
    <n v="3"/>
    <n v="2"/>
    <n v="7"/>
    <x v="1"/>
    <s v="Good"/>
    <s v="₹ 10000 - ₹ 19,999"/>
    <s v="Recommend training"/>
  </r>
  <r>
    <x v="205"/>
    <x v="9"/>
    <x v="1"/>
    <x v="1"/>
    <n v="1898"/>
    <s v="Female"/>
    <x v="5"/>
    <n v="3"/>
    <n v="6500"/>
    <x v="0"/>
    <n v="3"/>
    <n v="5"/>
    <n v="8"/>
    <x v="1"/>
    <s v="Good"/>
    <s v="₹ 10000 - ₹ 19,999"/>
    <s v="Recommend training"/>
  </r>
  <r>
    <x v="206"/>
    <x v="9"/>
    <x v="1"/>
    <x v="0"/>
    <n v="1931"/>
    <s v="Male"/>
    <x v="2"/>
    <n v="2"/>
    <n v="2226"/>
    <x v="0"/>
    <n v="3"/>
    <n v="3"/>
    <n v="5"/>
    <x v="1"/>
    <s v="Good"/>
    <s v="₹ 3,000- ₹ 7,000"/>
    <s v="Recommend training"/>
  </r>
  <r>
    <x v="207"/>
    <x v="9"/>
    <x v="0"/>
    <x v="2"/>
    <n v="1944"/>
    <s v="Female"/>
    <x v="3"/>
    <n v="2"/>
    <n v="2863"/>
    <x v="0"/>
    <n v="3"/>
    <n v="2"/>
    <n v="1"/>
    <x v="0"/>
    <s v="Good"/>
    <s v="₹ 3,000- ₹ 7,000"/>
    <s v="Recommend training"/>
  </r>
  <r>
    <x v="208"/>
    <x v="9"/>
    <x v="1"/>
    <x v="1"/>
    <n v="1965"/>
    <s v="Male"/>
    <x v="5"/>
    <n v="4"/>
    <n v="4105"/>
    <x v="0"/>
    <n v="3"/>
    <n v="5"/>
    <n v="7"/>
    <x v="1"/>
    <s v="Good"/>
    <s v="₹ 10000 - ₹ 19,999"/>
    <s v="Recommend training"/>
  </r>
  <r>
    <x v="209"/>
    <x v="9"/>
    <x v="1"/>
    <x v="0"/>
    <n v="2064"/>
    <s v="Male"/>
    <x v="4"/>
    <n v="2"/>
    <n v="6142"/>
    <x v="1"/>
    <n v="4"/>
    <n v="0"/>
    <n v="6"/>
    <x v="0"/>
    <s v="Excellent"/>
    <s v="₹ 10000 - ₹ 19,999"/>
    <s v="Recommend training"/>
  </r>
  <r>
    <x v="210"/>
    <x v="10"/>
    <x v="0"/>
    <x v="0"/>
    <n v="19"/>
    <s v="Male"/>
    <x v="0"/>
    <n v="3"/>
    <n v="2028"/>
    <x v="1"/>
    <n v="3"/>
    <n v="4"/>
    <n v="4"/>
    <x v="2"/>
    <s v="Good"/>
    <s v="₹ 3,000- ₹ 7,000"/>
    <s v="Recommend training"/>
  </r>
  <r>
    <x v="211"/>
    <x v="10"/>
    <x v="0"/>
    <x v="0"/>
    <n v="65"/>
    <s v="Male"/>
    <x v="0"/>
    <n v="3"/>
    <n v="3441"/>
    <x v="1"/>
    <n v="3"/>
    <n v="3"/>
    <n v="2"/>
    <x v="2"/>
    <s v="Good"/>
    <s v="₹ 10000 - ₹ 19,999"/>
    <s v="Recommend training"/>
  </r>
  <r>
    <x v="212"/>
    <x v="10"/>
    <x v="1"/>
    <x v="1"/>
    <n v="129"/>
    <s v="Male"/>
    <x v="5"/>
    <n v="3"/>
    <n v="4221"/>
    <x v="0"/>
    <n v="3"/>
    <n v="3"/>
    <n v="5"/>
    <x v="1"/>
    <s v="Good"/>
    <s v="₹ 10000 - ₹ 19,999"/>
    <s v="Recommend training"/>
  </r>
  <r>
    <x v="213"/>
    <x v="10"/>
    <x v="1"/>
    <x v="0"/>
    <n v="221"/>
    <s v="Male"/>
    <x v="2"/>
    <n v="4"/>
    <n v="2713"/>
    <x v="0"/>
    <n v="3"/>
    <n v="2"/>
    <n v="5"/>
    <x v="1"/>
    <s v="Good"/>
    <s v="₹ 3,000- ₹ 7,000"/>
    <s v="Recommend training"/>
  </r>
  <r>
    <x v="214"/>
    <x v="10"/>
    <x v="0"/>
    <x v="0"/>
    <n v="364"/>
    <s v="Male"/>
    <x v="0"/>
    <n v="3"/>
    <n v="3485"/>
    <x v="0"/>
    <n v="3"/>
    <n v="5"/>
    <n v="0"/>
    <x v="0"/>
    <s v="Good"/>
    <s v="₹ 10000 - ₹ 19,999"/>
    <s v="Recommend training"/>
  </r>
  <r>
    <x v="215"/>
    <x v="10"/>
    <x v="1"/>
    <x v="0"/>
    <n v="377"/>
    <s v="Male"/>
    <x v="2"/>
    <n v="4"/>
    <n v="2070"/>
    <x v="0"/>
    <n v="4"/>
    <n v="3"/>
    <n v="5"/>
    <x v="1"/>
    <s v="Excellent"/>
    <s v="₹ 3,000- ₹ 7,000"/>
    <s v="Not recommend training"/>
  </r>
  <r>
    <x v="216"/>
    <x v="10"/>
    <x v="1"/>
    <x v="0"/>
    <n v="395"/>
    <s v="Female"/>
    <x v="2"/>
    <n v="4"/>
    <n v="3310"/>
    <x v="0"/>
    <n v="4"/>
    <n v="3"/>
    <n v="5"/>
    <x v="1"/>
    <s v="Excellent"/>
    <s v="₹ 10000 - ₹ 19,999"/>
    <s v="Not recommend training"/>
  </r>
  <r>
    <x v="217"/>
    <x v="10"/>
    <x v="1"/>
    <x v="0"/>
    <n v="412"/>
    <s v="Male"/>
    <x v="6"/>
    <n v="1"/>
    <n v="5661"/>
    <x v="0"/>
    <n v="3"/>
    <n v="2"/>
    <n v="8"/>
    <x v="1"/>
    <s v="Good"/>
    <s v="₹ 10000 - ₹ 19,999"/>
    <s v="Recommend training"/>
  </r>
  <r>
    <x v="218"/>
    <x v="10"/>
    <x v="0"/>
    <x v="0"/>
    <n v="440"/>
    <s v="Male"/>
    <x v="2"/>
    <n v="4"/>
    <n v="3464"/>
    <x v="1"/>
    <n v="3"/>
    <n v="4"/>
    <n v="3"/>
    <x v="2"/>
    <s v="Good"/>
    <s v="₹ 10000 - ₹ 19,999"/>
    <s v="Recommend training"/>
  </r>
  <r>
    <x v="219"/>
    <x v="10"/>
    <x v="1"/>
    <x v="1"/>
    <n v="498"/>
    <s v="Male"/>
    <x v="5"/>
    <n v="4"/>
    <n v="5253"/>
    <x v="0"/>
    <n v="3"/>
    <n v="1"/>
    <n v="7"/>
    <x v="1"/>
    <s v="Good"/>
    <s v="₹ 10000 - ₹ 19,999"/>
    <s v="Recommend training"/>
  </r>
  <r>
    <x v="220"/>
    <x v="10"/>
    <x v="1"/>
    <x v="0"/>
    <n v="536"/>
    <s v="Male"/>
    <x v="0"/>
    <n v="1"/>
    <n v="4558"/>
    <x v="0"/>
    <n v="3"/>
    <n v="2"/>
    <n v="10"/>
    <x v="1"/>
    <s v="Good"/>
    <s v="₹ 10000 - ₹ 19,999"/>
    <s v="Recommend training"/>
  </r>
  <r>
    <x v="221"/>
    <x v="10"/>
    <x v="0"/>
    <x v="0"/>
    <n v="741"/>
    <s v="Female"/>
    <x v="2"/>
    <n v="2"/>
    <n v="2216"/>
    <x v="1"/>
    <n v="3"/>
    <n v="4"/>
    <n v="7"/>
    <x v="2"/>
    <s v="Good"/>
    <s v="₹ 3,000- ₹ 7,000"/>
    <s v="Recommend training"/>
  </r>
  <r>
    <x v="222"/>
    <x v="10"/>
    <x v="0"/>
    <x v="0"/>
    <n v="828"/>
    <s v="Male"/>
    <x v="2"/>
    <n v="3"/>
    <n v="4382"/>
    <x v="0"/>
    <n v="3"/>
    <n v="3"/>
    <n v="2"/>
    <x v="0"/>
    <s v="Good"/>
    <s v="₹ 10000 - ₹ 19,999"/>
    <s v="Recommend training"/>
  </r>
  <r>
    <x v="223"/>
    <x v="10"/>
    <x v="1"/>
    <x v="1"/>
    <n v="846"/>
    <s v="Female"/>
    <x v="5"/>
    <n v="2"/>
    <n v="4779"/>
    <x v="1"/>
    <n v="4"/>
    <n v="2"/>
    <n v="8"/>
    <x v="0"/>
    <s v="Excellent"/>
    <s v="₹ 10000 - ₹ 19,999"/>
    <s v="Recommend training"/>
  </r>
  <r>
    <x v="224"/>
    <x v="10"/>
    <x v="1"/>
    <x v="2"/>
    <n v="869"/>
    <s v="Male"/>
    <x v="3"/>
    <n v="4"/>
    <n v="4936"/>
    <x v="0"/>
    <n v="3"/>
    <n v="6"/>
    <n v="5"/>
    <x v="1"/>
    <s v="Good"/>
    <s v="₹ 10000 - ₹ 19,999"/>
    <s v="Recommend training"/>
  </r>
  <r>
    <x v="225"/>
    <x v="10"/>
    <x v="1"/>
    <x v="1"/>
    <n v="916"/>
    <s v="Male"/>
    <x v="5"/>
    <n v="4"/>
    <n v="4908"/>
    <x v="0"/>
    <n v="3"/>
    <n v="3"/>
    <n v="4"/>
    <x v="1"/>
    <s v="Good"/>
    <s v="₹ 10000 - ₹ 19,999"/>
    <s v="Recommend training"/>
  </r>
  <r>
    <x v="226"/>
    <x v="10"/>
    <x v="1"/>
    <x v="0"/>
    <n v="930"/>
    <s v="Female"/>
    <x v="2"/>
    <n v="3"/>
    <n v="2377"/>
    <x v="0"/>
    <n v="3"/>
    <n v="2"/>
    <n v="2"/>
    <x v="1"/>
    <s v="Good"/>
    <s v="₹ 3,000- ₹ 7,000"/>
    <s v="Recommend training"/>
  </r>
  <r>
    <x v="227"/>
    <x v="10"/>
    <x v="1"/>
    <x v="1"/>
    <n v="1056"/>
    <s v="Male"/>
    <x v="1"/>
    <n v="2"/>
    <n v="1052"/>
    <x v="0"/>
    <n v="4"/>
    <n v="5"/>
    <n v="1"/>
    <x v="1"/>
    <s v="Excellent"/>
    <s v="₹ 3,000- ₹ 7,000"/>
    <s v="Recommend training"/>
  </r>
  <r>
    <x v="228"/>
    <x v="10"/>
    <x v="0"/>
    <x v="0"/>
    <n v="1082"/>
    <s v="Male"/>
    <x v="6"/>
    <n v="1"/>
    <n v="8722"/>
    <x v="0"/>
    <n v="3"/>
    <n v="2"/>
    <n v="10"/>
    <x v="0"/>
    <s v="Good"/>
    <s v="₹ 7,000 - ₹ 10,000"/>
    <s v="Recommend training"/>
  </r>
  <r>
    <x v="229"/>
    <x v="10"/>
    <x v="1"/>
    <x v="0"/>
    <n v="1097"/>
    <s v="Female"/>
    <x v="2"/>
    <n v="3"/>
    <n v="3660"/>
    <x v="0"/>
    <n v="3"/>
    <n v="4"/>
    <n v="8"/>
    <x v="1"/>
    <s v="Good"/>
    <s v="₹ 10000 - ₹ 19,999"/>
    <s v="Recommend training"/>
  </r>
  <r>
    <x v="230"/>
    <x v="10"/>
    <x v="1"/>
    <x v="0"/>
    <n v="1102"/>
    <s v="Male"/>
    <x v="0"/>
    <n v="3"/>
    <n v="2207"/>
    <x v="0"/>
    <n v="3"/>
    <n v="5"/>
    <n v="4"/>
    <x v="1"/>
    <s v="Good"/>
    <s v="₹ 3,000- ₹ 7,000"/>
    <s v="Recommend training"/>
  </r>
  <r>
    <x v="231"/>
    <x v="10"/>
    <x v="0"/>
    <x v="0"/>
    <n v="1111"/>
    <s v="Male"/>
    <x v="0"/>
    <n v="2"/>
    <n v="2596"/>
    <x v="0"/>
    <n v="3"/>
    <n v="2"/>
    <n v="1"/>
    <x v="0"/>
    <s v="Good"/>
    <s v="₹ 3,000- ₹ 7,000"/>
    <s v="Recommend training"/>
  </r>
  <r>
    <x v="232"/>
    <x v="10"/>
    <x v="1"/>
    <x v="0"/>
    <n v="1121"/>
    <s v="Female"/>
    <x v="4"/>
    <n v="2"/>
    <n v="7655"/>
    <x v="0"/>
    <n v="3"/>
    <n v="3"/>
    <n v="9"/>
    <x v="1"/>
    <s v="Good"/>
    <s v="₹ 7,000 - ₹ 10,000"/>
    <s v="Recommend training"/>
  </r>
  <r>
    <x v="233"/>
    <x v="10"/>
    <x v="1"/>
    <x v="0"/>
    <n v="1136"/>
    <s v="Male"/>
    <x v="2"/>
    <n v="2"/>
    <n v="3201"/>
    <x v="0"/>
    <n v="3"/>
    <n v="2"/>
    <n v="5"/>
    <x v="1"/>
    <s v="Good"/>
    <s v="₹ 10000 - ₹ 19,999"/>
    <s v="Recommend training"/>
  </r>
  <r>
    <x v="234"/>
    <x v="10"/>
    <x v="1"/>
    <x v="0"/>
    <n v="1154"/>
    <s v="Male"/>
    <x v="2"/>
    <n v="3"/>
    <n v="2703"/>
    <x v="1"/>
    <n v="3"/>
    <n v="2"/>
    <n v="3"/>
    <x v="0"/>
    <s v="Good"/>
    <s v="₹ 3,000- ₹ 7,000"/>
    <s v="Recommend training"/>
  </r>
  <r>
    <x v="235"/>
    <x v="10"/>
    <x v="0"/>
    <x v="0"/>
    <n v="1175"/>
    <s v="Female"/>
    <x v="0"/>
    <n v="4"/>
    <n v="2515"/>
    <x v="1"/>
    <n v="3"/>
    <n v="4"/>
    <n v="1"/>
    <x v="2"/>
    <s v="Good"/>
    <s v="₹ 3,000- ₹ 7,000"/>
    <s v="Recommend training"/>
  </r>
  <r>
    <x v="236"/>
    <x v="10"/>
    <x v="1"/>
    <x v="0"/>
    <n v="1216"/>
    <s v="Male"/>
    <x v="0"/>
    <n v="1"/>
    <n v="3196"/>
    <x v="0"/>
    <n v="3"/>
    <n v="2"/>
    <n v="6"/>
    <x v="1"/>
    <s v="Good"/>
    <s v="₹ 10000 - ₹ 19,999"/>
    <s v="Recommend training"/>
  </r>
  <r>
    <x v="237"/>
    <x v="10"/>
    <x v="1"/>
    <x v="0"/>
    <n v="1286"/>
    <s v="Male"/>
    <x v="0"/>
    <n v="3"/>
    <n v="2154"/>
    <x v="1"/>
    <n v="3"/>
    <n v="2"/>
    <n v="4"/>
    <x v="0"/>
    <s v="Good"/>
    <s v="₹ 3,000- ₹ 7,000"/>
    <s v="Recommend training"/>
  </r>
  <r>
    <x v="238"/>
    <x v="10"/>
    <x v="1"/>
    <x v="0"/>
    <n v="1296"/>
    <s v="Male"/>
    <x v="0"/>
    <n v="4"/>
    <n v="3867"/>
    <x v="1"/>
    <n v="3"/>
    <n v="2"/>
    <n v="2"/>
    <x v="0"/>
    <s v="Good"/>
    <s v="₹ 10000 - ₹ 19,999"/>
    <s v="Recommend training"/>
  </r>
  <r>
    <x v="239"/>
    <x v="10"/>
    <x v="1"/>
    <x v="0"/>
    <n v="1301"/>
    <s v="Male"/>
    <x v="2"/>
    <n v="1"/>
    <n v="2080"/>
    <x v="0"/>
    <n v="3"/>
    <n v="2"/>
    <n v="3"/>
    <x v="1"/>
    <s v="Good"/>
    <s v="₹ 3,000- ₹ 7,000"/>
    <s v="Recommend training"/>
  </r>
  <r>
    <x v="240"/>
    <x v="10"/>
    <x v="1"/>
    <x v="0"/>
    <n v="1315"/>
    <s v="Female"/>
    <x v="0"/>
    <n v="4"/>
    <n v="6674"/>
    <x v="0"/>
    <n v="3"/>
    <n v="6"/>
    <n v="9"/>
    <x v="1"/>
    <s v="Good"/>
    <s v="₹ 10000 - ₹ 19,999"/>
    <s v="Recommend training"/>
  </r>
  <r>
    <x v="241"/>
    <x v="10"/>
    <x v="1"/>
    <x v="1"/>
    <n v="1387"/>
    <s v="Male"/>
    <x v="5"/>
    <n v="1"/>
    <n v="4724"/>
    <x v="0"/>
    <n v="3"/>
    <n v="0"/>
    <n v="5"/>
    <x v="1"/>
    <s v="Good"/>
    <s v="₹ 10000 - ₹ 19,999"/>
    <s v="Recommend training"/>
  </r>
  <r>
    <x v="242"/>
    <x v="10"/>
    <x v="1"/>
    <x v="1"/>
    <n v="1469"/>
    <s v="Male"/>
    <x v="5"/>
    <n v="1"/>
    <n v="8463"/>
    <x v="0"/>
    <n v="3"/>
    <n v="4"/>
    <n v="5"/>
    <x v="1"/>
    <s v="Good"/>
    <s v="₹ 7,000 - ₹ 10,000"/>
    <s v="Recommend training"/>
  </r>
  <r>
    <x v="243"/>
    <x v="10"/>
    <x v="0"/>
    <x v="1"/>
    <n v="1486"/>
    <s v="Male"/>
    <x v="1"/>
    <n v="3"/>
    <n v="2909"/>
    <x v="0"/>
    <n v="3"/>
    <n v="3"/>
    <n v="3"/>
    <x v="0"/>
    <s v="Good"/>
    <s v="₹ 3,000- ₹ 7,000"/>
    <s v="Recommend training"/>
  </r>
  <r>
    <x v="244"/>
    <x v="10"/>
    <x v="0"/>
    <x v="0"/>
    <n v="1504"/>
    <s v="Male"/>
    <x v="0"/>
    <n v="1"/>
    <n v="2561"/>
    <x v="0"/>
    <n v="3"/>
    <n v="2"/>
    <n v="0"/>
    <x v="0"/>
    <s v="Good"/>
    <s v="₹ 3,000- ₹ 7,000"/>
    <s v="Recommend training"/>
  </r>
  <r>
    <x v="245"/>
    <x v="10"/>
    <x v="1"/>
    <x v="0"/>
    <n v="1506"/>
    <s v="Male"/>
    <x v="2"/>
    <n v="3"/>
    <n v="1563"/>
    <x v="0"/>
    <n v="3"/>
    <n v="2"/>
    <n v="1"/>
    <x v="1"/>
    <s v="Good"/>
    <s v="₹ 3,000- ₹ 7,000"/>
    <s v="Recommend training"/>
  </r>
  <r>
    <x v="246"/>
    <x v="10"/>
    <x v="1"/>
    <x v="1"/>
    <n v="1507"/>
    <s v="Male"/>
    <x v="5"/>
    <n v="1"/>
    <n v="4898"/>
    <x v="0"/>
    <n v="3"/>
    <n v="5"/>
    <n v="4"/>
    <x v="1"/>
    <s v="Good"/>
    <s v="₹ 10000 - ₹ 19,999"/>
    <s v="Recommend training"/>
  </r>
  <r>
    <x v="247"/>
    <x v="10"/>
    <x v="1"/>
    <x v="0"/>
    <n v="1514"/>
    <s v="Male"/>
    <x v="4"/>
    <n v="2"/>
    <n v="6549"/>
    <x v="0"/>
    <n v="3"/>
    <n v="2"/>
    <n v="8"/>
    <x v="1"/>
    <s v="Good"/>
    <s v="₹ 10000 - ₹ 19,999"/>
    <s v="Recommend training"/>
  </r>
  <r>
    <x v="248"/>
    <x v="10"/>
    <x v="0"/>
    <x v="0"/>
    <n v="1604"/>
    <s v="Male"/>
    <x v="0"/>
    <n v="2"/>
    <n v="2408"/>
    <x v="1"/>
    <n v="3"/>
    <n v="3"/>
    <n v="1"/>
    <x v="2"/>
    <s v="Good"/>
    <s v="₹ 3,000- ₹ 7,000"/>
    <s v="Recommend training"/>
  </r>
  <r>
    <x v="249"/>
    <x v="10"/>
    <x v="1"/>
    <x v="0"/>
    <n v="1622"/>
    <s v="Female"/>
    <x v="4"/>
    <n v="1"/>
    <n v="4877"/>
    <x v="0"/>
    <n v="4"/>
    <n v="5"/>
    <n v="5"/>
    <x v="1"/>
    <s v="Excellent"/>
    <s v="₹ 10000 - ₹ 19,999"/>
    <s v="Not recommend training"/>
  </r>
  <r>
    <x v="250"/>
    <x v="10"/>
    <x v="1"/>
    <x v="0"/>
    <n v="1799"/>
    <s v="Male"/>
    <x v="2"/>
    <n v="4"/>
    <n v="2044"/>
    <x v="0"/>
    <n v="3"/>
    <n v="6"/>
    <n v="5"/>
    <x v="1"/>
    <s v="Good"/>
    <s v="₹ 3,000- ₹ 7,000"/>
    <s v="Recommend training"/>
  </r>
  <r>
    <x v="251"/>
    <x v="10"/>
    <x v="1"/>
    <x v="0"/>
    <n v="1834"/>
    <s v="Female"/>
    <x v="2"/>
    <n v="1"/>
    <n v="3591"/>
    <x v="0"/>
    <n v="4"/>
    <n v="3"/>
    <n v="3"/>
    <x v="1"/>
    <s v="Excellent"/>
    <s v="₹ 10000 - ₹ 19,999"/>
    <s v="Not recommend training"/>
  </r>
  <r>
    <x v="252"/>
    <x v="10"/>
    <x v="1"/>
    <x v="2"/>
    <n v="1858"/>
    <s v="Male"/>
    <x v="3"/>
    <n v="4"/>
    <n v="2706"/>
    <x v="0"/>
    <n v="3"/>
    <n v="2"/>
    <n v="3"/>
    <x v="1"/>
    <s v="Good"/>
    <s v="₹ 3,000- ₹ 7,000"/>
    <s v="Recommend training"/>
  </r>
  <r>
    <x v="253"/>
    <x v="10"/>
    <x v="1"/>
    <x v="1"/>
    <n v="1875"/>
    <s v="Female"/>
    <x v="1"/>
    <n v="2"/>
    <n v="2856"/>
    <x v="0"/>
    <n v="3"/>
    <n v="3"/>
    <n v="1"/>
    <x v="1"/>
    <s v="Good"/>
    <s v="₹ 3,000- ₹ 7,000"/>
    <s v="Recommend training"/>
  </r>
  <r>
    <x v="254"/>
    <x v="10"/>
    <x v="1"/>
    <x v="1"/>
    <n v="1927"/>
    <s v="Male"/>
    <x v="5"/>
    <n v="4"/>
    <n v="6834"/>
    <x v="1"/>
    <n v="3"/>
    <n v="2"/>
    <n v="7"/>
    <x v="0"/>
    <s v="Good"/>
    <s v="₹ 10000 - ₹ 19,999"/>
    <s v="Recommend training"/>
  </r>
  <r>
    <x v="255"/>
    <x v="10"/>
    <x v="0"/>
    <x v="1"/>
    <n v="1933"/>
    <s v="Female"/>
    <x v="5"/>
    <n v="3"/>
    <n v="9854"/>
    <x v="1"/>
    <n v="3"/>
    <n v="0"/>
    <n v="2"/>
    <x v="2"/>
    <s v="Good"/>
    <s v="₹ 7,000 - ₹ 10,000"/>
    <s v="Recommend training"/>
  </r>
  <r>
    <x v="256"/>
    <x v="10"/>
    <x v="1"/>
    <x v="0"/>
    <n v="1947"/>
    <s v="Male"/>
    <x v="2"/>
    <n v="3"/>
    <n v="2144"/>
    <x v="0"/>
    <n v="3"/>
    <n v="3"/>
    <n v="5"/>
    <x v="1"/>
    <s v="Good"/>
    <s v="₹ 3,000- ₹ 7,000"/>
    <s v="Recommend training"/>
  </r>
  <r>
    <x v="257"/>
    <x v="10"/>
    <x v="0"/>
    <x v="0"/>
    <n v="1960"/>
    <s v="Male"/>
    <x v="0"/>
    <n v="4"/>
    <n v="2367"/>
    <x v="0"/>
    <n v="3"/>
    <n v="2"/>
    <n v="4"/>
    <x v="0"/>
    <s v="Good"/>
    <s v="₹ 3,000- ₹ 7,000"/>
    <s v="Recommend training"/>
  </r>
  <r>
    <x v="258"/>
    <x v="11"/>
    <x v="1"/>
    <x v="0"/>
    <n v="15"/>
    <s v="Female"/>
    <x v="0"/>
    <n v="3"/>
    <n v="4193"/>
    <x v="1"/>
    <n v="3"/>
    <n v="3"/>
    <n v="9"/>
    <x v="0"/>
    <s v="Good"/>
    <s v="₹ 10000 - ₹ 19,999"/>
    <s v="Recommend training"/>
  </r>
  <r>
    <x v="259"/>
    <x v="11"/>
    <x v="1"/>
    <x v="0"/>
    <n v="20"/>
    <s v="Female"/>
    <x v="4"/>
    <n v="1"/>
    <n v="9980"/>
    <x v="0"/>
    <n v="3"/>
    <n v="1"/>
    <n v="10"/>
    <x v="1"/>
    <s v="Good"/>
    <s v="₹ 7,000 - ₹ 10,000"/>
    <s v="Recommend training"/>
  </r>
  <r>
    <x v="260"/>
    <x v="11"/>
    <x v="1"/>
    <x v="0"/>
    <n v="94"/>
    <s v="Male"/>
    <x v="2"/>
    <n v="2"/>
    <n v="2703"/>
    <x v="0"/>
    <n v="4"/>
    <n v="3"/>
    <n v="5"/>
    <x v="1"/>
    <s v="Excellent"/>
    <s v="₹ 3,000- ₹ 7,000"/>
    <s v="Not recommend training"/>
  </r>
  <r>
    <x v="261"/>
    <x v="11"/>
    <x v="1"/>
    <x v="0"/>
    <n v="208"/>
    <s v="Male"/>
    <x v="4"/>
    <n v="3"/>
    <n v="4319"/>
    <x v="0"/>
    <n v="3"/>
    <n v="1"/>
    <n v="10"/>
    <x v="1"/>
    <s v="Good"/>
    <s v="₹ 10000 - ₹ 19,999"/>
    <s v="Recommend training"/>
  </r>
  <r>
    <x v="262"/>
    <x v="11"/>
    <x v="0"/>
    <x v="1"/>
    <n v="283"/>
    <s v="Female"/>
    <x v="5"/>
    <n v="4"/>
    <n v="7639"/>
    <x v="0"/>
    <n v="4"/>
    <n v="3"/>
    <n v="10"/>
    <x v="0"/>
    <s v="Excellent"/>
    <s v="₹ 7,000 - ₹ 10,000"/>
    <s v="Not recommend training"/>
  </r>
  <r>
    <x v="263"/>
    <x v="11"/>
    <x v="0"/>
    <x v="0"/>
    <n v="300"/>
    <s v="Male"/>
    <x v="2"/>
    <n v="3"/>
    <n v="2058"/>
    <x v="0"/>
    <n v="3"/>
    <n v="1"/>
    <n v="6"/>
    <x v="0"/>
    <s v="Good"/>
    <s v="₹ 3,000- ₹ 7,000"/>
    <s v="Recommend training"/>
  </r>
  <r>
    <x v="264"/>
    <x v="11"/>
    <x v="1"/>
    <x v="1"/>
    <n v="312"/>
    <s v="Female"/>
    <x v="5"/>
    <n v="4"/>
    <n v="7918"/>
    <x v="0"/>
    <n v="3"/>
    <n v="5"/>
    <n v="11"/>
    <x v="1"/>
    <s v="Good"/>
    <s v="₹ 7,000 - ₹ 10,000"/>
    <s v="Recommend training"/>
  </r>
  <r>
    <x v="265"/>
    <x v="11"/>
    <x v="0"/>
    <x v="0"/>
    <n v="315"/>
    <s v="Male"/>
    <x v="2"/>
    <n v="4"/>
    <n v="2389"/>
    <x v="1"/>
    <n v="3"/>
    <n v="3"/>
    <n v="4"/>
    <x v="2"/>
    <s v="Good"/>
    <s v="₹ 3,000- ₹ 7,000"/>
    <s v="Recommend training"/>
  </r>
  <r>
    <x v="266"/>
    <x v="11"/>
    <x v="1"/>
    <x v="0"/>
    <n v="346"/>
    <s v="Male"/>
    <x v="2"/>
    <n v="4"/>
    <n v="2340"/>
    <x v="0"/>
    <n v="3"/>
    <n v="1"/>
    <n v="6"/>
    <x v="1"/>
    <s v="Good"/>
    <s v="₹ 3,000- ₹ 7,000"/>
    <s v="Recommend training"/>
  </r>
  <r>
    <x v="267"/>
    <x v="11"/>
    <x v="1"/>
    <x v="1"/>
    <n v="349"/>
    <s v="Male"/>
    <x v="5"/>
    <n v="4"/>
    <n v="6931"/>
    <x v="0"/>
    <n v="3"/>
    <n v="2"/>
    <n v="3"/>
    <x v="1"/>
    <s v="Good"/>
    <s v="₹ 10000 - ₹ 19,999"/>
    <s v="Recommend training"/>
  </r>
  <r>
    <x v="268"/>
    <x v="11"/>
    <x v="1"/>
    <x v="1"/>
    <n v="366"/>
    <s v="Male"/>
    <x v="5"/>
    <n v="2"/>
    <n v="6644"/>
    <x v="0"/>
    <n v="3"/>
    <n v="2"/>
    <n v="0"/>
    <x v="1"/>
    <s v="Good"/>
    <s v="₹ 10000 - ₹ 19,999"/>
    <s v="Recommend training"/>
  </r>
  <r>
    <x v="269"/>
    <x v="11"/>
    <x v="1"/>
    <x v="1"/>
    <n v="388"/>
    <s v="Male"/>
    <x v="5"/>
    <n v="4"/>
    <n v="4554"/>
    <x v="0"/>
    <n v="3"/>
    <n v="3"/>
    <n v="10"/>
    <x v="1"/>
    <s v="Good"/>
    <s v="₹ 10000 - ₹ 19,999"/>
    <s v="Recommend training"/>
  </r>
  <r>
    <x v="270"/>
    <x v="11"/>
    <x v="0"/>
    <x v="0"/>
    <n v="454"/>
    <s v="Male"/>
    <x v="0"/>
    <n v="1"/>
    <n v="2119"/>
    <x v="1"/>
    <n v="3"/>
    <n v="4"/>
    <n v="7"/>
    <x v="2"/>
    <s v="Good"/>
    <s v="₹ 3,000- ₹ 7,000"/>
    <s v="Recommend training"/>
  </r>
  <r>
    <x v="271"/>
    <x v="11"/>
    <x v="1"/>
    <x v="0"/>
    <n v="455"/>
    <s v="Male"/>
    <x v="0"/>
    <n v="4"/>
    <n v="3983"/>
    <x v="0"/>
    <n v="3"/>
    <n v="2"/>
    <n v="3"/>
    <x v="1"/>
    <s v="Good"/>
    <s v="₹ 10000 - ₹ 19,999"/>
    <s v="Recommend training"/>
  </r>
  <r>
    <x v="272"/>
    <x v="11"/>
    <x v="1"/>
    <x v="1"/>
    <n v="463"/>
    <s v="Female"/>
    <x v="5"/>
    <n v="2"/>
    <n v="8268"/>
    <x v="1"/>
    <n v="3"/>
    <n v="2"/>
    <n v="7"/>
    <x v="0"/>
    <s v="Good"/>
    <s v="₹ 7,000 - ₹ 10,000"/>
    <s v="Recommend training"/>
  </r>
  <r>
    <x v="273"/>
    <x v="11"/>
    <x v="1"/>
    <x v="1"/>
    <n v="469"/>
    <s v="Male"/>
    <x v="5"/>
    <n v="3"/>
    <n v="4649"/>
    <x v="0"/>
    <n v="3"/>
    <n v="3"/>
    <n v="4"/>
    <x v="1"/>
    <s v="Good"/>
    <s v="₹ 10000 - ₹ 19,999"/>
    <s v="Recommend training"/>
  </r>
  <r>
    <x v="274"/>
    <x v="11"/>
    <x v="1"/>
    <x v="0"/>
    <n v="495"/>
    <s v="Male"/>
    <x v="2"/>
    <n v="4"/>
    <n v="2201"/>
    <x v="0"/>
    <n v="3"/>
    <n v="4"/>
    <n v="3"/>
    <x v="1"/>
    <s v="Good"/>
    <s v="₹ 3,000- ₹ 7,000"/>
    <s v="Recommend training"/>
  </r>
  <r>
    <x v="275"/>
    <x v="11"/>
    <x v="1"/>
    <x v="0"/>
    <n v="564"/>
    <s v="Male"/>
    <x v="7"/>
    <n v="3"/>
    <n v="11935"/>
    <x v="0"/>
    <n v="3"/>
    <n v="2"/>
    <n v="10"/>
    <x v="1"/>
    <s v="Good"/>
    <s v="₹ 10000 - ₹ 19,999"/>
    <s v="Recommend training"/>
  </r>
  <r>
    <x v="276"/>
    <x v="11"/>
    <x v="0"/>
    <x v="0"/>
    <n v="565"/>
    <s v="Female"/>
    <x v="2"/>
    <n v="2"/>
    <n v="2546"/>
    <x v="0"/>
    <n v="3"/>
    <n v="2"/>
    <n v="2"/>
    <x v="0"/>
    <s v="Good"/>
    <s v="₹ 3,000- ₹ 7,000"/>
    <s v="Recommend training"/>
  </r>
  <r>
    <x v="277"/>
    <x v="11"/>
    <x v="1"/>
    <x v="0"/>
    <n v="611"/>
    <s v="Male"/>
    <x v="4"/>
    <n v="4"/>
    <n v="4262"/>
    <x v="0"/>
    <n v="3"/>
    <n v="2"/>
    <n v="3"/>
    <x v="1"/>
    <s v="Good"/>
    <s v="₹ 10000 - ₹ 19,999"/>
    <s v="Recommend training"/>
  </r>
  <r>
    <x v="278"/>
    <x v="11"/>
    <x v="1"/>
    <x v="1"/>
    <n v="690"/>
    <s v="Female"/>
    <x v="5"/>
    <n v="3"/>
    <n v="5561"/>
    <x v="0"/>
    <n v="3"/>
    <n v="5"/>
    <n v="6"/>
    <x v="1"/>
    <s v="Good"/>
    <s v="₹ 10000 - ₹ 19,999"/>
    <s v="Recommend training"/>
  </r>
  <r>
    <x v="279"/>
    <x v="11"/>
    <x v="1"/>
    <x v="0"/>
    <n v="710"/>
    <s v="Male"/>
    <x v="2"/>
    <n v="4"/>
    <n v="2720"/>
    <x v="0"/>
    <n v="3"/>
    <n v="5"/>
    <n v="10"/>
    <x v="1"/>
    <s v="Good"/>
    <s v="₹ 3,000- ₹ 7,000"/>
    <s v="Recommend training"/>
  </r>
  <r>
    <x v="280"/>
    <x v="11"/>
    <x v="1"/>
    <x v="1"/>
    <n v="749"/>
    <s v="Male"/>
    <x v="1"/>
    <n v="3"/>
    <n v="2642"/>
    <x v="0"/>
    <n v="3"/>
    <n v="6"/>
    <n v="1"/>
    <x v="1"/>
    <s v="Good"/>
    <s v="₹ 3,000- ₹ 7,000"/>
    <s v="Recommend training"/>
  </r>
  <r>
    <x v="281"/>
    <x v="11"/>
    <x v="1"/>
    <x v="1"/>
    <n v="766"/>
    <s v="Male"/>
    <x v="1"/>
    <n v="2"/>
    <n v="2297"/>
    <x v="0"/>
    <n v="3"/>
    <n v="2"/>
    <n v="2"/>
    <x v="1"/>
    <s v="Good"/>
    <s v="₹ 3,000- ₹ 7,000"/>
    <s v="Recommend training"/>
  </r>
  <r>
    <x v="282"/>
    <x v="11"/>
    <x v="1"/>
    <x v="0"/>
    <n v="793"/>
    <s v="Female"/>
    <x v="6"/>
    <n v="3"/>
    <n v="4335"/>
    <x v="0"/>
    <n v="3"/>
    <n v="3"/>
    <n v="8"/>
    <x v="1"/>
    <s v="Good"/>
    <s v="₹ 10000 - ₹ 19,999"/>
    <s v="Recommend training"/>
  </r>
  <r>
    <x v="283"/>
    <x v="11"/>
    <x v="0"/>
    <x v="0"/>
    <n v="816"/>
    <s v="Female"/>
    <x v="0"/>
    <n v="1"/>
    <n v="2319"/>
    <x v="1"/>
    <n v="3"/>
    <n v="1"/>
    <n v="1"/>
    <x v="2"/>
    <s v="Good"/>
    <s v="₹ 3,000- ₹ 7,000"/>
    <s v="Recommend training"/>
  </r>
  <r>
    <x v="284"/>
    <x v="11"/>
    <x v="1"/>
    <x v="0"/>
    <n v="824"/>
    <s v="Male"/>
    <x v="2"/>
    <n v="3"/>
    <n v="2700"/>
    <x v="0"/>
    <n v="4"/>
    <n v="3"/>
    <n v="10"/>
    <x v="1"/>
    <s v="Excellent"/>
    <s v="₹ 3,000- ₹ 7,000"/>
    <s v="Not recommend training"/>
  </r>
  <r>
    <x v="285"/>
    <x v="11"/>
    <x v="0"/>
    <x v="1"/>
    <n v="896"/>
    <s v="Female"/>
    <x v="1"/>
    <n v="3"/>
    <n v="2800"/>
    <x v="1"/>
    <n v="3"/>
    <n v="3"/>
    <n v="3"/>
    <x v="2"/>
    <s v="Good"/>
    <s v="₹ 3,000- ₹ 7,000"/>
    <s v="Recommend training"/>
  </r>
  <r>
    <x v="286"/>
    <x v="11"/>
    <x v="1"/>
    <x v="0"/>
    <n v="912"/>
    <s v="Female"/>
    <x v="0"/>
    <n v="4"/>
    <n v="2532"/>
    <x v="0"/>
    <n v="3"/>
    <n v="5"/>
    <n v="4"/>
    <x v="1"/>
    <s v="Good"/>
    <s v="₹ 3,000- ₹ 7,000"/>
    <s v="Recommend training"/>
  </r>
  <r>
    <x v="287"/>
    <x v="11"/>
    <x v="1"/>
    <x v="1"/>
    <n v="974"/>
    <s v="Female"/>
    <x v="1"/>
    <n v="4"/>
    <n v="2157"/>
    <x v="0"/>
    <n v="3"/>
    <n v="5"/>
    <n v="3"/>
    <x v="1"/>
    <s v="Good"/>
    <s v="₹ 3,000- ₹ 7,000"/>
    <s v="Recommend training"/>
  </r>
  <r>
    <x v="288"/>
    <x v="11"/>
    <x v="0"/>
    <x v="0"/>
    <n v="994"/>
    <s v="Female"/>
    <x v="2"/>
    <n v="1"/>
    <n v="2404"/>
    <x v="1"/>
    <n v="4"/>
    <n v="5"/>
    <n v="0"/>
    <x v="2"/>
    <s v="Excellent"/>
    <s v="₹ 3,000- ₹ 7,000"/>
    <s v="Not recommend training"/>
  </r>
  <r>
    <x v="289"/>
    <x v="11"/>
    <x v="1"/>
    <x v="0"/>
    <n v="1120"/>
    <s v="Female"/>
    <x v="2"/>
    <n v="4"/>
    <n v="2514"/>
    <x v="0"/>
    <n v="4"/>
    <n v="1"/>
    <n v="7"/>
    <x v="1"/>
    <s v="Excellent"/>
    <s v="₹ 3,000- ₹ 7,000"/>
    <s v="Not recommend training"/>
  </r>
  <r>
    <x v="290"/>
    <x v="11"/>
    <x v="1"/>
    <x v="0"/>
    <n v="1143"/>
    <s v="Female"/>
    <x v="2"/>
    <n v="2"/>
    <n v="3291"/>
    <x v="0"/>
    <n v="3"/>
    <n v="2"/>
    <n v="7"/>
    <x v="1"/>
    <s v="Good"/>
    <s v="₹ 10000 - ₹ 19,999"/>
    <s v="Recommend training"/>
  </r>
  <r>
    <x v="291"/>
    <x v="11"/>
    <x v="1"/>
    <x v="0"/>
    <n v="1150"/>
    <s v="Male"/>
    <x v="4"/>
    <n v="4"/>
    <n v="5056"/>
    <x v="1"/>
    <n v="3"/>
    <n v="2"/>
    <n v="10"/>
    <x v="0"/>
    <s v="Good"/>
    <s v="₹ 10000 - ₹ 19,999"/>
    <s v="Recommend training"/>
  </r>
  <r>
    <x v="292"/>
    <x v="11"/>
    <x v="0"/>
    <x v="1"/>
    <n v="1165"/>
    <s v="Female"/>
    <x v="5"/>
    <n v="1"/>
    <n v="7336"/>
    <x v="0"/>
    <n v="3"/>
    <n v="3"/>
    <n v="11"/>
    <x v="0"/>
    <s v="Good"/>
    <s v="₹ 7,000 - ₹ 10,000"/>
    <s v="Recommend training"/>
  </r>
  <r>
    <x v="293"/>
    <x v="11"/>
    <x v="1"/>
    <x v="0"/>
    <n v="1192"/>
    <s v="Female"/>
    <x v="0"/>
    <n v="4"/>
    <n v="3131"/>
    <x v="0"/>
    <n v="3"/>
    <n v="5"/>
    <n v="10"/>
    <x v="1"/>
    <s v="Good"/>
    <s v="₹ 10000 - ₹ 19,999"/>
    <s v="Recommend training"/>
  </r>
  <r>
    <x v="294"/>
    <x v="11"/>
    <x v="1"/>
    <x v="0"/>
    <n v="1202"/>
    <s v="Female"/>
    <x v="2"/>
    <n v="4"/>
    <n v="2168"/>
    <x v="1"/>
    <n v="3"/>
    <n v="2"/>
    <n v="5"/>
    <x v="0"/>
    <s v="Good"/>
    <s v="₹ 3,000- ₹ 7,000"/>
    <s v="Recommend training"/>
  </r>
  <r>
    <x v="295"/>
    <x v="11"/>
    <x v="1"/>
    <x v="0"/>
    <n v="1249"/>
    <s v="Female"/>
    <x v="2"/>
    <n v="4"/>
    <n v="3760"/>
    <x v="0"/>
    <n v="3"/>
    <n v="5"/>
    <n v="3"/>
    <x v="1"/>
    <s v="Good"/>
    <s v="₹ 10000 - ₹ 19,999"/>
    <s v="Recommend training"/>
  </r>
  <r>
    <x v="296"/>
    <x v="11"/>
    <x v="1"/>
    <x v="0"/>
    <n v="1260"/>
    <s v="Male"/>
    <x v="6"/>
    <n v="4"/>
    <n v="6623"/>
    <x v="1"/>
    <n v="3"/>
    <n v="2"/>
    <n v="6"/>
    <x v="0"/>
    <s v="Good"/>
    <s v="₹ 10000 - ₹ 19,999"/>
    <s v="Recommend training"/>
  </r>
  <r>
    <x v="297"/>
    <x v="11"/>
    <x v="1"/>
    <x v="0"/>
    <n v="1264"/>
    <s v="Female"/>
    <x v="7"/>
    <n v="4"/>
    <n v="16124"/>
    <x v="0"/>
    <n v="3"/>
    <n v="2"/>
    <n v="7"/>
    <x v="1"/>
    <s v="Good"/>
    <s v="₹ 10000 - ₹ 19,999"/>
    <s v="Recommend training"/>
  </r>
  <r>
    <x v="298"/>
    <x v="11"/>
    <x v="0"/>
    <x v="0"/>
    <n v="1299"/>
    <s v="Female"/>
    <x v="0"/>
    <n v="3"/>
    <n v="3339"/>
    <x v="1"/>
    <n v="3"/>
    <n v="2"/>
    <n v="7"/>
    <x v="2"/>
    <s v="Good"/>
    <s v="₹ 10000 - ₹ 19,999"/>
    <s v="Recommend training"/>
  </r>
  <r>
    <x v="299"/>
    <x v="11"/>
    <x v="1"/>
    <x v="2"/>
    <n v="1419"/>
    <s v="Male"/>
    <x v="3"/>
    <n v="1"/>
    <n v="7988"/>
    <x v="0"/>
    <n v="3"/>
    <n v="3"/>
    <n v="10"/>
    <x v="1"/>
    <s v="Good"/>
    <s v="₹ 7,000 - ₹ 10,000"/>
    <s v="Recommend training"/>
  </r>
  <r>
    <x v="300"/>
    <x v="11"/>
    <x v="0"/>
    <x v="0"/>
    <n v="1421"/>
    <s v="Female"/>
    <x v="6"/>
    <n v="4"/>
    <n v="7553"/>
    <x v="1"/>
    <n v="3"/>
    <n v="1"/>
    <n v="8"/>
    <x v="2"/>
    <s v="Good"/>
    <s v="₹ 7,000 - ₹ 10,000"/>
    <s v="Recommend training"/>
  </r>
  <r>
    <x v="301"/>
    <x v="11"/>
    <x v="0"/>
    <x v="1"/>
    <n v="1487"/>
    <s v="Female"/>
    <x v="5"/>
    <n v="2"/>
    <n v="5765"/>
    <x v="0"/>
    <n v="3"/>
    <n v="4"/>
    <n v="5"/>
    <x v="0"/>
    <s v="Good"/>
    <s v="₹ 10000 - ₹ 19,999"/>
    <s v="Recommend training"/>
  </r>
  <r>
    <x v="302"/>
    <x v="11"/>
    <x v="1"/>
    <x v="1"/>
    <n v="1497"/>
    <s v="Male"/>
    <x v="5"/>
    <n v="3"/>
    <n v="8620"/>
    <x v="0"/>
    <n v="3"/>
    <n v="3"/>
    <n v="10"/>
    <x v="1"/>
    <s v="Good"/>
    <s v="₹ 7,000 - ₹ 10,000"/>
    <s v="Recommend training"/>
  </r>
  <r>
    <x v="303"/>
    <x v="11"/>
    <x v="1"/>
    <x v="0"/>
    <n v="1513"/>
    <s v="Female"/>
    <x v="0"/>
    <n v="2"/>
    <n v="3180"/>
    <x v="0"/>
    <n v="3"/>
    <n v="3"/>
    <n v="3"/>
    <x v="1"/>
    <s v="Good"/>
    <s v="₹ 10000 - ₹ 19,999"/>
    <s v="Recommend training"/>
  </r>
  <r>
    <x v="304"/>
    <x v="11"/>
    <x v="0"/>
    <x v="0"/>
    <n v="1522"/>
    <s v="Male"/>
    <x v="2"/>
    <n v="1"/>
    <n v="2362"/>
    <x v="0"/>
    <n v="3"/>
    <n v="2"/>
    <n v="9"/>
    <x v="0"/>
    <s v="Good"/>
    <s v="₹ 3,000- ₹ 7,000"/>
    <s v="Recommend training"/>
  </r>
  <r>
    <x v="305"/>
    <x v="11"/>
    <x v="1"/>
    <x v="0"/>
    <n v="1544"/>
    <s v="Female"/>
    <x v="6"/>
    <n v="1"/>
    <n v="9715"/>
    <x v="0"/>
    <n v="3"/>
    <n v="3"/>
    <n v="7"/>
    <x v="1"/>
    <s v="Good"/>
    <s v="₹ 7,000 - ₹ 10,000"/>
    <s v="Recommend training"/>
  </r>
  <r>
    <x v="306"/>
    <x v="11"/>
    <x v="1"/>
    <x v="0"/>
    <n v="1558"/>
    <s v="Male"/>
    <x v="2"/>
    <n v="3"/>
    <n v="2451"/>
    <x v="0"/>
    <n v="3"/>
    <n v="2"/>
    <n v="1"/>
    <x v="1"/>
    <s v="Good"/>
    <s v="₹ 3,000- ₹ 7,000"/>
    <s v="Recommend training"/>
  </r>
  <r>
    <x v="307"/>
    <x v="11"/>
    <x v="1"/>
    <x v="0"/>
    <n v="1586"/>
    <s v="Male"/>
    <x v="0"/>
    <n v="1"/>
    <n v="4723"/>
    <x v="1"/>
    <n v="3"/>
    <n v="3"/>
    <n v="10"/>
    <x v="0"/>
    <s v="Good"/>
    <s v="₹ 10000 - ₹ 19,999"/>
    <s v="Recommend training"/>
  </r>
  <r>
    <x v="308"/>
    <x v="11"/>
    <x v="1"/>
    <x v="0"/>
    <n v="1590"/>
    <s v="Male"/>
    <x v="6"/>
    <n v="4"/>
    <n v="8853"/>
    <x v="0"/>
    <n v="3"/>
    <n v="0"/>
    <n v="6"/>
    <x v="1"/>
    <s v="Good"/>
    <s v="₹ 7,000 - ₹ 10,000"/>
    <s v="Recommend training"/>
  </r>
  <r>
    <x v="309"/>
    <x v="11"/>
    <x v="1"/>
    <x v="1"/>
    <n v="1650"/>
    <s v="Male"/>
    <x v="5"/>
    <n v="3"/>
    <n v="5869"/>
    <x v="0"/>
    <n v="3"/>
    <n v="2"/>
    <n v="5"/>
    <x v="1"/>
    <s v="Good"/>
    <s v="₹ 10000 - ₹ 19,999"/>
    <s v="Recommend training"/>
  </r>
  <r>
    <x v="310"/>
    <x v="11"/>
    <x v="1"/>
    <x v="1"/>
    <n v="1669"/>
    <s v="Male"/>
    <x v="5"/>
    <n v="2"/>
    <n v="4187"/>
    <x v="1"/>
    <n v="3"/>
    <n v="3"/>
    <n v="10"/>
    <x v="0"/>
    <s v="Good"/>
    <s v="₹ 10000 - ₹ 19,999"/>
    <s v="Recommend training"/>
  </r>
  <r>
    <x v="311"/>
    <x v="11"/>
    <x v="1"/>
    <x v="0"/>
    <n v="1709"/>
    <s v="Female"/>
    <x v="0"/>
    <n v="3"/>
    <n v="2974"/>
    <x v="0"/>
    <n v="3"/>
    <n v="2"/>
    <n v="5"/>
    <x v="1"/>
    <s v="Good"/>
    <s v="₹ 3,000- ₹ 7,000"/>
    <s v="Recommend training"/>
  </r>
  <r>
    <x v="312"/>
    <x v="11"/>
    <x v="0"/>
    <x v="1"/>
    <n v="1752"/>
    <s v="Female"/>
    <x v="1"/>
    <n v="2"/>
    <n v="2760"/>
    <x v="0"/>
    <n v="3"/>
    <n v="3"/>
    <n v="2"/>
    <x v="0"/>
    <s v="Good"/>
    <s v="₹ 3,000- ₹ 7,000"/>
    <s v="Recommend training"/>
  </r>
  <r>
    <x v="313"/>
    <x v="11"/>
    <x v="1"/>
    <x v="0"/>
    <n v="1753"/>
    <s v="Male"/>
    <x v="6"/>
    <n v="3"/>
    <n v="6294"/>
    <x v="1"/>
    <n v="3"/>
    <n v="5"/>
    <n v="3"/>
    <x v="0"/>
    <s v="Good"/>
    <s v="₹ 10000 - ₹ 19,999"/>
    <s v="Recommend training"/>
  </r>
  <r>
    <x v="314"/>
    <x v="11"/>
    <x v="1"/>
    <x v="0"/>
    <n v="1762"/>
    <s v="Female"/>
    <x v="2"/>
    <n v="1"/>
    <n v="2109"/>
    <x v="0"/>
    <n v="3"/>
    <n v="2"/>
    <n v="1"/>
    <x v="1"/>
    <s v="Good"/>
    <s v="₹ 3,000- ₹ 7,000"/>
    <s v="Recommend training"/>
  </r>
  <r>
    <x v="315"/>
    <x v="11"/>
    <x v="0"/>
    <x v="2"/>
    <n v="1844"/>
    <s v="Male"/>
    <x v="3"/>
    <n v="1"/>
    <n v="2335"/>
    <x v="1"/>
    <n v="3"/>
    <n v="3"/>
    <n v="2"/>
    <x v="2"/>
    <s v="Good"/>
    <s v="₹ 3,000- ₹ 7,000"/>
    <s v="Recommend training"/>
  </r>
  <r>
    <x v="316"/>
    <x v="11"/>
    <x v="1"/>
    <x v="0"/>
    <n v="1852"/>
    <s v="Male"/>
    <x v="0"/>
    <n v="4"/>
    <n v="3812"/>
    <x v="0"/>
    <n v="3"/>
    <n v="3"/>
    <n v="11"/>
    <x v="1"/>
    <s v="Good"/>
    <s v="₹ 10000 - ₹ 19,999"/>
    <s v="Recommend training"/>
  </r>
  <r>
    <x v="317"/>
    <x v="11"/>
    <x v="1"/>
    <x v="0"/>
    <n v="1859"/>
    <s v="Male"/>
    <x v="6"/>
    <n v="3"/>
    <n v="6384"/>
    <x v="0"/>
    <n v="3"/>
    <n v="3"/>
    <n v="7"/>
    <x v="1"/>
    <s v="Good"/>
    <s v="₹ 10000 - ₹ 19,999"/>
    <s v="Recommend training"/>
  </r>
  <r>
    <x v="318"/>
    <x v="11"/>
    <x v="1"/>
    <x v="2"/>
    <n v="1865"/>
    <s v="Male"/>
    <x v="3"/>
    <n v="2"/>
    <n v="2804"/>
    <x v="0"/>
    <n v="3"/>
    <n v="3"/>
    <n v="1"/>
    <x v="1"/>
    <s v="Good"/>
    <s v="₹ 3,000- ₹ 7,000"/>
    <s v="Recommend training"/>
  </r>
  <r>
    <x v="319"/>
    <x v="11"/>
    <x v="0"/>
    <x v="0"/>
    <n v="1868"/>
    <s v="Male"/>
    <x v="2"/>
    <n v="4"/>
    <n v="2439"/>
    <x v="1"/>
    <n v="4"/>
    <n v="3"/>
    <n v="1"/>
    <x v="2"/>
    <s v="Excellent"/>
    <s v="₹ 3,000- ₹ 7,000"/>
    <s v="Recommend training"/>
  </r>
  <r>
    <x v="320"/>
    <x v="11"/>
    <x v="1"/>
    <x v="0"/>
    <n v="1883"/>
    <s v="Male"/>
    <x v="0"/>
    <n v="1"/>
    <n v="2062"/>
    <x v="0"/>
    <n v="3"/>
    <n v="2"/>
    <n v="3"/>
    <x v="1"/>
    <s v="Good"/>
    <s v="₹ 3,000- ₹ 7,000"/>
    <s v="Recommend training"/>
  </r>
  <r>
    <x v="321"/>
    <x v="11"/>
    <x v="0"/>
    <x v="1"/>
    <n v="1928"/>
    <s v="Male"/>
    <x v="1"/>
    <n v="1"/>
    <n v="1091"/>
    <x v="0"/>
    <n v="3"/>
    <n v="3"/>
    <n v="1"/>
    <x v="0"/>
    <s v="Good"/>
    <s v="₹ 3,000- ₹ 7,000"/>
    <s v="Recommend training"/>
  </r>
  <r>
    <x v="322"/>
    <x v="11"/>
    <x v="1"/>
    <x v="0"/>
    <n v="1954"/>
    <s v="Male"/>
    <x v="6"/>
    <n v="1"/>
    <n v="5373"/>
    <x v="0"/>
    <n v="3"/>
    <n v="5"/>
    <n v="5"/>
    <x v="1"/>
    <s v="Good"/>
    <s v="₹ 10000 - ₹ 19,999"/>
    <s v="Recommend training"/>
  </r>
  <r>
    <x v="323"/>
    <x v="11"/>
    <x v="0"/>
    <x v="0"/>
    <n v="2027"/>
    <s v="Male"/>
    <x v="2"/>
    <n v="4"/>
    <n v="4787"/>
    <x v="1"/>
    <n v="3"/>
    <n v="3"/>
    <n v="2"/>
    <x v="2"/>
    <s v="Good"/>
    <s v="₹ 10000 - ₹ 19,999"/>
    <s v="Recommend training"/>
  </r>
  <r>
    <x v="324"/>
    <x v="11"/>
    <x v="1"/>
    <x v="0"/>
    <n v="2053"/>
    <s v="Male"/>
    <x v="0"/>
    <n v="2"/>
    <n v="4025"/>
    <x v="1"/>
    <n v="3"/>
    <n v="2"/>
    <n v="4"/>
    <x v="0"/>
    <s v="Good"/>
    <s v="₹ 10000 - ₹ 19,999"/>
    <s v="Recommend training"/>
  </r>
  <r>
    <x v="325"/>
    <x v="11"/>
    <x v="1"/>
    <x v="0"/>
    <n v="2054"/>
    <s v="Female"/>
    <x v="2"/>
    <n v="1"/>
    <n v="3785"/>
    <x v="0"/>
    <n v="3"/>
    <n v="3"/>
    <n v="5"/>
    <x v="1"/>
    <s v="Good"/>
    <s v="₹ 10000 - ₹ 19,999"/>
    <s v="Recommend training"/>
  </r>
  <r>
    <x v="326"/>
    <x v="12"/>
    <x v="1"/>
    <x v="0"/>
    <n v="11"/>
    <s v="Male"/>
    <x v="0"/>
    <n v="3"/>
    <n v="2693"/>
    <x v="0"/>
    <n v="4"/>
    <n v="2"/>
    <n v="1"/>
    <x v="1"/>
    <s v="Excellent"/>
    <s v="₹ 3,000- ₹ 7,000"/>
    <s v="Recommend training"/>
  </r>
  <r>
    <x v="327"/>
    <x v="12"/>
    <x v="1"/>
    <x v="0"/>
    <n v="41"/>
    <s v="Male"/>
    <x v="0"/>
    <n v="3"/>
    <n v="2206"/>
    <x v="0"/>
    <n v="3"/>
    <n v="5"/>
    <n v="10"/>
    <x v="1"/>
    <s v="Good"/>
    <s v="₹ 3,000- ₹ 7,000"/>
    <s v="Recommend training"/>
  </r>
  <r>
    <x v="328"/>
    <x v="12"/>
    <x v="1"/>
    <x v="0"/>
    <n v="57"/>
    <s v="Female"/>
    <x v="0"/>
    <n v="4"/>
    <n v="4011"/>
    <x v="0"/>
    <n v="4"/>
    <n v="2"/>
    <n v="12"/>
    <x v="1"/>
    <s v="Excellent"/>
    <s v="₹ 10000 - ₹ 19,999"/>
    <s v="Recommend training"/>
  </r>
  <r>
    <x v="329"/>
    <x v="12"/>
    <x v="1"/>
    <x v="0"/>
    <n v="104"/>
    <s v="Male"/>
    <x v="0"/>
    <n v="4"/>
    <n v="5126"/>
    <x v="1"/>
    <n v="3"/>
    <n v="1"/>
    <n v="10"/>
    <x v="0"/>
    <s v="Good"/>
    <s v="₹ 10000 - ₹ 19,999"/>
    <s v="Recommend training"/>
  </r>
  <r>
    <x v="330"/>
    <x v="12"/>
    <x v="1"/>
    <x v="0"/>
    <n v="117"/>
    <s v="Male"/>
    <x v="6"/>
    <n v="4"/>
    <n v="4152"/>
    <x v="0"/>
    <n v="3"/>
    <n v="3"/>
    <n v="11"/>
    <x v="1"/>
    <s v="Good"/>
    <s v="₹ 10000 - ₹ 19,999"/>
    <s v="Recommend training"/>
  </r>
  <r>
    <x v="331"/>
    <x v="12"/>
    <x v="1"/>
    <x v="1"/>
    <n v="121"/>
    <s v="Female"/>
    <x v="5"/>
    <n v="2"/>
    <n v="5209"/>
    <x v="1"/>
    <n v="3"/>
    <n v="4"/>
    <n v="11"/>
    <x v="0"/>
    <s v="Good"/>
    <s v="₹ 10000 - ₹ 19,999"/>
    <s v="Recommend training"/>
  </r>
  <r>
    <x v="332"/>
    <x v="12"/>
    <x v="1"/>
    <x v="0"/>
    <n v="159"/>
    <s v="Male"/>
    <x v="2"/>
    <n v="3"/>
    <n v="2613"/>
    <x v="0"/>
    <n v="4"/>
    <n v="2"/>
    <n v="10"/>
    <x v="1"/>
    <s v="Excellent"/>
    <s v="₹ 3,000- ₹ 7,000"/>
    <s v="Recommend training"/>
  </r>
  <r>
    <x v="333"/>
    <x v="12"/>
    <x v="1"/>
    <x v="2"/>
    <n v="184"/>
    <s v="Male"/>
    <x v="3"/>
    <n v="4"/>
    <n v="6347"/>
    <x v="1"/>
    <n v="3"/>
    <n v="2"/>
    <n v="11"/>
    <x v="0"/>
    <s v="Good"/>
    <s v="₹ 10000 - ₹ 19,999"/>
    <s v="Recommend training"/>
  </r>
  <r>
    <x v="334"/>
    <x v="12"/>
    <x v="1"/>
    <x v="0"/>
    <n v="194"/>
    <s v="Female"/>
    <x v="2"/>
    <n v="3"/>
    <n v="2632"/>
    <x v="0"/>
    <n v="3"/>
    <n v="4"/>
    <n v="5"/>
    <x v="1"/>
    <s v="Good"/>
    <s v="₹ 3,000- ₹ 7,000"/>
    <s v="Recommend training"/>
  </r>
  <r>
    <x v="335"/>
    <x v="12"/>
    <x v="1"/>
    <x v="0"/>
    <n v="197"/>
    <s v="Female"/>
    <x v="2"/>
    <n v="1"/>
    <n v="3204"/>
    <x v="0"/>
    <n v="3"/>
    <n v="3"/>
    <n v="3"/>
    <x v="1"/>
    <s v="Good"/>
    <s v="₹ 10000 - ₹ 19,999"/>
    <s v="Recommend training"/>
  </r>
  <r>
    <x v="336"/>
    <x v="12"/>
    <x v="1"/>
    <x v="0"/>
    <n v="198"/>
    <s v="Male"/>
    <x v="0"/>
    <n v="4"/>
    <n v="2720"/>
    <x v="0"/>
    <n v="3"/>
    <n v="3"/>
    <n v="5"/>
    <x v="1"/>
    <s v="Good"/>
    <s v="₹ 3,000- ₹ 7,000"/>
    <s v="Recommend training"/>
  </r>
  <r>
    <x v="337"/>
    <x v="12"/>
    <x v="1"/>
    <x v="1"/>
    <n v="228"/>
    <s v="Female"/>
    <x v="5"/>
    <n v="4"/>
    <n v="9419"/>
    <x v="0"/>
    <n v="3"/>
    <n v="2"/>
    <n v="10"/>
    <x v="1"/>
    <s v="Good"/>
    <s v="₹ 7,000 - ₹ 10,000"/>
    <s v="Recommend training"/>
  </r>
  <r>
    <x v="338"/>
    <x v="12"/>
    <x v="1"/>
    <x v="0"/>
    <n v="239"/>
    <s v="Male"/>
    <x v="0"/>
    <n v="1"/>
    <n v="3072"/>
    <x v="0"/>
    <n v="3"/>
    <n v="4"/>
    <n v="12"/>
    <x v="1"/>
    <s v="Good"/>
    <s v="₹ 10000 - ₹ 19,999"/>
    <s v="Recommend training"/>
  </r>
  <r>
    <x v="339"/>
    <x v="12"/>
    <x v="1"/>
    <x v="0"/>
    <n v="292"/>
    <s v="Male"/>
    <x v="4"/>
    <n v="3"/>
    <n v="8474"/>
    <x v="0"/>
    <n v="4"/>
    <n v="2"/>
    <n v="11"/>
    <x v="1"/>
    <s v="Excellent"/>
    <s v="₹ 7,000 - ₹ 10,000"/>
    <s v="Recommend training"/>
  </r>
  <r>
    <x v="340"/>
    <x v="12"/>
    <x v="0"/>
    <x v="0"/>
    <n v="297"/>
    <s v="Female"/>
    <x v="2"/>
    <n v="1"/>
    <n v="2657"/>
    <x v="1"/>
    <n v="3"/>
    <n v="5"/>
    <n v="5"/>
    <x v="2"/>
    <s v="Good"/>
    <s v="₹ 3,000- ₹ 7,000"/>
    <s v="Recommend training"/>
  </r>
  <r>
    <x v="341"/>
    <x v="12"/>
    <x v="0"/>
    <x v="1"/>
    <n v="299"/>
    <s v="Female"/>
    <x v="5"/>
    <n v="1"/>
    <n v="6696"/>
    <x v="0"/>
    <n v="3"/>
    <n v="5"/>
    <n v="6"/>
    <x v="0"/>
    <s v="Good"/>
    <s v="₹ 10000 - ₹ 19,999"/>
    <s v="Recommend training"/>
  </r>
  <r>
    <x v="342"/>
    <x v="12"/>
    <x v="1"/>
    <x v="0"/>
    <n v="441"/>
    <s v="Female"/>
    <x v="2"/>
    <n v="4"/>
    <n v="5775"/>
    <x v="0"/>
    <n v="3"/>
    <n v="2"/>
    <n v="10"/>
    <x v="1"/>
    <s v="Good"/>
    <s v="₹ 10000 - ₹ 19,999"/>
    <s v="Recommend training"/>
  </r>
  <r>
    <x v="343"/>
    <x v="12"/>
    <x v="1"/>
    <x v="1"/>
    <n v="456"/>
    <s v="Female"/>
    <x v="5"/>
    <n v="3"/>
    <n v="6118"/>
    <x v="0"/>
    <n v="3"/>
    <n v="2"/>
    <n v="10"/>
    <x v="1"/>
    <s v="Good"/>
    <s v="₹ 10000 - ₹ 19,999"/>
    <s v="Recommend training"/>
  </r>
  <r>
    <x v="344"/>
    <x v="12"/>
    <x v="1"/>
    <x v="1"/>
    <n v="475"/>
    <s v="Female"/>
    <x v="5"/>
    <n v="3"/>
    <n v="4736"/>
    <x v="1"/>
    <n v="3"/>
    <n v="2"/>
    <n v="2"/>
    <x v="0"/>
    <s v="Good"/>
    <s v="₹ 10000 - ₹ 19,999"/>
    <s v="Recommend training"/>
  </r>
  <r>
    <x v="345"/>
    <x v="12"/>
    <x v="1"/>
    <x v="1"/>
    <n v="508"/>
    <s v="Male"/>
    <x v="1"/>
    <n v="2"/>
    <n v="2476"/>
    <x v="0"/>
    <n v="3"/>
    <n v="3"/>
    <n v="1"/>
    <x v="1"/>
    <s v="Good"/>
    <s v="₹ 3,000- ₹ 7,000"/>
    <s v="Recommend training"/>
  </r>
  <r>
    <x v="346"/>
    <x v="12"/>
    <x v="0"/>
    <x v="0"/>
    <n v="514"/>
    <s v="Male"/>
    <x v="2"/>
    <n v="4"/>
    <n v="2285"/>
    <x v="1"/>
    <n v="4"/>
    <n v="4"/>
    <n v="1"/>
    <x v="2"/>
    <s v="Excellent"/>
    <s v="₹ 3,000- ₹ 7,000"/>
    <s v="Recommend training"/>
  </r>
  <r>
    <x v="347"/>
    <x v="12"/>
    <x v="1"/>
    <x v="1"/>
    <n v="533"/>
    <s v="Female"/>
    <x v="5"/>
    <n v="3"/>
    <n v="6577"/>
    <x v="0"/>
    <n v="3"/>
    <n v="6"/>
    <n v="5"/>
    <x v="1"/>
    <s v="Good"/>
    <s v="₹ 10000 - ₹ 19,999"/>
    <s v="Recommend training"/>
  </r>
  <r>
    <x v="348"/>
    <x v="12"/>
    <x v="1"/>
    <x v="0"/>
    <n v="548"/>
    <s v="Female"/>
    <x v="4"/>
    <n v="4"/>
    <n v="6091"/>
    <x v="0"/>
    <n v="4"/>
    <n v="2"/>
    <n v="5"/>
    <x v="1"/>
    <s v="Excellent"/>
    <s v="₹ 10000 - ₹ 19,999"/>
    <s v="Recommend training"/>
  </r>
  <r>
    <x v="349"/>
    <x v="12"/>
    <x v="1"/>
    <x v="0"/>
    <n v="562"/>
    <s v="Male"/>
    <x v="0"/>
    <n v="4"/>
    <n v="2097"/>
    <x v="0"/>
    <n v="3"/>
    <n v="3"/>
    <n v="5"/>
    <x v="1"/>
    <s v="Good"/>
    <s v="₹ 3,000- ₹ 7,000"/>
    <s v="Recommend training"/>
  </r>
  <r>
    <x v="350"/>
    <x v="12"/>
    <x v="1"/>
    <x v="1"/>
    <n v="567"/>
    <s v="Female"/>
    <x v="5"/>
    <n v="1"/>
    <n v="8412"/>
    <x v="0"/>
    <n v="3"/>
    <n v="3"/>
    <n v="9"/>
    <x v="1"/>
    <s v="Good"/>
    <s v="₹ 7,000 - ₹ 10,000"/>
    <s v="Recommend training"/>
  </r>
  <r>
    <x v="351"/>
    <x v="12"/>
    <x v="1"/>
    <x v="0"/>
    <n v="571"/>
    <s v="Female"/>
    <x v="0"/>
    <n v="4"/>
    <n v="2564"/>
    <x v="0"/>
    <n v="3"/>
    <n v="2"/>
    <n v="11"/>
    <x v="1"/>
    <s v="Good"/>
    <s v="₹ 3,000- ₹ 7,000"/>
    <s v="Recommend training"/>
  </r>
  <r>
    <x v="352"/>
    <x v="12"/>
    <x v="1"/>
    <x v="1"/>
    <n v="585"/>
    <s v="Male"/>
    <x v="1"/>
    <n v="2"/>
    <n v="2983"/>
    <x v="0"/>
    <n v="3"/>
    <n v="3"/>
    <n v="3"/>
    <x v="1"/>
    <s v="Good"/>
    <s v="₹ 3,000- ₹ 7,000"/>
    <s v="Recommend training"/>
  </r>
  <r>
    <x v="353"/>
    <x v="12"/>
    <x v="0"/>
    <x v="1"/>
    <n v="648"/>
    <s v="Male"/>
    <x v="1"/>
    <n v="1"/>
    <n v="2033"/>
    <x v="0"/>
    <n v="3"/>
    <n v="2"/>
    <n v="1"/>
    <x v="0"/>
    <s v="Good"/>
    <s v="₹ 3,000- ₹ 7,000"/>
    <s v="Recommend training"/>
  </r>
  <r>
    <x v="354"/>
    <x v="12"/>
    <x v="1"/>
    <x v="0"/>
    <n v="680"/>
    <s v="Female"/>
    <x v="2"/>
    <n v="3"/>
    <n v="2083"/>
    <x v="0"/>
    <n v="4"/>
    <n v="2"/>
    <n v="1"/>
    <x v="1"/>
    <s v="Excellent"/>
    <s v="₹ 3,000- ₹ 7,000"/>
    <s v="Recommend training"/>
  </r>
  <r>
    <x v="355"/>
    <x v="12"/>
    <x v="1"/>
    <x v="1"/>
    <n v="747"/>
    <s v="Male"/>
    <x v="5"/>
    <n v="4"/>
    <n v="5304"/>
    <x v="0"/>
    <n v="4"/>
    <n v="2"/>
    <n v="8"/>
    <x v="1"/>
    <s v="Excellent"/>
    <s v="₹ 10000 - ₹ 19,999"/>
    <s v="Recommend training"/>
  </r>
  <r>
    <x v="356"/>
    <x v="12"/>
    <x v="1"/>
    <x v="0"/>
    <n v="806"/>
    <s v="Male"/>
    <x v="0"/>
    <n v="3"/>
    <n v="3833"/>
    <x v="0"/>
    <n v="4"/>
    <n v="2"/>
    <n v="2"/>
    <x v="1"/>
    <s v="Excellent"/>
    <s v="₹ 10000 - ₹ 19,999"/>
    <s v="Recommend training"/>
  </r>
  <r>
    <x v="357"/>
    <x v="12"/>
    <x v="1"/>
    <x v="0"/>
    <n v="833"/>
    <s v="Female"/>
    <x v="4"/>
    <n v="4"/>
    <n v="6877"/>
    <x v="1"/>
    <n v="4"/>
    <n v="4"/>
    <n v="0"/>
    <x v="0"/>
    <s v="Excellent"/>
    <s v="₹ 10000 - ₹ 19,999"/>
    <s v="Not recommend training"/>
  </r>
  <r>
    <x v="358"/>
    <x v="12"/>
    <x v="1"/>
    <x v="0"/>
    <n v="861"/>
    <s v="Male"/>
    <x v="2"/>
    <n v="4"/>
    <n v="3761"/>
    <x v="0"/>
    <n v="3"/>
    <n v="3"/>
    <n v="5"/>
    <x v="1"/>
    <s v="Good"/>
    <s v="₹ 10000 - ₹ 19,999"/>
    <s v="Recommend training"/>
  </r>
  <r>
    <x v="359"/>
    <x v="12"/>
    <x v="1"/>
    <x v="1"/>
    <n v="982"/>
    <s v="Male"/>
    <x v="5"/>
    <n v="3"/>
    <n v="7264"/>
    <x v="0"/>
    <n v="3"/>
    <n v="2"/>
    <n v="8"/>
    <x v="1"/>
    <s v="Good"/>
    <s v="₹ 7,000 - ₹ 10,000"/>
    <s v="Recommend training"/>
  </r>
  <r>
    <x v="360"/>
    <x v="12"/>
    <x v="0"/>
    <x v="0"/>
    <n v="1004"/>
    <s v="Female"/>
    <x v="2"/>
    <n v="3"/>
    <n v="2132"/>
    <x v="1"/>
    <n v="3"/>
    <n v="2"/>
    <n v="5"/>
    <x v="2"/>
    <s v="Good"/>
    <s v="₹ 3,000- ₹ 7,000"/>
    <s v="Recommend training"/>
  </r>
  <r>
    <x v="361"/>
    <x v="12"/>
    <x v="1"/>
    <x v="0"/>
    <n v="1015"/>
    <s v="Female"/>
    <x v="7"/>
    <n v="1"/>
    <n v="11416"/>
    <x v="1"/>
    <n v="3"/>
    <n v="4"/>
    <n v="8"/>
    <x v="0"/>
    <s v="Good"/>
    <s v="₹ 10000 - ₹ 19,999"/>
    <s v="Recommend training"/>
  </r>
  <r>
    <x v="362"/>
    <x v="12"/>
    <x v="0"/>
    <x v="0"/>
    <n v="1017"/>
    <s v="Female"/>
    <x v="0"/>
    <n v="2"/>
    <n v="2422"/>
    <x v="0"/>
    <n v="3"/>
    <n v="3"/>
    <n v="3"/>
    <x v="0"/>
    <s v="Good"/>
    <s v="₹ 3,000- ₹ 7,000"/>
    <s v="Recommend training"/>
  </r>
  <r>
    <x v="363"/>
    <x v="12"/>
    <x v="1"/>
    <x v="0"/>
    <n v="1084"/>
    <s v="Male"/>
    <x v="4"/>
    <n v="1"/>
    <n v="9957"/>
    <x v="0"/>
    <n v="3"/>
    <n v="1"/>
    <n v="6"/>
    <x v="1"/>
    <s v="Good"/>
    <s v="₹ 7,000 - ₹ 10,000"/>
    <s v="Recommend training"/>
  </r>
  <r>
    <x v="364"/>
    <x v="12"/>
    <x v="1"/>
    <x v="1"/>
    <n v="1179"/>
    <s v="Male"/>
    <x v="5"/>
    <n v="3"/>
    <n v="6578"/>
    <x v="0"/>
    <n v="3"/>
    <n v="3"/>
    <n v="10"/>
    <x v="1"/>
    <s v="Good"/>
    <s v="₹ 10000 - ₹ 19,999"/>
    <s v="Recommend training"/>
  </r>
  <r>
    <x v="365"/>
    <x v="12"/>
    <x v="1"/>
    <x v="1"/>
    <n v="1211"/>
    <s v="Male"/>
    <x v="5"/>
    <n v="1"/>
    <n v="4115"/>
    <x v="0"/>
    <n v="3"/>
    <n v="3"/>
    <n v="4"/>
    <x v="1"/>
    <s v="Good"/>
    <s v="₹ 10000 - ₹ 19,999"/>
    <s v="Recommend training"/>
  </r>
  <r>
    <x v="366"/>
    <x v="12"/>
    <x v="1"/>
    <x v="0"/>
    <n v="1224"/>
    <s v="Male"/>
    <x v="0"/>
    <n v="3"/>
    <n v="3491"/>
    <x v="0"/>
    <n v="3"/>
    <n v="4"/>
    <n v="10"/>
    <x v="1"/>
    <s v="Good"/>
    <s v="₹ 10000 - ₹ 19,999"/>
    <s v="Recommend training"/>
  </r>
  <r>
    <x v="367"/>
    <x v="12"/>
    <x v="1"/>
    <x v="0"/>
    <n v="1241"/>
    <s v="Male"/>
    <x v="2"/>
    <n v="2"/>
    <n v="3579"/>
    <x v="1"/>
    <n v="4"/>
    <n v="2"/>
    <n v="11"/>
    <x v="0"/>
    <s v="Excellent"/>
    <s v="₹ 10000 - ₹ 19,999"/>
    <s v="Recommend training"/>
  </r>
  <r>
    <x v="368"/>
    <x v="12"/>
    <x v="1"/>
    <x v="0"/>
    <n v="1298"/>
    <s v="Female"/>
    <x v="4"/>
    <n v="3"/>
    <n v="4695"/>
    <x v="1"/>
    <n v="3"/>
    <n v="3"/>
    <n v="8"/>
    <x v="0"/>
    <s v="Good"/>
    <s v="₹ 10000 - ₹ 19,999"/>
    <s v="Recommend training"/>
  </r>
  <r>
    <x v="369"/>
    <x v="12"/>
    <x v="1"/>
    <x v="0"/>
    <n v="1311"/>
    <s v="Female"/>
    <x v="0"/>
    <n v="4"/>
    <n v="4627"/>
    <x v="0"/>
    <n v="3"/>
    <n v="6"/>
    <n v="9"/>
    <x v="1"/>
    <s v="Good"/>
    <s v="₹ 10000 - ₹ 19,999"/>
    <s v="Recommend training"/>
  </r>
  <r>
    <x v="370"/>
    <x v="12"/>
    <x v="1"/>
    <x v="0"/>
    <n v="1321"/>
    <s v="Female"/>
    <x v="8"/>
    <n v="1"/>
    <n v="11916"/>
    <x v="1"/>
    <n v="4"/>
    <n v="2"/>
    <n v="9"/>
    <x v="0"/>
    <s v="Excellent"/>
    <s v="₹ 10000 - ₹ 19,999"/>
    <s v="Recommend training"/>
  </r>
  <r>
    <x v="371"/>
    <x v="12"/>
    <x v="1"/>
    <x v="1"/>
    <n v="1428"/>
    <s v="Female"/>
    <x v="5"/>
    <n v="1"/>
    <n v="4779"/>
    <x v="0"/>
    <n v="3"/>
    <n v="3"/>
    <n v="3"/>
    <x v="1"/>
    <s v="Good"/>
    <s v="₹ 10000 - ₹ 19,999"/>
    <s v="Recommend training"/>
  </r>
  <r>
    <x v="372"/>
    <x v="12"/>
    <x v="1"/>
    <x v="1"/>
    <n v="1479"/>
    <s v="Male"/>
    <x v="5"/>
    <n v="3"/>
    <n v="5301"/>
    <x v="0"/>
    <n v="3"/>
    <n v="2"/>
    <n v="2"/>
    <x v="1"/>
    <s v="Good"/>
    <s v="₹ 10000 - ₹ 19,999"/>
    <s v="Recommend training"/>
  </r>
  <r>
    <x v="373"/>
    <x v="12"/>
    <x v="1"/>
    <x v="0"/>
    <n v="1482"/>
    <s v="Male"/>
    <x v="2"/>
    <n v="3"/>
    <n v="1274"/>
    <x v="0"/>
    <n v="3"/>
    <n v="2"/>
    <n v="1"/>
    <x v="1"/>
    <s v="Good"/>
    <s v="₹ 3,000- ₹ 7,000"/>
    <s v="Recommend training"/>
  </r>
  <r>
    <x v="374"/>
    <x v="12"/>
    <x v="1"/>
    <x v="2"/>
    <n v="1499"/>
    <s v="Male"/>
    <x v="3"/>
    <n v="3"/>
    <n v="2064"/>
    <x v="0"/>
    <n v="4"/>
    <n v="3"/>
    <n v="5"/>
    <x v="1"/>
    <s v="Excellent"/>
    <s v="₹ 3,000- ₹ 7,000"/>
    <s v="Not recommend training"/>
  </r>
  <r>
    <x v="375"/>
    <x v="12"/>
    <x v="0"/>
    <x v="1"/>
    <n v="1562"/>
    <s v="Male"/>
    <x v="5"/>
    <n v="1"/>
    <n v="9714"/>
    <x v="0"/>
    <n v="3"/>
    <n v="4"/>
    <n v="10"/>
    <x v="0"/>
    <s v="Good"/>
    <s v="₹ 7,000 - ₹ 10,000"/>
    <s v="Recommend training"/>
  </r>
  <r>
    <x v="376"/>
    <x v="12"/>
    <x v="1"/>
    <x v="1"/>
    <n v="1568"/>
    <s v="Male"/>
    <x v="5"/>
    <n v="2"/>
    <n v="9250"/>
    <x v="0"/>
    <n v="3"/>
    <n v="3"/>
    <n v="4"/>
    <x v="1"/>
    <s v="Good"/>
    <s v="₹ 7,000 - ₹ 10,000"/>
    <s v="Recommend training"/>
  </r>
  <r>
    <x v="377"/>
    <x v="12"/>
    <x v="1"/>
    <x v="0"/>
    <n v="1609"/>
    <s v="Male"/>
    <x v="2"/>
    <n v="2"/>
    <n v="2141"/>
    <x v="0"/>
    <n v="3"/>
    <n v="3"/>
    <n v="6"/>
    <x v="1"/>
    <s v="Good"/>
    <s v="₹ 3,000- ₹ 7,000"/>
    <s v="Recommend training"/>
  </r>
  <r>
    <x v="378"/>
    <x v="12"/>
    <x v="1"/>
    <x v="0"/>
    <n v="1729"/>
    <s v="Male"/>
    <x v="2"/>
    <n v="4"/>
    <n v="2862"/>
    <x v="0"/>
    <n v="3"/>
    <n v="2"/>
    <n v="10"/>
    <x v="1"/>
    <s v="Good"/>
    <s v="₹ 3,000- ₹ 7,000"/>
    <s v="Recommend training"/>
  </r>
  <r>
    <x v="379"/>
    <x v="12"/>
    <x v="1"/>
    <x v="0"/>
    <n v="1745"/>
    <s v="Female"/>
    <x v="2"/>
    <n v="1"/>
    <n v="4968"/>
    <x v="0"/>
    <n v="3"/>
    <n v="2"/>
    <n v="9"/>
    <x v="1"/>
    <s v="Good"/>
    <s v="₹ 10000 - ₹ 19,999"/>
    <s v="Recommend training"/>
  </r>
  <r>
    <x v="380"/>
    <x v="12"/>
    <x v="0"/>
    <x v="2"/>
    <n v="1747"/>
    <s v="Female"/>
    <x v="3"/>
    <n v="4"/>
    <n v="2180"/>
    <x v="0"/>
    <n v="3"/>
    <n v="0"/>
    <n v="4"/>
    <x v="0"/>
    <s v="Good"/>
    <s v="₹ 3,000- ₹ 7,000"/>
    <s v="Recommend training"/>
  </r>
  <r>
    <x v="381"/>
    <x v="12"/>
    <x v="1"/>
    <x v="1"/>
    <n v="1754"/>
    <s v="Male"/>
    <x v="5"/>
    <n v="1"/>
    <n v="7140"/>
    <x v="0"/>
    <n v="3"/>
    <n v="2"/>
    <n v="7"/>
    <x v="1"/>
    <s v="Good"/>
    <s v="₹ 7,000 - ₹ 10,000"/>
    <s v="Recommend training"/>
  </r>
  <r>
    <x v="382"/>
    <x v="12"/>
    <x v="1"/>
    <x v="0"/>
    <n v="1763"/>
    <s v="Male"/>
    <x v="6"/>
    <n v="3"/>
    <n v="5294"/>
    <x v="0"/>
    <n v="3"/>
    <n v="3"/>
    <n v="7"/>
    <x v="1"/>
    <s v="Good"/>
    <s v="₹ 10000 - ₹ 19,999"/>
    <s v="Recommend training"/>
  </r>
  <r>
    <x v="383"/>
    <x v="12"/>
    <x v="1"/>
    <x v="0"/>
    <n v="1816"/>
    <s v="Female"/>
    <x v="4"/>
    <n v="3"/>
    <n v="9667"/>
    <x v="0"/>
    <n v="3"/>
    <n v="3"/>
    <n v="7"/>
    <x v="1"/>
    <s v="Good"/>
    <s v="₹ 7,000 - ₹ 10,000"/>
    <s v="Recommend training"/>
  </r>
  <r>
    <x v="384"/>
    <x v="12"/>
    <x v="0"/>
    <x v="1"/>
    <n v="1876"/>
    <s v="Male"/>
    <x v="1"/>
    <n v="4"/>
    <n v="1081"/>
    <x v="0"/>
    <n v="3"/>
    <n v="3"/>
    <n v="1"/>
    <x v="0"/>
    <s v="Good"/>
    <s v="₹ 3,000- ₹ 7,000"/>
    <s v="Recommend training"/>
  </r>
  <r>
    <x v="385"/>
    <x v="12"/>
    <x v="1"/>
    <x v="0"/>
    <n v="1989"/>
    <s v="Male"/>
    <x v="0"/>
    <n v="2"/>
    <n v="3748"/>
    <x v="0"/>
    <n v="3"/>
    <n v="6"/>
    <n v="12"/>
    <x v="1"/>
    <s v="Good"/>
    <s v="₹ 10000 - ₹ 19,999"/>
    <s v="Recommend training"/>
  </r>
  <r>
    <x v="386"/>
    <x v="13"/>
    <x v="1"/>
    <x v="0"/>
    <n v="16"/>
    <s v="Male"/>
    <x v="2"/>
    <n v="3"/>
    <n v="2911"/>
    <x v="0"/>
    <n v="3"/>
    <n v="1"/>
    <n v="5"/>
    <x v="1"/>
    <s v="Good"/>
    <s v="₹ 3,000- ₹ 7,000"/>
    <s v="Recommend training"/>
  </r>
  <r>
    <x v="387"/>
    <x v="13"/>
    <x v="1"/>
    <x v="0"/>
    <n v="76"/>
    <s v="Male"/>
    <x v="0"/>
    <n v="4"/>
    <n v="5915"/>
    <x v="0"/>
    <n v="4"/>
    <n v="3"/>
    <n v="7"/>
    <x v="1"/>
    <s v="Excellent"/>
    <s v="₹ 10000 - ₹ 19,999"/>
    <s v="Not recommend training"/>
  </r>
  <r>
    <x v="388"/>
    <x v="13"/>
    <x v="1"/>
    <x v="0"/>
    <n v="95"/>
    <s v="Male"/>
    <x v="2"/>
    <n v="2"/>
    <n v="2501"/>
    <x v="0"/>
    <n v="3"/>
    <n v="4"/>
    <n v="1"/>
    <x v="1"/>
    <s v="Good"/>
    <s v="₹ 3,000- ₹ 7,000"/>
    <s v="Recommend training"/>
  </r>
  <r>
    <x v="389"/>
    <x v="13"/>
    <x v="1"/>
    <x v="0"/>
    <n v="98"/>
    <s v="Female"/>
    <x v="4"/>
    <n v="4"/>
    <n v="4424"/>
    <x v="0"/>
    <n v="4"/>
    <n v="2"/>
    <n v="11"/>
    <x v="1"/>
    <s v="Excellent"/>
    <s v="₹ 10000 - ₹ 19,999"/>
    <s v="Recommend training"/>
  </r>
  <r>
    <x v="390"/>
    <x v="13"/>
    <x v="0"/>
    <x v="1"/>
    <n v="163"/>
    <s v="Male"/>
    <x v="5"/>
    <n v="3"/>
    <n v="6172"/>
    <x v="1"/>
    <n v="3"/>
    <n v="3"/>
    <n v="7"/>
    <x v="2"/>
    <s v="Good"/>
    <s v="₹ 10000 - ₹ 19,999"/>
    <s v="Recommend training"/>
  </r>
  <r>
    <x v="391"/>
    <x v="13"/>
    <x v="0"/>
    <x v="1"/>
    <n v="175"/>
    <s v="Female"/>
    <x v="5"/>
    <n v="3"/>
    <n v="4559"/>
    <x v="1"/>
    <n v="3"/>
    <n v="2"/>
    <n v="2"/>
    <x v="2"/>
    <s v="Good"/>
    <s v="₹ 10000 - ₹ 19,999"/>
    <s v="Recommend training"/>
  </r>
  <r>
    <x v="392"/>
    <x v="13"/>
    <x v="1"/>
    <x v="0"/>
    <n v="246"/>
    <s v="Female"/>
    <x v="2"/>
    <n v="4"/>
    <n v="3929"/>
    <x v="1"/>
    <n v="4"/>
    <n v="0"/>
    <n v="4"/>
    <x v="0"/>
    <s v="Excellent"/>
    <s v="₹ 10000 - ₹ 19,999"/>
    <s v="Recommend training"/>
  </r>
  <r>
    <x v="393"/>
    <x v="13"/>
    <x v="1"/>
    <x v="0"/>
    <n v="308"/>
    <s v="Male"/>
    <x v="4"/>
    <n v="3"/>
    <n v="4345"/>
    <x v="0"/>
    <n v="3"/>
    <n v="2"/>
    <n v="5"/>
    <x v="1"/>
    <s v="Good"/>
    <s v="₹ 10000 - ₹ 19,999"/>
    <s v="Recommend training"/>
  </r>
  <r>
    <x v="394"/>
    <x v="13"/>
    <x v="1"/>
    <x v="0"/>
    <n v="337"/>
    <s v="Male"/>
    <x v="7"/>
    <n v="3"/>
    <n v="13675"/>
    <x v="0"/>
    <n v="3"/>
    <n v="3"/>
    <n v="2"/>
    <x v="1"/>
    <s v="Good"/>
    <s v="₹ 10000 - ₹ 19,999"/>
    <s v="Recommend training"/>
  </r>
  <r>
    <x v="395"/>
    <x v="13"/>
    <x v="0"/>
    <x v="0"/>
    <n v="355"/>
    <s v="Male"/>
    <x v="0"/>
    <n v="2"/>
    <n v="3479"/>
    <x v="0"/>
    <n v="3"/>
    <n v="2"/>
    <n v="5"/>
    <x v="0"/>
    <s v="Good"/>
    <s v="₹ 10000 - ₹ 19,999"/>
    <s v="Recommend training"/>
  </r>
  <r>
    <x v="396"/>
    <x v="13"/>
    <x v="1"/>
    <x v="0"/>
    <n v="367"/>
    <s v="Male"/>
    <x v="6"/>
    <n v="4"/>
    <n v="5582"/>
    <x v="0"/>
    <n v="4"/>
    <n v="2"/>
    <n v="9"/>
    <x v="1"/>
    <s v="Excellent"/>
    <s v="₹ 10000 - ₹ 19,999"/>
    <s v="Recommend training"/>
  </r>
  <r>
    <x v="397"/>
    <x v="13"/>
    <x v="1"/>
    <x v="1"/>
    <n v="399"/>
    <s v="Female"/>
    <x v="1"/>
    <n v="2"/>
    <n v="2789"/>
    <x v="0"/>
    <n v="3"/>
    <n v="5"/>
    <n v="2"/>
    <x v="1"/>
    <s v="Good"/>
    <s v="₹ 3,000- ₹ 7,000"/>
    <s v="Recommend training"/>
  </r>
  <r>
    <x v="398"/>
    <x v="13"/>
    <x v="1"/>
    <x v="1"/>
    <n v="416"/>
    <s v="Male"/>
    <x v="5"/>
    <n v="4"/>
    <n v="6929"/>
    <x v="0"/>
    <n v="3"/>
    <n v="3"/>
    <n v="8"/>
    <x v="1"/>
    <s v="Good"/>
    <s v="₹ 10000 - ₹ 19,999"/>
    <s v="Recommend training"/>
  </r>
  <r>
    <x v="399"/>
    <x v="13"/>
    <x v="1"/>
    <x v="0"/>
    <n v="423"/>
    <s v="Male"/>
    <x v="2"/>
    <n v="4"/>
    <n v="4821"/>
    <x v="1"/>
    <n v="3"/>
    <n v="4"/>
    <n v="5"/>
    <x v="0"/>
    <s v="Good"/>
    <s v="₹ 10000 - ₹ 19,999"/>
    <s v="Recommend training"/>
  </r>
  <r>
    <x v="400"/>
    <x v="13"/>
    <x v="1"/>
    <x v="2"/>
    <n v="424"/>
    <s v="Male"/>
    <x v="3"/>
    <n v="1"/>
    <n v="6410"/>
    <x v="0"/>
    <n v="3"/>
    <n v="1"/>
    <n v="2"/>
    <x v="1"/>
    <s v="Good"/>
    <s v="₹ 10000 - ₹ 19,999"/>
    <s v="Recommend training"/>
  </r>
  <r>
    <x v="401"/>
    <x v="13"/>
    <x v="1"/>
    <x v="0"/>
    <n v="426"/>
    <s v="Male"/>
    <x v="2"/>
    <n v="4"/>
    <n v="2695"/>
    <x v="1"/>
    <n v="3"/>
    <n v="2"/>
    <n v="2"/>
    <x v="0"/>
    <s v="Good"/>
    <s v="₹ 3,000- ₹ 7,000"/>
    <s v="Recommend training"/>
  </r>
  <r>
    <x v="402"/>
    <x v="13"/>
    <x v="1"/>
    <x v="1"/>
    <n v="438"/>
    <s v="Male"/>
    <x v="5"/>
    <n v="4"/>
    <n v="7547"/>
    <x v="0"/>
    <n v="3"/>
    <n v="3"/>
    <n v="7"/>
    <x v="1"/>
    <s v="Good"/>
    <s v="₹ 7,000 - ₹ 10,000"/>
    <s v="Recommend training"/>
  </r>
  <r>
    <x v="403"/>
    <x v="13"/>
    <x v="1"/>
    <x v="0"/>
    <n v="442"/>
    <s v="Female"/>
    <x v="4"/>
    <n v="3"/>
    <n v="8943"/>
    <x v="0"/>
    <n v="4"/>
    <n v="2"/>
    <n v="10"/>
    <x v="1"/>
    <s v="Excellent"/>
    <s v="₹ 7,000 - ₹ 10,000"/>
    <s v="Recommend training"/>
  </r>
  <r>
    <x v="404"/>
    <x v="13"/>
    <x v="1"/>
    <x v="0"/>
    <n v="462"/>
    <s v="Female"/>
    <x v="4"/>
    <n v="4"/>
    <n v="7143"/>
    <x v="1"/>
    <n v="3"/>
    <n v="2"/>
    <n v="11"/>
    <x v="0"/>
    <s v="Good"/>
    <s v="₹ 7,000 - ₹ 10,000"/>
    <s v="Recommend training"/>
  </r>
  <r>
    <x v="405"/>
    <x v="13"/>
    <x v="1"/>
    <x v="0"/>
    <n v="493"/>
    <s v="Male"/>
    <x v="2"/>
    <n v="2"/>
    <n v="2657"/>
    <x v="1"/>
    <n v="3"/>
    <n v="5"/>
    <n v="2"/>
    <x v="0"/>
    <s v="Good"/>
    <s v="₹ 3,000- ₹ 7,000"/>
    <s v="Recommend training"/>
  </r>
  <r>
    <x v="406"/>
    <x v="13"/>
    <x v="1"/>
    <x v="0"/>
    <n v="524"/>
    <s v="Female"/>
    <x v="4"/>
    <n v="1"/>
    <n v="4306"/>
    <x v="0"/>
    <n v="3"/>
    <n v="5"/>
    <n v="13"/>
    <x v="1"/>
    <s v="Good"/>
    <s v="₹ 10000 - ₹ 19,999"/>
    <s v="Recommend training"/>
  </r>
  <r>
    <x v="407"/>
    <x v="13"/>
    <x v="1"/>
    <x v="0"/>
    <n v="530"/>
    <s v="Male"/>
    <x v="0"/>
    <n v="1"/>
    <n v="2218"/>
    <x v="0"/>
    <n v="3"/>
    <n v="3"/>
    <n v="4"/>
    <x v="1"/>
    <s v="Good"/>
    <s v="₹ 3,000- ₹ 7,000"/>
    <s v="Recommend training"/>
  </r>
  <r>
    <x v="408"/>
    <x v="13"/>
    <x v="1"/>
    <x v="0"/>
    <n v="581"/>
    <s v="Male"/>
    <x v="4"/>
    <n v="2"/>
    <n v="10648"/>
    <x v="0"/>
    <n v="4"/>
    <n v="6"/>
    <n v="13"/>
    <x v="1"/>
    <s v="Excellent"/>
    <s v="₹ 10000 - ₹ 19,999"/>
    <s v="Not recommend training"/>
  </r>
  <r>
    <x v="409"/>
    <x v="13"/>
    <x v="0"/>
    <x v="0"/>
    <n v="587"/>
    <s v="Male"/>
    <x v="6"/>
    <n v="3"/>
    <n v="9824"/>
    <x v="0"/>
    <n v="3"/>
    <n v="2"/>
    <n v="1"/>
    <x v="0"/>
    <s v="Good"/>
    <s v="₹ 7,000 - ₹ 10,000"/>
    <s v="Recommend training"/>
  </r>
  <r>
    <x v="410"/>
    <x v="13"/>
    <x v="1"/>
    <x v="1"/>
    <n v="604"/>
    <s v="Male"/>
    <x v="5"/>
    <n v="4"/>
    <n v="6582"/>
    <x v="1"/>
    <n v="3"/>
    <n v="2"/>
    <n v="6"/>
    <x v="0"/>
    <s v="Good"/>
    <s v="₹ 10000 - ₹ 19,999"/>
    <s v="Recommend training"/>
  </r>
  <r>
    <x v="411"/>
    <x v="13"/>
    <x v="1"/>
    <x v="1"/>
    <n v="613"/>
    <s v="Male"/>
    <x v="8"/>
    <n v="4"/>
    <n v="11557"/>
    <x v="0"/>
    <n v="4"/>
    <n v="3"/>
    <n v="5"/>
    <x v="1"/>
    <s v="Excellent"/>
    <s v="₹ 10000 - ₹ 19,999"/>
    <s v="Not recommend training"/>
  </r>
  <r>
    <x v="412"/>
    <x v="13"/>
    <x v="0"/>
    <x v="1"/>
    <n v="650"/>
    <s v="Male"/>
    <x v="5"/>
    <n v="1"/>
    <n v="4233"/>
    <x v="0"/>
    <n v="3"/>
    <n v="2"/>
    <n v="3"/>
    <x v="0"/>
    <s v="Good"/>
    <s v="₹ 10000 - ₹ 19,999"/>
    <s v="Recommend training"/>
  </r>
  <r>
    <x v="413"/>
    <x v="13"/>
    <x v="1"/>
    <x v="1"/>
    <n v="653"/>
    <s v="Male"/>
    <x v="5"/>
    <n v="4"/>
    <n v="5460"/>
    <x v="0"/>
    <n v="4"/>
    <n v="4"/>
    <n v="7"/>
    <x v="1"/>
    <s v="Excellent"/>
    <s v="₹ 10000 - ₹ 19,999"/>
    <s v="Not recommend training"/>
  </r>
  <r>
    <x v="414"/>
    <x v="13"/>
    <x v="1"/>
    <x v="0"/>
    <n v="895"/>
    <s v="Male"/>
    <x v="2"/>
    <n v="4"/>
    <n v="2356"/>
    <x v="1"/>
    <n v="3"/>
    <n v="2"/>
    <n v="6"/>
    <x v="0"/>
    <s v="Good"/>
    <s v="₹ 3,000- ₹ 7,000"/>
    <s v="Recommend training"/>
  </r>
  <r>
    <x v="415"/>
    <x v="13"/>
    <x v="1"/>
    <x v="1"/>
    <n v="941"/>
    <s v="Male"/>
    <x v="1"/>
    <n v="3"/>
    <n v="2329"/>
    <x v="0"/>
    <n v="3"/>
    <n v="2"/>
    <n v="7"/>
    <x v="1"/>
    <s v="Good"/>
    <s v="₹ 3,000- ₹ 7,000"/>
    <s v="Recommend training"/>
  </r>
  <r>
    <x v="416"/>
    <x v="13"/>
    <x v="1"/>
    <x v="1"/>
    <n v="947"/>
    <s v="Female"/>
    <x v="5"/>
    <n v="3"/>
    <n v="6932"/>
    <x v="0"/>
    <n v="3"/>
    <n v="2"/>
    <n v="9"/>
    <x v="1"/>
    <s v="Good"/>
    <s v="₹ 10000 - ₹ 19,999"/>
    <s v="Recommend training"/>
  </r>
  <r>
    <x v="417"/>
    <x v="13"/>
    <x v="1"/>
    <x v="0"/>
    <n v="961"/>
    <s v="Female"/>
    <x v="6"/>
    <n v="4"/>
    <n v="5855"/>
    <x v="1"/>
    <n v="3"/>
    <n v="2"/>
    <n v="9"/>
    <x v="0"/>
    <s v="Good"/>
    <s v="₹ 10000 - ₹ 19,999"/>
    <s v="Recommend training"/>
  </r>
  <r>
    <x v="418"/>
    <x v="13"/>
    <x v="0"/>
    <x v="0"/>
    <n v="991"/>
    <s v="Male"/>
    <x v="2"/>
    <n v="1"/>
    <n v="2321"/>
    <x v="1"/>
    <n v="4"/>
    <n v="0"/>
    <n v="3"/>
    <x v="2"/>
    <s v="Excellent"/>
    <s v="₹ 3,000- ₹ 7,000"/>
    <s v="Recommend training"/>
  </r>
  <r>
    <x v="419"/>
    <x v="13"/>
    <x v="1"/>
    <x v="0"/>
    <n v="1011"/>
    <s v="Female"/>
    <x v="4"/>
    <n v="1"/>
    <n v="4148"/>
    <x v="0"/>
    <n v="3"/>
    <n v="1"/>
    <n v="4"/>
    <x v="1"/>
    <s v="Good"/>
    <s v="₹ 10000 - ₹ 19,999"/>
    <s v="Recommend training"/>
  </r>
  <r>
    <x v="420"/>
    <x v="13"/>
    <x v="1"/>
    <x v="1"/>
    <n v="1135"/>
    <s v="Male"/>
    <x v="1"/>
    <n v="4"/>
    <n v="2791"/>
    <x v="0"/>
    <n v="3"/>
    <n v="4"/>
    <n v="2"/>
    <x v="1"/>
    <s v="Good"/>
    <s v="₹ 3,000- ₹ 7,000"/>
    <s v="Recommend training"/>
  </r>
  <r>
    <x v="421"/>
    <x v="13"/>
    <x v="0"/>
    <x v="0"/>
    <n v="1160"/>
    <s v="Male"/>
    <x v="0"/>
    <n v="3"/>
    <n v="2610"/>
    <x v="0"/>
    <n v="3"/>
    <n v="5"/>
    <n v="2"/>
    <x v="0"/>
    <s v="Good"/>
    <s v="₹ 3,000- ₹ 7,000"/>
    <s v="Recommend training"/>
  </r>
  <r>
    <x v="422"/>
    <x v="13"/>
    <x v="1"/>
    <x v="0"/>
    <n v="1251"/>
    <s v="Male"/>
    <x v="6"/>
    <n v="1"/>
    <n v="6833"/>
    <x v="1"/>
    <n v="3"/>
    <n v="2"/>
    <n v="6"/>
    <x v="0"/>
    <s v="Good"/>
    <s v="₹ 10000 - ₹ 19,999"/>
    <s v="Recommend training"/>
  </r>
  <r>
    <x v="423"/>
    <x v="13"/>
    <x v="1"/>
    <x v="0"/>
    <n v="1252"/>
    <s v="Female"/>
    <x v="6"/>
    <n v="1"/>
    <n v="6812"/>
    <x v="0"/>
    <n v="3"/>
    <n v="2"/>
    <n v="10"/>
    <x v="1"/>
    <s v="Good"/>
    <s v="₹ 10000 - ₹ 19,999"/>
    <s v="Recommend training"/>
  </r>
  <r>
    <x v="424"/>
    <x v="13"/>
    <x v="1"/>
    <x v="1"/>
    <n v="1324"/>
    <s v="Female"/>
    <x v="5"/>
    <n v="3"/>
    <n v="9852"/>
    <x v="1"/>
    <n v="3"/>
    <n v="5"/>
    <n v="10"/>
    <x v="0"/>
    <s v="Good"/>
    <s v="₹ 7,000 - ₹ 10,000"/>
    <s v="Recommend training"/>
  </r>
  <r>
    <x v="425"/>
    <x v="13"/>
    <x v="0"/>
    <x v="1"/>
    <n v="1331"/>
    <s v="Female"/>
    <x v="1"/>
    <n v="2"/>
    <n v="2302"/>
    <x v="1"/>
    <n v="3"/>
    <n v="2"/>
    <n v="3"/>
    <x v="2"/>
    <s v="Good"/>
    <s v="₹ 3,000- ₹ 7,000"/>
    <s v="Recommend training"/>
  </r>
  <r>
    <x v="426"/>
    <x v="13"/>
    <x v="0"/>
    <x v="1"/>
    <n v="1379"/>
    <s v="Female"/>
    <x v="1"/>
    <n v="4"/>
    <n v="2785"/>
    <x v="0"/>
    <n v="3"/>
    <n v="3"/>
    <n v="1"/>
    <x v="0"/>
    <s v="Good"/>
    <s v="₹ 3,000- ₹ 7,000"/>
    <s v="Recommend training"/>
  </r>
  <r>
    <x v="427"/>
    <x v="13"/>
    <x v="0"/>
    <x v="0"/>
    <n v="1389"/>
    <s v="Male"/>
    <x v="4"/>
    <n v="3"/>
    <n v="6179"/>
    <x v="1"/>
    <n v="3"/>
    <n v="3"/>
    <n v="10"/>
    <x v="2"/>
    <s v="Good"/>
    <s v="₹ 10000 - ₹ 19,999"/>
    <s v="Recommend training"/>
  </r>
  <r>
    <x v="428"/>
    <x v="13"/>
    <x v="0"/>
    <x v="1"/>
    <n v="1427"/>
    <s v="Female"/>
    <x v="1"/>
    <n v="3"/>
    <n v="1359"/>
    <x v="0"/>
    <n v="3"/>
    <n v="3"/>
    <n v="1"/>
    <x v="0"/>
    <s v="Good"/>
    <s v="₹ 3,000- ₹ 7,000"/>
    <s v="Recommend training"/>
  </r>
  <r>
    <x v="429"/>
    <x v="13"/>
    <x v="1"/>
    <x v="0"/>
    <n v="1430"/>
    <s v="Female"/>
    <x v="7"/>
    <n v="2"/>
    <n v="16422"/>
    <x v="0"/>
    <n v="3"/>
    <n v="3"/>
    <n v="3"/>
    <x v="1"/>
    <s v="Good"/>
    <s v="₹ 10000 - ₹ 19,999"/>
    <s v="Recommend training"/>
  </r>
  <r>
    <x v="430"/>
    <x v="13"/>
    <x v="0"/>
    <x v="0"/>
    <n v="1433"/>
    <s v="Female"/>
    <x v="2"/>
    <n v="2"/>
    <n v="1261"/>
    <x v="0"/>
    <n v="3"/>
    <n v="3"/>
    <n v="1"/>
    <x v="0"/>
    <s v="Good"/>
    <s v="₹ 3,000- ₹ 7,000"/>
    <s v="Recommend training"/>
  </r>
  <r>
    <x v="431"/>
    <x v="13"/>
    <x v="1"/>
    <x v="1"/>
    <n v="1453"/>
    <s v="Male"/>
    <x v="5"/>
    <n v="4"/>
    <n v="10793"/>
    <x v="0"/>
    <n v="3"/>
    <n v="5"/>
    <n v="13"/>
    <x v="1"/>
    <s v="Good"/>
    <s v="₹ 10000 - ₹ 19,999"/>
    <s v="Recommend training"/>
  </r>
  <r>
    <x v="432"/>
    <x v="13"/>
    <x v="0"/>
    <x v="0"/>
    <n v="1459"/>
    <s v="Female"/>
    <x v="4"/>
    <n v="2"/>
    <n v="7446"/>
    <x v="0"/>
    <n v="3"/>
    <n v="2"/>
    <n v="10"/>
    <x v="0"/>
    <s v="Good"/>
    <s v="₹ 7,000 - ₹ 10,000"/>
    <s v="Recommend training"/>
  </r>
  <r>
    <x v="433"/>
    <x v="13"/>
    <x v="1"/>
    <x v="2"/>
    <n v="1461"/>
    <s v="Female"/>
    <x v="3"/>
    <n v="2"/>
    <n v="2109"/>
    <x v="0"/>
    <n v="3"/>
    <n v="3"/>
    <n v="3"/>
    <x v="1"/>
    <s v="Good"/>
    <s v="₹ 3,000- ₹ 7,000"/>
    <s v="Recommend training"/>
  </r>
  <r>
    <x v="434"/>
    <x v="13"/>
    <x v="0"/>
    <x v="0"/>
    <n v="1464"/>
    <s v="Male"/>
    <x v="0"/>
    <n v="4"/>
    <n v="3722"/>
    <x v="1"/>
    <n v="3"/>
    <n v="2"/>
    <n v="2"/>
    <x v="2"/>
    <s v="Good"/>
    <s v="₹ 10000 - ₹ 19,999"/>
    <s v="Recommend training"/>
  </r>
  <r>
    <x v="435"/>
    <x v="13"/>
    <x v="0"/>
    <x v="0"/>
    <n v="1537"/>
    <s v="Female"/>
    <x v="2"/>
    <n v="3"/>
    <n v="4084"/>
    <x v="0"/>
    <n v="3"/>
    <n v="2"/>
    <n v="7"/>
    <x v="0"/>
    <s v="Good"/>
    <s v="₹ 10000 - ₹ 19,999"/>
    <s v="Recommend training"/>
  </r>
  <r>
    <x v="436"/>
    <x v="13"/>
    <x v="1"/>
    <x v="1"/>
    <n v="1613"/>
    <s v="Male"/>
    <x v="5"/>
    <n v="1"/>
    <n v="5332"/>
    <x v="0"/>
    <n v="3"/>
    <n v="3"/>
    <n v="5"/>
    <x v="1"/>
    <s v="Good"/>
    <s v="₹ 10000 - ₹ 19,999"/>
    <s v="Recommend training"/>
  </r>
  <r>
    <x v="437"/>
    <x v="13"/>
    <x v="1"/>
    <x v="1"/>
    <n v="1673"/>
    <s v="Female"/>
    <x v="5"/>
    <n v="4"/>
    <n v="5476"/>
    <x v="0"/>
    <n v="3"/>
    <n v="2"/>
    <n v="10"/>
    <x v="1"/>
    <s v="Good"/>
    <s v="₹ 10000 - ₹ 19,999"/>
    <s v="Recommend training"/>
  </r>
  <r>
    <x v="438"/>
    <x v="13"/>
    <x v="1"/>
    <x v="0"/>
    <n v="1721"/>
    <s v="Male"/>
    <x v="0"/>
    <n v="3"/>
    <n v="3477"/>
    <x v="0"/>
    <n v="3"/>
    <n v="2"/>
    <n v="5"/>
    <x v="1"/>
    <s v="Good"/>
    <s v="₹ 10000 - ₹ 19,999"/>
    <s v="Recommend training"/>
  </r>
  <r>
    <x v="439"/>
    <x v="13"/>
    <x v="1"/>
    <x v="0"/>
    <n v="1736"/>
    <s v="Female"/>
    <x v="4"/>
    <n v="4"/>
    <n v="5238"/>
    <x v="0"/>
    <n v="4"/>
    <n v="3"/>
    <n v="5"/>
    <x v="1"/>
    <s v="Excellent"/>
    <s v="₹ 10000 - ₹ 19,999"/>
    <s v="Not recommend training"/>
  </r>
  <r>
    <x v="440"/>
    <x v="13"/>
    <x v="1"/>
    <x v="1"/>
    <n v="1749"/>
    <s v="Male"/>
    <x v="5"/>
    <n v="3"/>
    <n v="8346"/>
    <x v="0"/>
    <n v="3"/>
    <n v="3"/>
    <n v="5"/>
    <x v="1"/>
    <s v="Good"/>
    <s v="₹ 7,000 - ₹ 10,000"/>
    <s v="Recommend training"/>
  </r>
  <r>
    <x v="441"/>
    <x v="13"/>
    <x v="0"/>
    <x v="1"/>
    <n v="1761"/>
    <s v="Male"/>
    <x v="5"/>
    <n v="3"/>
    <n v="8161"/>
    <x v="0"/>
    <n v="3"/>
    <n v="2"/>
    <n v="1"/>
    <x v="0"/>
    <s v="Good"/>
    <s v="₹ 7,000 - ₹ 10,000"/>
    <s v="Recommend training"/>
  </r>
  <r>
    <x v="442"/>
    <x v="13"/>
    <x v="1"/>
    <x v="1"/>
    <n v="1784"/>
    <s v="Female"/>
    <x v="5"/>
    <n v="4"/>
    <n v="5468"/>
    <x v="0"/>
    <n v="3"/>
    <n v="3"/>
    <n v="12"/>
    <x v="1"/>
    <s v="Good"/>
    <s v="₹ 10000 - ₹ 19,999"/>
    <s v="Recommend training"/>
  </r>
  <r>
    <x v="443"/>
    <x v="13"/>
    <x v="1"/>
    <x v="1"/>
    <n v="1833"/>
    <s v="Female"/>
    <x v="5"/>
    <n v="1"/>
    <n v="9637"/>
    <x v="0"/>
    <n v="3"/>
    <n v="3"/>
    <n v="3"/>
    <x v="1"/>
    <s v="Good"/>
    <s v="₹ 7,000 - ₹ 10,000"/>
    <s v="Recommend training"/>
  </r>
  <r>
    <x v="444"/>
    <x v="13"/>
    <x v="0"/>
    <x v="2"/>
    <n v="1842"/>
    <s v="Male"/>
    <x v="3"/>
    <n v="1"/>
    <n v="2956"/>
    <x v="0"/>
    <n v="3"/>
    <n v="4"/>
    <n v="1"/>
    <x v="0"/>
    <s v="Good"/>
    <s v="₹ 3,000- ₹ 7,000"/>
    <s v="Recommend training"/>
  </r>
  <r>
    <x v="445"/>
    <x v="13"/>
    <x v="1"/>
    <x v="0"/>
    <n v="1881"/>
    <s v="Male"/>
    <x v="0"/>
    <n v="3"/>
    <n v="4197"/>
    <x v="0"/>
    <n v="3"/>
    <n v="2"/>
    <n v="10"/>
    <x v="1"/>
    <s v="Good"/>
    <s v="₹ 10000 - ₹ 19,999"/>
    <s v="Recommend training"/>
  </r>
  <r>
    <x v="446"/>
    <x v="13"/>
    <x v="1"/>
    <x v="1"/>
    <n v="1912"/>
    <s v="Female"/>
    <x v="5"/>
    <n v="4"/>
    <n v="6583"/>
    <x v="1"/>
    <n v="3"/>
    <n v="2"/>
    <n v="5"/>
    <x v="0"/>
    <s v="Good"/>
    <s v="₹ 10000 - ₹ 19,999"/>
    <s v="Recommend training"/>
  </r>
  <r>
    <x v="447"/>
    <x v="13"/>
    <x v="1"/>
    <x v="0"/>
    <n v="1916"/>
    <s v="Female"/>
    <x v="0"/>
    <n v="3"/>
    <n v="3978"/>
    <x v="0"/>
    <n v="3"/>
    <n v="0"/>
    <n v="2"/>
    <x v="1"/>
    <s v="Good"/>
    <s v="₹ 10000 - ₹ 19,999"/>
    <s v="Recommend training"/>
  </r>
  <r>
    <x v="448"/>
    <x v="13"/>
    <x v="1"/>
    <x v="0"/>
    <n v="1948"/>
    <s v="Male"/>
    <x v="2"/>
    <n v="1"/>
    <n v="3065"/>
    <x v="1"/>
    <n v="3"/>
    <n v="3"/>
    <n v="4"/>
    <x v="0"/>
    <s v="Good"/>
    <s v="₹ 10000 - ₹ 19,999"/>
    <s v="Recommend training"/>
  </r>
  <r>
    <x v="449"/>
    <x v="13"/>
    <x v="1"/>
    <x v="0"/>
    <n v="1956"/>
    <s v="Male"/>
    <x v="2"/>
    <n v="1"/>
    <n v="5003"/>
    <x v="0"/>
    <n v="4"/>
    <n v="6"/>
    <n v="10"/>
    <x v="1"/>
    <s v="Excellent"/>
    <s v="₹ 10000 - ₹ 19,999"/>
    <s v="Not recommend training"/>
  </r>
  <r>
    <x v="450"/>
    <x v="13"/>
    <x v="0"/>
    <x v="1"/>
    <n v="1967"/>
    <s v="Male"/>
    <x v="5"/>
    <n v="4"/>
    <n v="5617"/>
    <x v="1"/>
    <n v="3"/>
    <n v="4"/>
    <n v="10"/>
    <x v="2"/>
    <s v="Good"/>
    <s v="₹ 10000 - ₹ 19,999"/>
    <s v="Recommend training"/>
  </r>
  <r>
    <x v="451"/>
    <x v="13"/>
    <x v="1"/>
    <x v="0"/>
    <n v="1974"/>
    <s v="Female"/>
    <x v="0"/>
    <n v="4"/>
    <n v="1129"/>
    <x v="1"/>
    <n v="3"/>
    <n v="4"/>
    <n v="1"/>
    <x v="0"/>
    <s v="Good"/>
    <s v="₹ 3,000- ₹ 7,000"/>
    <s v="Recommend training"/>
  </r>
  <r>
    <x v="452"/>
    <x v="13"/>
    <x v="1"/>
    <x v="0"/>
    <n v="1979"/>
    <s v="Female"/>
    <x v="7"/>
    <n v="3"/>
    <n v="11031"/>
    <x v="0"/>
    <n v="4"/>
    <n v="2"/>
    <n v="11"/>
    <x v="1"/>
    <s v="Excellent"/>
    <s v="₹ 10000 - ₹ 19,999"/>
    <s v="Recommend training"/>
  </r>
  <r>
    <x v="453"/>
    <x v="13"/>
    <x v="1"/>
    <x v="1"/>
    <n v="1996"/>
    <s v="Male"/>
    <x v="1"/>
    <n v="3"/>
    <n v="3067"/>
    <x v="0"/>
    <n v="3"/>
    <n v="1"/>
    <n v="2"/>
    <x v="1"/>
    <s v="Good"/>
    <s v="₹ 10000 - ₹ 19,999"/>
    <s v="Recommend training"/>
  </r>
  <r>
    <x v="454"/>
    <x v="13"/>
    <x v="1"/>
    <x v="0"/>
    <n v="2057"/>
    <s v="Male"/>
    <x v="4"/>
    <n v="1"/>
    <n v="9936"/>
    <x v="0"/>
    <n v="3"/>
    <n v="2"/>
    <n v="9"/>
    <x v="1"/>
    <s v="Good"/>
    <s v="₹ 7,000 - ₹ 10,000"/>
    <s v="Recommend training"/>
  </r>
  <r>
    <x v="455"/>
    <x v="14"/>
    <x v="1"/>
    <x v="0"/>
    <n v="8"/>
    <s v="Male"/>
    <x v="0"/>
    <n v="4"/>
    <n v="3068"/>
    <x v="0"/>
    <n v="3"/>
    <n v="2"/>
    <n v="7"/>
    <x v="1"/>
    <s v="Good"/>
    <s v="₹ 10000 - ₹ 19,999"/>
    <s v="Recommend training"/>
  </r>
  <r>
    <x v="456"/>
    <x v="14"/>
    <x v="1"/>
    <x v="0"/>
    <n v="21"/>
    <s v="Male"/>
    <x v="2"/>
    <n v="2"/>
    <n v="3298"/>
    <x v="1"/>
    <n v="3"/>
    <n v="5"/>
    <n v="6"/>
    <x v="0"/>
    <s v="Good"/>
    <s v="₹ 10000 - ₹ 19,999"/>
    <s v="Recommend training"/>
  </r>
  <r>
    <x v="457"/>
    <x v="14"/>
    <x v="0"/>
    <x v="0"/>
    <n v="33"/>
    <s v="Female"/>
    <x v="2"/>
    <n v="1"/>
    <n v="3919"/>
    <x v="1"/>
    <n v="4"/>
    <n v="5"/>
    <n v="10"/>
    <x v="2"/>
    <s v="Excellent"/>
    <s v="₹ 10000 - ₹ 19,999"/>
    <s v="Not recommend training"/>
  </r>
  <r>
    <x v="458"/>
    <x v="14"/>
    <x v="1"/>
    <x v="0"/>
    <n v="78"/>
    <s v="Male"/>
    <x v="4"/>
    <n v="4"/>
    <n v="6162"/>
    <x v="1"/>
    <n v="4"/>
    <n v="3"/>
    <n v="9"/>
    <x v="0"/>
    <s v="Excellent"/>
    <s v="₹ 10000 - ₹ 19,999"/>
    <s v="Not recommend training"/>
  </r>
  <r>
    <x v="459"/>
    <x v="14"/>
    <x v="1"/>
    <x v="0"/>
    <n v="96"/>
    <s v="Male"/>
    <x v="2"/>
    <n v="2"/>
    <n v="6220"/>
    <x v="0"/>
    <n v="3"/>
    <n v="3"/>
    <n v="10"/>
    <x v="1"/>
    <s v="Good"/>
    <s v="₹ 10000 - ₹ 19,999"/>
    <s v="Recommend training"/>
  </r>
  <r>
    <x v="460"/>
    <x v="14"/>
    <x v="1"/>
    <x v="1"/>
    <n v="125"/>
    <s v="Male"/>
    <x v="5"/>
    <n v="3"/>
    <n v="5010"/>
    <x v="0"/>
    <n v="3"/>
    <n v="0"/>
    <n v="11"/>
    <x v="1"/>
    <s v="Good"/>
    <s v="₹ 10000 - ₹ 19,999"/>
    <s v="Recommend training"/>
  </r>
  <r>
    <x v="461"/>
    <x v="14"/>
    <x v="1"/>
    <x v="0"/>
    <n v="134"/>
    <s v="Male"/>
    <x v="2"/>
    <n v="1"/>
    <n v="2956"/>
    <x v="0"/>
    <n v="3"/>
    <n v="2"/>
    <n v="1"/>
    <x v="1"/>
    <s v="Good"/>
    <s v="₹ 3,000- ₹ 7,000"/>
    <s v="Recommend training"/>
  </r>
  <r>
    <x v="462"/>
    <x v="14"/>
    <x v="0"/>
    <x v="0"/>
    <n v="190"/>
    <s v="Female"/>
    <x v="0"/>
    <n v="1"/>
    <n v="4200"/>
    <x v="0"/>
    <n v="4"/>
    <n v="2"/>
    <n v="5"/>
    <x v="0"/>
    <s v="Excellent"/>
    <s v="₹ 10000 - ₹ 19,999"/>
    <s v="Recommend training"/>
  </r>
  <r>
    <x v="463"/>
    <x v="14"/>
    <x v="1"/>
    <x v="1"/>
    <n v="195"/>
    <s v="Male"/>
    <x v="5"/>
    <n v="4"/>
    <n v="4668"/>
    <x v="0"/>
    <n v="3"/>
    <n v="2"/>
    <n v="8"/>
    <x v="1"/>
    <s v="Good"/>
    <s v="₹ 10000 - ₹ 19,999"/>
    <s v="Recommend training"/>
  </r>
  <r>
    <x v="464"/>
    <x v="14"/>
    <x v="1"/>
    <x v="1"/>
    <n v="207"/>
    <s v="Female"/>
    <x v="5"/>
    <n v="4"/>
    <n v="8998"/>
    <x v="0"/>
    <n v="3"/>
    <n v="2"/>
    <n v="9"/>
    <x v="1"/>
    <s v="Good"/>
    <s v="₹ 7,000 - ₹ 10,000"/>
    <s v="Recommend training"/>
  </r>
  <r>
    <x v="465"/>
    <x v="14"/>
    <x v="1"/>
    <x v="0"/>
    <n v="231"/>
    <s v="Male"/>
    <x v="2"/>
    <n v="3"/>
    <n v="3038"/>
    <x v="0"/>
    <n v="4"/>
    <n v="2"/>
    <n v="5"/>
    <x v="1"/>
    <s v="Excellent"/>
    <s v="₹ 10000 - ₹ 19,999"/>
    <s v="Recommend training"/>
  </r>
  <r>
    <x v="466"/>
    <x v="14"/>
    <x v="0"/>
    <x v="1"/>
    <n v="291"/>
    <s v="Male"/>
    <x v="5"/>
    <n v="4"/>
    <n v="10400"/>
    <x v="0"/>
    <n v="3"/>
    <n v="2"/>
    <n v="14"/>
    <x v="0"/>
    <s v="Good"/>
    <s v="₹ 10000 - ₹ 19,999"/>
    <s v="Recommend training"/>
  </r>
  <r>
    <x v="467"/>
    <x v="14"/>
    <x v="1"/>
    <x v="1"/>
    <n v="330"/>
    <s v="Female"/>
    <x v="1"/>
    <n v="2"/>
    <n v="3931"/>
    <x v="0"/>
    <n v="3"/>
    <n v="5"/>
    <n v="4"/>
    <x v="1"/>
    <s v="Good"/>
    <s v="₹ 10000 - ₹ 19,999"/>
    <s v="Recommend training"/>
  </r>
  <r>
    <x v="468"/>
    <x v="14"/>
    <x v="0"/>
    <x v="0"/>
    <n v="331"/>
    <s v="Male"/>
    <x v="0"/>
    <n v="3"/>
    <n v="3730"/>
    <x v="1"/>
    <n v="3"/>
    <n v="2"/>
    <n v="3"/>
    <x v="2"/>
    <s v="Good"/>
    <s v="₹ 10000 - ₹ 19,999"/>
    <s v="Recommend training"/>
  </r>
  <r>
    <x v="469"/>
    <x v="14"/>
    <x v="1"/>
    <x v="1"/>
    <n v="333"/>
    <s v="Male"/>
    <x v="5"/>
    <n v="4"/>
    <n v="4465"/>
    <x v="0"/>
    <n v="3"/>
    <n v="2"/>
    <n v="3"/>
    <x v="1"/>
    <s v="Good"/>
    <s v="₹ 10000 - ₹ 19,999"/>
    <s v="Recommend training"/>
  </r>
  <r>
    <x v="470"/>
    <x v="14"/>
    <x v="1"/>
    <x v="0"/>
    <n v="359"/>
    <s v="Male"/>
    <x v="0"/>
    <n v="2"/>
    <n v="2794"/>
    <x v="0"/>
    <n v="4"/>
    <n v="3"/>
    <n v="5"/>
    <x v="1"/>
    <s v="Excellent"/>
    <s v="₹ 3,000- ₹ 7,000"/>
    <s v="Not recommend training"/>
  </r>
  <r>
    <x v="471"/>
    <x v="14"/>
    <x v="1"/>
    <x v="0"/>
    <n v="362"/>
    <s v="Male"/>
    <x v="0"/>
    <n v="1"/>
    <n v="2176"/>
    <x v="0"/>
    <n v="3"/>
    <n v="5"/>
    <n v="6"/>
    <x v="1"/>
    <s v="Good"/>
    <s v="₹ 3,000- ₹ 7,000"/>
    <s v="Recommend training"/>
  </r>
  <r>
    <x v="472"/>
    <x v="14"/>
    <x v="1"/>
    <x v="1"/>
    <n v="420"/>
    <s v="Male"/>
    <x v="5"/>
    <n v="3"/>
    <n v="5484"/>
    <x v="0"/>
    <n v="3"/>
    <n v="3"/>
    <n v="13"/>
    <x v="1"/>
    <s v="Good"/>
    <s v="₹ 10000 - ₹ 19,999"/>
    <s v="Recommend training"/>
  </r>
  <r>
    <x v="473"/>
    <x v="14"/>
    <x v="1"/>
    <x v="1"/>
    <n v="436"/>
    <s v="Female"/>
    <x v="5"/>
    <n v="2"/>
    <n v="5228"/>
    <x v="1"/>
    <n v="3"/>
    <n v="2"/>
    <n v="13"/>
    <x v="0"/>
    <s v="Good"/>
    <s v="₹ 10000 - ₹ 19,999"/>
    <s v="Recommend training"/>
  </r>
  <r>
    <x v="474"/>
    <x v="14"/>
    <x v="1"/>
    <x v="0"/>
    <n v="439"/>
    <s v="Female"/>
    <x v="2"/>
    <n v="4"/>
    <n v="5055"/>
    <x v="0"/>
    <n v="3"/>
    <n v="0"/>
    <n v="7"/>
    <x v="1"/>
    <s v="Good"/>
    <s v="₹ 10000 - ₹ 19,999"/>
    <s v="Recommend training"/>
  </r>
  <r>
    <x v="475"/>
    <x v="14"/>
    <x v="1"/>
    <x v="0"/>
    <n v="471"/>
    <s v="Female"/>
    <x v="0"/>
    <n v="2"/>
    <n v="2370"/>
    <x v="0"/>
    <n v="3"/>
    <n v="4"/>
    <n v="8"/>
    <x v="1"/>
    <s v="Good"/>
    <s v="₹ 3,000- ₹ 7,000"/>
    <s v="Recommend training"/>
  </r>
  <r>
    <x v="476"/>
    <x v="14"/>
    <x v="0"/>
    <x v="1"/>
    <n v="631"/>
    <s v="Male"/>
    <x v="5"/>
    <n v="3"/>
    <n v="4707"/>
    <x v="0"/>
    <n v="3"/>
    <n v="2"/>
    <n v="4"/>
    <x v="0"/>
    <s v="Good"/>
    <s v="₹ 10000 - ₹ 19,999"/>
    <s v="Recommend training"/>
  </r>
  <r>
    <x v="477"/>
    <x v="14"/>
    <x v="1"/>
    <x v="0"/>
    <n v="679"/>
    <s v="Female"/>
    <x v="2"/>
    <n v="4"/>
    <n v="6322"/>
    <x v="1"/>
    <n v="3"/>
    <n v="2"/>
    <n v="6"/>
    <x v="0"/>
    <s v="Good"/>
    <s v="₹ 10000 - ₹ 19,999"/>
    <s v="Recommend training"/>
  </r>
  <r>
    <x v="478"/>
    <x v="14"/>
    <x v="1"/>
    <x v="1"/>
    <n v="722"/>
    <s v="Male"/>
    <x v="5"/>
    <n v="4"/>
    <n v="5396"/>
    <x v="0"/>
    <n v="3"/>
    <n v="2"/>
    <n v="10"/>
    <x v="1"/>
    <s v="Good"/>
    <s v="₹ 10000 - ₹ 19,999"/>
    <s v="Recommend training"/>
  </r>
  <r>
    <x v="479"/>
    <x v="14"/>
    <x v="1"/>
    <x v="0"/>
    <n v="727"/>
    <s v="Female"/>
    <x v="7"/>
    <n v="4"/>
    <n v="11159"/>
    <x v="0"/>
    <n v="3"/>
    <n v="6"/>
    <n v="7"/>
    <x v="1"/>
    <s v="Good"/>
    <s v="₹ 10000 - ₹ 19,999"/>
    <s v="Recommend training"/>
  </r>
  <r>
    <x v="480"/>
    <x v="14"/>
    <x v="1"/>
    <x v="0"/>
    <n v="772"/>
    <s v="Male"/>
    <x v="0"/>
    <n v="4"/>
    <n v="5309"/>
    <x v="0"/>
    <n v="3"/>
    <n v="2"/>
    <n v="10"/>
    <x v="1"/>
    <s v="Good"/>
    <s v="₹ 10000 - ₹ 19,999"/>
    <s v="Recommend training"/>
  </r>
  <r>
    <x v="481"/>
    <x v="14"/>
    <x v="1"/>
    <x v="0"/>
    <n v="830"/>
    <s v="Female"/>
    <x v="4"/>
    <n v="3"/>
    <n v="6162"/>
    <x v="0"/>
    <n v="3"/>
    <n v="3"/>
    <n v="14"/>
    <x v="1"/>
    <s v="Good"/>
    <s v="₹ 10000 - ₹ 19,999"/>
    <s v="Recommend training"/>
  </r>
  <r>
    <x v="482"/>
    <x v="14"/>
    <x v="1"/>
    <x v="1"/>
    <n v="859"/>
    <s v="Male"/>
    <x v="5"/>
    <n v="4"/>
    <n v="4403"/>
    <x v="0"/>
    <n v="3"/>
    <n v="3"/>
    <n v="5"/>
    <x v="1"/>
    <s v="Good"/>
    <s v="₹ 10000 - ₹ 19,999"/>
    <s v="Recommend training"/>
  </r>
  <r>
    <x v="483"/>
    <x v="14"/>
    <x v="1"/>
    <x v="0"/>
    <n v="865"/>
    <s v="Female"/>
    <x v="2"/>
    <n v="3"/>
    <n v="5175"/>
    <x v="0"/>
    <n v="3"/>
    <n v="3"/>
    <n v="5"/>
    <x v="1"/>
    <s v="Good"/>
    <s v="₹ 10000 - ₹ 19,999"/>
    <s v="Recommend training"/>
  </r>
  <r>
    <x v="484"/>
    <x v="14"/>
    <x v="1"/>
    <x v="0"/>
    <n v="882"/>
    <s v="Male"/>
    <x v="0"/>
    <n v="4"/>
    <n v="2314"/>
    <x v="0"/>
    <n v="3"/>
    <n v="2"/>
    <n v="3"/>
    <x v="1"/>
    <s v="Good"/>
    <s v="₹ 3,000- ₹ 7,000"/>
    <s v="Recommend training"/>
  </r>
  <r>
    <x v="485"/>
    <x v="14"/>
    <x v="1"/>
    <x v="1"/>
    <n v="889"/>
    <s v="Male"/>
    <x v="5"/>
    <n v="2"/>
    <n v="6524"/>
    <x v="0"/>
    <n v="3"/>
    <n v="3"/>
    <n v="10"/>
    <x v="1"/>
    <s v="Good"/>
    <s v="₹ 10000 - ₹ 19,999"/>
    <s v="Recommend training"/>
  </r>
  <r>
    <x v="486"/>
    <x v="14"/>
    <x v="0"/>
    <x v="0"/>
    <n v="911"/>
    <s v="Male"/>
    <x v="0"/>
    <n v="4"/>
    <n v="2795"/>
    <x v="1"/>
    <n v="4"/>
    <n v="2"/>
    <n v="1"/>
    <x v="2"/>
    <s v="Excellent"/>
    <s v="₹ 3,000- ₹ 7,000"/>
    <s v="Recommend training"/>
  </r>
  <r>
    <x v="487"/>
    <x v="14"/>
    <x v="1"/>
    <x v="0"/>
    <n v="951"/>
    <s v="Female"/>
    <x v="0"/>
    <n v="2"/>
    <n v="2332"/>
    <x v="0"/>
    <n v="4"/>
    <n v="3"/>
    <n v="3"/>
    <x v="1"/>
    <s v="Excellent"/>
    <s v="₹ 3,000- ₹ 7,000"/>
    <s v="Not recommend training"/>
  </r>
  <r>
    <x v="488"/>
    <x v="14"/>
    <x v="1"/>
    <x v="0"/>
    <n v="966"/>
    <s v="Female"/>
    <x v="4"/>
    <n v="1"/>
    <n v="6725"/>
    <x v="0"/>
    <n v="3"/>
    <n v="2"/>
    <n v="8"/>
    <x v="1"/>
    <s v="Good"/>
    <s v="₹ 10000 - ₹ 19,999"/>
    <s v="Recommend training"/>
  </r>
  <r>
    <x v="489"/>
    <x v="14"/>
    <x v="1"/>
    <x v="0"/>
    <n v="1046"/>
    <s v="Female"/>
    <x v="0"/>
    <n v="3"/>
    <n v="4025"/>
    <x v="0"/>
    <n v="3"/>
    <n v="2"/>
    <n v="8"/>
    <x v="1"/>
    <s v="Good"/>
    <s v="₹ 10000 - ₹ 19,999"/>
    <s v="Recommend training"/>
  </r>
  <r>
    <x v="490"/>
    <x v="14"/>
    <x v="1"/>
    <x v="1"/>
    <n v="1190"/>
    <s v="Female"/>
    <x v="1"/>
    <n v="1"/>
    <n v="2827"/>
    <x v="0"/>
    <n v="3"/>
    <n v="3"/>
    <n v="1"/>
    <x v="1"/>
    <s v="Good"/>
    <s v="₹ 3,000- ₹ 7,000"/>
    <s v="Recommend training"/>
  </r>
  <r>
    <x v="491"/>
    <x v="14"/>
    <x v="1"/>
    <x v="0"/>
    <n v="1234"/>
    <s v="Female"/>
    <x v="0"/>
    <n v="2"/>
    <n v="2743"/>
    <x v="0"/>
    <n v="4"/>
    <n v="2"/>
    <n v="2"/>
    <x v="1"/>
    <s v="Excellent"/>
    <s v="₹ 3,000- ₹ 7,000"/>
    <s v="Recommend training"/>
  </r>
  <r>
    <x v="492"/>
    <x v="14"/>
    <x v="1"/>
    <x v="0"/>
    <n v="1235"/>
    <s v="Female"/>
    <x v="2"/>
    <n v="3"/>
    <n v="4998"/>
    <x v="1"/>
    <n v="3"/>
    <n v="2"/>
    <n v="8"/>
    <x v="0"/>
    <s v="Good"/>
    <s v="₹ 10000 - ₹ 19,999"/>
    <s v="Recommend training"/>
  </r>
  <r>
    <x v="493"/>
    <x v="14"/>
    <x v="1"/>
    <x v="1"/>
    <n v="1304"/>
    <s v="Male"/>
    <x v="5"/>
    <n v="4"/>
    <n v="6209"/>
    <x v="0"/>
    <n v="3"/>
    <n v="4"/>
    <n v="10"/>
    <x v="1"/>
    <s v="Good"/>
    <s v="₹ 10000 - ₹ 19,999"/>
    <s v="Recommend training"/>
  </r>
  <r>
    <x v="494"/>
    <x v="14"/>
    <x v="0"/>
    <x v="0"/>
    <n v="1309"/>
    <s v="Male"/>
    <x v="0"/>
    <n v="3"/>
    <n v="4883"/>
    <x v="0"/>
    <n v="3"/>
    <n v="3"/>
    <n v="10"/>
    <x v="0"/>
    <s v="Good"/>
    <s v="₹ 10000 - ₹ 19,999"/>
    <s v="Recommend training"/>
  </r>
  <r>
    <x v="495"/>
    <x v="14"/>
    <x v="1"/>
    <x v="1"/>
    <n v="1396"/>
    <s v="Male"/>
    <x v="5"/>
    <n v="2"/>
    <n v="4078"/>
    <x v="1"/>
    <n v="3"/>
    <n v="3"/>
    <n v="3"/>
    <x v="0"/>
    <s v="Good"/>
    <s v="₹ 10000 - ₹ 19,999"/>
    <s v="Recommend training"/>
  </r>
  <r>
    <x v="496"/>
    <x v="14"/>
    <x v="1"/>
    <x v="1"/>
    <n v="1446"/>
    <s v="Male"/>
    <x v="5"/>
    <n v="4"/>
    <n v="9204"/>
    <x v="0"/>
    <n v="3"/>
    <n v="3"/>
    <n v="4"/>
    <x v="1"/>
    <s v="Good"/>
    <s v="₹ 7,000 - ₹ 10,000"/>
    <s v="Recommend training"/>
  </r>
  <r>
    <x v="497"/>
    <x v="14"/>
    <x v="1"/>
    <x v="0"/>
    <n v="1516"/>
    <s v="Male"/>
    <x v="8"/>
    <n v="4"/>
    <n v="11244"/>
    <x v="0"/>
    <n v="4"/>
    <n v="5"/>
    <n v="5"/>
    <x v="1"/>
    <s v="Excellent"/>
    <s v="₹ 10000 - ₹ 19,999"/>
    <s v="Not recommend training"/>
  </r>
  <r>
    <x v="498"/>
    <x v="14"/>
    <x v="1"/>
    <x v="0"/>
    <n v="1555"/>
    <s v="Female"/>
    <x v="2"/>
    <n v="2"/>
    <n v="5878"/>
    <x v="0"/>
    <n v="3"/>
    <n v="2"/>
    <n v="7"/>
    <x v="1"/>
    <s v="Good"/>
    <s v="₹ 10000 - ₹ 19,999"/>
    <s v="Recommend training"/>
  </r>
  <r>
    <x v="499"/>
    <x v="14"/>
    <x v="1"/>
    <x v="0"/>
    <n v="1574"/>
    <s v="Male"/>
    <x v="2"/>
    <n v="1"/>
    <n v="4087"/>
    <x v="0"/>
    <n v="3"/>
    <n v="3"/>
    <n v="6"/>
    <x v="1"/>
    <s v="Good"/>
    <s v="₹ 10000 - ₹ 19,999"/>
    <s v="Recommend training"/>
  </r>
  <r>
    <x v="500"/>
    <x v="14"/>
    <x v="1"/>
    <x v="0"/>
    <n v="1607"/>
    <s v="Female"/>
    <x v="2"/>
    <n v="4"/>
    <n v="3312"/>
    <x v="0"/>
    <n v="3"/>
    <n v="3"/>
    <n v="3"/>
    <x v="1"/>
    <s v="Good"/>
    <s v="₹ 10000 - ₹ 19,999"/>
    <s v="Recommend training"/>
  </r>
  <r>
    <x v="501"/>
    <x v="14"/>
    <x v="1"/>
    <x v="0"/>
    <n v="1671"/>
    <s v="Male"/>
    <x v="2"/>
    <n v="2"/>
    <n v="5470"/>
    <x v="0"/>
    <n v="3"/>
    <n v="4"/>
    <n v="9"/>
    <x v="1"/>
    <s v="Good"/>
    <s v="₹ 10000 - ₹ 19,999"/>
    <s v="Recommend training"/>
  </r>
  <r>
    <x v="502"/>
    <x v="14"/>
    <x v="0"/>
    <x v="0"/>
    <n v="1692"/>
    <s v="Male"/>
    <x v="0"/>
    <n v="2"/>
    <n v="1393"/>
    <x v="0"/>
    <n v="3"/>
    <n v="2"/>
    <n v="1"/>
    <x v="0"/>
    <s v="Good"/>
    <s v="₹ 3,000- ₹ 7,000"/>
    <s v="Recommend training"/>
  </r>
  <r>
    <x v="503"/>
    <x v="14"/>
    <x v="1"/>
    <x v="0"/>
    <n v="1720"/>
    <s v="Male"/>
    <x v="2"/>
    <n v="3"/>
    <n v="3433"/>
    <x v="0"/>
    <n v="3"/>
    <n v="3"/>
    <n v="5"/>
    <x v="1"/>
    <s v="Good"/>
    <s v="₹ 10000 - ₹ 19,999"/>
    <s v="Recommend training"/>
  </r>
  <r>
    <x v="504"/>
    <x v="14"/>
    <x v="0"/>
    <x v="1"/>
    <n v="1734"/>
    <s v="Male"/>
    <x v="5"/>
    <n v="2"/>
    <n v="6735"/>
    <x v="0"/>
    <n v="3"/>
    <n v="2"/>
    <n v="0"/>
    <x v="0"/>
    <s v="Good"/>
    <s v="₹ 10000 - ₹ 19,999"/>
    <s v="Recommend training"/>
  </r>
  <r>
    <x v="505"/>
    <x v="14"/>
    <x v="1"/>
    <x v="1"/>
    <n v="1739"/>
    <s v="Male"/>
    <x v="5"/>
    <n v="3"/>
    <n v="9610"/>
    <x v="0"/>
    <n v="3"/>
    <n v="2"/>
    <n v="4"/>
    <x v="1"/>
    <s v="Good"/>
    <s v="₹ 7,000 - ₹ 10,000"/>
    <s v="Recommend training"/>
  </r>
  <r>
    <x v="506"/>
    <x v="14"/>
    <x v="1"/>
    <x v="0"/>
    <n v="1764"/>
    <s v="Male"/>
    <x v="2"/>
    <n v="2"/>
    <n v="2718"/>
    <x v="0"/>
    <n v="3"/>
    <n v="3"/>
    <n v="7"/>
    <x v="1"/>
    <s v="Good"/>
    <s v="₹ 3,000- ₹ 7,000"/>
    <s v="Recommend training"/>
  </r>
  <r>
    <x v="507"/>
    <x v="14"/>
    <x v="1"/>
    <x v="1"/>
    <n v="1853"/>
    <s v="Male"/>
    <x v="5"/>
    <n v="4"/>
    <n v="4648"/>
    <x v="0"/>
    <n v="3"/>
    <n v="2"/>
    <n v="0"/>
    <x v="1"/>
    <s v="Good"/>
    <s v="₹ 10000 - ₹ 19,999"/>
    <s v="Recommend training"/>
  </r>
  <r>
    <x v="508"/>
    <x v="14"/>
    <x v="0"/>
    <x v="1"/>
    <n v="1862"/>
    <s v="Male"/>
    <x v="5"/>
    <n v="2"/>
    <n v="9907"/>
    <x v="1"/>
    <n v="3"/>
    <n v="3"/>
    <n v="2"/>
    <x v="2"/>
    <s v="Good"/>
    <s v="₹ 7,000 - ₹ 10,000"/>
    <s v="Recommend training"/>
  </r>
  <r>
    <x v="509"/>
    <x v="14"/>
    <x v="0"/>
    <x v="0"/>
    <n v="1939"/>
    <s v="Female"/>
    <x v="2"/>
    <n v="3"/>
    <n v="2432"/>
    <x v="1"/>
    <n v="3"/>
    <n v="2"/>
    <n v="4"/>
    <x v="2"/>
    <s v="Good"/>
    <s v="₹ 3,000- ₹ 7,000"/>
    <s v="Recommend training"/>
  </r>
  <r>
    <x v="510"/>
    <x v="14"/>
    <x v="1"/>
    <x v="0"/>
    <n v="1955"/>
    <s v="Female"/>
    <x v="6"/>
    <n v="4"/>
    <n v="6667"/>
    <x v="0"/>
    <n v="3"/>
    <n v="6"/>
    <n v="5"/>
    <x v="1"/>
    <s v="Good"/>
    <s v="₹ 10000 - ₹ 19,999"/>
    <s v="Recommend training"/>
  </r>
  <r>
    <x v="511"/>
    <x v="14"/>
    <x v="1"/>
    <x v="0"/>
    <n v="1966"/>
    <s v="Male"/>
    <x v="4"/>
    <n v="4"/>
    <n v="9679"/>
    <x v="0"/>
    <n v="4"/>
    <n v="1"/>
    <n v="1"/>
    <x v="1"/>
    <s v="Excellent"/>
    <s v="₹ 7,000 - ₹ 10,000"/>
    <s v="Recommend training"/>
  </r>
  <r>
    <x v="512"/>
    <x v="14"/>
    <x v="1"/>
    <x v="0"/>
    <n v="2010"/>
    <s v="Female"/>
    <x v="0"/>
    <n v="2"/>
    <n v="2837"/>
    <x v="0"/>
    <n v="3"/>
    <n v="3"/>
    <n v="6"/>
    <x v="1"/>
    <s v="Good"/>
    <s v="₹ 3,000- ₹ 7,000"/>
    <s v="Recommend training"/>
  </r>
  <r>
    <x v="513"/>
    <x v="14"/>
    <x v="1"/>
    <x v="1"/>
    <n v="2013"/>
    <s v="Male"/>
    <x v="1"/>
    <n v="2"/>
    <n v="2269"/>
    <x v="0"/>
    <n v="3"/>
    <n v="2"/>
    <n v="2"/>
    <x v="1"/>
    <s v="Good"/>
    <s v="₹ 3,000- ₹ 7,000"/>
    <s v="Recommend training"/>
  </r>
  <r>
    <x v="514"/>
    <x v="14"/>
    <x v="1"/>
    <x v="1"/>
    <n v="2016"/>
    <s v="Female"/>
    <x v="5"/>
    <n v="4"/>
    <n v="10422"/>
    <x v="0"/>
    <n v="3"/>
    <n v="3"/>
    <n v="14"/>
    <x v="1"/>
    <s v="Good"/>
    <s v="₹ 10000 - ₹ 19,999"/>
    <s v="Recommend training"/>
  </r>
  <r>
    <x v="515"/>
    <x v="14"/>
    <x v="1"/>
    <x v="0"/>
    <n v="2038"/>
    <s v="Male"/>
    <x v="2"/>
    <n v="1"/>
    <n v="2439"/>
    <x v="0"/>
    <n v="3"/>
    <n v="4"/>
    <n v="4"/>
    <x v="1"/>
    <s v="Good"/>
    <s v="₹ 3,000- ₹ 7,000"/>
    <s v="Recommend training"/>
  </r>
  <r>
    <x v="516"/>
    <x v="15"/>
    <x v="1"/>
    <x v="0"/>
    <n v="5"/>
    <s v="Female"/>
    <x v="2"/>
    <n v="3"/>
    <n v="2909"/>
    <x v="1"/>
    <n v="3"/>
    <n v="3"/>
    <n v="8"/>
    <x v="0"/>
    <s v="Good"/>
    <s v="₹ 3,000- ₹ 7,000"/>
    <s v="Recommend training"/>
  </r>
  <r>
    <x v="517"/>
    <x v="15"/>
    <x v="1"/>
    <x v="0"/>
    <n v="39"/>
    <s v="Male"/>
    <x v="0"/>
    <n v="4"/>
    <n v="2496"/>
    <x v="0"/>
    <n v="3"/>
    <n v="3"/>
    <n v="1"/>
    <x v="1"/>
    <s v="Good"/>
    <s v="₹ 3,000- ₹ 7,000"/>
    <s v="Recommend training"/>
  </r>
  <r>
    <x v="518"/>
    <x v="15"/>
    <x v="1"/>
    <x v="1"/>
    <n v="52"/>
    <s v="Female"/>
    <x v="5"/>
    <n v="1"/>
    <n v="5376"/>
    <x v="0"/>
    <n v="3"/>
    <n v="3"/>
    <n v="5"/>
    <x v="1"/>
    <s v="Good"/>
    <s v="₹ 10000 - ₹ 19,999"/>
    <s v="Recommend training"/>
  </r>
  <r>
    <x v="519"/>
    <x v="15"/>
    <x v="1"/>
    <x v="0"/>
    <n v="73"/>
    <s v="Female"/>
    <x v="7"/>
    <n v="4"/>
    <n v="13458"/>
    <x v="1"/>
    <n v="3"/>
    <n v="1"/>
    <n v="15"/>
    <x v="0"/>
    <s v="Good"/>
    <s v="₹ 10000 - ₹ 19,999"/>
    <s v="Recommend training"/>
  </r>
  <r>
    <x v="520"/>
    <x v="15"/>
    <x v="1"/>
    <x v="1"/>
    <n v="160"/>
    <s v="Male"/>
    <x v="5"/>
    <n v="2"/>
    <n v="6146"/>
    <x v="0"/>
    <n v="3"/>
    <n v="2"/>
    <n v="7"/>
    <x v="1"/>
    <s v="Good"/>
    <s v="₹ 10000 - ₹ 19,999"/>
    <s v="Recommend training"/>
  </r>
  <r>
    <x v="521"/>
    <x v="15"/>
    <x v="1"/>
    <x v="0"/>
    <n v="242"/>
    <s v="Male"/>
    <x v="2"/>
    <n v="4"/>
    <n v="2500"/>
    <x v="0"/>
    <n v="3"/>
    <n v="2"/>
    <n v="3"/>
    <x v="1"/>
    <s v="Good"/>
    <s v="₹ 3,000- ₹ 7,000"/>
    <s v="Recommend training"/>
  </r>
  <r>
    <x v="522"/>
    <x v="15"/>
    <x v="1"/>
    <x v="0"/>
    <n v="252"/>
    <s v="Female"/>
    <x v="2"/>
    <n v="2"/>
    <n v="2756"/>
    <x v="0"/>
    <n v="3"/>
    <n v="5"/>
    <n v="8"/>
    <x v="1"/>
    <s v="Good"/>
    <s v="₹ 3,000- ₹ 7,000"/>
    <s v="Recommend training"/>
  </r>
  <r>
    <x v="523"/>
    <x v="15"/>
    <x v="1"/>
    <x v="0"/>
    <n v="305"/>
    <s v="Female"/>
    <x v="2"/>
    <n v="2"/>
    <n v="2622"/>
    <x v="0"/>
    <n v="4"/>
    <n v="3"/>
    <n v="3"/>
    <x v="1"/>
    <s v="Excellent"/>
    <s v="₹ 3,000- ₹ 7,000"/>
    <s v="Not recommend training"/>
  </r>
  <r>
    <x v="524"/>
    <x v="15"/>
    <x v="0"/>
    <x v="0"/>
    <n v="325"/>
    <s v="Male"/>
    <x v="0"/>
    <n v="4"/>
    <n v="2436"/>
    <x v="1"/>
    <n v="3"/>
    <n v="2"/>
    <n v="5"/>
    <x v="2"/>
    <s v="Good"/>
    <s v="₹ 3,000- ₹ 7,000"/>
    <s v="Recommend training"/>
  </r>
  <r>
    <x v="525"/>
    <x v="15"/>
    <x v="0"/>
    <x v="0"/>
    <n v="328"/>
    <s v="Female"/>
    <x v="0"/>
    <n v="1"/>
    <n v="2707"/>
    <x v="0"/>
    <n v="4"/>
    <n v="3"/>
    <n v="9"/>
    <x v="0"/>
    <s v="Excellent"/>
    <s v="₹ 3,000- ₹ 7,000"/>
    <s v="Not recommend training"/>
  </r>
  <r>
    <x v="526"/>
    <x v="15"/>
    <x v="1"/>
    <x v="0"/>
    <n v="338"/>
    <s v="Female"/>
    <x v="2"/>
    <n v="4"/>
    <n v="2911"/>
    <x v="0"/>
    <n v="3"/>
    <n v="2"/>
    <n v="2"/>
    <x v="1"/>
    <s v="Good"/>
    <s v="₹ 3,000- ₹ 7,000"/>
    <s v="Recommend training"/>
  </r>
  <r>
    <x v="527"/>
    <x v="15"/>
    <x v="1"/>
    <x v="0"/>
    <n v="428"/>
    <s v="Female"/>
    <x v="8"/>
    <n v="2"/>
    <n v="11878"/>
    <x v="0"/>
    <n v="3"/>
    <n v="2"/>
    <n v="10"/>
    <x v="1"/>
    <s v="Good"/>
    <s v="₹ 10000 - ₹ 19,999"/>
    <s v="Recommend training"/>
  </r>
  <r>
    <x v="528"/>
    <x v="15"/>
    <x v="1"/>
    <x v="1"/>
    <n v="446"/>
    <s v="Male"/>
    <x v="5"/>
    <n v="4"/>
    <n v="4682"/>
    <x v="0"/>
    <n v="3"/>
    <n v="6"/>
    <n v="7"/>
    <x v="1"/>
    <s v="Good"/>
    <s v="₹ 10000 - ₹ 19,999"/>
    <s v="Recommend training"/>
  </r>
  <r>
    <x v="529"/>
    <x v="15"/>
    <x v="0"/>
    <x v="1"/>
    <n v="485"/>
    <s v="Female"/>
    <x v="1"/>
    <n v="3"/>
    <n v="2851"/>
    <x v="1"/>
    <n v="3"/>
    <n v="2"/>
    <n v="1"/>
    <x v="2"/>
    <s v="Good"/>
    <s v="₹ 3,000- ₹ 7,000"/>
    <s v="Recommend training"/>
  </r>
  <r>
    <x v="530"/>
    <x v="15"/>
    <x v="0"/>
    <x v="0"/>
    <n v="582"/>
    <s v="Male"/>
    <x v="8"/>
    <n v="3"/>
    <n v="13610"/>
    <x v="1"/>
    <n v="3"/>
    <n v="2"/>
    <n v="7"/>
    <x v="2"/>
    <s v="Good"/>
    <s v="₹ 10000 - ₹ 19,999"/>
    <s v="Recommend training"/>
  </r>
  <r>
    <x v="531"/>
    <x v="15"/>
    <x v="0"/>
    <x v="0"/>
    <n v="584"/>
    <s v="Male"/>
    <x v="0"/>
    <n v="4"/>
    <n v="3408"/>
    <x v="0"/>
    <n v="3"/>
    <n v="2"/>
    <n v="4"/>
    <x v="0"/>
    <s v="Good"/>
    <s v="₹ 10000 - ₹ 19,999"/>
    <s v="Recommend training"/>
  </r>
  <r>
    <x v="532"/>
    <x v="15"/>
    <x v="1"/>
    <x v="0"/>
    <n v="612"/>
    <s v="Female"/>
    <x v="7"/>
    <n v="3"/>
    <n v="16184"/>
    <x v="0"/>
    <n v="3"/>
    <n v="2"/>
    <n v="6"/>
    <x v="1"/>
    <s v="Good"/>
    <s v="₹ 10000 - ₹ 19,999"/>
    <s v="Recommend training"/>
  </r>
  <r>
    <x v="533"/>
    <x v="15"/>
    <x v="1"/>
    <x v="1"/>
    <n v="677"/>
    <s v="Male"/>
    <x v="5"/>
    <n v="3"/>
    <n v="7104"/>
    <x v="0"/>
    <n v="3"/>
    <n v="3"/>
    <n v="5"/>
    <x v="1"/>
    <s v="Good"/>
    <s v="₹ 7,000 - ₹ 10,000"/>
    <s v="Recommend training"/>
  </r>
  <r>
    <x v="534"/>
    <x v="15"/>
    <x v="1"/>
    <x v="0"/>
    <n v="692"/>
    <s v="Male"/>
    <x v="6"/>
    <n v="4"/>
    <n v="7725"/>
    <x v="0"/>
    <n v="4"/>
    <n v="2"/>
    <n v="13"/>
    <x v="1"/>
    <s v="Excellent"/>
    <s v="₹ 7,000 - ₹ 10,000"/>
    <s v="Recommend training"/>
  </r>
  <r>
    <x v="535"/>
    <x v="15"/>
    <x v="0"/>
    <x v="0"/>
    <n v="702"/>
    <s v="Male"/>
    <x v="2"/>
    <n v="1"/>
    <n v="3348"/>
    <x v="1"/>
    <n v="3"/>
    <n v="3"/>
    <n v="10"/>
    <x v="2"/>
    <s v="Good"/>
    <s v="₹ 10000 - ₹ 19,999"/>
    <s v="Recommend training"/>
  </r>
  <r>
    <x v="536"/>
    <x v="15"/>
    <x v="0"/>
    <x v="0"/>
    <n v="780"/>
    <s v="Male"/>
    <x v="2"/>
    <n v="4"/>
    <n v="2686"/>
    <x v="1"/>
    <n v="3"/>
    <n v="2"/>
    <n v="10"/>
    <x v="2"/>
    <s v="Good"/>
    <s v="₹ 3,000- ₹ 7,000"/>
    <s v="Recommend training"/>
  </r>
  <r>
    <x v="537"/>
    <x v="15"/>
    <x v="1"/>
    <x v="0"/>
    <n v="817"/>
    <s v="Male"/>
    <x v="7"/>
    <n v="3"/>
    <n v="11691"/>
    <x v="0"/>
    <n v="3"/>
    <n v="3"/>
    <n v="13"/>
    <x v="1"/>
    <s v="Good"/>
    <s v="₹ 10000 - ₹ 19,999"/>
    <s v="Recommend training"/>
  </r>
  <r>
    <x v="538"/>
    <x v="15"/>
    <x v="0"/>
    <x v="1"/>
    <n v="819"/>
    <s v="Female"/>
    <x v="5"/>
    <n v="1"/>
    <n v="5324"/>
    <x v="0"/>
    <n v="3"/>
    <n v="3"/>
    <n v="3"/>
    <x v="0"/>
    <s v="Good"/>
    <s v="₹ 10000 - ₹ 19,999"/>
    <s v="Recommend training"/>
  </r>
  <r>
    <x v="539"/>
    <x v="15"/>
    <x v="1"/>
    <x v="1"/>
    <n v="855"/>
    <s v="Male"/>
    <x v="5"/>
    <n v="1"/>
    <n v="4037"/>
    <x v="0"/>
    <n v="4"/>
    <n v="5"/>
    <n v="9"/>
    <x v="1"/>
    <s v="Excellent"/>
    <s v="₹ 10000 - ₹ 19,999"/>
    <s v="Not recommend training"/>
  </r>
  <r>
    <x v="540"/>
    <x v="15"/>
    <x v="1"/>
    <x v="2"/>
    <n v="910"/>
    <s v="Male"/>
    <x v="3"/>
    <n v="2"/>
    <n v="2277"/>
    <x v="1"/>
    <n v="3"/>
    <n v="4"/>
    <n v="4"/>
    <x v="0"/>
    <s v="Good"/>
    <s v="₹ 3,000- ₹ 7,000"/>
    <s v="Recommend training"/>
  </r>
  <r>
    <x v="541"/>
    <x v="15"/>
    <x v="1"/>
    <x v="0"/>
    <n v="939"/>
    <s v="Male"/>
    <x v="2"/>
    <n v="1"/>
    <n v="2799"/>
    <x v="1"/>
    <n v="3"/>
    <n v="1"/>
    <n v="3"/>
    <x v="0"/>
    <s v="Good"/>
    <s v="₹ 3,000- ₹ 7,000"/>
    <s v="Recommend training"/>
  </r>
  <r>
    <x v="542"/>
    <x v="15"/>
    <x v="1"/>
    <x v="0"/>
    <n v="969"/>
    <s v="Female"/>
    <x v="6"/>
    <n v="4"/>
    <n v="6949"/>
    <x v="0"/>
    <n v="3"/>
    <n v="3"/>
    <n v="5"/>
    <x v="1"/>
    <s v="Good"/>
    <s v="₹ 10000 - ₹ 19,999"/>
    <s v="Recommend training"/>
  </r>
  <r>
    <x v="543"/>
    <x v="15"/>
    <x v="1"/>
    <x v="1"/>
    <n v="992"/>
    <s v="Male"/>
    <x v="8"/>
    <n v="3"/>
    <n v="17444"/>
    <x v="0"/>
    <n v="3"/>
    <n v="2"/>
    <n v="10"/>
    <x v="1"/>
    <s v="Good"/>
    <s v="₹ 10000 - ₹ 19,999"/>
    <s v="Recommend training"/>
  </r>
  <r>
    <x v="544"/>
    <x v="15"/>
    <x v="1"/>
    <x v="0"/>
    <n v="995"/>
    <s v="Female"/>
    <x v="2"/>
    <n v="4"/>
    <n v="3452"/>
    <x v="0"/>
    <n v="3"/>
    <n v="4"/>
    <n v="3"/>
    <x v="1"/>
    <s v="Good"/>
    <s v="₹ 10000 - ₹ 19,999"/>
    <s v="Recommend training"/>
  </r>
  <r>
    <x v="545"/>
    <x v="15"/>
    <x v="1"/>
    <x v="0"/>
    <n v="998"/>
    <s v="Female"/>
    <x v="6"/>
    <n v="2"/>
    <n v="5488"/>
    <x v="1"/>
    <n v="3"/>
    <n v="2"/>
    <n v="6"/>
    <x v="0"/>
    <s v="Good"/>
    <s v="₹ 10000 - ₹ 19,999"/>
    <s v="Recommend training"/>
  </r>
  <r>
    <x v="546"/>
    <x v="15"/>
    <x v="1"/>
    <x v="1"/>
    <n v="1044"/>
    <s v="Female"/>
    <x v="1"/>
    <n v="4"/>
    <n v="2342"/>
    <x v="0"/>
    <n v="3"/>
    <n v="2"/>
    <n v="2"/>
    <x v="1"/>
    <s v="Good"/>
    <s v="₹ 3,000- ₹ 7,000"/>
    <s v="Recommend training"/>
  </r>
  <r>
    <x v="547"/>
    <x v="15"/>
    <x v="1"/>
    <x v="0"/>
    <n v="1099"/>
    <s v="Male"/>
    <x v="6"/>
    <n v="4"/>
    <n v="7119"/>
    <x v="0"/>
    <n v="3"/>
    <n v="2"/>
    <n v="3"/>
    <x v="1"/>
    <s v="Good"/>
    <s v="₹ 7,000 - ₹ 10,000"/>
    <s v="Recommend training"/>
  </r>
  <r>
    <x v="548"/>
    <x v="15"/>
    <x v="0"/>
    <x v="0"/>
    <n v="1101"/>
    <s v="Female"/>
    <x v="2"/>
    <n v="3"/>
    <n v="4508"/>
    <x v="0"/>
    <n v="4"/>
    <n v="4"/>
    <n v="13"/>
    <x v="0"/>
    <s v="Excellent"/>
    <s v="₹ 10000 - ₹ 19,999"/>
    <s v="Not recommend training"/>
  </r>
  <r>
    <x v="549"/>
    <x v="15"/>
    <x v="0"/>
    <x v="0"/>
    <n v="1108"/>
    <s v="Male"/>
    <x v="2"/>
    <n v="2"/>
    <n v="2313"/>
    <x v="1"/>
    <n v="4"/>
    <n v="0"/>
    <n v="2"/>
    <x v="2"/>
    <s v="Excellent"/>
    <s v="₹ 3,000- ₹ 7,000"/>
    <s v="Recommend training"/>
  </r>
  <r>
    <x v="550"/>
    <x v="15"/>
    <x v="1"/>
    <x v="1"/>
    <n v="1114"/>
    <s v="Female"/>
    <x v="5"/>
    <n v="2"/>
    <n v="4302"/>
    <x v="0"/>
    <n v="3"/>
    <n v="3"/>
    <n v="3"/>
    <x v="1"/>
    <s v="Good"/>
    <s v="₹ 10000 - ₹ 19,999"/>
    <s v="Recommend training"/>
  </r>
  <r>
    <x v="551"/>
    <x v="15"/>
    <x v="0"/>
    <x v="1"/>
    <n v="1157"/>
    <s v="Female"/>
    <x v="5"/>
    <n v="1"/>
    <n v="8224"/>
    <x v="1"/>
    <n v="3"/>
    <n v="3"/>
    <n v="5"/>
    <x v="2"/>
    <s v="Good"/>
    <s v="₹ 7,000 - ₹ 10,000"/>
    <s v="Recommend training"/>
  </r>
  <r>
    <x v="552"/>
    <x v="15"/>
    <x v="1"/>
    <x v="2"/>
    <n v="1207"/>
    <s v="Male"/>
    <x v="3"/>
    <n v="3"/>
    <n v="3600"/>
    <x v="0"/>
    <n v="3"/>
    <n v="2"/>
    <n v="5"/>
    <x v="1"/>
    <s v="Good"/>
    <s v="₹ 10000 - ₹ 19,999"/>
    <s v="Recommend training"/>
  </r>
  <r>
    <x v="553"/>
    <x v="15"/>
    <x v="1"/>
    <x v="1"/>
    <n v="1220"/>
    <s v="Female"/>
    <x v="5"/>
    <n v="3"/>
    <n v="4539"/>
    <x v="0"/>
    <n v="3"/>
    <n v="3"/>
    <n v="10"/>
    <x v="1"/>
    <s v="Good"/>
    <s v="₹ 10000 - ₹ 19,999"/>
    <s v="Recommend training"/>
  </r>
  <r>
    <x v="554"/>
    <x v="15"/>
    <x v="1"/>
    <x v="0"/>
    <n v="1238"/>
    <s v="Male"/>
    <x v="2"/>
    <n v="4"/>
    <n v="2781"/>
    <x v="0"/>
    <n v="3"/>
    <n v="5"/>
    <n v="14"/>
    <x v="1"/>
    <s v="Good"/>
    <s v="₹ 3,000- ₹ 7,000"/>
    <s v="Recommend training"/>
  </r>
  <r>
    <x v="555"/>
    <x v="15"/>
    <x v="1"/>
    <x v="1"/>
    <n v="1268"/>
    <s v="Male"/>
    <x v="5"/>
    <n v="3"/>
    <n v="8380"/>
    <x v="1"/>
    <n v="3"/>
    <n v="3"/>
    <n v="9"/>
    <x v="0"/>
    <s v="Good"/>
    <s v="₹ 7,000 - ₹ 10,000"/>
    <s v="Recommend training"/>
  </r>
  <r>
    <x v="556"/>
    <x v="15"/>
    <x v="1"/>
    <x v="1"/>
    <n v="1395"/>
    <s v="Male"/>
    <x v="5"/>
    <n v="4"/>
    <n v="9998"/>
    <x v="0"/>
    <n v="3"/>
    <n v="2"/>
    <n v="5"/>
    <x v="1"/>
    <s v="Good"/>
    <s v="₹ 7,000 - ₹ 10,000"/>
    <s v="Recommend training"/>
  </r>
  <r>
    <x v="557"/>
    <x v="15"/>
    <x v="1"/>
    <x v="1"/>
    <n v="1477"/>
    <s v="Male"/>
    <x v="5"/>
    <n v="1"/>
    <n v="4373"/>
    <x v="0"/>
    <n v="3"/>
    <n v="2"/>
    <n v="4"/>
    <x v="1"/>
    <s v="Good"/>
    <s v="₹ 10000 - ₹ 19,999"/>
    <s v="Recommend training"/>
  </r>
  <r>
    <x v="558"/>
    <x v="15"/>
    <x v="1"/>
    <x v="0"/>
    <n v="1502"/>
    <s v="Female"/>
    <x v="0"/>
    <n v="2"/>
    <n v="3838"/>
    <x v="0"/>
    <n v="3"/>
    <n v="5"/>
    <n v="5"/>
    <x v="1"/>
    <s v="Good"/>
    <s v="₹ 10000 - ₹ 19,999"/>
    <s v="Recommend training"/>
  </r>
  <r>
    <x v="559"/>
    <x v="15"/>
    <x v="1"/>
    <x v="0"/>
    <n v="1515"/>
    <s v="Male"/>
    <x v="6"/>
    <n v="3"/>
    <n v="6388"/>
    <x v="1"/>
    <n v="3"/>
    <n v="6"/>
    <n v="0"/>
    <x v="0"/>
    <s v="Good"/>
    <s v="₹ 10000 - ₹ 19,999"/>
    <s v="Recommend training"/>
  </r>
  <r>
    <x v="560"/>
    <x v="15"/>
    <x v="1"/>
    <x v="0"/>
    <n v="1545"/>
    <s v="Male"/>
    <x v="4"/>
    <n v="2"/>
    <n v="4320"/>
    <x v="0"/>
    <n v="3"/>
    <n v="2"/>
    <n v="5"/>
    <x v="1"/>
    <s v="Good"/>
    <s v="₹ 10000 - ₹ 19,999"/>
    <s v="Recommend training"/>
  </r>
  <r>
    <x v="561"/>
    <x v="15"/>
    <x v="1"/>
    <x v="0"/>
    <n v="1549"/>
    <s v="Male"/>
    <x v="0"/>
    <n v="3"/>
    <n v="5207"/>
    <x v="1"/>
    <n v="3"/>
    <n v="3"/>
    <n v="15"/>
    <x v="0"/>
    <s v="Good"/>
    <s v="₹ 10000 - ₹ 19,999"/>
    <s v="Recommend training"/>
  </r>
  <r>
    <x v="562"/>
    <x v="15"/>
    <x v="1"/>
    <x v="1"/>
    <n v="1560"/>
    <s v="Male"/>
    <x v="5"/>
    <n v="1"/>
    <n v="6392"/>
    <x v="0"/>
    <n v="3"/>
    <n v="6"/>
    <n v="2"/>
    <x v="1"/>
    <s v="Good"/>
    <s v="₹ 10000 - ₹ 19,999"/>
    <s v="Recommend training"/>
  </r>
  <r>
    <x v="563"/>
    <x v="15"/>
    <x v="1"/>
    <x v="1"/>
    <n v="1670"/>
    <s v="Male"/>
    <x v="5"/>
    <n v="4"/>
    <n v="5505"/>
    <x v="0"/>
    <n v="3"/>
    <n v="5"/>
    <n v="6"/>
    <x v="1"/>
    <s v="Good"/>
    <s v="₹ 10000 - ₹ 19,999"/>
    <s v="Recommend training"/>
  </r>
  <r>
    <x v="564"/>
    <x v="15"/>
    <x v="1"/>
    <x v="1"/>
    <n v="1681"/>
    <s v="Female"/>
    <x v="5"/>
    <n v="4"/>
    <n v="5368"/>
    <x v="1"/>
    <n v="4"/>
    <n v="2"/>
    <n v="6"/>
    <x v="0"/>
    <s v="Excellent"/>
    <s v="₹ 10000 - ₹ 19,999"/>
    <s v="Recommend training"/>
  </r>
  <r>
    <x v="565"/>
    <x v="15"/>
    <x v="1"/>
    <x v="0"/>
    <n v="1698"/>
    <s v="Male"/>
    <x v="0"/>
    <n v="2"/>
    <n v="2028"/>
    <x v="0"/>
    <n v="3"/>
    <n v="6"/>
    <n v="14"/>
    <x v="1"/>
    <s v="Good"/>
    <s v="₹ 3,000- ₹ 7,000"/>
    <s v="Recommend training"/>
  </r>
  <r>
    <x v="566"/>
    <x v="15"/>
    <x v="1"/>
    <x v="1"/>
    <n v="1756"/>
    <s v="Female"/>
    <x v="5"/>
    <n v="2"/>
    <n v="5147"/>
    <x v="0"/>
    <n v="3"/>
    <n v="2"/>
    <n v="11"/>
    <x v="1"/>
    <s v="Good"/>
    <s v="₹ 10000 - ₹ 19,999"/>
    <s v="Recommend training"/>
  </r>
  <r>
    <x v="567"/>
    <x v="15"/>
    <x v="0"/>
    <x v="1"/>
    <n v="1758"/>
    <s v="Female"/>
    <x v="5"/>
    <n v="1"/>
    <n v="8564"/>
    <x v="1"/>
    <n v="4"/>
    <n v="2"/>
    <n v="0"/>
    <x v="2"/>
    <s v="Excellent"/>
    <s v="₹ 7,000 - ₹ 10,000"/>
    <s v="Recommend training"/>
  </r>
  <r>
    <x v="568"/>
    <x v="15"/>
    <x v="1"/>
    <x v="0"/>
    <n v="1771"/>
    <s v="Male"/>
    <x v="2"/>
    <n v="2"/>
    <n v="3055"/>
    <x v="0"/>
    <n v="3"/>
    <n v="2"/>
    <n v="9"/>
    <x v="1"/>
    <s v="Good"/>
    <s v="₹ 10000 - ₹ 19,999"/>
    <s v="Recommend training"/>
  </r>
  <r>
    <x v="569"/>
    <x v="15"/>
    <x v="1"/>
    <x v="0"/>
    <n v="1798"/>
    <s v="Male"/>
    <x v="2"/>
    <n v="1"/>
    <n v="3143"/>
    <x v="0"/>
    <n v="3"/>
    <n v="1"/>
    <n v="10"/>
    <x v="1"/>
    <s v="Good"/>
    <s v="₹ 10000 - ₹ 19,999"/>
    <s v="Recommend training"/>
  </r>
  <r>
    <x v="570"/>
    <x v="15"/>
    <x v="1"/>
    <x v="1"/>
    <n v="1924"/>
    <s v="Male"/>
    <x v="5"/>
    <n v="3"/>
    <n v="5487"/>
    <x v="0"/>
    <n v="3"/>
    <n v="2"/>
    <n v="10"/>
    <x v="1"/>
    <s v="Good"/>
    <s v="₹ 10000 - ₹ 19,999"/>
    <s v="Recommend training"/>
  </r>
  <r>
    <x v="571"/>
    <x v="15"/>
    <x v="1"/>
    <x v="0"/>
    <n v="1970"/>
    <s v="Male"/>
    <x v="6"/>
    <n v="3"/>
    <n v="5968"/>
    <x v="0"/>
    <n v="4"/>
    <n v="2"/>
    <n v="9"/>
    <x v="1"/>
    <s v="Excellent"/>
    <s v="₹ 10000 - ₹ 19,999"/>
    <s v="Recommend training"/>
  </r>
  <r>
    <x v="572"/>
    <x v="15"/>
    <x v="1"/>
    <x v="0"/>
    <n v="1994"/>
    <s v="Male"/>
    <x v="0"/>
    <n v="3"/>
    <n v="2008"/>
    <x v="0"/>
    <n v="3"/>
    <n v="2"/>
    <n v="1"/>
    <x v="1"/>
    <s v="Good"/>
    <s v="₹ 3,000- ₹ 7,000"/>
    <s v="Recommend training"/>
  </r>
  <r>
    <x v="573"/>
    <x v="15"/>
    <x v="1"/>
    <x v="0"/>
    <n v="2009"/>
    <s v="Female"/>
    <x v="6"/>
    <n v="4"/>
    <n v="4878"/>
    <x v="1"/>
    <n v="3"/>
    <n v="6"/>
    <n v="9"/>
    <x v="0"/>
    <s v="Good"/>
    <s v="₹ 10000 - ₹ 19,999"/>
    <s v="Recommend training"/>
  </r>
  <r>
    <x v="574"/>
    <x v="16"/>
    <x v="1"/>
    <x v="0"/>
    <n v="18"/>
    <s v="Male"/>
    <x v="0"/>
    <n v="4"/>
    <n v="2661"/>
    <x v="0"/>
    <n v="3"/>
    <n v="2"/>
    <n v="2"/>
    <x v="1"/>
    <s v="Good"/>
    <s v="₹ 3,000- ₹ 7,000"/>
    <s v="Recommend training"/>
  </r>
  <r>
    <x v="575"/>
    <x v="16"/>
    <x v="1"/>
    <x v="0"/>
    <n v="28"/>
    <s v="Female"/>
    <x v="7"/>
    <n v="2"/>
    <n v="11994"/>
    <x v="0"/>
    <n v="3"/>
    <n v="4"/>
    <n v="12"/>
    <x v="1"/>
    <s v="Good"/>
    <s v="₹ 10000 - ₹ 19,999"/>
    <s v="Recommend training"/>
  </r>
  <r>
    <x v="576"/>
    <x v="16"/>
    <x v="0"/>
    <x v="0"/>
    <n v="31"/>
    <s v="Male"/>
    <x v="2"/>
    <n v="1"/>
    <n v="2960"/>
    <x v="0"/>
    <n v="3"/>
    <n v="2"/>
    <n v="4"/>
    <x v="0"/>
    <s v="Good"/>
    <s v="₹ 3,000- ₹ 7,000"/>
    <s v="Recommend training"/>
  </r>
  <r>
    <x v="577"/>
    <x v="16"/>
    <x v="1"/>
    <x v="1"/>
    <n v="60"/>
    <s v="Male"/>
    <x v="5"/>
    <n v="3"/>
    <n v="4568"/>
    <x v="0"/>
    <n v="4"/>
    <n v="2"/>
    <n v="9"/>
    <x v="1"/>
    <s v="Excellent"/>
    <s v="₹ 10000 - ₹ 19,999"/>
    <s v="Recommend training"/>
  </r>
  <r>
    <x v="578"/>
    <x v="16"/>
    <x v="1"/>
    <x v="0"/>
    <n v="110"/>
    <s v="Male"/>
    <x v="4"/>
    <n v="2"/>
    <n v="4325"/>
    <x v="0"/>
    <n v="3"/>
    <n v="2"/>
    <n v="5"/>
    <x v="1"/>
    <s v="Good"/>
    <s v="₹ 10000 - ₹ 19,999"/>
    <s v="Recommend training"/>
  </r>
  <r>
    <x v="579"/>
    <x v="16"/>
    <x v="1"/>
    <x v="0"/>
    <n v="138"/>
    <s v="Female"/>
    <x v="2"/>
    <n v="3"/>
    <n v="4809"/>
    <x v="0"/>
    <n v="3"/>
    <n v="3"/>
    <n v="16"/>
    <x v="1"/>
    <s v="Good"/>
    <s v="₹ 10000 - ₹ 19,999"/>
    <s v="Recommend training"/>
  </r>
  <r>
    <x v="580"/>
    <x v="16"/>
    <x v="0"/>
    <x v="0"/>
    <n v="147"/>
    <s v="Male"/>
    <x v="0"/>
    <n v="3"/>
    <n v="6074"/>
    <x v="1"/>
    <n v="4"/>
    <n v="3"/>
    <n v="9"/>
    <x v="2"/>
    <s v="Excellent"/>
    <s v="₹ 10000 - ₹ 19,999"/>
    <s v="Not recommend training"/>
  </r>
  <r>
    <x v="581"/>
    <x v="16"/>
    <x v="1"/>
    <x v="0"/>
    <n v="151"/>
    <s v="Female"/>
    <x v="2"/>
    <n v="2"/>
    <n v="4505"/>
    <x v="0"/>
    <n v="3"/>
    <n v="3"/>
    <n v="1"/>
    <x v="1"/>
    <s v="Good"/>
    <s v="₹ 10000 - ₹ 19,999"/>
    <s v="Recommend training"/>
  </r>
  <r>
    <x v="582"/>
    <x v="16"/>
    <x v="1"/>
    <x v="0"/>
    <n v="153"/>
    <s v="Female"/>
    <x v="8"/>
    <n v="1"/>
    <n v="11631"/>
    <x v="0"/>
    <n v="3"/>
    <n v="6"/>
    <n v="11"/>
    <x v="1"/>
    <s v="Good"/>
    <s v="₹ 10000 - ₹ 19,999"/>
    <s v="Recommend training"/>
  </r>
  <r>
    <x v="583"/>
    <x v="16"/>
    <x v="1"/>
    <x v="1"/>
    <n v="216"/>
    <s v="Female"/>
    <x v="1"/>
    <n v="3"/>
    <n v="2231"/>
    <x v="0"/>
    <n v="3"/>
    <n v="3"/>
    <n v="4"/>
    <x v="1"/>
    <s v="Good"/>
    <s v="₹ 3,000- ₹ 7,000"/>
    <s v="Recommend training"/>
  </r>
  <r>
    <x v="584"/>
    <x v="16"/>
    <x v="1"/>
    <x v="0"/>
    <n v="247"/>
    <s v="Female"/>
    <x v="2"/>
    <n v="2"/>
    <n v="2311"/>
    <x v="0"/>
    <n v="3"/>
    <n v="3"/>
    <n v="3"/>
    <x v="1"/>
    <s v="Good"/>
    <s v="₹ 3,000- ₹ 7,000"/>
    <s v="Recommend training"/>
  </r>
  <r>
    <x v="585"/>
    <x v="16"/>
    <x v="1"/>
    <x v="0"/>
    <n v="256"/>
    <s v="Male"/>
    <x v="4"/>
    <n v="3"/>
    <n v="9547"/>
    <x v="0"/>
    <n v="3"/>
    <n v="2"/>
    <n v="10"/>
    <x v="1"/>
    <s v="Good"/>
    <s v="₹ 7,000 - ₹ 10,000"/>
    <s v="Recommend training"/>
  </r>
  <r>
    <x v="586"/>
    <x v="16"/>
    <x v="1"/>
    <x v="0"/>
    <n v="277"/>
    <s v="Male"/>
    <x v="2"/>
    <n v="3"/>
    <n v="3815"/>
    <x v="1"/>
    <n v="3"/>
    <n v="4"/>
    <n v="5"/>
    <x v="0"/>
    <s v="Good"/>
    <s v="₹ 10000 - ₹ 19,999"/>
    <s v="Recommend training"/>
  </r>
  <r>
    <x v="587"/>
    <x v="16"/>
    <x v="1"/>
    <x v="0"/>
    <n v="339"/>
    <s v="Male"/>
    <x v="4"/>
    <n v="1"/>
    <n v="5957"/>
    <x v="0"/>
    <n v="3"/>
    <n v="3"/>
    <n v="11"/>
    <x v="1"/>
    <s v="Good"/>
    <s v="₹ 10000 - ₹ 19,999"/>
    <s v="Recommend training"/>
  </r>
  <r>
    <x v="588"/>
    <x v="16"/>
    <x v="0"/>
    <x v="1"/>
    <n v="502"/>
    <s v="Male"/>
    <x v="5"/>
    <n v="4"/>
    <n v="5304"/>
    <x v="1"/>
    <n v="3"/>
    <n v="3"/>
    <n v="5"/>
    <x v="2"/>
    <s v="Good"/>
    <s v="₹ 10000 - ₹ 19,999"/>
    <s v="Recommend training"/>
  </r>
  <r>
    <x v="589"/>
    <x v="16"/>
    <x v="1"/>
    <x v="1"/>
    <n v="523"/>
    <s v="Female"/>
    <x v="5"/>
    <n v="3"/>
    <n v="6538"/>
    <x v="0"/>
    <n v="3"/>
    <n v="3"/>
    <n v="3"/>
    <x v="1"/>
    <s v="Good"/>
    <s v="₹ 10000 - ₹ 19,999"/>
    <s v="Recommend training"/>
  </r>
  <r>
    <x v="590"/>
    <x v="16"/>
    <x v="0"/>
    <x v="1"/>
    <n v="555"/>
    <s v="Female"/>
    <x v="1"/>
    <n v="3"/>
    <n v="2351"/>
    <x v="0"/>
    <n v="3"/>
    <n v="3"/>
    <n v="2"/>
    <x v="0"/>
    <s v="Good"/>
    <s v="₹ 3,000- ₹ 7,000"/>
    <s v="Recommend training"/>
  </r>
  <r>
    <x v="591"/>
    <x v="16"/>
    <x v="1"/>
    <x v="0"/>
    <n v="579"/>
    <s v="Male"/>
    <x v="2"/>
    <n v="3"/>
    <n v="2768"/>
    <x v="0"/>
    <n v="3"/>
    <n v="3"/>
    <n v="7"/>
    <x v="1"/>
    <s v="Good"/>
    <s v="₹ 3,000- ₹ 7,000"/>
    <s v="Recommend training"/>
  </r>
  <r>
    <x v="592"/>
    <x v="16"/>
    <x v="0"/>
    <x v="2"/>
    <n v="590"/>
    <s v="Female"/>
    <x v="3"/>
    <n v="1"/>
    <n v="9950"/>
    <x v="1"/>
    <n v="3"/>
    <n v="2"/>
    <n v="3"/>
    <x v="2"/>
    <s v="Good"/>
    <s v="₹ 7,000 - ₹ 10,000"/>
    <s v="Recommend training"/>
  </r>
  <r>
    <x v="593"/>
    <x v="16"/>
    <x v="1"/>
    <x v="1"/>
    <n v="621"/>
    <s v="Male"/>
    <x v="5"/>
    <n v="4"/>
    <n v="5337"/>
    <x v="0"/>
    <n v="3"/>
    <n v="3"/>
    <n v="10"/>
    <x v="1"/>
    <s v="Good"/>
    <s v="₹ 10000 - ₹ 19,999"/>
    <s v="Recommend training"/>
  </r>
  <r>
    <x v="594"/>
    <x v="16"/>
    <x v="1"/>
    <x v="0"/>
    <n v="649"/>
    <s v="Male"/>
    <x v="2"/>
    <n v="4"/>
    <n v="3622"/>
    <x v="1"/>
    <n v="3"/>
    <n v="3"/>
    <n v="6"/>
    <x v="0"/>
    <s v="Good"/>
    <s v="₹ 10000 - ₹ 19,999"/>
    <s v="Recommend training"/>
  </r>
  <r>
    <x v="595"/>
    <x v="16"/>
    <x v="1"/>
    <x v="1"/>
    <n v="666"/>
    <s v="Female"/>
    <x v="1"/>
    <n v="3"/>
    <n v="2579"/>
    <x v="1"/>
    <n v="3"/>
    <n v="3"/>
    <n v="8"/>
    <x v="0"/>
    <s v="Good"/>
    <s v="₹ 3,000- ₹ 7,000"/>
    <s v="Recommend training"/>
  </r>
  <r>
    <x v="596"/>
    <x v="16"/>
    <x v="1"/>
    <x v="0"/>
    <n v="683"/>
    <s v="Male"/>
    <x v="2"/>
    <n v="4"/>
    <n v="2691"/>
    <x v="0"/>
    <n v="3"/>
    <n v="4"/>
    <n v="10"/>
    <x v="1"/>
    <s v="Good"/>
    <s v="₹ 3,000- ₹ 7,000"/>
    <s v="Recommend training"/>
  </r>
  <r>
    <x v="597"/>
    <x v="16"/>
    <x v="1"/>
    <x v="0"/>
    <n v="717"/>
    <s v="Female"/>
    <x v="6"/>
    <n v="2"/>
    <n v="8621"/>
    <x v="0"/>
    <n v="3"/>
    <n v="3"/>
    <n v="8"/>
    <x v="1"/>
    <s v="Good"/>
    <s v="₹ 7,000 - ₹ 10,000"/>
    <s v="Recommend training"/>
  </r>
  <r>
    <x v="598"/>
    <x v="16"/>
    <x v="1"/>
    <x v="0"/>
    <n v="757"/>
    <s v="Female"/>
    <x v="6"/>
    <n v="3"/>
    <n v="6142"/>
    <x v="0"/>
    <n v="3"/>
    <n v="2"/>
    <n v="5"/>
    <x v="1"/>
    <s v="Good"/>
    <s v="₹ 10000 - ₹ 19,999"/>
    <s v="Recommend training"/>
  </r>
  <r>
    <x v="599"/>
    <x v="16"/>
    <x v="1"/>
    <x v="0"/>
    <n v="775"/>
    <s v="Female"/>
    <x v="4"/>
    <n v="1"/>
    <n v="5121"/>
    <x v="0"/>
    <n v="3"/>
    <n v="3"/>
    <n v="0"/>
    <x v="1"/>
    <s v="Good"/>
    <s v="₹ 10000 - ₹ 19,999"/>
    <s v="Recommend training"/>
  </r>
  <r>
    <x v="600"/>
    <x v="16"/>
    <x v="1"/>
    <x v="1"/>
    <n v="786"/>
    <s v="Male"/>
    <x v="5"/>
    <n v="4"/>
    <n v="6274"/>
    <x v="0"/>
    <n v="4"/>
    <n v="5"/>
    <n v="6"/>
    <x v="1"/>
    <s v="Excellent"/>
    <s v="₹ 10000 - ₹ 19,999"/>
    <s v="Not recommend training"/>
  </r>
  <r>
    <x v="601"/>
    <x v="16"/>
    <x v="1"/>
    <x v="0"/>
    <n v="797"/>
    <s v="Female"/>
    <x v="2"/>
    <n v="4"/>
    <n v="3280"/>
    <x v="0"/>
    <n v="3"/>
    <n v="2"/>
    <n v="4"/>
    <x v="1"/>
    <s v="Good"/>
    <s v="₹ 10000 - ₹ 19,999"/>
    <s v="Recommend training"/>
  </r>
  <r>
    <x v="602"/>
    <x v="16"/>
    <x v="1"/>
    <x v="0"/>
    <n v="804"/>
    <s v="Female"/>
    <x v="2"/>
    <n v="1"/>
    <n v="4381"/>
    <x v="0"/>
    <n v="3"/>
    <n v="3"/>
    <n v="6"/>
    <x v="1"/>
    <s v="Good"/>
    <s v="₹ 10000 - ₹ 19,999"/>
    <s v="Recommend training"/>
  </r>
  <r>
    <x v="603"/>
    <x v="16"/>
    <x v="1"/>
    <x v="1"/>
    <n v="808"/>
    <s v="Female"/>
    <x v="5"/>
    <n v="1"/>
    <n v="6500"/>
    <x v="0"/>
    <n v="3"/>
    <n v="1"/>
    <n v="3"/>
    <x v="1"/>
    <s v="Good"/>
    <s v="₹ 10000 - ₹ 19,999"/>
    <s v="Recommend training"/>
  </r>
  <r>
    <x v="604"/>
    <x v="16"/>
    <x v="1"/>
    <x v="0"/>
    <n v="838"/>
    <s v="Female"/>
    <x v="2"/>
    <n v="4"/>
    <n v="2553"/>
    <x v="0"/>
    <n v="3"/>
    <n v="3"/>
    <n v="5"/>
    <x v="1"/>
    <s v="Good"/>
    <s v="₹ 3,000- ₹ 7,000"/>
    <s v="Recommend training"/>
  </r>
  <r>
    <x v="605"/>
    <x v="16"/>
    <x v="1"/>
    <x v="2"/>
    <n v="847"/>
    <s v="Male"/>
    <x v="3"/>
    <n v="4"/>
    <n v="3737"/>
    <x v="0"/>
    <n v="3"/>
    <n v="1"/>
    <n v="3"/>
    <x v="1"/>
    <s v="Good"/>
    <s v="₹ 10000 - ₹ 19,999"/>
    <s v="Recommend training"/>
  </r>
  <r>
    <x v="606"/>
    <x v="16"/>
    <x v="1"/>
    <x v="0"/>
    <n v="934"/>
    <s v="Male"/>
    <x v="0"/>
    <n v="2"/>
    <n v="2008"/>
    <x v="0"/>
    <n v="3"/>
    <n v="3"/>
    <n v="1"/>
    <x v="1"/>
    <s v="Good"/>
    <s v="₹ 3,000- ₹ 7,000"/>
    <s v="Recommend training"/>
  </r>
  <r>
    <x v="607"/>
    <x v="16"/>
    <x v="1"/>
    <x v="1"/>
    <n v="1047"/>
    <s v="Male"/>
    <x v="5"/>
    <n v="4"/>
    <n v="9725"/>
    <x v="0"/>
    <n v="3"/>
    <n v="2"/>
    <n v="15"/>
    <x v="1"/>
    <s v="Good"/>
    <s v="₹ 7,000 - ₹ 10,000"/>
    <s v="Recommend training"/>
  </r>
  <r>
    <x v="608"/>
    <x v="16"/>
    <x v="1"/>
    <x v="1"/>
    <n v="1055"/>
    <s v="Female"/>
    <x v="1"/>
    <n v="3"/>
    <n v="2220"/>
    <x v="1"/>
    <n v="3"/>
    <n v="2"/>
    <n v="1"/>
    <x v="0"/>
    <s v="Good"/>
    <s v="₹ 3,000- ₹ 7,000"/>
    <s v="Recommend training"/>
  </r>
  <r>
    <x v="609"/>
    <x v="16"/>
    <x v="1"/>
    <x v="0"/>
    <n v="1103"/>
    <s v="Male"/>
    <x v="6"/>
    <n v="4"/>
    <n v="7756"/>
    <x v="0"/>
    <n v="3"/>
    <n v="1"/>
    <n v="6"/>
    <x v="1"/>
    <s v="Good"/>
    <s v="₹ 7,000 - ₹ 10,000"/>
    <s v="Recommend training"/>
  </r>
  <r>
    <x v="610"/>
    <x v="16"/>
    <x v="1"/>
    <x v="0"/>
    <n v="1115"/>
    <s v="Male"/>
    <x v="2"/>
    <n v="4"/>
    <n v="2979"/>
    <x v="0"/>
    <n v="3"/>
    <n v="2"/>
    <n v="0"/>
    <x v="1"/>
    <s v="Good"/>
    <s v="₹ 3,000- ₹ 7,000"/>
    <s v="Recommend training"/>
  </r>
  <r>
    <x v="611"/>
    <x v="16"/>
    <x v="1"/>
    <x v="0"/>
    <n v="1140"/>
    <s v="Male"/>
    <x v="4"/>
    <n v="3"/>
    <n v="4033"/>
    <x v="0"/>
    <n v="3"/>
    <n v="3"/>
    <n v="3"/>
    <x v="1"/>
    <s v="Good"/>
    <s v="₹ 10000 - ₹ 19,999"/>
    <s v="Recommend training"/>
  </r>
  <r>
    <x v="612"/>
    <x v="16"/>
    <x v="1"/>
    <x v="1"/>
    <n v="1163"/>
    <s v="Female"/>
    <x v="5"/>
    <n v="3"/>
    <n v="5714"/>
    <x v="0"/>
    <n v="4"/>
    <n v="3"/>
    <n v="6"/>
    <x v="1"/>
    <s v="Excellent"/>
    <s v="₹ 10000 - ₹ 19,999"/>
    <s v="Not recommend training"/>
  </r>
  <r>
    <x v="613"/>
    <x v="16"/>
    <x v="1"/>
    <x v="0"/>
    <n v="1184"/>
    <s v="Male"/>
    <x v="6"/>
    <n v="1"/>
    <n v="5343"/>
    <x v="0"/>
    <n v="4"/>
    <n v="3"/>
    <n v="13"/>
    <x v="1"/>
    <s v="Excellent"/>
    <s v="₹ 10000 - ₹ 19,999"/>
    <s v="Not recommend training"/>
  </r>
  <r>
    <x v="614"/>
    <x v="16"/>
    <x v="1"/>
    <x v="0"/>
    <n v="1265"/>
    <s v="Female"/>
    <x v="2"/>
    <n v="3"/>
    <n v="2585"/>
    <x v="0"/>
    <n v="3"/>
    <n v="5"/>
    <n v="1"/>
    <x v="1"/>
    <s v="Good"/>
    <s v="₹ 3,000- ₹ 7,000"/>
    <s v="Recommend training"/>
  </r>
  <r>
    <x v="615"/>
    <x v="16"/>
    <x v="1"/>
    <x v="1"/>
    <n v="1281"/>
    <s v="Female"/>
    <x v="5"/>
    <n v="1"/>
    <n v="4538"/>
    <x v="1"/>
    <n v="3"/>
    <n v="3"/>
    <n v="3"/>
    <x v="0"/>
    <s v="Good"/>
    <s v="₹ 10000 - ₹ 19,999"/>
    <s v="Recommend training"/>
  </r>
  <r>
    <x v="616"/>
    <x v="16"/>
    <x v="1"/>
    <x v="0"/>
    <n v="1285"/>
    <s v="Female"/>
    <x v="0"/>
    <n v="2"/>
    <n v="4444"/>
    <x v="0"/>
    <n v="3"/>
    <n v="2"/>
    <n v="11"/>
    <x v="1"/>
    <s v="Good"/>
    <s v="₹ 10000 - ₹ 19,999"/>
    <s v="Recommend training"/>
  </r>
  <r>
    <x v="617"/>
    <x v="16"/>
    <x v="1"/>
    <x v="2"/>
    <n v="1289"/>
    <s v="Male"/>
    <x v="3"/>
    <n v="2"/>
    <n v="4490"/>
    <x v="0"/>
    <n v="3"/>
    <n v="5"/>
    <n v="10"/>
    <x v="1"/>
    <s v="Good"/>
    <s v="₹ 10000 - ₹ 19,999"/>
    <s v="Recommend training"/>
  </r>
  <r>
    <x v="618"/>
    <x v="16"/>
    <x v="1"/>
    <x v="0"/>
    <n v="1344"/>
    <s v="Male"/>
    <x v="6"/>
    <n v="4"/>
    <n v="8500"/>
    <x v="0"/>
    <n v="3"/>
    <n v="0"/>
    <n v="9"/>
    <x v="1"/>
    <s v="Good"/>
    <s v="₹ 7,000 - ₹ 10,000"/>
    <s v="Recommend training"/>
  </r>
  <r>
    <x v="619"/>
    <x v="16"/>
    <x v="1"/>
    <x v="1"/>
    <n v="1356"/>
    <s v="Female"/>
    <x v="5"/>
    <n v="1"/>
    <n v="6125"/>
    <x v="0"/>
    <n v="3"/>
    <n v="6"/>
    <n v="10"/>
    <x v="1"/>
    <s v="Good"/>
    <s v="₹ 10000 - ₹ 19,999"/>
    <s v="Recommend training"/>
  </r>
  <r>
    <x v="620"/>
    <x v="16"/>
    <x v="1"/>
    <x v="0"/>
    <n v="1374"/>
    <s v="Female"/>
    <x v="2"/>
    <n v="3"/>
    <n v="2029"/>
    <x v="0"/>
    <n v="4"/>
    <n v="2"/>
    <n v="5"/>
    <x v="1"/>
    <s v="Excellent"/>
    <s v="₹ 3,000- ₹ 7,000"/>
    <s v="Recommend training"/>
  </r>
  <r>
    <x v="621"/>
    <x v="16"/>
    <x v="1"/>
    <x v="0"/>
    <n v="1377"/>
    <s v="Male"/>
    <x v="0"/>
    <n v="3"/>
    <n v="5429"/>
    <x v="0"/>
    <n v="3"/>
    <n v="1"/>
    <n v="8"/>
    <x v="1"/>
    <s v="Good"/>
    <s v="₹ 10000 - ₹ 19,999"/>
    <s v="Recommend training"/>
  </r>
  <r>
    <x v="622"/>
    <x v="16"/>
    <x v="1"/>
    <x v="0"/>
    <n v="1383"/>
    <s v="Female"/>
    <x v="6"/>
    <n v="4"/>
    <n v="6687"/>
    <x v="0"/>
    <n v="3"/>
    <n v="2"/>
    <n v="14"/>
    <x v="1"/>
    <s v="Good"/>
    <s v="₹ 10000 - ₹ 19,999"/>
    <s v="Recommend training"/>
  </r>
  <r>
    <x v="623"/>
    <x v="16"/>
    <x v="1"/>
    <x v="0"/>
    <n v="1431"/>
    <s v="Male"/>
    <x v="2"/>
    <n v="1"/>
    <n v="2996"/>
    <x v="0"/>
    <n v="3"/>
    <n v="2"/>
    <n v="4"/>
    <x v="1"/>
    <s v="Good"/>
    <s v="₹ 3,000- ₹ 7,000"/>
    <s v="Recommend training"/>
  </r>
  <r>
    <x v="624"/>
    <x v="16"/>
    <x v="1"/>
    <x v="0"/>
    <n v="1447"/>
    <s v="Female"/>
    <x v="0"/>
    <n v="2"/>
    <n v="3294"/>
    <x v="0"/>
    <n v="3"/>
    <n v="2"/>
    <n v="5"/>
    <x v="1"/>
    <s v="Good"/>
    <s v="₹ 10000 - ₹ 19,999"/>
    <s v="Recommend training"/>
  </r>
  <r>
    <x v="625"/>
    <x v="16"/>
    <x v="0"/>
    <x v="2"/>
    <n v="1467"/>
    <s v="Female"/>
    <x v="3"/>
    <n v="3"/>
    <n v="2742"/>
    <x v="0"/>
    <n v="3"/>
    <n v="0"/>
    <n v="2"/>
    <x v="0"/>
    <s v="Good"/>
    <s v="₹ 3,000- ₹ 7,000"/>
    <s v="Recommend training"/>
  </r>
  <r>
    <x v="626"/>
    <x v="16"/>
    <x v="1"/>
    <x v="1"/>
    <n v="1478"/>
    <s v="Male"/>
    <x v="5"/>
    <n v="1"/>
    <n v="4759"/>
    <x v="0"/>
    <n v="3"/>
    <n v="2"/>
    <n v="13"/>
    <x v="1"/>
    <s v="Good"/>
    <s v="₹ 10000 - ₹ 19,999"/>
    <s v="Recommend training"/>
  </r>
  <r>
    <x v="627"/>
    <x v="16"/>
    <x v="1"/>
    <x v="0"/>
    <n v="1485"/>
    <s v="Male"/>
    <x v="7"/>
    <n v="1"/>
    <n v="17007"/>
    <x v="0"/>
    <n v="3"/>
    <n v="3"/>
    <n v="14"/>
    <x v="1"/>
    <s v="Good"/>
    <s v="₹ 10000 - ₹ 19,999"/>
    <s v="Recommend training"/>
  </r>
  <r>
    <x v="628"/>
    <x v="16"/>
    <x v="0"/>
    <x v="1"/>
    <n v="1489"/>
    <s v="Female"/>
    <x v="5"/>
    <n v="2"/>
    <n v="4599"/>
    <x v="1"/>
    <n v="4"/>
    <n v="2"/>
    <n v="15"/>
    <x v="2"/>
    <s v="Excellent"/>
    <s v="₹ 10000 - ₹ 19,999"/>
    <s v="Recommend training"/>
  </r>
  <r>
    <x v="629"/>
    <x v="16"/>
    <x v="1"/>
    <x v="1"/>
    <n v="1535"/>
    <s v="Male"/>
    <x v="5"/>
    <n v="3"/>
    <n v="7083"/>
    <x v="1"/>
    <n v="3"/>
    <n v="3"/>
    <n v="10"/>
    <x v="0"/>
    <s v="Good"/>
    <s v="₹ 7,000 - ₹ 10,000"/>
    <s v="Recommend training"/>
  </r>
  <r>
    <x v="630"/>
    <x v="16"/>
    <x v="1"/>
    <x v="1"/>
    <n v="1541"/>
    <s v="Male"/>
    <x v="1"/>
    <n v="3"/>
    <n v="2308"/>
    <x v="1"/>
    <n v="4"/>
    <n v="4"/>
    <n v="11"/>
    <x v="0"/>
    <s v="Excellent"/>
    <s v="₹ 3,000- ₹ 7,000"/>
    <s v="Not recommend training"/>
  </r>
  <r>
    <x v="631"/>
    <x v="16"/>
    <x v="1"/>
    <x v="0"/>
    <n v="1577"/>
    <s v="Male"/>
    <x v="2"/>
    <n v="4"/>
    <n v="2972"/>
    <x v="0"/>
    <n v="3"/>
    <n v="4"/>
    <n v="1"/>
    <x v="1"/>
    <s v="Good"/>
    <s v="₹ 3,000- ₹ 7,000"/>
    <s v="Recommend training"/>
  </r>
  <r>
    <x v="632"/>
    <x v="16"/>
    <x v="1"/>
    <x v="0"/>
    <n v="1580"/>
    <s v="Male"/>
    <x v="2"/>
    <n v="4"/>
    <n v="5484"/>
    <x v="0"/>
    <n v="3"/>
    <n v="3"/>
    <n v="2"/>
    <x v="1"/>
    <s v="Good"/>
    <s v="₹ 10000 - ₹ 19,999"/>
    <s v="Recommend training"/>
  </r>
  <r>
    <x v="633"/>
    <x v="16"/>
    <x v="1"/>
    <x v="0"/>
    <n v="1597"/>
    <s v="Male"/>
    <x v="6"/>
    <n v="3"/>
    <n v="5063"/>
    <x v="0"/>
    <n v="3"/>
    <n v="3"/>
    <n v="8"/>
    <x v="1"/>
    <s v="Good"/>
    <s v="₹ 10000 - ₹ 19,999"/>
    <s v="Recommend training"/>
  </r>
  <r>
    <x v="634"/>
    <x v="16"/>
    <x v="1"/>
    <x v="0"/>
    <n v="1615"/>
    <s v="Male"/>
    <x v="4"/>
    <n v="4"/>
    <n v="4724"/>
    <x v="0"/>
    <n v="3"/>
    <n v="3"/>
    <n v="9"/>
    <x v="1"/>
    <s v="Good"/>
    <s v="₹ 10000 - ₹ 19,999"/>
    <s v="Recommend training"/>
  </r>
  <r>
    <x v="635"/>
    <x v="16"/>
    <x v="1"/>
    <x v="0"/>
    <n v="1658"/>
    <s v="Female"/>
    <x v="2"/>
    <n v="2"/>
    <n v="5433"/>
    <x v="0"/>
    <n v="3"/>
    <n v="2"/>
    <n v="11"/>
    <x v="1"/>
    <s v="Good"/>
    <s v="₹ 10000 - ₹ 19,999"/>
    <s v="Recommend training"/>
  </r>
  <r>
    <x v="636"/>
    <x v="16"/>
    <x v="1"/>
    <x v="0"/>
    <n v="1696"/>
    <s v="Male"/>
    <x v="0"/>
    <n v="4"/>
    <n v="3986"/>
    <x v="0"/>
    <n v="3"/>
    <n v="3"/>
    <n v="15"/>
    <x v="1"/>
    <s v="Good"/>
    <s v="₹ 10000 - ₹ 19,999"/>
    <s v="Recommend training"/>
  </r>
  <r>
    <x v="637"/>
    <x v="16"/>
    <x v="1"/>
    <x v="0"/>
    <n v="1701"/>
    <s v="Female"/>
    <x v="2"/>
    <n v="4"/>
    <n v="2929"/>
    <x v="0"/>
    <n v="3"/>
    <n v="3"/>
    <n v="10"/>
    <x v="1"/>
    <s v="Good"/>
    <s v="₹ 3,000- ₹ 7,000"/>
    <s v="Recommend training"/>
  </r>
  <r>
    <x v="638"/>
    <x v="16"/>
    <x v="1"/>
    <x v="0"/>
    <n v="1755"/>
    <s v="Male"/>
    <x v="2"/>
    <n v="4"/>
    <n v="2932"/>
    <x v="1"/>
    <n v="3"/>
    <n v="3"/>
    <n v="5"/>
    <x v="0"/>
    <s v="Good"/>
    <s v="₹ 3,000- ₹ 7,000"/>
    <s v="Recommend training"/>
  </r>
  <r>
    <x v="639"/>
    <x v="16"/>
    <x v="1"/>
    <x v="1"/>
    <n v="1774"/>
    <s v="Male"/>
    <x v="5"/>
    <n v="3"/>
    <n v="4001"/>
    <x v="1"/>
    <n v="3"/>
    <n v="3"/>
    <n v="15"/>
    <x v="0"/>
    <s v="Good"/>
    <s v="₹ 10000 - ₹ 19,999"/>
    <s v="Recommend training"/>
  </r>
  <r>
    <x v="640"/>
    <x v="16"/>
    <x v="1"/>
    <x v="1"/>
    <n v="1779"/>
    <s v="Female"/>
    <x v="5"/>
    <n v="4"/>
    <n v="6029"/>
    <x v="0"/>
    <n v="3"/>
    <n v="3"/>
    <n v="2"/>
    <x v="1"/>
    <s v="Good"/>
    <s v="₹ 10000 - ₹ 19,999"/>
    <s v="Recommend training"/>
  </r>
  <r>
    <x v="641"/>
    <x v="16"/>
    <x v="0"/>
    <x v="0"/>
    <n v="1807"/>
    <s v="Male"/>
    <x v="0"/>
    <n v="1"/>
    <n v="5346"/>
    <x v="0"/>
    <n v="3"/>
    <n v="3"/>
    <n v="7"/>
    <x v="0"/>
    <s v="Good"/>
    <s v="₹ 10000 - ₹ 19,999"/>
    <s v="Recommend training"/>
  </r>
  <r>
    <x v="642"/>
    <x v="16"/>
    <x v="1"/>
    <x v="1"/>
    <n v="1823"/>
    <s v="Male"/>
    <x v="5"/>
    <n v="3"/>
    <n v="6799"/>
    <x v="0"/>
    <n v="4"/>
    <n v="5"/>
    <n v="10"/>
    <x v="1"/>
    <s v="Excellent"/>
    <s v="₹ 10000 - ₹ 19,999"/>
    <s v="Not recommend training"/>
  </r>
  <r>
    <x v="643"/>
    <x v="16"/>
    <x v="1"/>
    <x v="1"/>
    <n v="1882"/>
    <s v="Male"/>
    <x v="5"/>
    <n v="4"/>
    <n v="9713"/>
    <x v="1"/>
    <n v="3"/>
    <n v="3"/>
    <n v="5"/>
    <x v="0"/>
    <s v="Good"/>
    <s v="₹ 7,000 - ₹ 10,000"/>
    <s v="Recommend training"/>
  </r>
  <r>
    <x v="644"/>
    <x v="16"/>
    <x v="0"/>
    <x v="0"/>
    <n v="1905"/>
    <s v="Male"/>
    <x v="2"/>
    <n v="1"/>
    <n v="2307"/>
    <x v="1"/>
    <n v="4"/>
    <n v="2"/>
    <n v="5"/>
    <x v="2"/>
    <s v="Excellent"/>
    <s v="₹ 3,000- ₹ 7,000"/>
    <s v="Recommend training"/>
  </r>
  <r>
    <x v="645"/>
    <x v="16"/>
    <x v="1"/>
    <x v="1"/>
    <n v="1915"/>
    <s v="Female"/>
    <x v="5"/>
    <n v="4"/>
    <n v="8103"/>
    <x v="1"/>
    <n v="3"/>
    <n v="3"/>
    <n v="4"/>
    <x v="0"/>
    <s v="Good"/>
    <s v="₹ 7,000 - ₹ 10,000"/>
    <s v="Recommend training"/>
  </r>
  <r>
    <x v="646"/>
    <x v="16"/>
    <x v="1"/>
    <x v="0"/>
    <n v="1932"/>
    <s v="Male"/>
    <x v="2"/>
    <n v="4"/>
    <n v="5747"/>
    <x v="1"/>
    <n v="3"/>
    <n v="3"/>
    <n v="15"/>
    <x v="0"/>
    <s v="Good"/>
    <s v="₹ 10000 - ₹ 19,999"/>
    <s v="Recommend training"/>
  </r>
  <r>
    <x v="647"/>
    <x v="16"/>
    <x v="1"/>
    <x v="1"/>
    <n v="1950"/>
    <s v="Male"/>
    <x v="5"/>
    <n v="4"/>
    <n v="9888"/>
    <x v="0"/>
    <n v="4"/>
    <n v="3"/>
    <n v="14"/>
    <x v="1"/>
    <s v="Excellent"/>
    <s v="₹ 7,000 - ₹ 10,000"/>
    <s v="Not recommend training"/>
  </r>
  <r>
    <x v="648"/>
    <x v="16"/>
    <x v="1"/>
    <x v="1"/>
    <n v="1951"/>
    <s v="Male"/>
    <x v="5"/>
    <n v="3"/>
    <n v="8628"/>
    <x v="0"/>
    <n v="3"/>
    <n v="2"/>
    <n v="8"/>
    <x v="1"/>
    <s v="Good"/>
    <s v="₹ 7,000 - ₹ 10,000"/>
    <s v="Recommend training"/>
  </r>
  <r>
    <x v="649"/>
    <x v="16"/>
    <x v="1"/>
    <x v="1"/>
    <n v="2035"/>
    <s v="Female"/>
    <x v="5"/>
    <n v="3"/>
    <n v="6712"/>
    <x v="0"/>
    <n v="4"/>
    <n v="2"/>
    <n v="8"/>
    <x v="1"/>
    <s v="Excellent"/>
    <s v="₹ 10000 - ₹ 19,999"/>
    <s v="Recommend training"/>
  </r>
  <r>
    <x v="650"/>
    <x v="16"/>
    <x v="1"/>
    <x v="0"/>
    <n v="2068"/>
    <s v="Male"/>
    <x v="0"/>
    <n v="3"/>
    <n v="4404"/>
    <x v="0"/>
    <n v="3"/>
    <n v="3"/>
    <n v="4"/>
    <x v="1"/>
    <s v="Good"/>
    <s v="₹ 10000 - ₹ 19,999"/>
    <s v="Recommend training"/>
  </r>
  <r>
    <x v="651"/>
    <x v="17"/>
    <x v="1"/>
    <x v="0"/>
    <n v="14"/>
    <s v="Male"/>
    <x v="0"/>
    <n v="2"/>
    <n v="2426"/>
    <x v="0"/>
    <n v="3"/>
    <n v="5"/>
    <n v="5"/>
    <x v="1"/>
    <s v="Good"/>
    <s v="₹ 3,000- ₹ 7,000"/>
    <s v="Recommend training"/>
  </r>
  <r>
    <x v="652"/>
    <x v="17"/>
    <x v="1"/>
    <x v="1"/>
    <n v="49"/>
    <s v="Female"/>
    <x v="1"/>
    <n v="4"/>
    <n v="2014"/>
    <x v="0"/>
    <n v="3"/>
    <n v="3"/>
    <n v="2"/>
    <x v="1"/>
    <s v="Good"/>
    <s v="₹ 3,000- ₹ 7,000"/>
    <s v="Recommend training"/>
  </r>
  <r>
    <x v="653"/>
    <x v="17"/>
    <x v="1"/>
    <x v="0"/>
    <n v="53"/>
    <s v="Male"/>
    <x v="0"/>
    <n v="4"/>
    <n v="1951"/>
    <x v="0"/>
    <n v="3"/>
    <n v="3"/>
    <n v="1"/>
    <x v="1"/>
    <s v="Good"/>
    <s v="₹ 3,000- ₹ 7,000"/>
    <s v="Recommend training"/>
  </r>
  <r>
    <x v="654"/>
    <x v="17"/>
    <x v="1"/>
    <x v="0"/>
    <n v="63"/>
    <s v="Male"/>
    <x v="0"/>
    <n v="4"/>
    <n v="2269"/>
    <x v="0"/>
    <n v="3"/>
    <n v="2"/>
    <n v="1"/>
    <x v="1"/>
    <s v="Good"/>
    <s v="₹ 3,000- ₹ 7,000"/>
    <s v="Recommend training"/>
  </r>
  <r>
    <x v="655"/>
    <x v="17"/>
    <x v="1"/>
    <x v="0"/>
    <n v="70"/>
    <s v="Male"/>
    <x v="6"/>
    <n v="1"/>
    <n v="9884"/>
    <x v="1"/>
    <n v="3"/>
    <n v="3"/>
    <n v="4"/>
    <x v="0"/>
    <s v="Good"/>
    <s v="₹ 7,000 - ₹ 10,000"/>
    <s v="Recommend training"/>
  </r>
  <r>
    <x v="656"/>
    <x v="17"/>
    <x v="1"/>
    <x v="1"/>
    <n v="74"/>
    <s v="Male"/>
    <x v="5"/>
    <n v="1"/>
    <n v="9069"/>
    <x v="0"/>
    <n v="4"/>
    <n v="3"/>
    <n v="9"/>
    <x v="1"/>
    <s v="Excellent"/>
    <s v="₹ 7,000 - ₹ 10,000"/>
    <s v="Not recommend training"/>
  </r>
  <r>
    <x v="657"/>
    <x v="17"/>
    <x v="1"/>
    <x v="0"/>
    <n v="75"/>
    <s v="Female"/>
    <x v="0"/>
    <n v="1"/>
    <n v="4014"/>
    <x v="1"/>
    <n v="3"/>
    <n v="3"/>
    <n v="2"/>
    <x v="0"/>
    <s v="Good"/>
    <s v="₹ 10000 - ₹ 19,999"/>
    <s v="Recommend training"/>
  </r>
  <r>
    <x v="658"/>
    <x v="17"/>
    <x v="1"/>
    <x v="0"/>
    <n v="88"/>
    <s v="Male"/>
    <x v="2"/>
    <n v="1"/>
    <n v="2194"/>
    <x v="0"/>
    <n v="3"/>
    <n v="2"/>
    <n v="3"/>
    <x v="1"/>
    <s v="Good"/>
    <s v="₹ 3,000- ₹ 7,000"/>
    <s v="Recommend training"/>
  </r>
  <r>
    <x v="659"/>
    <x v="17"/>
    <x v="1"/>
    <x v="1"/>
    <n v="100"/>
    <s v="Male"/>
    <x v="5"/>
    <n v="1"/>
    <n v="4312"/>
    <x v="0"/>
    <n v="3"/>
    <n v="2"/>
    <n v="15"/>
    <x v="1"/>
    <s v="Good"/>
    <s v="₹ 10000 - ₹ 19,999"/>
    <s v="Recommend training"/>
  </r>
  <r>
    <x v="660"/>
    <x v="17"/>
    <x v="1"/>
    <x v="0"/>
    <n v="105"/>
    <s v="Male"/>
    <x v="2"/>
    <n v="3"/>
    <n v="2859"/>
    <x v="0"/>
    <n v="3"/>
    <n v="3"/>
    <n v="6"/>
    <x v="1"/>
    <s v="Good"/>
    <s v="₹ 3,000- ₹ 7,000"/>
    <s v="Recommend training"/>
  </r>
  <r>
    <x v="661"/>
    <x v="17"/>
    <x v="1"/>
    <x v="1"/>
    <n v="204"/>
    <s v="Male"/>
    <x v="5"/>
    <n v="2"/>
    <n v="7295"/>
    <x v="0"/>
    <n v="3"/>
    <n v="3"/>
    <n v="10"/>
    <x v="1"/>
    <s v="Good"/>
    <s v="₹ 7,000 - ₹ 10,000"/>
    <s v="Recommend training"/>
  </r>
  <r>
    <x v="662"/>
    <x v="17"/>
    <x v="0"/>
    <x v="0"/>
    <n v="261"/>
    <s v="Male"/>
    <x v="4"/>
    <n v="3"/>
    <n v="5916"/>
    <x v="1"/>
    <n v="3"/>
    <n v="1"/>
    <n v="1"/>
    <x v="2"/>
    <s v="Good"/>
    <s v="₹ 10000 - ₹ 19,999"/>
    <s v="Recommend training"/>
  </r>
  <r>
    <x v="663"/>
    <x v="17"/>
    <x v="1"/>
    <x v="0"/>
    <n v="269"/>
    <s v="Female"/>
    <x v="0"/>
    <n v="2"/>
    <n v="4425"/>
    <x v="0"/>
    <n v="3"/>
    <n v="5"/>
    <n v="6"/>
    <x v="1"/>
    <s v="Good"/>
    <s v="₹ 10000 - ₹ 19,999"/>
    <s v="Recommend training"/>
  </r>
  <r>
    <x v="664"/>
    <x v="17"/>
    <x v="1"/>
    <x v="1"/>
    <n v="314"/>
    <s v="Female"/>
    <x v="5"/>
    <n v="3"/>
    <n v="8789"/>
    <x v="0"/>
    <n v="3"/>
    <n v="3"/>
    <n v="10"/>
    <x v="1"/>
    <s v="Good"/>
    <s v="₹ 7,000 - ₹ 10,000"/>
    <s v="Recommend training"/>
  </r>
  <r>
    <x v="665"/>
    <x v="17"/>
    <x v="1"/>
    <x v="0"/>
    <n v="381"/>
    <s v="Female"/>
    <x v="8"/>
    <n v="2"/>
    <n v="11996"/>
    <x v="0"/>
    <n v="3"/>
    <n v="6"/>
    <n v="7"/>
    <x v="1"/>
    <s v="Good"/>
    <s v="₹ 10000 - ₹ 19,999"/>
    <s v="Recommend training"/>
  </r>
  <r>
    <x v="666"/>
    <x v="17"/>
    <x v="1"/>
    <x v="1"/>
    <n v="406"/>
    <s v="Male"/>
    <x v="5"/>
    <n v="2"/>
    <n v="8020"/>
    <x v="0"/>
    <n v="3"/>
    <n v="3"/>
    <n v="11"/>
    <x v="1"/>
    <s v="Good"/>
    <s v="₹ 7,000 - ₹ 10,000"/>
    <s v="Recommend training"/>
  </r>
  <r>
    <x v="667"/>
    <x v="17"/>
    <x v="1"/>
    <x v="0"/>
    <n v="464"/>
    <s v="Male"/>
    <x v="4"/>
    <n v="2"/>
    <n v="8095"/>
    <x v="0"/>
    <n v="3"/>
    <n v="5"/>
    <n v="16"/>
    <x v="1"/>
    <s v="Good"/>
    <s v="₹ 7,000 - ₹ 10,000"/>
    <s v="Recommend training"/>
  </r>
  <r>
    <x v="668"/>
    <x v="17"/>
    <x v="1"/>
    <x v="0"/>
    <n v="496"/>
    <s v="Male"/>
    <x v="6"/>
    <n v="2"/>
    <n v="6540"/>
    <x v="0"/>
    <n v="3"/>
    <n v="5"/>
    <n v="1"/>
    <x v="1"/>
    <s v="Good"/>
    <s v="₹ 10000 - ₹ 19,999"/>
    <s v="Recommend training"/>
  </r>
  <r>
    <x v="669"/>
    <x v="17"/>
    <x v="1"/>
    <x v="0"/>
    <n v="577"/>
    <s v="Male"/>
    <x v="0"/>
    <n v="3"/>
    <n v="4230"/>
    <x v="0"/>
    <n v="3"/>
    <n v="2"/>
    <n v="5"/>
    <x v="1"/>
    <s v="Good"/>
    <s v="₹ 10000 - ₹ 19,999"/>
    <s v="Recommend training"/>
  </r>
  <r>
    <x v="670"/>
    <x v="17"/>
    <x v="1"/>
    <x v="0"/>
    <n v="586"/>
    <s v="Male"/>
    <x v="6"/>
    <n v="3"/>
    <n v="7632"/>
    <x v="1"/>
    <n v="3"/>
    <n v="2"/>
    <n v="8"/>
    <x v="0"/>
    <s v="Good"/>
    <s v="₹ 7,000 - ₹ 10,000"/>
    <s v="Recommend training"/>
  </r>
  <r>
    <x v="671"/>
    <x v="17"/>
    <x v="1"/>
    <x v="1"/>
    <n v="600"/>
    <s v="Male"/>
    <x v="5"/>
    <n v="3"/>
    <n v="4717"/>
    <x v="0"/>
    <n v="3"/>
    <n v="2"/>
    <n v="11"/>
    <x v="1"/>
    <s v="Good"/>
    <s v="₹ 10000 - ₹ 19,999"/>
    <s v="Recommend training"/>
  </r>
  <r>
    <x v="672"/>
    <x v="17"/>
    <x v="1"/>
    <x v="1"/>
    <n v="620"/>
    <s v="Female"/>
    <x v="5"/>
    <n v="3"/>
    <n v="4859"/>
    <x v="0"/>
    <n v="3"/>
    <n v="3"/>
    <n v="5"/>
    <x v="1"/>
    <s v="Good"/>
    <s v="₹ 10000 - ₹ 19,999"/>
    <s v="Recommend training"/>
  </r>
  <r>
    <x v="673"/>
    <x v="17"/>
    <x v="1"/>
    <x v="0"/>
    <n v="652"/>
    <s v="Male"/>
    <x v="0"/>
    <n v="4"/>
    <n v="3681"/>
    <x v="0"/>
    <n v="3"/>
    <n v="3"/>
    <n v="3"/>
    <x v="1"/>
    <s v="Good"/>
    <s v="₹ 10000 - ₹ 19,999"/>
    <s v="Recommend training"/>
  </r>
  <r>
    <x v="674"/>
    <x v="17"/>
    <x v="1"/>
    <x v="0"/>
    <n v="691"/>
    <s v="Male"/>
    <x v="2"/>
    <n v="4"/>
    <n v="6646"/>
    <x v="0"/>
    <n v="3"/>
    <n v="3"/>
    <n v="17"/>
    <x v="1"/>
    <s v="Good"/>
    <s v="₹ 10000 - ₹ 19,999"/>
    <s v="Recommend training"/>
  </r>
  <r>
    <x v="675"/>
    <x v="17"/>
    <x v="1"/>
    <x v="0"/>
    <n v="704"/>
    <s v="Male"/>
    <x v="0"/>
    <n v="3"/>
    <n v="1281"/>
    <x v="0"/>
    <n v="3"/>
    <n v="3"/>
    <n v="1"/>
    <x v="1"/>
    <s v="Good"/>
    <s v="₹ 3,000- ₹ 7,000"/>
    <s v="Recommend training"/>
  </r>
  <r>
    <x v="676"/>
    <x v="17"/>
    <x v="1"/>
    <x v="0"/>
    <n v="771"/>
    <s v="Female"/>
    <x v="6"/>
    <n v="1"/>
    <n v="5093"/>
    <x v="0"/>
    <n v="3"/>
    <n v="2"/>
    <n v="1"/>
    <x v="1"/>
    <s v="Good"/>
    <s v="₹ 10000 - ₹ 19,999"/>
    <s v="Recommend training"/>
  </r>
  <r>
    <x v="677"/>
    <x v="17"/>
    <x v="1"/>
    <x v="1"/>
    <n v="805"/>
    <s v="Female"/>
    <x v="1"/>
    <n v="4"/>
    <n v="2572"/>
    <x v="0"/>
    <n v="3"/>
    <n v="1"/>
    <n v="3"/>
    <x v="1"/>
    <s v="Good"/>
    <s v="₹ 3,000- ₹ 7,000"/>
    <s v="Recommend training"/>
  </r>
  <r>
    <x v="678"/>
    <x v="17"/>
    <x v="1"/>
    <x v="0"/>
    <n v="826"/>
    <s v="Female"/>
    <x v="2"/>
    <n v="3"/>
    <n v="2506"/>
    <x v="0"/>
    <n v="3"/>
    <n v="0"/>
    <n v="2"/>
    <x v="1"/>
    <s v="Good"/>
    <s v="₹ 3,000- ₹ 7,000"/>
    <s v="Recommend training"/>
  </r>
  <r>
    <x v="679"/>
    <x v="17"/>
    <x v="1"/>
    <x v="0"/>
    <n v="845"/>
    <s v="Male"/>
    <x v="4"/>
    <n v="3"/>
    <n v="10221"/>
    <x v="0"/>
    <n v="4"/>
    <n v="3"/>
    <n v="8"/>
    <x v="1"/>
    <s v="Excellent"/>
    <s v="₹ 10000 - ₹ 19,999"/>
    <s v="Not recommend training"/>
  </r>
  <r>
    <x v="680"/>
    <x v="17"/>
    <x v="1"/>
    <x v="0"/>
    <n v="856"/>
    <s v="Female"/>
    <x v="2"/>
    <n v="1"/>
    <n v="2559"/>
    <x v="0"/>
    <n v="3"/>
    <n v="3"/>
    <n v="6"/>
    <x v="1"/>
    <s v="Good"/>
    <s v="₹ 3,000- ₹ 7,000"/>
    <s v="Recommend training"/>
  </r>
  <r>
    <x v="681"/>
    <x v="17"/>
    <x v="1"/>
    <x v="0"/>
    <n v="880"/>
    <s v="Female"/>
    <x v="4"/>
    <n v="3"/>
    <n v="10685"/>
    <x v="1"/>
    <n v="4"/>
    <n v="2"/>
    <n v="17"/>
    <x v="0"/>
    <s v="Excellent"/>
    <s v="₹ 10000 - ₹ 19,999"/>
    <s v="Recommend training"/>
  </r>
  <r>
    <x v="682"/>
    <x v="17"/>
    <x v="0"/>
    <x v="0"/>
    <n v="881"/>
    <s v="Female"/>
    <x v="2"/>
    <n v="2"/>
    <n v="2022"/>
    <x v="1"/>
    <n v="3"/>
    <n v="3"/>
    <n v="10"/>
    <x v="2"/>
    <s v="Good"/>
    <s v="₹ 3,000- ₹ 7,000"/>
    <s v="Recommend training"/>
  </r>
  <r>
    <x v="683"/>
    <x v="17"/>
    <x v="1"/>
    <x v="0"/>
    <n v="899"/>
    <s v="Male"/>
    <x v="4"/>
    <n v="2"/>
    <n v="10903"/>
    <x v="0"/>
    <n v="3"/>
    <n v="2"/>
    <n v="13"/>
    <x v="1"/>
    <s v="Good"/>
    <s v="₹ 10000 - ₹ 19,999"/>
    <s v="Recommend training"/>
  </r>
  <r>
    <x v="684"/>
    <x v="17"/>
    <x v="1"/>
    <x v="0"/>
    <n v="942"/>
    <s v="Female"/>
    <x v="6"/>
    <n v="4"/>
    <n v="4014"/>
    <x v="1"/>
    <n v="4"/>
    <n v="2"/>
    <n v="10"/>
    <x v="0"/>
    <s v="Excellent"/>
    <s v="₹ 10000 - ₹ 19,999"/>
    <s v="Recommend training"/>
  </r>
  <r>
    <x v="685"/>
    <x v="17"/>
    <x v="1"/>
    <x v="1"/>
    <n v="975"/>
    <s v="Female"/>
    <x v="5"/>
    <n v="3"/>
    <n v="4601"/>
    <x v="0"/>
    <n v="3"/>
    <n v="3"/>
    <n v="5"/>
    <x v="1"/>
    <s v="Good"/>
    <s v="₹ 10000 - ₹ 19,999"/>
    <s v="Recommend training"/>
  </r>
  <r>
    <x v="686"/>
    <x v="17"/>
    <x v="1"/>
    <x v="1"/>
    <n v="984"/>
    <s v="Male"/>
    <x v="5"/>
    <n v="4"/>
    <n v="7823"/>
    <x v="0"/>
    <n v="3"/>
    <n v="2"/>
    <n v="10"/>
    <x v="1"/>
    <s v="Good"/>
    <s v="₹ 7,000 - ₹ 10,000"/>
    <s v="Recommend training"/>
  </r>
  <r>
    <x v="687"/>
    <x v="17"/>
    <x v="0"/>
    <x v="0"/>
    <n v="1010"/>
    <s v="Male"/>
    <x v="0"/>
    <n v="2"/>
    <n v="3743"/>
    <x v="1"/>
    <n v="4"/>
    <n v="2"/>
    <n v="4"/>
    <x v="2"/>
    <s v="Excellent"/>
    <s v="₹ 10000 - ₹ 19,999"/>
    <s v="Recommend training"/>
  </r>
  <r>
    <x v="688"/>
    <x v="17"/>
    <x v="1"/>
    <x v="0"/>
    <n v="1014"/>
    <s v="Female"/>
    <x v="6"/>
    <n v="3"/>
    <n v="10388"/>
    <x v="1"/>
    <n v="3"/>
    <n v="3"/>
    <n v="16"/>
    <x v="0"/>
    <s v="Good"/>
    <s v="₹ 10000 - ₹ 19,999"/>
    <s v="Recommend training"/>
  </r>
  <r>
    <x v="689"/>
    <x v="17"/>
    <x v="1"/>
    <x v="0"/>
    <n v="1028"/>
    <s v="Male"/>
    <x v="0"/>
    <n v="4"/>
    <n v="3917"/>
    <x v="0"/>
    <n v="4"/>
    <n v="4"/>
    <n v="3"/>
    <x v="1"/>
    <s v="Excellent"/>
    <s v="₹ 10000 - ₹ 19,999"/>
    <s v="Not recommend training"/>
  </r>
  <r>
    <x v="690"/>
    <x v="17"/>
    <x v="0"/>
    <x v="1"/>
    <n v="1100"/>
    <s v="Male"/>
    <x v="5"/>
    <n v="1"/>
    <n v="9582"/>
    <x v="1"/>
    <n v="4"/>
    <n v="2"/>
    <n v="8"/>
    <x v="2"/>
    <s v="Excellent"/>
    <s v="₹ 7,000 - ₹ 10,000"/>
    <s v="Recommend training"/>
  </r>
  <r>
    <x v="691"/>
    <x v="17"/>
    <x v="1"/>
    <x v="1"/>
    <n v="1137"/>
    <s v="Male"/>
    <x v="5"/>
    <n v="4"/>
    <n v="4968"/>
    <x v="0"/>
    <n v="3"/>
    <n v="3"/>
    <n v="5"/>
    <x v="1"/>
    <s v="Good"/>
    <s v="₹ 10000 - ₹ 19,999"/>
    <s v="Recommend training"/>
  </r>
  <r>
    <x v="692"/>
    <x v="17"/>
    <x v="1"/>
    <x v="2"/>
    <n v="1164"/>
    <s v="Male"/>
    <x v="3"/>
    <n v="3"/>
    <n v="4323"/>
    <x v="0"/>
    <n v="3"/>
    <n v="2"/>
    <n v="5"/>
    <x v="1"/>
    <s v="Good"/>
    <s v="₹ 10000 - ₹ 19,999"/>
    <s v="Recommend training"/>
  </r>
  <r>
    <x v="693"/>
    <x v="17"/>
    <x v="1"/>
    <x v="0"/>
    <n v="1172"/>
    <s v="Male"/>
    <x v="0"/>
    <n v="3"/>
    <n v="2258"/>
    <x v="0"/>
    <n v="3"/>
    <n v="2"/>
    <n v="8"/>
    <x v="1"/>
    <s v="Good"/>
    <s v="₹ 3,000- ₹ 7,000"/>
    <s v="Recommend training"/>
  </r>
  <r>
    <x v="694"/>
    <x v="17"/>
    <x v="1"/>
    <x v="0"/>
    <n v="1182"/>
    <s v="Male"/>
    <x v="4"/>
    <n v="2"/>
    <n v="10274"/>
    <x v="0"/>
    <n v="3"/>
    <n v="2"/>
    <n v="7"/>
    <x v="1"/>
    <s v="Good"/>
    <s v="₹ 10000 - ₹ 19,999"/>
    <s v="Recommend training"/>
  </r>
  <r>
    <x v="695"/>
    <x v="17"/>
    <x v="1"/>
    <x v="0"/>
    <n v="1185"/>
    <s v="Male"/>
    <x v="0"/>
    <n v="4"/>
    <n v="2376"/>
    <x v="0"/>
    <n v="3"/>
    <n v="2"/>
    <n v="2"/>
    <x v="1"/>
    <s v="Good"/>
    <s v="₹ 3,000- ₹ 7,000"/>
    <s v="Recommend training"/>
  </r>
  <r>
    <x v="696"/>
    <x v="17"/>
    <x v="1"/>
    <x v="1"/>
    <n v="1218"/>
    <s v="Male"/>
    <x v="5"/>
    <n v="1"/>
    <n v="8966"/>
    <x v="1"/>
    <n v="3"/>
    <n v="2"/>
    <n v="7"/>
    <x v="0"/>
    <s v="Good"/>
    <s v="₹ 7,000 - ₹ 10,000"/>
    <s v="Recommend training"/>
  </r>
  <r>
    <x v="697"/>
    <x v="17"/>
    <x v="1"/>
    <x v="1"/>
    <n v="1243"/>
    <s v="Female"/>
    <x v="5"/>
    <n v="4"/>
    <n v="10377"/>
    <x v="1"/>
    <n v="3"/>
    <n v="6"/>
    <n v="13"/>
    <x v="0"/>
    <s v="Good"/>
    <s v="₹ 10000 - ₹ 19,999"/>
    <s v="Recommend training"/>
  </r>
  <r>
    <x v="698"/>
    <x v="17"/>
    <x v="1"/>
    <x v="0"/>
    <n v="1291"/>
    <s v="Male"/>
    <x v="2"/>
    <n v="3"/>
    <n v="3506"/>
    <x v="1"/>
    <n v="3"/>
    <n v="3"/>
    <n v="3"/>
    <x v="0"/>
    <s v="Good"/>
    <s v="₹ 10000 - ₹ 19,999"/>
    <s v="Recommend training"/>
  </r>
  <r>
    <x v="699"/>
    <x v="17"/>
    <x v="1"/>
    <x v="0"/>
    <n v="1350"/>
    <s v="Male"/>
    <x v="2"/>
    <n v="3"/>
    <n v="4249"/>
    <x v="1"/>
    <n v="3"/>
    <n v="3"/>
    <n v="9"/>
    <x v="0"/>
    <s v="Good"/>
    <s v="₹ 10000 - ₹ 19,999"/>
    <s v="Recommend training"/>
  </r>
  <r>
    <x v="700"/>
    <x v="17"/>
    <x v="1"/>
    <x v="0"/>
    <n v="1369"/>
    <s v="Female"/>
    <x v="0"/>
    <n v="4"/>
    <n v="5363"/>
    <x v="0"/>
    <n v="3"/>
    <n v="0"/>
    <n v="9"/>
    <x v="1"/>
    <s v="Good"/>
    <s v="₹ 10000 - ₹ 19,999"/>
    <s v="Recommend training"/>
  </r>
  <r>
    <x v="701"/>
    <x v="17"/>
    <x v="0"/>
    <x v="1"/>
    <n v="1380"/>
    <s v="Female"/>
    <x v="5"/>
    <n v="3"/>
    <n v="4614"/>
    <x v="1"/>
    <n v="3"/>
    <n v="0"/>
    <n v="4"/>
    <x v="2"/>
    <s v="Good"/>
    <s v="₹ 10000 - ₹ 19,999"/>
    <s v="Recommend training"/>
  </r>
  <r>
    <x v="702"/>
    <x v="17"/>
    <x v="1"/>
    <x v="0"/>
    <n v="1412"/>
    <s v="Male"/>
    <x v="4"/>
    <n v="4"/>
    <n v="9362"/>
    <x v="0"/>
    <n v="3"/>
    <n v="2"/>
    <n v="2"/>
    <x v="1"/>
    <s v="Good"/>
    <s v="₹ 7,000 - ₹ 10,000"/>
    <s v="Recommend training"/>
  </r>
  <r>
    <x v="703"/>
    <x v="17"/>
    <x v="1"/>
    <x v="1"/>
    <n v="1492"/>
    <s v="Male"/>
    <x v="1"/>
    <n v="3"/>
    <n v="2404"/>
    <x v="0"/>
    <n v="3"/>
    <n v="3"/>
    <n v="1"/>
    <x v="1"/>
    <s v="Good"/>
    <s v="₹ 3,000- ₹ 7,000"/>
    <s v="Recommend training"/>
  </r>
  <r>
    <x v="704"/>
    <x v="17"/>
    <x v="1"/>
    <x v="0"/>
    <n v="1529"/>
    <s v="Female"/>
    <x v="6"/>
    <n v="2"/>
    <n v="8606"/>
    <x v="0"/>
    <n v="3"/>
    <n v="3"/>
    <n v="11"/>
    <x v="1"/>
    <s v="Good"/>
    <s v="₹ 7,000 - ₹ 10,000"/>
    <s v="Recommend training"/>
  </r>
  <r>
    <x v="705"/>
    <x v="17"/>
    <x v="1"/>
    <x v="1"/>
    <n v="1554"/>
    <s v="Female"/>
    <x v="1"/>
    <n v="3"/>
    <n v="2430"/>
    <x v="0"/>
    <n v="4"/>
    <n v="5"/>
    <n v="5"/>
    <x v="1"/>
    <s v="Excellent"/>
    <s v="₹ 3,000- ₹ 7,000"/>
    <s v="Not recommend training"/>
  </r>
  <r>
    <x v="706"/>
    <x v="17"/>
    <x v="1"/>
    <x v="0"/>
    <n v="1564"/>
    <s v="Male"/>
    <x v="0"/>
    <n v="1"/>
    <n v="2450"/>
    <x v="0"/>
    <n v="3"/>
    <n v="3"/>
    <n v="3"/>
    <x v="1"/>
    <s v="Good"/>
    <s v="₹ 3,000- ₹ 7,000"/>
    <s v="Recommend training"/>
  </r>
  <r>
    <x v="707"/>
    <x v="17"/>
    <x v="0"/>
    <x v="0"/>
    <n v="1569"/>
    <s v="Female"/>
    <x v="0"/>
    <n v="1"/>
    <n v="2074"/>
    <x v="1"/>
    <n v="3"/>
    <n v="2"/>
    <n v="1"/>
    <x v="2"/>
    <s v="Good"/>
    <s v="₹ 3,000- ₹ 7,000"/>
    <s v="Recommend training"/>
  </r>
  <r>
    <x v="708"/>
    <x v="17"/>
    <x v="1"/>
    <x v="0"/>
    <n v="1587"/>
    <s v="Female"/>
    <x v="6"/>
    <n v="3"/>
    <n v="6142"/>
    <x v="1"/>
    <n v="3"/>
    <n v="4"/>
    <n v="5"/>
    <x v="0"/>
    <s v="Good"/>
    <s v="₹ 10000 - ₹ 19,999"/>
    <s v="Recommend training"/>
  </r>
  <r>
    <x v="709"/>
    <x v="17"/>
    <x v="1"/>
    <x v="0"/>
    <n v="1596"/>
    <s v="Male"/>
    <x v="0"/>
    <n v="3"/>
    <n v="3407"/>
    <x v="0"/>
    <n v="3"/>
    <n v="3"/>
    <n v="10"/>
    <x v="1"/>
    <s v="Good"/>
    <s v="₹ 10000 - ₹ 19,999"/>
    <s v="Recommend training"/>
  </r>
  <r>
    <x v="710"/>
    <x v="17"/>
    <x v="1"/>
    <x v="0"/>
    <n v="1601"/>
    <s v="Male"/>
    <x v="0"/>
    <n v="4"/>
    <n v="2690"/>
    <x v="0"/>
    <n v="3"/>
    <n v="5"/>
    <n v="1"/>
    <x v="1"/>
    <s v="Good"/>
    <s v="₹ 3,000- ₹ 7,000"/>
    <s v="Recommend training"/>
  </r>
  <r>
    <x v="711"/>
    <x v="17"/>
    <x v="1"/>
    <x v="0"/>
    <n v="1621"/>
    <s v="Male"/>
    <x v="2"/>
    <n v="1"/>
    <n v="5208"/>
    <x v="0"/>
    <n v="3"/>
    <n v="2"/>
    <n v="16"/>
    <x v="1"/>
    <s v="Good"/>
    <s v="₹ 10000 - ₹ 19,999"/>
    <s v="Recommend training"/>
  </r>
  <r>
    <x v="712"/>
    <x v="17"/>
    <x v="1"/>
    <x v="0"/>
    <n v="1630"/>
    <s v="Female"/>
    <x v="6"/>
    <n v="3"/>
    <n v="4148"/>
    <x v="0"/>
    <n v="3"/>
    <n v="5"/>
    <n v="14"/>
    <x v="1"/>
    <s v="Good"/>
    <s v="₹ 10000 - ₹ 19,999"/>
    <s v="Recommend training"/>
  </r>
  <r>
    <x v="713"/>
    <x v="17"/>
    <x v="0"/>
    <x v="1"/>
    <n v="1639"/>
    <s v="Male"/>
    <x v="5"/>
    <n v="1"/>
    <n v="10306"/>
    <x v="0"/>
    <n v="3"/>
    <n v="3"/>
    <n v="13"/>
    <x v="0"/>
    <s v="Good"/>
    <s v="₹ 10000 - ₹ 19,999"/>
    <s v="Recommend training"/>
  </r>
  <r>
    <x v="714"/>
    <x v="17"/>
    <x v="0"/>
    <x v="1"/>
    <n v="1645"/>
    <s v="Male"/>
    <x v="5"/>
    <n v="4"/>
    <n v="5440"/>
    <x v="1"/>
    <n v="3"/>
    <n v="2"/>
    <n v="2"/>
    <x v="2"/>
    <s v="Good"/>
    <s v="₹ 10000 - ₹ 19,999"/>
    <s v="Recommend training"/>
  </r>
  <r>
    <x v="715"/>
    <x v="17"/>
    <x v="0"/>
    <x v="1"/>
    <n v="1667"/>
    <s v="Male"/>
    <x v="5"/>
    <n v="4"/>
    <n v="4581"/>
    <x v="1"/>
    <n v="4"/>
    <n v="2"/>
    <n v="11"/>
    <x v="2"/>
    <s v="Excellent"/>
    <s v="₹ 10000 - ₹ 19,999"/>
    <s v="Recommend training"/>
  </r>
  <r>
    <x v="716"/>
    <x v="17"/>
    <x v="1"/>
    <x v="0"/>
    <n v="1704"/>
    <s v="Male"/>
    <x v="2"/>
    <n v="4"/>
    <n v="4930"/>
    <x v="1"/>
    <n v="3"/>
    <n v="2"/>
    <n v="5"/>
    <x v="0"/>
    <s v="Good"/>
    <s v="₹ 10000 - ₹ 19,999"/>
    <s v="Recommend training"/>
  </r>
  <r>
    <x v="717"/>
    <x v="17"/>
    <x v="1"/>
    <x v="0"/>
    <n v="1728"/>
    <s v="Male"/>
    <x v="4"/>
    <n v="3"/>
    <n v="6883"/>
    <x v="0"/>
    <n v="3"/>
    <n v="3"/>
    <n v="7"/>
    <x v="1"/>
    <s v="Good"/>
    <s v="₹ 10000 - ₹ 19,999"/>
    <s v="Recommend training"/>
  </r>
  <r>
    <x v="718"/>
    <x v="17"/>
    <x v="0"/>
    <x v="1"/>
    <n v="1797"/>
    <s v="Male"/>
    <x v="5"/>
    <n v="4"/>
    <n v="5813"/>
    <x v="1"/>
    <n v="3"/>
    <n v="2"/>
    <n v="10"/>
    <x v="2"/>
    <s v="Good"/>
    <s v="₹ 10000 - ₹ 19,999"/>
    <s v="Recommend training"/>
  </r>
  <r>
    <x v="719"/>
    <x v="17"/>
    <x v="1"/>
    <x v="0"/>
    <n v="1804"/>
    <s v="Male"/>
    <x v="4"/>
    <n v="4"/>
    <n v="5762"/>
    <x v="0"/>
    <n v="3"/>
    <n v="6"/>
    <n v="7"/>
    <x v="1"/>
    <s v="Good"/>
    <s v="₹ 10000 - ₹ 19,999"/>
    <s v="Recommend training"/>
  </r>
  <r>
    <x v="720"/>
    <x v="17"/>
    <x v="1"/>
    <x v="0"/>
    <n v="1826"/>
    <s v="Male"/>
    <x v="0"/>
    <n v="3"/>
    <n v="2705"/>
    <x v="0"/>
    <n v="3"/>
    <n v="2"/>
    <n v="5"/>
    <x v="1"/>
    <s v="Good"/>
    <s v="₹ 3,000- ₹ 7,000"/>
    <s v="Recommend training"/>
  </r>
  <r>
    <x v="721"/>
    <x v="17"/>
    <x v="1"/>
    <x v="0"/>
    <n v="1886"/>
    <s v="Female"/>
    <x v="4"/>
    <n v="2"/>
    <n v="4788"/>
    <x v="1"/>
    <n v="3"/>
    <n v="2"/>
    <n v="3"/>
    <x v="0"/>
    <s v="Good"/>
    <s v="₹ 10000 - ₹ 19,999"/>
    <s v="Recommend training"/>
  </r>
  <r>
    <x v="722"/>
    <x v="17"/>
    <x v="1"/>
    <x v="1"/>
    <n v="1945"/>
    <s v="Male"/>
    <x v="5"/>
    <n v="1"/>
    <n v="5561"/>
    <x v="0"/>
    <n v="3"/>
    <n v="2"/>
    <n v="5"/>
    <x v="1"/>
    <s v="Good"/>
    <s v="₹ 10000 - ₹ 19,999"/>
    <s v="Recommend training"/>
  </r>
  <r>
    <x v="723"/>
    <x v="17"/>
    <x v="1"/>
    <x v="1"/>
    <n v="1962"/>
    <s v="Female"/>
    <x v="5"/>
    <n v="4"/>
    <n v="5204"/>
    <x v="1"/>
    <n v="3"/>
    <n v="2"/>
    <n v="10"/>
    <x v="0"/>
    <s v="Good"/>
    <s v="₹ 10000 - ₹ 19,999"/>
    <s v="Recommend training"/>
  </r>
  <r>
    <x v="724"/>
    <x v="17"/>
    <x v="1"/>
    <x v="0"/>
    <n v="2003"/>
    <s v="Male"/>
    <x v="0"/>
    <n v="3"/>
    <n v="2660"/>
    <x v="1"/>
    <n v="3"/>
    <n v="3"/>
    <n v="2"/>
    <x v="0"/>
    <s v="Good"/>
    <s v="₹ 3,000- ₹ 7,000"/>
    <s v="Recommend training"/>
  </r>
  <r>
    <x v="725"/>
    <x v="17"/>
    <x v="1"/>
    <x v="0"/>
    <n v="2008"/>
    <s v="Male"/>
    <x v="2"/>
    <n v="3"/>
    <n v="5098"/>
    <x v="0"/>
    <n v="3"/>
    <n v="5"/>
    <n v="10"/>
    <x v="1"/>
    <s v="Good"/>
    <s v="₹ 10000 - ₹ 19,999"/>
    <s v="Recommend training"/>
  </r>
  <r>
    <x v="726"/>
    <x v="17"/>
    <x v="1"/>
    <x v="2"/>
    <n v="2040"/>
    <s v="Female"/>
    <x v="3"/>
    <n v="4"/>
    <n v="8837"/>
    <x v="1"/>
    <n v="3"/>
    <n v="2"/>
    <n v="9"/>
    <x v="0"/>
    <s v="Good"/>
    <s v="₹ 7,000 - ₹ 10,000"/>
    <s v="Recommend training"/>
  </r>
  <r>
    <x v="727"/>
    <x v="17"/>
    <x v="1"/>
    <x v="0"/>
    <n v="2049"/>
    <s v="Male"/>
    <x v="6"/>
    <n v="3"/>
    <n v="5689"/>
    <x v="1"/>
    <n v="3"/>
    <n v="2"/>
    <n v="10"/>
    <x v="0"/>
    <s v="Good"/>
    <s v="₹ 10000 - ₹ 19,999"/>
    <s v="Recommend training"/>
  </r>
  <r>
    <x v="728"/>
    <x v="17"/>
    <x v="1"/>
    <x v="0"/>
    <n v="2052"/>
    <s v="Female"/>
    <x v="2"/>
    <n v="4"/>
    <n v="2977"/>
    <x v="0"/>
    <n v="3"/>
    <n v="5"/>
    <n v="4"/>
    <x v="1"/>
    <s v="Good"/>
    <s v="₹ 3,000- ₹ 7,000"/>
    <s v="Recommend training"/>
  </r>
  <r>
    <x v="729"/>
    <x v="18"/>
    <x v="1"/>
    <x v="0"/>
    <n v="13"/>
    <s v="Male"/>
    <x v="6"/>
    <n v="3"/>
    <n v="5237"/>
    <x v="0"/>
    <n v="3"/>
    <n v="3"/>
    <n v="7"/>
    <x v="1"/>
    <s v="Good"/>
    <s v="₹ 10000 - ₹ 19,999"/>
    <s v="Recommend training"/>
  </r>
  <r>
    <x v="730"/>
    <x v="18"/>
    <x v="0"/>
    <x v="1"/>
    <n v="27"/>
    <s v="Male"/>
    <x v="1"/>
    <n v="1"/>
    <n v="3407"/>
    <x v="0"/>
    <n v="4"/>
    <n v="4"/>
    <n v="5"/>
    <x v="0"/>
    <s v="Excellent"/>
    <s v="₹ 10000 - ₹ 19,999"/>
    <s v="Not recommend training"/>
  </r>
  <r>
    <x v="731"/>
    <x v="18"/>
    <x v="1"/>
    <x v="0"/>
    <n v="51"/>
    <s v="Female"/>
    <x v="2"/>
    <n v="1"/>
    <n v="3419"/>
    <x v="1"/>
    <n v="3"/>
    <n v="3"/>
    <n v="1"/>
    <x v="0"/>
    <s v="Good"/>
    <s v="₹ 10000 - ₹ 19,999"/>
    <s v="Recommend training"/>
  </r>
  <r>
    <x v="732"/>
    <x v="18"/>
    <x v="1"/>
    <x v="0"/>
    <n v="83"/>
    <s v="Female"/>
    <x v="6"/>
    <n v="3"/>
    <n v="10096"/>
    <x v="0"/>
    <n v="3"/>
    <n v="2"/>
    <n v="17"/>
    <x v="1"/>
    <s v="Good"/>
    <s v="₹ 10000 - ₹ 19,999"/>
    <s v="Recommend training"/>
  </r>
  <r>
    <x v="733"/>
    <x v="18"/>
    <x v="1"/>
    <x v="0"/>
    <n v="85"/>
    <s v="Male"/>
    <x v="4"/>
    <n v="2"/>
    <n v="6499"/>
    <x v="0"/>
    <n v="3"/>
    <n v="3"/>
    <n v="6"/>
    <x v="1"/>
    <s v="Good"/>
    <s v="₹ 10000 - ₹ 19,999"/>
    <s v="Recommend training"/>
  </r>
  <r>
    <x v="734"/>
    <x v="18"/>
    <x v="0"/>
    <x v="0"/>
    <n v="90"/>
    <s v="Male"/>
    <x v="2"/>
    <n v="3"/>
    <n v="3388"/>
    <x v="1"/>
    <n v="3"/>
    <n v="0"/>
    <n v="1"/>
    <x v="2"/>
    <s v="Good"/>
    <s v="₹ 10000 - ₹ 19,999"/>
    <s v="Recommend training"/>
  </r>
  <r>
    <x v="735"/>
    <x v="18"/>
    <x v="1"/>
    <x v="0"/>
    <n v="97"/>
    <s v="Female"/>
    <x v="0"/>
    <n v="4"/>
    <n v="3038"/>
    <x v="0"/>
    <n v="3"/>
    <n v="3"/>
    <n v="1"/>
    <x v="1"/>
    <s v="Good"/>
    <s v="₹ 10000 - ₹ 19,999"/>
    <s v="Recommend training"/>
  </r>
  <r>
    <x v="736"/>
    <x v="18"/>
    <x v="1"/>
    <x v="1"/>
    <n v="154"/>
    <s v="Female"/>
    <x v="5"/>
    <n v="4"/>
    <n v="9738"/>
    <x v="0"/>
    <n v="3"/>
    <n v="6"/>
    <n v="9"/>
    <x v="1"/>
    <s v="Good"/>
    <s v="₹ 7,000 - ₹ 10,000"/>
    <s v="Recommend training"/>
  </r>
  <r>
    <x v="737"/>
    <x v="18"/>
    <x v="1"/>
    <x v="0"/>
    <n v="155"/>
    <s v="Female"/>
    <x v="0"/>
    <n v="4"/>
    <n v="2835"/>
    <x v="0"/>
    <n v="4"/>
    <n v="2"/>
    <n v="1"/>
    <x v="1"/>
    <s v="Excellent"/>
    <s v="₹ 3,000- ₹ 7,000"/>
    <s v="Recommend training"/>
  </r>
  <r>
    <x v="738"/>
    <x v="18"/>
    <x v="1"/>
    <x v="0"/>
    <n v="178"/>
    <s v="Male"/>
    <x v="4"/>
    <n v="2"/>
    <n v="4941"/>
    <x v="0"/>
    <n v="4"/>
    <n v="0"/>
    <n v="3"/>
    <x v="1"/>
    <s v="Excellent"/>
    <s v="₹ 10000 - ₹ 19,999"/>
    <s v="Recommend training"/>
  </r>
  <r>
    <x v="739"/>
    <x v="18"/>
    <x v="1"/>
    <x v="0"/>
    <n v="238"/>
    <s v="Male"/>
    <x v="0"/>
    <n v="2"/>
    <n v="2088"/>
    <x v="0"/>
    <n v="3"/>
    <n v="3"/>
    <n v="8"/>
    <x v="1"/>
    <s v="Good"/>
    <s v="₹ 3,000- ₹ 7,000"/>
    <s v="Recommend training"/>
  </r>
  <r>
    <x v="740"/>
    <x v="18"/>
    <x v="1"/>
    <x v="0"/>
    <n v="286"/>
    <s v="Female"/>
    <x v="0"/>
    <n v="4"/>
    <n v="2153"/>
    <x v="0"/>
    <n v="3"/>
    <n v="2"/>
    <n v="8"/>
    <x v="1"/>
    <s v="Good"/>
    <s v="₹ 3,000- ₹ 7,000"/>
    <s v="Recommend training"/>
  </r>
  <r>
    <x v="741"/>
    <x v="18"/>
    <x v="1"/>
    <x v="0"/>
    <n v="304"/>
    <s v="Male"/>
    <x v="0"/>
    <n v="2"/>
    <n v="5914"/>
    <x v="0"/>
    <n v="3"/>
    <n v="3"/>
    <n v="13"/>
    <x v="1"/>
    <s v="Good"/>
    <s v="₹ 10000 - ₹ 19,999"/>
    <s v="Recommend training"/>
  </r>
  <r>
    <x v="742"/>
    <x v="18"/>
    <x v="1"/>
    <x v="0"/>
    <n v="373"/>
    <s v="Male"/>
    <x v="0"/>
    <n v="4"/>
    <n v="3210"/>
    <x v="0"/>
    <n v="3"/>
    <n v="4"/>
    <n v="15"/>
    <x v="1"/>
    <s v="Good"/>
    <s v="₹ 10000 - ₹ 19,999"/>
    <s v="Recommend training"/>
  </r>
  <r>
    <x v="743"/>
    <x v="18"/>
    <x v="1"/>
    <x v="0"/>
    <n v="397"/>
    <s v="Male"/>
    <x v="2"/>
    <n v="2"/>
    <n v="4485"/>
    <x v="0"/>
    <n v="3"/>
    <n v="2"/>
    <n v="8"/>
    <x v="1"/>
    <s v="Good"/>
    <s v="₹ 10000 - ₹ 19,999"/>
    <s v="Recommend training"/>
  </r>
  <r>
    <x v="744"/>
    <x v="18"/>
    <x v="1"/>
    <x v="0"/>
    <n v="407"/>
    <s v="Male"/>
    <x v="0"/>
    <n v="4"/>
    <n v="3688"/>
    <x v="0"/>
    <n v="3"/>
    <n v="2"/>
    <n v="1"/>
    <x v="1"/>
    <s v="Good"/>
    <s v="₹ 10000 - ₹ 19,999"/>
    <s v="Recommend training"/>
  </r>
  <r>
    <x v="745"/>
    <x v="18"/>
    <x v="1"/>
    <x v="0"/>
    <n v="419"/>
    <s v="Female"/>
    <x v="0"/>
    <n v="2"/>
    <n v="5674"/>
    <x v="0"/>
    <n v="3"/>
    <n v="3"/>
    <n v="9"/>
    <x v="1"/>
    <s v="Good"/>
    <s v="₹ 10000 - ₹ 19,999"/>
    <s v="Recommend training"/>
  </r>
  <r>
    <x v="746"/>
    <x v="18"/>
    <x v="1"/>
    <x v="1"/>
    <n v="479"/>
    <s v="Female"/>
    <x v="5"/>
    <n v="4"/>
    <n v="6653"/>
    <x v="0"/>
    <n v="3"/>
    <n v="6"/>
    <n v="1"/>
    <x v="1"/>
    <s v="Good"/>
    <s v="₹ 10000 - ₹ 19,999"/>
    <s v="Recommend training"/>
  </r>
  <r>
    <x v="747"/>
    <x v="18"/>
    <x v="1"/>
    <x v="1"/>
    <n v="481"/>
    <s v="Male"/>
    <x v="5"/>
    <n v="4"/>
    <n v="9699"/>
    <x v="0"/>
    <n v="3"/>
    <n v="2"/>
    <n v="13"/>
    <x v="1"/>
    <s v="Good"/>
    <s v="₹ 7,000 - ₹ 10,000"/>
    <s v="Recommend training"/>
  </r>
  <r>
    <x v="748"/>
    <x v="18"/>
    <x v="1"/>
    <x v="0"/>
    <n v="501"/>
    <s v="Female"/>
    <x v="2"/>
    <n v="3"/>
    <n v="2543"/>
    <x v="0"/>
    <n v="3"/>
    <n v="3"/>
    <n v="2"/>
    <x v="1"/>
    <s v="Good"/>
    <s v="₹ 3,000- ₹ 7,000"/>
    <s v="Recommend training"/>
  </r>
  <r>
    <x v="749"/>
    <x v="18"/>
    <x v="1"/>
    <x v="1"/>
    <n v="513"/>
    <s v="Male"/>
    <x v="5"/>
    <n v="3"/>
    <n v="7596"/>
    <x v="0"/>
    <n v="3"/>
    <n v="2"/>
    <n v="10"/>
    <x v="1"/>
    <s v="Good"/>
    <s v="₹ 7,000 - ₹ 10,000"/>
    <s v="Recommend training"/>
  </r>
  <r>
    <x v="750"/>
    <x v="18"/>
    <x v="1"/>
    <x v="1"/>
    <n v="592"/>
    <s v="Male"/>
    <x v="5"/>
    <n v="4"/>
    <n v="9980"/>
    <x v="0"/>
    <n v="3"/>
    <n v="3"/>
    <n v="10"/>
    <x v="1"/>
    <s v="Good"/>
    <s v="₹ 7,000 - ₹ 10,000"/>
    <s v="Recommend training"/>
  </r>
  <r>
    <x v="751"/>
    <x v="18"/>
    <x v="1"/>
    <x v="0"/>
    <n v="699"/>
    <s v="Male"/>
    <x v="4"/>
    <n v="2"/>
    <n v="8847"/>
    <x v="1"/>
    <n v="3"/>
    <n v="2"/>
    <n v="3"/>
    <x v="0"/>
    <s v="Good"/>
    <s v="₹ 7,000 - ₹ 10,000"/>
    <s v="Recommend training"/>
  </r>
  <r>
    <x v="752"/>
    <x v="18"/>
    <x v="1"/>
    <x v="0"/>
    <n v="742"/>
    <s v="Female"/>
    <x v="7"/>
    <n v="1"/>
    <n v="11713"/>
    <x v="0"/>
    <n v="3"/>
    <n v="2"/>
    <n v="8"/>
    <x v="1"/>
    <s v="Good"/>
    <s v="₹ 10000 - ₹ 19,999"/>
    <s v="Recommend training"/>
  </r>
  <r>
    <x v="753"/>
    <x v="18"/>
    <x v="1"/>
    <x v="1"/>
    <n v="789"/>
    <s v="Male"/>
    <x v="5"/>
    <n v="1"/>
    <n v="7587"/>
    <x v="0"/>
    <n v="3"/>
    <n v="1"/>
    <n v="10"/>
    <x v="1"/>
    <s v="Good"/>
    <s v="₹ 7,000 - ₹ 10,000"/>
    <s v="Recommend training"/>
  </r>
  <r>
    <x v="754"/>
    <x v="18"/>
    <x v="1"/>
    <x v="0"/>
    <n v="823"/>
    <s v="Female"/>
    <x v="4"/>
    <n v="2"/>
    <n v="5228"/>
    <x v="0"/>
    <n v="3"/>
    <n v="2"/>
    <n v="9"/>
    <x v="1"/>
    <s v="Good"/>
    <s v="₹ 10000 - ₹ 19,999"/>
    <s v="Recommend training"/>
  </r>
  <r>
    <x v="755"/>
    <x v="18"/>
    <x v="1"/>
    <x v="2"/>
    <n v="829"/>
    <s v="Male"/>
    <x v="3"/>
    <n v="2"/>
    <n v="2143"/>
    <x v="0"/>
    <n v="3"/>
    <n v="2"/>
    <n v="5"/>
    <x v="1"/>
    <s v="Good"/>
    <s v="₹ 3,000- ₹ 7,000"/>
    <s v="Recommend training"/>
  </r>
  <r>
    <x v="756"/>
    <x v="18"/>
    <x v="1"/>
    <x v="1"/>
    <n v="857"/>
    <s v="Male"/>
    <x v="5"/>
    <n v="4"/>
    <n v="6201"/>
    <x v="1"/>
    <n v="3"/>
    <n v="1"/>
    <n v="18"/>
    <x v="0"/>
    <s v="Good"/>
    <s v="₹ 10000 - ₹ 19,999"/>
    <s v="Recommend training"/>
  </r>
  <r>
    <x v="757"/>
    <x v="18"/>
    <x v="1"/>
    <x v="2"/>
    <n v="878"/>
    <s v="Male"/>
    <x v="3"/>
    <n v="1"/>
    <n v="2342"/>
    <x v="0"/>
    <n v="4"/>
    <n v="3"/>
    <n v="5"/>
    <x v="1"/>
    <s v="Excellent"/>
    <s v="₹ 3,000- ₹ 7,000"/>
    <s v="Not recommend training"/>
  </r>
  <r>
    <x v="758"/>
    <x v="18"/>
    <x v="1"/>
    <x v="0"/>
    <n v="924"/>
    <s v="Male"/>
    <x v="6"/>
    <n v="4"/>
    <n v="6586"/>
    <x v="1"/>
    <n v="3"/>
    <n v="2"/>
    <n v="16"/>
    <x v="0"/>
    <s v="Good"/>
    <s v="₹ 10000 - ₹ 19,999"/>
    <s v="Recommend training"/>
  </r>
  <r>
    <x v="759"/>
    <x v="18"/>
    <x v="1"/>
    <x v="0"/>
    <n v="949"/>
    <s v="Male"/>
    <x v="2"/>
    <n v="4"/>
    <n v="4678"/>
    <x v="0"/>
    <n v="3"/>
    <n v="6"/>
    <n v="6"/>
    <x v="1"/>
    <s v="Good"/>
    <s v="₹ 10000 - ₹ 19,999"/>
    <s v="Recommend training"/>
  </r>
  <r>
    <x v="760"/>
    <x v="18"/>
    <x v="1"/>
    <x v="0"/>
    <n v="958"/>
    <s v="Male"/>
    <x v="0"/>
    <n v="3"/>
    <n v="2519"/>
    <x v="0"/>
    <n v="4"/>
    <n v="6"/>
    <n v="11"/>
    <x v="1"/>
    <s v="Excellent"/>
    <s v="₹ 3,000- ₹ 7,000"/>
    <s v="Not recommend training"/>
  </r>
  <r>
    <x v="761"/>
    <x v="18"/>
    <x v="0"/>
    <x v="1"/>
    <n v="967"/>
    <s v="Male"/>
    <x v="5"/>
    <n v="4"/>
    <n v="10325"/>
    <x v="1"/>
    <n v="3"/>
    <n v="6"/>
    <n v="16"/>
    <x v="2"/>
    <s v="Good"/>
    <s v="₹ 10000 - ₹ 19,999"/>
    <s v="Recommend training"/>
  </r>
  <r>
    <x v="762"/>
    <x v="18"/>
    <x v="1"/>
    <x v="1"/>
    <n v="990"/>
    <s v="Male"/>
    <x v="5"/>
    <n v="4"/>
    <n v="5079"/>
    <x v="0"/>
    <n v="3"/>
    <n v="3"/>
    <n v="7"/>
    <x v="1"/>
    <s v="Good"/>
    <s v="₹ 10000 - ₹ 19,999"/>
    <s v="Recommend training"/>
  </r>
  <r>
    <x v="763"/>
    <x v="18"/>
    <x v="0"/>
    <x v="0"/>
    <n v="1042"/>
    <s v="Female"/>
    <x v="0"/>
    <n v="1"/>
    <n v="2743"/>
    <x v="0"/>
    <n v="3"/>
    <n v="1"/>
    <n v="17"/>
    <x v="0"/>
    <s v="Good"/>
    <s v="₹ 3,000- ₹ 7,000"/>
    <s v="Recommend training"/>
  </r>
  <r>
    <x v="764"/>
    <x v="18"/>
    <x v="0"/>
    <x v="0"/>
    <n v="1052"/>
    <s v="Male"/>
    <x v="0"/>
    <n v="3"/>
    <n v="4834"/>
    <x v="0"/>
    <n v="3"/>
    <n v="3"/>
    <n v="1"/>
    <x v="0"/>
    <s v="Good"/>
    <s v="₹ 10000 - ₹ 19,999"/>
    <s v="Recommend training"/>
  </r>
  <r>
    <x v="765"/>
    <x v="18"/>
    <x v="1"/>
    <x v="0"/>
    <n v="1073"/>
    <s v="Female"/>
    <x v="4"/>
    <n v="4"/>
    <n v="8858"/>
    <x v="0"/>
    <n v="3"/>
    <n v="2"/>
    <n v="14"/>
    <x v="1"/>
    <s v="Good"/>
    <s v="₹ 7,000 - ₹ 10,000"/>
    <s v="Recommend training"/>
  </r>
  <r>
    <x v="766"/>
    <x v="18"/>
    <x v="1"/>
    <x v="0"/>
    <n v="1133"/>
    <s v="Male"/>
    <x v="4"/>
    <n v="4"/>
    <n v="7779"/>
    <x v="0"/>
    <n v="4"/>
    <n v="0"/>
    <n v="11"/>
    <x v="1"/>
    <s v="Excellent"/>
    <s v="₹ 7,000 - ₹ 10,000"/>
    <s v="Recommend training"/>
  </r>
  <r>
    <x v="767"/>
    <x v="18"/>
    <x v="1"/>
    <x v="0"/>
    <n v="1221"/>
    <s v="Male"/>
    <x v="0"/>
    <n v="3"/>
    <n v="2741"/>
    <x v="0"/>
    <n v="3"/>
    <n v="4"/>
    <n v="7"/>
    <x v="1"/>
    <s v="Good"/>
    <s v="₹ 3,000- ₹ 7,000"/>
    <s v="Recommend training"/>
  </r>
  <r>
    <x v="768"/>
    <x v="18"/>
    <x v="1"/>
    <x v="0"/>
    <n v="1237"/>
    <s v="Female"/>
    <x v="4"/>
    <n v="1"/>
    <n v="10252"/>
    <x v="1"/>
    <n v="4"/>
    <n v="2"/>
    <n v="7"/>
    <x v="0"/>
    <s v="Excellent"/>
    <s v="₹ 10000 - ₹ 19,999"/>
    <s v="Recommend training"/>
  </r>
  <r>
    <x v="769"/>
    <x v="18"/>
    <x v="1"/>
    <x v="0"/>
    <n v="1257"/>
    <s v="Male"/>
    <x v="2"/>
    <n v="2"/>
    <n v="3692"/>
    <x v="0"/>
    <n v="3"/>
    <n v="2"/>
    <n v="11"/>
    <x v="1"/>
    <s v="Good"/>
    <s v="₹ 10000 - ₹ 19,999"/>
    <s v="Recommend training"/>
  </r>
  <r>
    <x v="770"/>
    <x v="18"/>
    <x v="1"/>
    <x v="0"/>
    <n v="1294"/>
    <s v="Female"/>
    <x v="4"/>
    <n v="2"/>
    <n v="5410"/>
    <x v="1"/>
    <n v="3"/>
    <n v="2"/>
    <n v="16"/>
    <x v="0"/>
    <s v="Good"/>
    <s v="₹ 10000 - ₹ 19,999"/>
    <s v="Recommend training"/>
  </r>
  <r>
    <x v="771"/>
    <x v="18"/>
    <x v="1"/>
    <x v="0"/>
    <n v="1312"/>
    <s v="Female"/>
    <x v="6"/>
    <n v="3"/>
    <n v="7094"/>
    <x v="0"/>
    <n v="3"/>
    <n v="0"/>
    <n v="7"/>
    <x v="1"/>
    <s v="Good"/>
    <s v="₹ 7,000 - ₹ 10,000"/>
    <s v="Recommend training"/>
  </r>
  <r>
    <x v="772"/>
    <x v="18"/>
    <x v="1"/>
    <x v="1"/>
    <n v="1362"/>
    <s v="Female"/>
    <x v="5"/>
    <n v="1"/>
    <n v="4639"/>
    <x v="0"/>
    <n v="3"/>
    <n v="2"/>
    <n v="15"/>
    <x v="1"/>
    <s v="Good"/>
    <s v="₹ 10000 - ₹ 19,999"/>
    <s v="Recommend training"/>
  </r>
  <r>
    <x v="773"/>
    <x v="18"/>
    <x v="1"/>
    <x v="1"/>
    <n v="1425"/>
    <s v="Female"/>
    <x v="5"/>
    <n v="2"/>
    <n v="9278"/>
    <x v="1"/>
    <n v="3"/>
    <n v="3"/>
    <n v="5"/>
    <x v="0"/>
    <s v="Good"/>
    <s v="₹ 7,000 - ₹ 10,000"/>
    <s v="Recommend training"/>
  </r>
  <r>
    <x v="774"/>
    <x v="18"/>
    <x v="1"/>
    <x v="0"/>
    <n v="1435"/>
    <s v="Male"/>
    <x v="0"/>
    <n v="4"/>
    <n v="5810"/>
    <x v="0"/>
    <n v="3"/>
    <n v="2"/>
    <n v="10"/>
    <x v="1"/>
    <s v="Good"/>
    <s v="₹ 10000 - ₹ 19,999"/>
    <s v="Recommend training"/>
  </r>
  <r>
    <x v="775"/>
    <x v="18"/>
    <x v="1"/>
    <x v="1"/>
    <n v="1436"/>
    <s v="Female"/>
    <x v="5"/>
    <n v="1"/>
    <n v="5647"/>
    <x v="0"/>
    <n v="3"/>
    <n v="3"/>
    <n v="3"/>
    <x v="1"/>
    <s v="Good"/>
    <s v="₹ 10000 - ₹ 19,999"/>
    <s v="Recommend training"/>
  </r>
  <r>
    <x v="776"/>
    <x v="18"/>
    <x v="1"/>
    <x v="1"/>
    <n v="1556"/>
    <s v="Male"/>
    <x v="1"/>
    <n v="4"/>
    <n v="2644"/>
    <x v="1"/>
    <n v="4"/>
    <n v="3"/>
    <n v="3"/>
    <x v="0"/>
    <s v="Excellent"/>
    <s v="₹ 3,000- ₹ 7,000"/>
    <s v="Not recommend training"/>
  </r>
  <r>
    <x v="777"/>
    <x v="18"/>
    <x v="1"/>
    <x v="1"/>
    <n v="1585"/>
    <s v="Female"/>
    <x v="5"/>
    <n v="3"/>
    <n v="6815"/>
    <x v="0"/>
    <n v="3"/>
    <n v="5"/>
    <n v="1"/>
    <x v="1"/>
    <s v="Good"/>
    <s v="₹ 10000 - ₹ 19,999"/>
    <s v="Recommend training"/>
  </r>
  <r>
    <x v="778"/>
    <x v="18"/>
    <x v="1"/>
    <x v="0"/>
    <n v="1594"/>
    <s v="Male"/>
    <x v="0"/>
    <n v="1"/>
    <n v="5562"/>
    <x v="1"/>
    <n v="3"/>
    <n v="3"/>
    <n v="3"/>
    <x v="0"/>
    <s v="Good"/>
    <s v="₹ 10000 - ₹ 19,999"/>
    <s v="Recommend training"/>
  </r>
  <r>
    <x v="779"/>
    <x v="18"/>
    <x v="1"/>
    <x v="0"/>
    <n v="1614"/>
    <s v="Female"/>
    <x v="4"/>
    <n v="3"/>
    <n v="4663"/>
    <x v="1"/>
    <n v="3"/>
    <n v="2"/>
    <n v="3"/>
    <x v="0"/>
    <s v="Good"/>
    <s v="₹ 10000 - ₹ 19,999"/>
    <s v="Recommend training"/>
  </r>
  <r>
    <x v="780"/>
    <x v="18"/>
    <x v="1"/>
    <x v="0"/>
    <n v="1651"/>
    <s v="Female"/>
    <x v="6"/>
    <n v="1"/>
    <n v="8008"/>
    <x v="0"/>
    <n v="3"/>
    <n v="6"/>
    <n v="3"/>
    <x v="1"/>
    <s v="Good"/>
    <s v="₹ 7,000 - ₹ 10,000"/>
    <s v="Recommend training"/>
  </r>
  <r>
    <x v="781"/>
    <x v="18"/>
    <x v="1"/>
    <x v="0"/>
    <n v="1659"/>
    <s v="Male"/>
    <x v="0"/>
    <n v="2"/>
    <n v="2013"/>
    <x v="0"/>
    <n v="3"/>
    <n v="4"/>
    <n v="4"/>
    <x v="1"/>
    <s v="Good"/>
    <s v="₹ 3,000- ₹ 7,000"/>
    <s v="Recommend training"/>
  </r>
  <r>
    <x v="782"/>
    <x v="18"/>
    <x v="1"/>
    <x v="0"/>
    <n v="1662"/>
    <s v="Female"/>
    <x v="4"/>
    <n v="3"/>
    <n v="4374"/>
    <x v="0"/>
    <n v="3"/>
    <n v="6"/>
    <n v="3"/>
    <x v="1"/>
    <s v="Good"/>
    <s v="₹ 10000 - ₹ 19,999"/>
    <s v="Recommend training"/>
  </r>
  <r>
    <x v="783"/>
    <x v="18"/>
    <x v="1"/>
    <x v="0"/>
    <n v="1664"/>
    <s v="Male"/>
    <x v="6"/>
    <n v="1"/>
    <n v="6842"/>
    <x v="0"/>
    <n v="4"/>
    <n v="3"/>
    <n v="5"/>
    <x v="1"/>
    <s v="Excellent"/>
    <s v="₹ 10000 - ₹ 19,999"/>
    <s v="Not recommend training"/>
  </r>
  <r>
    <x v="784"/>
    <x v="18"/>
    <x v="1"/>
    <x v="0"/>
    <n v="1682"/>
    <s v="Male"/>
    <x v="6"/>
    <n v="3"/>
    <n v="5347"/>
    <x v="0"/>
    <n v="3"/>
    <n v="2"/>
    <n v="3"/>
    <x v="1"/>
    <s v="Good"/>
    <s v="₹ 10000 - ₹ 19,999"/>
    <s v="Recommend training"/>
  </r>
  <r>
    <x v="785"/>
    <x v="18"/>
    <x v="1"/>
    <x v="1"/>
    <n v="1710"/>
    <s v="Female"/>
    <x v="1"/>
    <n v="4"/>
    <n v="4502"/>
    <x v="0"/>
    <n v="3"/>
    <n v="2"/>
    <n v="13"/>
    <x v="1"/>
    <s v="Good"/>
    <s v="₹ 10000 - ₹ 19,999"/>
    <s v="Recommend training"/>
  </r>
  <r>
    <x v="786"/>
    <x v="18"/>
    <x v="0"/>
    <x v="1"/>
    <n v="1733"/>
    <s v="Male"/>
    <x v="5"/>
    <n v="1"/>
    <n v="6134"/>
    <x v="1"/>
    <n v="3"/>
    <n v="3"/>
    <n v="2"/>
    <x v="2"/>
    <s v="Good"/>
    <s v="₹ 10000 - ₹ 19,999"/>
    <s v="Recommend training"/>
  </r>
  <r>
    <x v="787"/>
    <x v="18"/>
    <x v="1"/>
    <x v="0"/>
    <n v="1790"/>
    <s v="Male"/>
    <x v="6"/>
    <n v="1"/>
    <n v="8321"/>
    <x v="1"/>
    <n v="3"/>
    <n v="1"/>
    <n v="12"/>
    <x v="0"/>
    <s v="Good"/>
    <s v="₹ 7,000 - ₹ 10,000"/>
    <s v="Recommend training"/>
  </r>
  <r>
    <x v="788"/>
    <x v="18"/>
    <x v="1"/>
    <x v="0"/>
    <n v="1847"/>
    <s v="Female"/>
    <x v="2"/>
    <n v="2"/>
    <n v="6962"/>
    <x v="1"/>
    <n v="4"/>
    <n v="2"/>
    <n v="1"/>
    <x v="0"/>
    <s v="Excellent"/>
    <s v="₹ 10000 - ₹ 19,999"/>
    <s v="Recommend training"/>
  </r>
  <r>
    <x v="789"/>
    <x v="18"/>
    <x v="1"/>
    <x v="1"/>
    <n v="1880"/>
    <s v="Female"/>
    <x v="5"/>
    <n v="3"/>
    <n v="5673"/>
    <x v="1"/>
    <n v="3"/>
    <n v="4"/>
    <n v="10"/>
    <x v="0"/>
    <s v="Good"/>
    <s v="₹ 10000 - ₹ 19,999"/>
    <s v="Recommend training"/>
  </r>
  <r>
    <x v="790"/>
    <x v="18"/>
    <x v="1"/>
    <x v="2"/>
    <n v="1890"/>
    <s v="Male"/>
    <x v="3"/>
    <n v="4"/>
    <n v="3886"/>
    <x v="0"/>
    <n v="4"/>
    <n v="2"/>
    <n v="10"/>
    <x v="1"/>
    <s v="Excellent"/>
    <s v="₹ 10000 - ₹ 19,999"/>
    <s v="Recommend training"/>
  </r>
  <r>
    <x v="791"/>
    <x v="18"/>
    <x v="1"/>
    <x v="1"/>
    <n v="1908"/>
    <s v="Male"/>
    <x v="5"/>
    <n v="2"/>
    <n v="5507"/>
    <x v="0"/>
    <n v="3"/>
    <n v="1"/>
    <n v="4"/>
    <x v="1"/>
    <s v="Good"/>
    <s v="₹ 10000 - ₹ 19,999"/>
    <s v="Recommend training"/>
  </r>
  <r>
    <x v="792"/>
    <x v="18"/>
    <x v="1"/>
    <x v="0"/>
    <n v="1949"/>
    <s v="Male"/>
    <x v="0"/>
    <n v="2"/>
    <n v="2810"/>
    <x v="0"/>
    <n v="4"/>
    <n v="3"/>
    <n v="5"/>
    <x v="1"/>
    <s v="Excellent"/>
    <s v="₹ 3,000- ₹ 7,000"/>
    <s v="Not recommend training"/>
  </r>
  <r>
    <x v="793"/>
    <x v="18"/>
    <x v="1"/>
    <x v="1"/>
    <n v="2024"/>
    <s v="Female"/>
    <x v="5"/>
    <n v="4"/>
    <n v="7644"/>
    <x v="0"/>
    <n v="3"/>
    <n v="2"/>
    <n v="9"/>
    <x v="1"/>
    <s v="Good"/>
    <s v="₹ 7,000 - ₹ 10,000"/>
    <s v="Recommend training"/>
  </r>
  <r>
    <x v="794"/>
    <x v="18"/>
    <x v="1"/>
    <x v="0"/>
    <n v="2025"/>
    <s v="Female"/>
    <x v="4"/>
    <n v="2"/>
    <n v="5131"/>
    <x v="0"/>
    <n v="3"/>
    <n v="3"/>
    <n v="4"/>
    <x v="1"/>
    <s v="Good"/>
    <s v="₹ 10000 - ₹ 19,999"/>
    <s v="Recommend training"/>
  </r>
  <r>
    <x v="795"/>
    <x v="18"/>
    <x v="1"/>
    <x v="1"/>
    <n v="2036"/>
    <s v="Male"/>
    <x v="5"/>
    <n v="4"/>
    <n v="5406"/>
    <x v="0"/>
    <n v="4"/>
    <n v="4"/>
    <n v="15"/>
    <x v="1"/>
    <s v="Excellent"/>
    <s v="₹ 10000 - ₹ 19,999"/>
    <s v="Not recommend training"/>
  </r>
  <r>
    <x v="796"/>
    <x v="18"/>
    <x v="1"/>
    <x v="1"/>
    <n v="2045"/>
    <s v="Female"/>
    <x v="5"/>
    <n v="4"/>
    <n v="6652"/>
    <x v="0"/>
    <n v="3"/>
    <n v="2"/>
    <n v="6"/>
    <x v="1"/>
    <s v="Good"/>
    <s v="₹ 10000 - ₹ 19,999"/>
    <s v="Recommend training"/>
  </r>
  <r>
    <x v="797"/>
    <x v="18"/>
    <x v="1"/>
    <x v="0"/>
    <n v="2061"/>
    <s v="Male"/>
    <x v="0"/>
    <n v="4"/>
    <n v="2571"/>
    <x v="0"/>
    <n v="3"/>
    <n v="3"/>
    <n v="5"/>
    <x v="1"/>
    <s v="Good"/>
    <s v="₹ 3,000- ₹ 7,000"/>
    <s v="Recommend training"/>
  </r>
  <r>
    <x v="798"/>
    <x v="19"/>
    <x v="0"/>
    <x v="0"/>
    <n v="4"/>
    <s v="Male"/>
    <x v="0"/>
    <n v="3"/>
    <n v="2090"/>
    <x v="1"/>
    <n v="3"/>
    <n v="3"/>
    <n v="0"/>
    <x v="2"/>
    <s v="Good"/>
    <s v="₹ 3,000- ₹ 7,000"/>
    <s v="Recommend training"/>
  </r>
  <r>
    <x v="799"/>
    <x v="19"/>
    <x v="1"/>
    <x v="0"/>
    <n v="61"/>
    <s v="Male"/>
    <x v="2"/>
    <n v="2"/>
    <n v="3022"/>
    <x v="0"/>
    <n v="4"/>
    <n v="1"/>
    <n v="1"/>
    <x v="1"/>
    <s v="Excellent"/>
    <s v="₹ 10000 - ₹ 19,999"/>
    <s v="Recommend training"/>
  </r>
  <r>
    <x v="800"/>
    <x v="19"/>
    <x v="1"/>
    <x v="0"/>
    <n v="77"/>
    <s v="Male"/>
    <x v="4"/>
    <n v="3"/>
    <n v="5993"/>
    <x v="0"/>
    <n v="3"/>
    <n v="2"/>
    <n v="7"/>
    <x v="1"/>
    <s v="Good"/>
    <s v="₹ 10000 - ₹ 19,999"/>
    <s v="Recommend training"/>
  </r>
  <r>
    <x v="801"/>
    <x v="19"/>
    <x v="1"/>
    <x v="0"/>
    <n v="102"/>
    <s v="Male"/>
    <x v="7"/>
    <n v="3"/>
    <n v="13664"/>
    <x v="0"/>
    <n v="3"/>
    <n v="3"/>
    <n v="5"/>
    <x v="1"/>
    <s v="Good"/>
    <s v="₹ 10000 - ₹ 19,999"/>
    <s v="Recommend training"/>
  </r>
  <r>
    <x v="802"/>
    <x v="19"/>
    <x v="0"/>
    <x v="2"/>
    <n v="133"/>
    <s v="Male"/>
    <x v="3"/>
    <n v="1"/>
    <n v="2073"/>
    <x v="1"/>
    <n v="4"/>
    <n v="3"/>
    <n v="3"/>
    <x v="2"/>
    <s v="Excellent"/>
    <s v="₹ 3,000- ₹ 7,000"/>
    <s v="Not recommend training"/>
  </r>
  <r>
    <x v="803"/>
    <x v="19"/>
    <x v="1"/>
    <x v="0"/>
    <n v="139"/>
    <s v="Male"/>
    <x v="6"/>
    <n v="4"/>
    <n v="5163"/>
    <x v="0"/>
    <n v="3"/>
    <n v="2"/>
    <n v="1"/>
    <x v="1"/>
    <s v="Good"/>
    <s v="₹ 10000 - ₹ 19,999"/>
    <s v="Recommend training"/>
  </r>
  <r>
    <x v="804"/>
    <x v="19"/>
    <x v="1"/>
    <x v="1"/>
    <n v="152"/>
    <s v="Male"/>
    <x v="5"/>
    <n v="4"/>
    <n v="7428"/>
    <x v="0"/>
    <n v="3"/>
    <n v="3"/>
    <n v="5"/>
    <x v="1"/>
    <s v="Good"/>
    <s v="₹ 7,000 - ₹ 10,000"/>
    <s v="Recommend training"/>
  </r>
  <r>
    <x v="805"/>
    <x v="19"/>
    <x v="1"/>
    <x v="0"/>
    <n v="267"/>
    <s v="Male"/>
    <x v="2"/>
    <n v="1"/>
    <n v="3564"/>
    <x v="1"/>
    <n v="3"/>
    <n v="3"/>
    <n v="8"/>
    <x v="0"/>
    <s v="Good"/>
    <s v="₹ 10000 - ₹ 19,999"/>
    <s v="Recommend training"/>
  </r>
  <r>
    <x v="806"/>
    <x v="19"/>
    <x v="1"/>
    <x v="0"/>
    <n v="306"/>
    <s v="Male"/>
    <x v="7"/>
    <n v="4"/>
    <n v="12185"/>
    <x v="1"/>
    <n v="3"/>
    <n v="1"/>
    <n v="10"/>
    <x v="0"/>
    <s v="Good"/>
    <s v="₹ 10000 - ₹ 19,999"/>
    <s v="Recommend training"/>
  </r>
  <r>
    <x v="807"/>
    <x v="19"/>
    <x v="1"/>
    <x v="1"/>
    <n v="311"/>
    <s v="Male"/>
    <x v="1"/>
    <n v="4"/>
    <n v="2793"/>
    <x v="0"/>
    <n v="3"/>
    <n v="2"/>
    <n v="9"/>
    <x v="1"/>
    <s v="Good"/>
    <s v="₹ 3,000- ₹ 7,000"/>
    <s v="Recommend training"/>
  </r>
  <r>
    <x v="808"/>
    <x v="19"/>
    <x v="1"/>
    <x v="0"/>
    <n v="340"/>
    <s v="Female"/>
    <x v="2"/>
    <n v="1"/>
    <n v="3920"/>
    <x v="0"/>
    <n v="3"/>
    <n v="2"/>
    <n v="3"/>
    <x v="1"/>
    <s v="Good"/>
    <s v="₹ 10000 - ₹ 19,999"/>
    <s v="Recommend training"/>
  </r>
  <r>
    <x v="809"/>
    <x v="19"/>
    <x v="0"/>
    <x v="0"/>
    <n v="342"/>
    <s v="Male"/>
    <x v="4"/>
    <n v="3"/>
    <n v="10048"/>
    <x v="0"/>
    <n v="3"/>
    <n v="5"/>
    <n v="1"/>
    <x v="0"/>
    <s v="Good"/>
    <s v="₹ 10000 - ₹ 19,999"/>
    <s v="Recommend training"/>
  </r>
  <r>
    <x v="810"/>
    <x v="19"/>
    <x v="1"/>
    <x v="1"/>
    <n v="378"/>
    <s v="Male"/>
    <x v="5"/>
    <n v="4"/>
    <n v="6502"/>
    <x v="0"/>
    <n v="3"/>
    <n v="5"/>
    <n v="5"/>
    <x v="1"/>
    <s v="Good"/>
    <s v="₹ 10000 - ₹ 19,999"/>
    <s v="Recommend training"/>
  </r>
  <r>
    <x v="811"/>
    <x v="19"/>
    <x v="1"/>
    <x v="0"/>
    <n v="380"/>
    <s v="Female"/>
    <x v="7"/>
    <n v="4"/>
    <n v="13603"/>
    <x v="1"/>
    <n v="3"/>
    <n v="2"/>
    <n v="5"/>
    <x v="0"/>
    <s v="Good"/>
    <s v="₹ 10000 - ₹ 19,999"/>
    <s v="Recommend training"/>
  </r>
  <r>
    <x v="812"/>
    <x v="19"/>
    <x v="1"/>
    <x v="0"/>
    <n v="391"/>
    <s v="Female"/>
    <x v="2"/>
    <n v="4"/>
    <n v="2115"/>
    <x v="0"/>
    <n v="3"/>
    <n v="3"/>
    <n v="17"/>
    <x v="1"/>
    <s v="Good"/>
    <s v="₹ 3,000- ₹ 7,000"/>
    <s v="Recommend training"/>
  </r>
  <r>
    <x v="813"/>
    <x v="19"/>
    <x v="1"/>
    <x v="0"/>
    <n v="403"/>
    <s v="Male"/>
    <x v="2"/>
    <n v="4"/>
    <n v="2326"/>
    <x v="1"/>
    <n v="3"/>
    <n v="3"/>
    <n v="4"/>
    <x v="0"/>
    <s v="Good"/>
    <s v="₹ 3,000- ₹ 7,000"/>
    <s v="Recommend training"/>
  </r>
  <r>
    <x v="814"/>
    <x v="19"/>
    <x v="1"/>
    <x v="0"/>
    <n v="460"/>
    <s v="Male"/>
    <x v="4"/>
    <n v="4"/>
    <n v="6347"/>
    <x v="0"/>
    <n v="3"/>
    <n v="2"/>
    <n v="6"/>
    <x v="1"/>
    <s v="Good"/>
    <s v="₹ 10000 - ₹ 19,999"/>
    <s v="Recommend training"/>
  </r>
  <r>
    <x v="815"/>
    <x v="19"/>
    <x v="1"/>
    <x v="0"/>
    <n v="474"/>
    <s v="Male"/>
    <x v="2"/>
    <n v="1"/>
    <n v="5974"/>
    <x v="1"/>
    <n v="3"/>
    <n v="2"/>
    <n v="7"/>
    <x v="0"/>
    <s v="Good"/>
    <s v="₹ 10000 - ₹ 19,999"/>
    <s v="Recommend training"/>
  </r>
  <r>
    <x v="816"/>
    <x v="19"/>
    <x v="1"/>
    <x v="0"/>
    <n v="486"/>
    <s v="Female"/>
    <x v="0"/>
    <n v="1"/>
    <n v="3452"/>
    <x v="0"/>
    <n v="4"/>
    <n v="3"/>
    <n v="5"/>
    <x v="1"/>
    <s v="Excellent"/>
    <s v="₹ 10000 - ₹ 19,999"/>
    <s v="Not recommend training"/>
  </r>
  <r>
    <x v="817"/>
    <x v="19"/>
    <x v="1"/>
    <x v="0"/>
    <n v="515"/>
    <s v="Female"/>
    <x v="0"/>
    <n v="1"/>
    <n v="3034"/>
    <x v="0"/>
    <n v="3"/>
    <n v="2"/>
    <n v="18"/>
    <x v="1"/>
    <s v="Good"/>
    <s v="₹ 10000 - ₹ 19,999"/>
    <s v="Recommend training"/>
  </r>
  <r>
    <x v="818"/>
    <x v="19"/>
    <x v="1"/>
    <x v="0"/>
    <n v="518"/>
    <s v="Male"/>
    <x v="4"/>
    <n v="2"/>
    <n v="4197"/>
    <x v="1"/>
    <n v="3"/>
    <n v="2"/>
    <n v="1"/>
    <x v="0"/>
    <s v="Good"/>
    <s v="₹ 10000 - ₹ 19,999"/>
    <s v="Recommend training"/>
  </r>
  <r>
    <x v="819"/>
    <x v="19"/>
    <x v="1"/>
    <x v="0"/>
    <n v="529"/>
    <s v="Female"/>
    <x v="2"/>
    <n v="3"/>
    <n v="4449"/>
    <x v="1"/>
    <n v="3"/>
    <n v="2"/>
    <n v="13"/>
    <x v="0"/>
    <s v="Good"/>
    <s v="₹ 10000 - ₹ 19,999"/>
    <s v="Recommend training"/>
  </r>
  <r>
    <x v="820"/>
    <x v="19"/>
    <x v="1"/>
    <x v="0"/>
    <n v="623"/>
    <s v="Female"/>
    <x v="4"/>
    <n v="4"/>
    <n v="7491"/>
    <x v="0"/>
    <n v="3"/>
    <n v="3"/>
    <n v="6"/>
    <x v="1"/>
    <s v="Good"/>
    <s v="₹ 7,000 - ₹ 10,000"/>
    <s v="Recommend training"/>
  </r>
  <r>
    <x v="821"/>
    <x v="19"/>
    <x v="1"/>
    <x v="1"/>
    <n v="626"/>
    <s v="Male"/>
    <x v="5"/>
    <n v="2"/>
    <n v="8834"/>
    <x v="0"/>
    <n v="3"/>
    <n v="6"/>
    <n v="9"/>
    <x v="1"/>
    <s v="Good"/>
    <s v="₹ 7,000 - ₹ 10,000"/>
    <s v="Recommend training"/>
  </r>
  <r>
    <x v="822"/>
    <x v="19"/>
    <x v="1"/>
    <x v="0"/>
    <n v="635"/>
    <s v="Female"/>
    <x v="4"/>
    <n v="2"/>
    <n v="6447"/>
    <x v="0"/>
    <n v="3"/>
    <n v="2"/>
    <n v="6"/>
    <x v="1"/>
    <s v="Good"/>
    <s v="₹ 10000 - ₹ 19,999"/>
    <s v="Recommend training"/>
  </r>
  <r>
    <x v="823"/>
    <x v="19"/>
    <x v="1"/>
    <x v="1"/>
    <n v="656"/>
    <s v="Male"/>
    <x v="5"/>
    <n v="3"/>
    <n v="9602"/>
    <x v="1"/>
    <n v="3"/>
    <n v="3"/>
    <n v="3"/>
    <x v="0"/>
    <s v="Good"/>
    <s v="₹ 7,000 - ₹ 10,000"/>
    <s v="Recommend training"/>
  </r>
  <r>
    <x v="824"/>
    <x v="19"/>
    <x v="1"/>
    <x v="0"/>
    <n v="689"/>
    <s v="Male"/>
    <x v="4"/>
    <n v="3"/>
    <n v="9434"/>
    <x v="0"/>
    <n v="3"/>
    <n v="2"/>
    <n v="10"/>
    <x v="1"/>
    <s v="Good"/>
    <s v="₹ 7,000 - ₹ 10,000"/>
    <s v="Recommend training"/>
  </r>
  <r>
    <x v="825"/>
    <x v="19"/>
    <x v="1"/>
    <x v="0"/>
    <n v="715"/>
    <s v="Male"/>
    <x v="2"/>
    <n v="4"/>
    <n v="4680"/>
    <x v="0"/>
    <n v="3"/>
    <n v="2"/>
    <n v="1"/>
    <x v="1"/>
    <s v="Good"/>
    <s v="₹ 10000 - ₹ 19,999"/>
    <s v="Recommend training"/>
  </r>
  <r>
    <x v="826"/>
    <x v="19"/>
    <x v="1"/>
    <x v="0"/>
    <n v="802"/>
    <s v="Female"/>
    <x v="2"/>
    <n v="1"/>
    <n v="2782"/>
    <x v="1"/>
    <n v="3"/>
    <n v="3"/>
    <n v="5"/>
    <x v="0"/>
    <s v="Good"/>
    <s v="₹ 3,000- ₹ 7,000"/>
    <s v="Recommend training"/>
  </r>
  <r>
    <x v="827"/>
    <x v="19"/>
    <x v="1"/>
    <x v="1"/>
    <n v="868"/>
    <s v="Male"/>
    <x v="5"/>
    <n v="3"/>
    <n v="6334"/>
    <x v="0"/>
    <n v="3"/>
    <n v="2"/>
    <n v="1"/>
    <x v="1"/>
    <s v="Good"/>
    <s v="₹ 10000 - ₹ 19,999"/>
    <s v="Recommend training"/>
  </r>
  <r>
    <x v="828"/>
    <x v="19"/>
    <x v="1"/>
    <x v="1"/>
    <n v="900"/>
    <s v="Female"/>
    <x v="1"/>
    <n v="4"/>
    <n v="2973"/>
    <x v="0"/>
    <n v="3"/>
    <n v="3"/>
    <n v="5"/>
    <x v="1"/>
    <s v="Good"/>
    <s v="₹ 3,000- ₹ 7,000"/>
    <s v="Recommend training"/>
  </r>
  <r>
    <x v="829"/>
    <x v="19"/>
    <x v="1"/>
    <x v="1"/>
    <n v="904"/>
    <s v="Male"/>
    <x v="5"/>
    <n v="2"/>
    <n v="7642"/>
    <x v="1"/>
    <n v="3"/>
    <n v="2"/>
    <n v="10"/>
    <x v="0"/>
    <s v="Good"/>
    <s v="₹ 7,000 - ₹ 10,000"/>
    <s v="Recommend training"/>
  </r>
  <r>
    <x v="830"/>
    <x v="19"/>
    <x v="0"/>
    <x v="1"/>
    <n v="970"/>
    <s v="Male"/>
    <x v="5"/>
    <n v="3"/>
    <n v="10609"/>
    <x v="0"/>
    <n v="3"/>
    <n v="2"/>
    <n v="14"/>
    <x v="0"/>
    <s v="Good"/>
    <s v="₹ 10000 - ₹ 19,999"/>
    <s v="Recommend training"/>
  </r>
  <r>
    <x v="831"/>
    <x v="19"/>
    <x v="0"/>
    <x v="0"/>
    <n v="1033"/>
    <s v="Female"/>
    <x v="6"/>
    <n v="2"/>
    <n v="4777"/>
    <x v="0"/>
    <n v="3"/>
    <n v="2"/>
    <n v="1"/>
    <x v="0"/>
    <s v="Good"/>
    <s v="₹ 10000 - ₹ 19,999"/>
    <s v="Recommend training"/>
  </r>
  <r>
    <x v="832"/>
    <x v="19"/>
    <x v="1"/>
    <x v="0"/>
    <n v="1062"/>
    <s v="Female"/>
    <x v="6"/>
    <n v="2"/>
    <n v="4107"/>
    <x v="0"/>
    <n v="3"/>
    <n v="3"/>
    <n v="4"/>
    <x v="1"/>
    <s v="Good"/>
    <s v="₹ 10000 - ₹ 19,999"/>
    <s v="Recommend training"/>
  </r>
  <r>
    <x v="833"/>
    <x v="19"/>
    <x v="1"/>
    <x v="1"/>
    <n v="1105"/>
    <s v="Female"/>
    <x v="5"/>
    <n v="4"/>
    <n v="6694"/>
    <x v="1"/>
    <n v="3"/>
    <n v="5"/>
    <n v="1"/>
    <x v="0"/>
    <s v="Good"/>
    <s v="₹ 10000 - ₹ 19,999"/>
    <s v="Recommend training"/>
  </r>
  <r>
    <x v="834"/>
    <x v="19"/>
    <x v="1"/>
    <x v="0"/>
    <n v="1161"/>
    <s v="Female"/>
    <x v="6"/>
    <n v="4"/>
    <n v="5731"/>
    <x v="0"/>
    <n v="3"/>
    <n v="2"/>
    <n v="6"/>
    <x v="1"/>
    <s v="Good"/>
    <s v="₹ 10000 - ₹ 19,999"/>
    <s v="Recommend training"/>
  </r>
  <r>
    <x v="835"/>
    <x v="19"/>
    <x v="1"/>
    <x v="0"/>
    <n v="1196"/>
    <s v="Female"/>
    <x v="4"/>
    <n v="4"/>
    <n v="6474"/>
    <x v="0"/>
    <n v="3"/>
    <n v="2"/>
    <n v="14"/>
    <x v="1"/>
    <s v="Good"/>
    <s v="₹ 10000 - ₹ 19,999"/>
    <s v="Recommend training"/>
  </r>
  <r>
    <x v="836"/>
    <x v="19"/>
    <x v="1"/>
    <x v="0"/>
    <n v="1394"/>
    <s v="Male"/>
    <x v="2"/>
    <n v="3"/>
    <n v="2996"/>
    <x v="1"/>
    <n v="3"/>
    <n v="2"/>
    <n v="6"/>
    <x v="0"/>
    <s v="Good"/>
    <s v="₹ 3,000- ₹ 7,000"/>
    <s v="Recommend training"/>
  </r>
  <r>
    <x v="837"/>
    <x v="19"/>
    <x v="1"/>
    <x v="0"/>
    <n v="1411"/>
    <s v="Female"/>
    <x v="0"/>
    <n v="3"/>
    <n v="3629"/>
    <x v="0"/>
    <n v="3"/>
    <n v="6"/>
    <n v="3"/>
    <x v="1"/>
    <s v="Good"/>
    <s v="₹ 10000 - ₹ 19,999"/>
    <s v="Recommend training"/>
  </r>
  <r>
    <x v="838"/>
    <x v="19"/>
    <x v="1"/>
    <x v="0"/>
    <n v="1440"/>
    <s v="Male"/>
    <x v="0"/>
    <n v="3"/>
    <n v="3500"/>
    <x v="0"/>
    <n v="3"/>
    <n v="2"/>
    <n v="6"/>
    <x v="1"/>
    <s v="Good"/>
    <s v="₹ 10000 - ₹ 19,999"/>
    <s v="Recommend training"/>
  </r>
  <r>
    <x v="839"/>
    <x v="19"/>
    <x v="1"/>
    <x v="0"/>
    <n v="1543"/>
    <s v="Male"/>
    <x v="2"/>
    <n v="4"/>
    <n v="4285"/>
    <x v="0"/>
    <n v="3"/>
    <n v="2"/>
    <n v="10"/>
    <x v="1"/>
    <s v="Good"/>
    <s v="₹ 10000 - ₹ 19,999"/>
    <s v="Recommend training"/>
  </r>
  <r>
    <x v="840"/>
    <x v="19"/>
    <x v="1"/>
    <x v="0"/>
    <n v="1631"/>
    <s v="Male"/>
    <x v="4"/>
    <n v="3"/>
    <n v="5768"/>
    <x v="0"/>
    <n v="3"/>
    <n v="2"/>
    <n v="4"/>
    <x v="1"/>
    <s v="Good"/>
    <s v="₹ 10000 - ₹ 19,999"/>
    <s v="Recommend training"/>
  </r>
  <r>
    <x v="841"/>
    <x v="19"/>
    <x v="1"/>
    <x v="0"/>
    <n v="1640"/>
    <s v="Female"/>
    <x v="2"/>
    <n v="2"/>
    <n v="3936"/>
    <x v="0"/>
    <n v="3"/>
    <n v="2"/>
    <n v="8"/>
    <x v="1"/>
    <s v="Good"/>
    <s v="₹ 10000 - ₹ 19,999"/>
    <s v="Recommend training"/>
  </r>
  <r>
    <x v="842"/>
    <x v="19"/>
    <x v="1"/>
    <x v="1"/>
    <n v="1700"/>
    <s v="Male"/>
    <x v="5"/>
    <n v="4"/>
    <n v="9525"/>
    <x v="0"/>
    <n v="3"/>
    <n v="2"/>
    <n v="6"/>
    <x v="1"/>
    <s v="Good"/>
    <s v="₹ 7,000 - ₹ 10,000"/>
    <s v="Recommend training"/>
  </r>
  <r>
    <x v="843"/>
    <x v="19"/>
    <x v="1"/>
    <x v="1"/>
    <n v="1787"/>
    <s v="Male"/>
    <x v="5"/>
    <n v="2"/>
    <n v="4189"/>
    <x v="0"/>
    <n v="3"/>
    <n v="2"/>
    <n v="5"/>
    <x v="1"/>
    <s v="Good"/>
    <s v="₹ 10000 - ₹ 19,999"/>
    <s v="Recommend training"/>
  </r>
  <r>
    <x v="844"/>
    <x v="19"/>
    <x v="1"/>
    <x v="2"/>
    <n v="1794"/>
    <s v="Male"/>
    <x v="3"/>
    <n v="2"/>
    <n v="4071"/>
    <x v="0"/>
    <n v="3"/>
    <n v="4"/>
    <n v="10"/>
    <x v="1"/>
    <s v="Good"/>
    <s v="₹ 10000 - ₹ 19,999"/>
    <s v="Recommend training"/>
  </r>
  <r>
    <x v="845"/>
    <x v="19"/>
    <x v="0"/>
    <x v="0"/>
    <n v="1809"/>
    <s v="Male"/>
    <x v="4"/>
    <n v="1"/>
    <n v="4213"/>
    <x v="0"/>
    <n v="3"/>
    <n v="4"/>
    <n v="10"/>
    <x v="0"/>
    <s v="Good"/>
    <s v="₹ 10000 - ₹ 19,999"/>
    <s v="Recommend training"/>
  </r>
  <r>
    <x v="846"/>
    <x v="19"/>
    <x v="1"/>
    <x v="0"/>
    <n v="1885"/>
    <s v="Male"/>
    <x v="2"/>
    <n v="1"/>
    <n v="4284"/>
    <x v="1"/>
    <n v="4"/>
    <n v="2"/>
    <n v="5"/>
    <x v="0"/>
    <s v="Excellent"/>
    <s v="₹ 10000 - ₹ 19,999"/>
    <s v="Recommend training"/>
  </r>
  <r>
    <x v="847"/>
    <x v="19"/>
    <x v="1"/>
    <x v="0"/>
    <n v="2017"/>
    <s v="Female"/>
    <x v="7"/>
    <n v="4"/>
    <n v="13744"/>
    <x v="1"/>
    <n v="4"/>
    <n v="2"/>
    <n v="16"/>
    <x v="0"/>
    <s v="Excellent"/>
    <s v="₹ 10000 - ₹ 19,999"/>
    <s v="Recommend training"/>
  </r>
  <r>
    <x v="848"/>
    <x v="20"/>
    <x v="1"/>
    <x v="0"/>
    <n v="12"/>
    <s v="Male"/>
    <x v="4"/>
    <n v="3"/>
    <n v="9526"/>
    <x v="0"/>
    <n v="4"/>
    <n v="2"/>
    <n v="9"/>
    <x v="1"/>
    <s v="Excellent"/>
    <s v="₹ 7,000 - ₹ 10,000"/>
    <s v="Recommend training"/>
  </r>
  <r>
    <x v="849"/>
    <x v="20"/>
    <x v="1"/>
    <x v="0"/>
    <n v="24"/>
    <s v="Male"/>
    <x v="2"/>
    <n v="4"/>
    <n v="3944"/>
    <x v="1"/>
    <n v="3"/>
    <n v="3"/>
    <n v="3"/>
    <x v="0"/>
    <s v="Good"/>
    <s v="₹ 10000 - ₹ 19,999"/>
    <s v="Recommend training"/>
  </r>
  <r>
    <x v="850"/>
    <x v="20"/>
    <x v="1"/>
    <x v="0"/>
    <n v="79"/>
    <s v="Female"/>
    <x v="0"/>
    <n v="4"/>
    <n v="2406"/>
    <x v="0"/>
    <n v="3"/>
    <n v="2"/>
    <n v="10"/>
    <x v="1"/>
    <s v="Good"/>
    <s v="₹ 3,000- ₹ 7,000"/>
    <s v="Recommend training"/>
  </r>
  <r>
    <x v="851"/>
    <x v="20"/>
    <x v="1"/>
    <x v="0"/>
    <n v="107"/>
    <s v="Female"/>
    <x v="2"/>
    <n v="4"/>
    <n v="5329"/>
    <x v="1"/>
    <n v="3"/>
    <n v="3"/>
    <n v="13"/>
    <x v="0"/>
    <s v="Good"/>
    <s v="₹ 10000 - ₹ 19,999"/>
    <s v="Recommend training"/>
  </r>
  <r>
    <x v="852"/>
    <x v="20"/>
    <x v="1"/>
    <x v="0"/>
    <n v="193"/>
    <s v="Female"/>
    <x v="2"/>
    <n v="3"/>
    <n v="4317"/>
    <x v="1"/>
    <n v="4"/>
    <n v="2"/>
    <n v="3"/>
    <x v="0"/>
    <s v="Excellent"/>
    <s v="₹ 10000 - ₹ 19,999"/>
    <s v="Recommend training"/>
  </r>
  <r>
    <x v="853"/>
    <x v="20"/>
    <x v="1"/>
    <x v="1"/>
    <n v="230"/>
    <s v="Female"/>
    <x v="5"/>
    <n v="4"/>
    <n v="8686"/>
    <x v="0"/>
    <n v="4"/>
    <n v="2"/>
    <n v="8"/>
    <x v="1"/>
    <s v="Excellent"/>
    <s v="₹ 7,000 - ₹ 10,000"/>
    <s v="Recommend training"/>
  </r>
  <r>
    <x v="854"/>
    <x v="20"/>
    <x v="1"/>
    <x v="0"/>
    <n v="245"/>
    <s v="Female"/>
    <x v="0"/>
    <n v="4"/>
    <n v="2288"/>
    <x v="0"/>
    <n v="3"/>
    <n v="3"/>
    <n v="2"/>
    <x v="1"/>
    <s v="Good"/>
    <s v="₹ 3,000- ₹ 7,000"/>
    <s v="Recommend training"/>
  </r>
  <r>
    <x v="855"/>
    <x v="20"/>
    <x v="1"/>
    <x v="0"/>
    <n v="271"/>
    <s v="Male"/>
    <x v="4"/>
    <n v="3"/>
    <n v="6553"/>
    <x v="0"/>
    <n v="3"/>
    <n v="3"/>
    <n v="1"/>
    <x v="1"/>
    <s v="Good"/>
    <s v="₹ 10000 - ₹ 19,999"/>
    <s v="Recommend training"/>
  </r>
  <r>
    <x v="856"/>
    <x v="20"/>
    <x v="1"/>
    <x v="0"/>
    <n v="273"/>
    <s v="Male"/>
    <x v="4"/>
    <n v="4"/>
    <n v="6261"/>
    <x v="0"/>
    <n v="3"/>
    <n v="3"/>
    <n v="7"/>
    <x v="1"/>
    <s v="Good"/>
    <s v="₹ 10000 - ₹ 19,999"/>
    <s v="Recommend training"/>
  </r>
  <r>
    <x v="857"/>
    <x v="20"/>
    <x v="0"/>
    <x v="0"/>
    <n v="282"/>
    <s v="Male"/>
    <x v="6"/>
    <n v="1"/>
    <n v="6673"/>
    <x v="1"/>
    <n v="3"/>
    <n v="2"/>
    <n v="1"/>
    <x v="2"/>
    <s v="Good"/>
    <s v="₹ 10000 - ₹ 19,999"/>
    <s v="Recommend training"/>
  </r>
  <r>
    <x v="858"/>
    <x v="20"/>
    <x v="1"/>
    <x v="1"/>
    <n v="307"/>
    <s v="Male"/>
    <x v="5"/>
    <n v="3"/>
    <n v="10609"/>
    <x v="0"/>
    <n v="3"/>
    <n v="6"/>
    <n v="16"/>
    <x v="1"/>
    <s v="Good"/>
    <s v="₹ 10000 - ₹ 19,999"/>
    <s v="Recommend training"/>
  </r>
  <r>
    <x v="859"/>
    <x v="20"/>
    <x v="1"/>
    <x v="1"/>
    <n v="361"/>
    <s v="Male"/>
    <x v="5"/>
    <n v="4"/>
    <n v="5249"/>
    <x v="0"/>
    <n v="3"/>
    <n v="0"/>
    <n v="8"/>
    <x v="1"/>
    <s v="Good"/>
    <s v="₹ 10000 - ₹ 19,999"/>
    <s v="Recommend training"/>
  </r>
  <r>
    <x v="860"/>
    <x v="20"/>
    <x v="1"/>
    <x v="1"/>
    <n v="382"/>
    <s v="Female"/>
    <x v="5"/>
    <n v="1"/>
    <n v="5605"/>
    <x v="1"/>
    <n v="4"/>
    <n v="3"/>
    <n v="8"/>
    <x v="0"/>
    <s v="Excellent"/>
    <s v="₹ 10000 - ₹ 19,999"/>
    <s v="Not recommend training"/>
  </r>
  <r>
    <x v="861"/>
    <x v="20"/>
    <x v="1"/>
    <x v="0"/>
    <n v="393"/>
    <s v="Male"/>
    <x v="6"/>
    <n v="4"/>
    <n v="5745"/>
    <x v="0"/>
    <n v="3"/>
    <n v="2"/>
    <n v="2"/>
    <x v="1"/>
    <s v="Good"/>
    <s v="₹ 10000 - ₹ 19,999"/>
    <s v="Recommend training"/>
  </r>
  <r>
    <x v="862"/>
    <x v="20"/>
    <x v="1"/>
    <x v="0"/>
    <n v="421"/>
    <s v="Female"/>
    <x v="7"/>
    <n v="2"/>
    <n v="12061"/>
    <x v="0"/>
    <n v="3"/>
    <n v="2"/>
    <n v="10"/>
    <x v="1"/>
    <s v="Good"/>
    <s v="₹ 10000 - ₹ 19,999"/>
    <s v="Recommend training"/>
  </r>
  <r>
    <x v="863"/>
    <x v="20"/>
    <x v="1"/>
    <x v="0"/>
    <n v="461"/>
    <s v="Male"/>
    <x v="7"/>
    <n v="4"/>
    <n v="11510"/>
    <x v="1"/>
    <n v="3"/>
    <n v="3"/>
    <n v="11"/>
    <x v="0"/>
    <s v="Good"/>
    <s v="₹ 10000 - ₹ 19,999"/>
    <s v="Recommend training"/>
  </r>
  <r>
    <x v="864"/>
    <x v="20"/>
    <x v="1"/>
    <x v="0"/>
    <n v="556"/>
    <s v="Male"/>
    <x v="0"/>
    <n v="4"/>
    <n v="1702"/>
    <x v="1"/>
    <n v="4"/>
    <n v="3"/>
    <n v="1"/>
    <x v="0"/>
    <s v="Excellent"/>
    <s v="₹ 3,000- ₹ 7,000"/>
    <s v="Recommend training"/>
  </r>
  <r>
    <x v="865"/>
    <x v="20"/>
    <x v="1"/>
    <x v="0"/>
    <n v="634"/>
    <s v="Female"/>
    <x v="6"/>
    <n v="3"/>
    <n v="9824"/>
    <x v="0"/>
    <n v="3"/>
    <n v="4"/>
    <n v="1"/>
    <x v="1"/>
    <s v="Good"/>
    <s v="₹ 7,000 - ₹ 10,000"/>
    <s v="Recommend training"/>
  </r>
  <r>
    <x v="866"/>
    <x v="20"/>
    <x v="1"/>
    <x v="0"/>
    <n v="662"/>
    <s v="Female"/>
    <x v="2"/>
    <n v="1"/>
    <n v="2619"/>
    <x v="0"/>
    <n v="3"/>
    <n v="3"/>
    <n v="0"/>
    <x v="1"/>
    <s v="Good"/>
    <s v="₹ 3,000- ₹ 7,000"/>
    <s v="Recommend training"/>
  </r>
  <r>
    <x v="867"/>
    <x v="20"/>
    <x v="1"/>
    <x v="1"/>
    <n v="709"/>
    <s v="Female"/>
    <x v="5"/>
    <n v="4"/>
    <n v="4028"/>
    <x v="0"/>
    <n v="4"/>
    <n v="2"/>
    <n v="7"/>
    <x v="1"/>
    <s v="Excellent"/>
    <s v="₹ 10000 - ₹ 19,999"/>
    <s v="Recommend training"/>
  </r>
  <r>
    <x v="868"/>
    <x v="20"/>
    <x v="1"/>
    <x v="0"/>
    <n v="724"/>
    <s v="Female"/>
    <x v="6"/>
    <n v="4"/>
    <n v="7625"/>
    <x v="0"/>
    <n v="3"/>
    <n v="4"/>
    <n v="9"/>
    <x v="1"/>
    <s v="Good"/>
    <s v="₹ 7,000 - ₹ 10,000"/>
    <s v="Recommend training"/>
  </r>
  <r>
    <x v="869"/>
    <x v="20"/>
    <x v="1"/>
    <x v="0"/>
    <n v="743"/>
    <s v="Female"/>
    <x v="4"/>
    <n v="3"/>
    <n v="7861"/>
    <x v="1"/>
    <n v="3"/>
    <n v="4"/>
    <n v="1"/>
    <x v="0"/>
    <s v="Good"/>
    <s v="₹ 7,000 - ₹ 10,000"/>
    <s v="Recommend training"/>
  </r>
  <r>
    <x v="870"/>
    <x v="20"/>
    <x v="1"/>
    <x v="0"/>
    <n v="773"/>
    <s v="Male"/>
    <x v="2"/>
    <n v="3"/>
    <n v="3057"/>
    <x v="1"/>
    <n v="3"/>
    <n v="0"/>
    <n v="1"/>
    <x v="0"/>
    <s v="Good"/>
    <s v="₹ 10000 - ₹ 19,999"/>
    <s v="Recommend training"/>
  </r>
  <r>
    <x v="871"/>
    <x v="20"/>
    <x v="1"/>
    <x v="0"/>
    <n v="803"/>
    <s v="Female"/>
    <x v="4"/>
    <n v="1"/>
    <n v="5980"/>
    <x v="1"/>
    <n v="3"/>
    <n v="2"/>
    <n v="15"/>
    <x v="0"/>
    <s v="Good"/>
    <s v="₹ 10000 - ₹ 19,999"/>
    <s v="Recommend training"/>
  </r>
  <r>
    <x v="872"/>
    <x v="20"/>
    <x v="1"/>
    <x v="0"/>
    <n v="837"/>
    <s v="Male"/>
    <x v="6"/>
    <n v="1"/>
    <n v="6288"/>
    <x v="0"/>
    <n v="3"/>
    <n v="3"/>
    <n v="4"/>
    <x v="1"/>
    <s v="Good"/>
    <s v="₹ 10000 - ₹ 19,999"/>
    <s v="Recommend training"/>
  </r>
  <r>
    <x v="873"/>
    <x v="20"/>
    <x v="1"/>
    <x v="1"/>
    <n v="893"/>
    <s v="Male"/>
    <x v="1"/>
    <n v="2"/>
    <n v="2899"/>
    <x v="0"/>
    <n v="3"/>
    <n v="3"/>
    <n v="2"/>
    <x v="1"/>
    <s v="Good"/>
    <s v="₹ 3,000- ₹ 7,000"/>
    <s v="Recommend training"/>
  </r>
  <r>
    <x v="874"/>
    <x v="20"/>
    <x v="1"/>
    <x v="0"/>
    <n v="950"/>
    <s v="Female"/>
    <x v="7"/>
    <n v="1"/>
    <n v="13582"/>
    <x v="0"/>
    <n v="3"/>
    <n v="3"/>
    <n v="15"/>
    <x v="1"/>
    <s v="Good"/>
    <s v="₹ 10000 - ₹ 19,999"/>
    <s v="Recommend training"/>
  </r>
  <r>
    <x v="875"/>
    <x v="20"/>
    <x v="1"/>
    <x v="1"/>
    <n v="983"/>
    <s v="Female"/>
    <x v="5"/>
    <n v="4"/>
    <n v="5666"/>
    <x v="1"/>
    <n v="3"/>
    <n v="1"/>
    <n v="5"/>
    <x v="0"/>
    <s v="Good"/>
    <s v="₹ 10000 - ₹ 19,999"/>
    <s v="Recommend training"/>
  </r>
  <r>
    <x v="876"/>
    <x v="20"/>
    <x v="1"/>
    <x v="0"/>
    <n v="1006"/>
    <s v="Male"/>
    <x v="2"/>
    <n v="3"/>
    <n v="2684"/>
    <x v="0"/>
    <n v="3"/>
    <n v="0"/>
    <n v="2"/>
    <x v="1"/>
    <s v="Good"/>
    <s v="₹ 3,000- ₹ 7,000"/>
    <s v="Recommend training"/>
  </r>
  <r>
    <x v="877"/>
    <x v="20"/>
    <x v="1"/>
    <x v="1"/>
    <n v="1036"/>
    <s v="Male"/>
    <x v="5"/>
    <n v="4"/>
    <n v="6861"/>
    <x v="1"/>
    <n v="3"/>
    <n v="1"/>
    <n v="1"/>
    <x v="0"/>
    <s v="Good"/>
    <s v="₹ 10000 - ₹ 19,999"/>
    <s v="Recommend training"/>
  </r>
  <r>
    <x v="878"/>
    <x v="20"/>
    <x v="1"/>
    <x v="0"/>
    <n v="1060"/>
    <s v="Male"/>
    <x v="2"/>
    <n v="3"/>
    <n v="2821"/>
    <x v="0"/>
    <n v="3"/>
    <n v="2"/>
    <n v="2"/>
    <x v="1"/>
    <s v="Good"/>
    <s v="₹ 3,000- ₹ 7,000"/>
    <s v="Recommend training"/>
  </r>
  <r>
    <x v="879"/>
    <x v="20"/>
    <x v="1"/>
    <x v="0"/>
    <n v="1088"/>
    <s v="Female"/>
    <x v="6"/>
    <n v="3"/>
    <n v="8823"/>
    <x v="0"/>
    <n v="3"/>
    <n v="4"/>
    <n v="19"/>
    <x v="1"/>
    <s v="Good"/>
    <s v="₹ 7,000 - ₹ 10,000"/>
    <s v="Recommend training"/>
  </r>
  <r>
    <x v="880"/>
    <x v="20"/>
    <x v="1"/>
    <x v="1"/>
    <n v="1119"/>
    <s v="Male"/>
    <x v="5"/>
    <n v="3"/>
    <n v="8740"/>
    <x v="1"/>
    <n v="3"/>
    <n v="2"/>
    <n v="8"/>
    <x v="0"/>
    <s v="Good"/>
    <s v="₹ 7,000 - ₹ 10,000"/>
    <s v="Recommend training"/>
  </r>
  <r>
    <x v="881"/>
    <x v="20"/>
    <x v="1"/>
    <x v="1"/>
    <n v="1125"/>
    <s v="Male"/>
    <x v="5"/>
    <n v="2"/>
    <n v="7351"/>
    <x v="0"/>
    <n v="3"/>
    <n v="2"/>
    <n v="1"/>
    <x v="1"/>
    <s v="Good"/>
    <s v="₹ 7,000 - ₹ 10,000"/>
    <s v="Recommend training"/>
  </r>
  <r>
    <x v="882"/>
    <x v="20"/>
    <x v="1"/>
    <x v="2"/>
    <n v="1152"/>
    <s v="Male"/>
    <x v="3"/>
    <n v="3"/>
    <n v="2844"/>
    <x v="0"/>
    <n v="3"/>
    <n v="2"/>
    <n v="7"/>
    <x v="1"/>
    <s v="Good"/>
    <s v="₹ 3,000- ₹ 7,000"/>
    <s v="Recommend training"/>
  </r>
  <r>
    <x v="883"/>
    <x v="20"/>
    <x v="1"/>
    <x v="1"/>
    <n v="1355"/>
    <s v="Female"/>
    <x v="5"/>
    <n v="1"/>
    <n v="6893"/>
    <x v="0"/>
    <n v="3"/>
    <n v="3"/>
    <n v="7"/>
    <x v="1"/>
    <s v="Good"/>
    <s v="₹ 10000 - ₹ 19,999"/>
    <s v="Recommend training"/>
  </r>
  <r>
    <x v="884"/>
    <x v="20"/>
    <x v="1"/>
    <x v="0"/>
    <n v="1382"/>
    <s v="Male"/>
    <x v="2"/>
    <n v="3"/>
    <n v="2610"/>
    <x v="0"/>
    <n v="3"/>
    <n v="2"/>
    <n v="4"/>
    <x v="1"/>
    <s v="Good"/>
    <s v="₹ 3,000- ₹ 7,000"/>
    <s v="Recommend training"/>
  </r>
  <r>
    <x v="885"/>
    <x v="20"/>
    <x v="1"/>
    <x v="2"/>
    <n v="1563"/>
    <s v="Male"/>
    <x v="3"/>
    <n v="3"/>
    <n v="6077"/>
    <x v="0"/>
    <n v="3"/>
    <n v="2"/>
    <n v="6"/>
    <x v="1"/>
    <s v="Good"/>
    <s v="₹ 10000 - ₹ 19,999"/>
    <s v="Recommend training"/>
  </r>
  <r>
    <x v="886"/>
    <x v="20"/>
    <x v="0"/>
    <x v="0"/>
    <n v="1573"/>
    <s v="Male"/>
    <x v="4"/>
    <n v="2"/>
    <n v="4855"/>
    <x v="0"/>
    <n v="3"/>
    <n v="2"/>
    <n v="5"/>
    <x v="0"/>
    <s v="Good"/>
    <s v="₹ 10000 - ₹ 19,999"/>
    <s v="Recommend training"/>
  </r>
  <r>
    <x v="887"/>
    <x v="20"/>
    <x v="1"/>
    <x v="1"/>
    <n v="1582"/>
    <s v="Male"/>
    <x v="5"/>
    <n v="2"/>
    <n v="9924"/>
    <x v="0"/>
    <n v="3"/>
    <n v="3"/>
    <n v="9"/>
    <x v="1"/>
    <s v="Good"/>
    <s v="₹ 7,000 - ₹ 10,000"/>
    <s v="Recommend training"/>
  </r>
  <r>
    <x v="888"/>
    <x v="20"/>
    <x v="1"/>
    <x v="1"/>
    <n v="1583"/>
    <s v="Female"/>
    <x v="5"/>
    <n v="2"/>
    <n v="4198"/>
    <x v="0"/>
    <n v="3"/>
    <n v="5"/>
    <n v="3"/>
    <x v="1"/>
    <s v="Good"/>
    <s v="₹ 10000 - ₹ 19,999"/>
    <s v="Recommend training"/>
  </r>
  <r>
    <x v="889"/>
    <x v="20"/>
    <x v="1"/>
    <x v="0"/>
    <n v="1638"/>
    <s v="Female"/>
    <x v="4"/>
    <n v="3"/>
    <n v="7756"/>
    <x v="1"/>
    <n v="3"/>
    <n v="6"/>
    <n v="5"/>
    <x v="0"/>
    <s v="Good"/>
    <s v="₹ 7,000 - ₹ 10,000"/>
    <s v="Recommend training"/>
  </r>
  <r>
    <x v="890"/>
    <x v="20"/>
    <x v="1"/>
    <x v="0"/>
    <n v="1668"/>
    <s v="Male"/>
    <x v="2"/>
    <n v="4"/>
    <n v="4735"/>
    <x v="0"/>
    <n v="3"/>
    <n v="4"/>
    <n v="13"/>
    <x v="1"/>
    <s v="Good"/>
    <s v="₹ 10000 - ₹ 19,999"/>
    <s v="Recommend training"/>
  </r>
  <r>
    <x v="891"/>
    <x v="20"/>
    <x v="1"/>
    <x v="0"/>
    <n v="1675"/>
    <s v="Female"/>
    <x v="0"/>
    <n v="2"/>
    <n v="2440"/>
    <x v="0"/>
    <n v="4"/>
    <n v="3"/>
    <n v="4"/>
    <x v="1"/>
    <s v="Excellent"/>
    <s v="₹ 3,000- ₹ 7,000"/>
    <s v="Recommend training"/>
  </r>
  <r>
    <x v="892"/>
    <x v="20"/>
    <x v="1"/>
    <x v="0"/>
    <n v="1687"/>
    <s v="Female"/>
    <x v="0"/>
    <n v="3"/>
    <n v="3306"/>
    <x v="0"/>
    <n v="3"/>
    <n v="5"/>
    <n v="0"/>
    <x v="1"/>
    <s v="Good"/>
    <s v="₹ 10000 - ₹ 19,999"/>
    <s v="Recommend training"/>
  </r>
  <r>
    <x v="893"/>
    <x v="20"/>
    <x v="1"/>
    <x v="0"/>
    <n v="1760"/>
    <s v="Female"/>
    <x v="0"/>
    <n v="2"/>
    <n v="2468"/>
    <x v="0"/>
    <n v="3"/>
    <n v="4"/>
    <n v="6"/>
    <x v="1"/>
    <s v="Good"/>
    <s v="₹ 3,000- ₹ 7,000"/>
    <s v="Recommend training"/>
  </r>
  <r>
    <x v="894"/>
    <x v="20"/>
    <x v="1"/>
    <x v="0"/>
    <n v="1766"/>
    <s v="Male"/>
    <x v="6"/>
    <n v="4"/>
    <n v="5811"/>
    <x v="1"/>
    <n v="3"/>
    <n v="2"/>
    <n v="1"/>
    <x v="0"/>
    <s v="Good"/>
    <s v="₹ 10000 - ₹ 19,999"/>
    <s v="Recommend training"/>
  </r>
  <r>
    <x v="895"/>
    <x v="20"/>
    <x v="1"/>
    <x v="0"/>
    <n v="1782"/>
    <s v="Female"/>
    <x v="0"/>
    <n v="3"/>
    <n v="3702"/>
    <x v="0"/>
    <n v="3"/>
    <n v="3"/>
    <n v="5"/>
    <x v="1"/>
    <s v="Good"/>
    <s v="₹ 10000 - ₹ 19,999"/>
    <s v="Recommend training"/>
  </r>
  <r>
    <x v="896"/>
    <x v="20"/>
    <x v="1"/>
    <x v="2"/>
    <n v="1805"/>
    <s v="Male"/>
    <x v="3"/>
    <n v="2"/>
    <n v="2592"/>
    <x v="0"/>
    <n v="3"/>
    <n v="3"/>
    <n v="11"/>
    <x v="1"/>
    <s v="Good"/>
    <s v="₹ 3,000- ₹ 7,000"/>
    <s v="Recommend training"/>
  </r>
  <r>
    <x v="897"/>
    <x v="20"/>
    <x v="1"/>
    <x v="1"/>
    <n v="1835"/>
    <s v="Female"/>
    <x v="1"/>
    <n v="4"/>
    <n v="5405"/>
    <x v="1"/>
    <n v="4"/>
    <n v="4"/>
    <n v="4"/>
    <x v="0"/>
    <s v="Excellent"/>
    <s v="₹ 10000 - ₹ 19,999"/>
    <s v="Recommend training"/>
  </r>
  <r>
    <x v="898"/>
    <x v="20"/>
    <x v="1"/>
    <x v="0"/>
    <n v="1937"/>
    <s v="Female"/>
    <x v="2"/>
    <n v="2"/>
    <n v="2133"/>
    <x v="1"/>
    <n v="3"/>
    <n v="3"/>
    <n v="20"/>
    <x v="0"/>
    <s v="Good"/>
    <s v="₹ 3,000- ₹ 7,000"/>
    <s v="Recommend training"/>
  </r>
  <r>
    <x v="899"/>
    <x v="20"/>
    <x v="1"/>
    <x v="0"/>
    <n v="1940"/>
    <s v="Male"/>
    <x v="2"/>
    <n v="4"/>
    <n v="4771"/>
    <x v="0"/>
    <n v="3"/>
    <n v="0"/>
    <n v="5"/>
    <x v="1"/>
    <s v="Good"/>
    <s v="₹ 10000 - ₹ 19,999"/>
    <s v="Recommend training"/>
  </r>
  <r>
    <x v="900"/>
    <x v="20"/>
    <x v="1"/>
    <x v="1"/>
    <n v="1961"/>
    <s v="Male"/>
    <x v="1"/>
    <n v="1"/>
    <n v="2858"/>
    <x v="0"/>
    <n v="3"/>
    <n v="3"/>
    <n v="1"/>
    <x v="1"/>
    <s v="Good"/>
    <s v="₹ 3,000- ₹ 7,000"/>
    <s v="Recommend training"/>
  </r>
  <r>
    <x v="901"/>
    <x v="20"/>
    <x v="1"/>
    <x v="2"/>
    <n v="1972"/>
    <s v="Male"/>
    <x v="3"/>
    <n v="2"/>
    <n v="2991"/>
    <x v="1"/>
    <n v="3"/>
    <n v="2"/>
    <n v="6"/>
    <x v="0"/>
    <s v="Good"/>
    <s v="₹ 3,000- ₹ 7,000"/>
    <s v="Recommend training"/>
  </r>
  <r>
    <x v="902"/>
    <x v="20"/>
    <x v="1"/>
    <x v="1"/>
    <n v="1995"/>
    <s v="Male"/>
    <x v="5"/>
    <n v="2"/>
    <n v="4440"/>
    <x v="0"/>
    <n v="3"/>
    <n v="3"/>
    <n v="15"/>
    <x v="1"/>
    <s v="Good"/>
    <s v="₹ 10000 - ₹ 19,999"/>
    <s v="Recommend training"/>
  </r>
  <r>
    <x v="903"/>
    <x v="20"/>
    <x v="1"/>
    <x v="0"/>
    <n v="1997"/>
    <s v="Male"/>
    <x v="4"/>
    <n v="3"/>
    <n v="5321"/>
    <x v="0"/>
    <n v="3"/>
    <n v="1"/>
    <n v="8"/>
    <x v="1"/>
    <s v="Good"/>
    <s v="₹ 10000 - ₹ 19,999"/>
    <s v="Recommend training"/>
  </r>
  <r>
    <x v="904"/>
    <x v="20"/>
    <x v="1"/>
    <x v="0"/>
    <n v="2015"/>
    <s v="Female"/>
    <x v="7"/>
    <n v="3"/>
    <n v="13206"/>
    <x v="0"/>
    <n v="3"/>
    <n v="3"/>
    <n v="18"/>
    <x v="1"/>
    <s v="Good"/>
    <s v="₹ 10000 - ₹ 19,999"/>
    <s v="Recommend training"/>
  </r>
  <r>
    <x v="905"/>
    <x v="20"/>
    <x v="1"/>
    <x v="1"/>
    <n v="2041"/>
    <s v="Female"/>
    <x v="5"/>
    <n v="4"/>
    <n v="5343"/>
    <x v="0"/>
    <n v="3"/>
    <n v="1"/>
    <n v="10"/>
    <x v="1"/>
    <s v="Good"/>
    <s v="₹ 10000 - ₹ 19,999"/>
    <s v="Recommend training"/>
  </r>
  <r>
    <x v="906"/>
    <x v="21"/>
    <x v="0"/>
    <x v="1"/>
    <n v="42"/>
    <s v="Male"/>
    <x v="1"/>
    <n v="4"/>
    <n v="2086"/>
    <x v="0"/>
    <n v="3"/>
    <n v="6"/>
    <n v="1"/>
    <x v="0"/>
    <s v="Good"/>
    <s v="₹ 3,000- ₹ 7,000"/>
    <s v="Recommend training"/>
  </r>
  <r>
    <x v="907"/>
    <x v="21"/>
    <x v="1"/>
    <x v="1"/>
    <n v="182"/>
    <s v="Female"/>
    <x v="5"/>
    <n v="3"/>
    <n v="5902"/>
    <x v="0"/>
    <n v="3"/>
    <n v="1"/>
    <n v="15"/>
    <x v="1"/>
    <s v="Good"/>
    <s v="₹ 10000 - ₹ 19,999"/>
    <s v="Recommend training"/>
  </r>
  <r>
    <x v="908"/>
    <x v="21"/>
    <x v="1"/>
    <x v="0"/>
    <n v="332"/>
    <s v="Female"/>
    <x v="0"/>
    <n v="3"/>
    <n v="2232"/>
    <x v="0"/>
    <n v="3"/>
    <n v="1"/>
    <n v="3"/>
    <x v="1"/>
    <s v="Good"/>
    <s v="₹ 3,000- ₹ 7,000"/>
    <s v="Recommend training"/>
  </r>
  <r>
    <x v="909"/>
    <x v="21"/>
    <x v="1"/>
    <x v="0"/>
    <n v="343"/>
    <s v="Female"/>
    <x v="6"/>
    <n v="3"/>
    <n v="10938"/>
    <x v="0"/>
    <n v="4"/>
    <n v="1"/>
    <n v="19"/>
    <x v="1"/>
    <s v="Excellent"/>
    <s v="₹ 10000 - ₹ 19,999"/>
    <s v="Not recommend training"/>
  </r>
  <r>
    <x v="910"/>
    <x v="21"/>
    <x v="1"/>
    <x v="0"/>
    <n v="417"/>
    <s v="Male"/>
    <x v="6"/>
    <n v="4"/>
    <n v="9613"/>
    <x v="0"/>
    <n v="3"/>
    <n v="5"/>
    <n v="18"/>
    <x v="1"/>
    <s v="Good"/>
    <s v="₹ 7,000 - ₹ 10,000"/>
    <s v="Recommend training"/>
  </r>
  <r>
    <x v="911"/>
    <x v="21"/>
    <x v="1"/>
    <x v="0"/>
    <n v="429"/>
    <s v="Male"/>
    <x v="8"/>
    <n v="1"/>
    <n v="17068"/>
    <x v="1"/>
    <n v="3"/>
    <n v="3"/>
    <n v="21"/>
    <x v="0"/>
    <s v="Good"/>
    <s v="₹ 10000 - ₹ 19,999"/>
    <s v="Recommend training"/>
  </r>
  <r>
    <x v="912"/>
    <x v="21"/>
    <x v="1"/>
    <x v="0"/>
    <n v="444"/>
    <s v="Male"/>
    <x v="8"/>
    <n v="4"/>
    <n v="19272"/>
    <x v="0"/>
    <n v="3"/>
    <n v="2"/>
    <n v="21"/>
    <x v="1"/>
    <s v="Good"/>
    <s v="₹ 10000 - ₹ 19,999"/>
    <s v="Recommend training"/>
  </r>
  <r>
    <x v="913"/>
    <x v="21"/>
    <x v="0"/>
    <x v="1"/>
    <n v="445"/>
    <s v="Female"/>
    <x v="5"/>
    <n v="3"/>
    <n v="5238"/>
    <x v="1"/>
    <n v="3"/>
    <n v="3"/>
    <n v="1"/>
    <x v="2"/>
    <s v="Good"/>
    <s v="₹ 10000 - ₹ 19,999"/>
    <s v="Recommend training"/>
  </r>
  <r>
    <x v="914"/>
    <x v="21"/>
    <x v="1"/>
    <x v="0"/>
    <n v="531"/>
    <s v="Male"/>
    <x v="8"/>
    <n v="3"/>
    <n v="19197"/>
    <x v="1"/>
    <n v="3"/>
    <n v="3"/>
    <n v="21"/>
    <x v="0"/>
    <s v="Good"/>
    <s v="₹ 10000 - ₹ 19,999"/>
    <s v="Recommend training"/>
  </r>
  <r>
    <x v="915"/>
    <x v="21"/>
    <x v="1"/>
    <x v="0"/>
    <n v="602"/>
    <s v="Female"/>
    <x v="0"/>
    <n v="3"/>
    <n v="3755"/>
    <x v="0"/>
    <n v="3"/>
    <n v="3"/>
    <n v="8"/>
    <x v="1"/>
    <s v="Good"/>
    <s v="₹ 10000 - ₹ 19,999"/>
    <s v="Recommend training"/>
  </r>
  <r>
    <x v="916"/>
    <x v="21"/>
    <x v="1"/>
    <x v="0"/>
    <n v="721"/>
    <s v="Female"/>
    <x v="6"/>
    <n v="3"/>
    <n v="4553"/>
    <x v="0"/>
    <n v="3"/>
    <n v="4"/>
    <n v="20"/>
    <x v="1"/>
    <s v="Good"/>
    <s v="₹ 10000 - ₹ 19,999"/>
    <s v="Recommend training"/>
  </r>
  <r>
    <x v="917"/>
    <x v="21"/>
    <x v="1"/>
    <x v="2"/>
    <n v="760"/>
    <s v="Female"/>
    <x v="3"/>
    <n v="2"/>
    <n v="6389"/>
    <x v="0"/>
    <n v="3"/>
    <n v="3"/>
    <n v="8"/>
    <x v="1"/>
    <s v="Good"/>
    <s v="₹ 10000 - ₹ 19,999"/>
    <s v="Recommend training"/>
  </r>
  <r>
    <x v="918"/>
    <x v="21"/>
    <x v="1"/>
    <x v="2"/>
    <n v="909"/>
    <s v="Female"/>
    <x v="3"/>
    <n v="4"/>
    <n v="5204"/>
    <x v="0"/>
    <n v="3"/>
    <n v="2"/>
    <n v="5"/>
    <x v="1"/>
    <s v="Good"/>
    <s v="₹ 10000 - ₹ 19,999"/>
    <s v="Recommend training"/>
  </r>
  <r>
    <x v="919"/>
    <x v="21"/>
    <x v="0"/>
    <x v="0"/>
    <n v="932"/>
    <s v="Male"/>
    <x v="0"/>
    <n v="1"/>
    <n v="2404"/>
    <x v="1"/>
    <n v="4"/>
    <n v="2"/>
    <n v="2"/>
    <x v="2"/>
    <s v="Excellent"/>
    <s v="₹ 3,000- ₹ 7,000"/>
    <s v="Recommend training"/>
  </r>
  <r>
    <x v="920"/>
    <x v="21"/>
    <x v="1"/>
    <x v="1"/>
    <n v="985"/>
    <s v="Male"/>
    <x v="5"/>
    <n v="3"/>
    <n v="7880"/>
    <x v="0"/>
    <n v="3"/>
    <n v="3"/>
    <n v="8"/>
    <x v="1"/>
    <s v="Good"/>
    <s v="₹ 7,000 - ₹ 10,000"/>
    <s v="Recommend training"/>
  </r>
  <r>
    <x v="921"/>
    <x v="21"/>
    <x v="1"/>
    <x v="0"/>
    <n v="1026"/>
    <s v="Female"/>
    <x v="4"/>
    <n v="4"/>
    <n v="12742"/>
    <x v="0"/>
    <n v="3"/>
    <n v="3"/>
    <n v="21"/>
    <x v="1"/>
    <s v="Good"/>
    <s v="₹ 10000 - ₹ 19,999"/>
    <s v="Recommend training"/>
  </r>
  <r>
    <x v="922"/>
    <x v="21"/>
    <x v="1"/>
    <x v="0"/>
    <n v="1043"/>
    <s v="Female"/>
    <x v="4"/>
    <n v="1"/>
    <n v="10880"/>
    <x v="1"/>
    <n v="3"/>
    <n v="2"/>
    <n v="21"/>
    <x v="0"/>
    <s v="Good"/>
    <s v="₹ 10000 - ₹ 19,999"/>
    <s v="Recommend training"/>
  </r>
  <r>
    <x v="923"/>
    <x v="21"/>
    <x v="0"/>
    <x v="0"/>
    <n v="1127"/>
    <s v="Male"/>
    <x v="6"/>
    <n v="4"/>
    <n v="12169"/>
    <x v="0"/>
    <n v="3"/>
    <n v="4"/>
    <n v="18"/>
    <x v="0"/>
    <s v="Good"/>
    <s v="₹ 10000 - ₹ 19,999"/>
    <s v="Recommend training"/>
  </r>
  <r>
    <x v="924"/>
    <x v="21"/>
    <x v="1"/>
    <x v="0"/>
    <n v="1132"/>
    <s v="Male"/>
    <x v="0"/>
    <n v="2"/>
    <n v="6782"/>
    <x v="0"/>
    <n v="3"/>
    <n v="2"/>
    <n v="5"/>
    <x v="1"/>
    <s v="Good"/>
    <s v="₹ 10000 - ₹ 19,999"/>
    <s v="Recommend training"/>
  </r>
  <r>
    <x v="925"/>
    <x v="21"/>
    <x v="1"/>
    <x v="0"/>
    <n v="1307"/>
    <s v="Female"/>
    <x v="8"/>
    <n v="2"/>
    <n v="17123"/>
    <x v="1"/>
    <n v="3"/>
    <n v="4"/>
    <n v="19"/>
    <x v="0"/>
    <s v="Good"/>
    <s v="₹ 10000 - ₹ 19,999"/>
    <s v="Recommend training"/>
  </r>
  <r>
    <x v="926"/>
    <x v="21"/>
    <x v="0"/>
    <x v="0"/>
    <n v="1310"/>
    <s v="Male"/>
    <x v="2"/>
    <n v="1"/>
    <n v="3904"/>
    <x v="0"/>
    <n v="3"/>
    <n v="2"/>
    <n v="5"/>
    <x v="0"/>
    <s v="Good"/>
    <s v="₹ 10000 - ₹ 19,999"/>
    <s v="Recommend training"/>
  </r>
  <r>
    <x v="927"/>
    <x v="21"/>
    <x v="1"/>
    <x v="0"/>
    <n v="1322"/>
    <s v="Male"/>
    <x v="4"/>
    <n v="3"/>
    <n v="4534"/>
    <x v="0"/>
    <n v="3"/>
    <n v="6"/>
    <n v="8"/>
    <x v="1"/>
    <s v="Good"/>
    <s v="₹ 10000 - ₹ 19,999"/>
    <s v="Recommend training"/>
  </r>
  <r>
    <x v="928"/>
    <x v="21"/>
    <x v="1"/>
    <x v="1"/>
    <n v="1390"/>
    <s v="Male"/>
    <x v="5"/>
    <n v="4"/>
    <n v="6120"/>
    <x v="1"/>
    <n v="3"/>
    <n v="2"/>
    <n v="5"/>
    <x v="0"/>
    <s v="Good"/>
    <s v="₹ 10000 - ₹ 19,999"/>
    <s v="Recommend training"/>
  </r>
  <r>
    <x v="929"/>
    <x v="21"/>
    <x v="1"/>
    <x v="0"/>
    <n v="1397"/>
    <s v="Male"/>
    <x v="6"/>
    <n v="3"/>
    <n v="10920"/>
    <x v="0"/>
    <n v="4"/>
    <n v="2"/>
    <n v="6"/>
    <x v="1"/>
    <s v="Excellent"/>
    <s v="₹ 10000 - ₹ 19,999"/>
    <s v="Recommend training"/>
  </r>
  <r>
    <x v="930"/>
    <x v="21"/>
    <x v="0"/>
    <x v="0"/>
    <n v="1458"/>
    <s v="Female"/>
    <x v="0"/>
    <n v="1"/>
    <n v="3646"/>
    <x v="1"/>
    <n v="4"/>
    <n v="2"/>
    <n v="1"/>
    <x v="2"/>
    <s v="Excellent"/>
    <s v="₹ 10000 - ₹ 19,999"/>
    <s v="Recommend training"/>
  </r>
  <r>
    <x v="931"/>
    <x v="21"/>
    <x v="1"/>
    <x v="0"/>
    <n v="1525"/>
    <s v="Female"/>
    <x v="4"/>
    <n v="2"/>
    <n v="8376"/>
    <x v="0"/>
    <n v="3"/>
    <n v="3"/>
    <n v="2"/>
    <x v="1"/>
    <s v="Good"/>
    <s v="₹ 7,000 - ₹ 10,000"/>
    <s v="Recommend training"/>
  </r>
  <r>
    <x v="932"/>
    <x v="21"/>
    <x v="1"/>
    <x v="1"/>
    <n v="1588"/>
    <s v="Male"/>
    <x v="5"/>
    <n v="3"/>
    <n v="8237"/>
    <x v="0"/>
    <n v="3"/>
    <n v="3"/>
    <n v="7"/>
    <x v="1"/>
    <s v="Good"/>
    <s v="₹ 7,000 - ₹ 10,000"/>
    <s v="Recommend training"/>
  </r>
  <r>
    <x v="933"/>
    <x v="21"/>
    <x v="1"/>
    <x v="0"/>
    <n v="1618"/>
    <s v="Male"/>
    <x v="4"/>
    <n v="1"/>
    <n v="5377"/>
    <x v="0"/>
    <n v="3"/>
    <n v="3"/>
    <n v="7"/>
    <x v="1"/>
    <s v="Good"/>
    <s v="₹ 10000 - ₹ 19,999"/>
    <s v="Recommend training"/>
  </r>
  <r>
    <x v="934"/>
    <x v="21"/>
    <x v="1"/>
    <x v="0"/>
    <n v="1627"/>
    <s v="Male"/>
    <x v="0"/>
    <n v="3"/>
    <n v="3069"/>
    <x v="0"/>
    <n v="3"/>
    <n v="3"/>
    <n v="10"/>
    <x v="1"/>
    <s v="Good"/>
    <s v="₹ 10000 - ₹ 19,999"/>
    <s v="Recommend training"/>
  </r>
  <r>
    <x v="935"/>
    <x v="21"/>
    <x v="1"/>
    <x v="0"/>
    <n v="1633"/>
    <s v="Female"/>
    <x v="4"/>
    <n v="3"/>
    <n v="5042"/>
    <x v="0"/>
    <n v="3"/>
    <n v="2"/>
    <n v="9"/>
    <x v="1"/>
    <s v="Good"/>
    <s v="₹ 10000 - ₹ 19,999"/>
    <s v="Recommend training"/>
  </r>
  <r>
    <x v="936"/>
    <x v="21"/>
    <x v="1"/>
    <x v="0"/>
    <n v="1654"/>
    <s v="Male"/>
    <x v="4"/>
    <n v="2"/>
    <n v="5295"/>
    <x v="0"/>
    <n v="4"/>
    <n v="3"/>
    <n v="5"/>
    <x v="1"/>
    <s v="Excellent"/>
    <s v="₹ 10000 - ₹ 19,999"/>
    <s v="Not recommend training"/>
  </r>
  <r>
    <x v="937"/>
    <x v="21"/>
    <x v="1"/>
    <x v="0"/>
    <n v="1737"/>
    <s v="Male"/>
    <x v="0"/>
    <n v="4"/>
    <n v="6472"/>
    <x v="1"/>
    <n v="3"/>
    <n v="2"/>
    <n v="9"/>
    <x v="0"/>
    <s v="Good"/>
    <s v="₹ 10000 - ₹ 19,999"/>
    <s v="Recommend training"/>
  </r>
  <r>
    <x v="938"/>
    <x v="21"/>
    <x v="1"/>
    <x v="0"/>
    <n v="1800"/>
    <s v="Male"/>
    <x v="7"/>
    <n v="3"/>
    <n v="13464"/>
    <x v="0"/>
    <n v="4"/>
    <n v="3"/>
    <n v="4"/>
    <x v="1"/>
    <s v="Excellent"/>
    <s v="₹ 10000 - ₹ 19,999"/>
    <s v="Recommend training"/>
  </r>
  <r>
    <x v="939"/>
    <x v="21"/>
    <x v="1"/>
    <x v="1"/>
    <n v="1812"/>
    <s v="Male"/>
    <x v="5"/>
    <n v="4"/>
    <n v="4127"/>
    <x v="0"/>
    <n v="3"/>
    <n v="6"/>
    <n v="2"/>
    <x v="1"/>
    <s v="Good"/>
    <s v="₹ 10000 - ₹ 19,999"/>
    <s v="Recommend training"/>
  </r>
  <r>
    <x v="940"/>
    <x v="21"/>
    <x v="1"/>
    <x v="0"/>
    <n v="1871"/>
    <s v="Male"/>
    <x v="2"/>
    <n v="4"/>
    <n v="3902"/>
    <x v="0"/>
    <n v="3"/>
    <n v="2"/>
    <n v="2"/>
    <x v="1"/>
    <s v="Good"/>
    <s v="₹ 10000 - ₹ 19,999"/>
    <s v="Recommend training"/>
  </r>
  <r>
    <x v="941"/>
    <x v="21"/>
    <x v="1"/>
    <x v="1"/>
    <n v="1929"/>
    <s v="Female"/>
    <x v="5"/>
    <n v="3"/>
    <n v="5736"/>
    <x v="0"/>
    <n v="3"/>
    <n v="1"/>
    <n v="3"/>
    <x v="1"/>
    <s v="Good"/>
    <s v="₹ 10000 - ₹ 19,999"/>
    <s v="Recommend training"/>
  </r>
  <r>
    <x v="942"/>
    <x v="21"/>
    <x v="1"/>
    <x v="0"/>
    <n v="1936"/>
    <s v="Male"/>
    <x v="4"/>
    <n v="1"/>
    <n v="5151"/>
    <x v="0"/>
    <n v="4"/>
    <n v="3"/>
    <n v="10"/>
    <x v="1"/>
    <s v="Excellent"/>
    <s v="₹ 10000 - ₹ 19,999"/>
    <s v="Not recommend training"/>
  </r>
  <r>
    <x v="943"/>
    <x v="21"/>
    <x v="1"/>
    <x v="1"/>
    <n v="1975"/>
    <s v="Male"/>
    <x v="5"/>
    <n v="1"/>
    <n v="13341"/>
    <x v="0"/>
    <n v="3"/>
    <n v="3"/>
    <n v="20"/>
    <x v="1"/>
    <s v="Good"/>
    <s v="₹ 10000 - ₹ 19,999"/>
    <s v="Recommend training"/>
  </r>
  <r>
    <x v="944"/>
    <x v="21"/>
    <x v="1"/>
    <x v="0"/>
    <n v="2014"/>
    <s v="Male"/>
    <x v="2"/>
    <n v="4"/>
    <n v="4108"/>
    <x v="0"/>
    <n v="3"/>
    <n v="2"/>
    <n v="7"/>
    <x v="1"/>
    <s v="Good"/>
    <s v="₹ 10000 - ₹ 19,999"/>
    <s v="Recommend training"/>
  </r>
  <r>
    <x v="945"/>
    <x v="21"/>
    <x v="1"/>
    <x v="0"/>
    <n v="2022"/>
    <s v="Male"/>
    <x v="8"/>
    <n v="4"/>
    <n v="19431"/>
    <x v="0"/>
    <n v="3"/>
    <n v="3"/>
    <n v="6"/>
    <x v="1"/>
    <s v="Good"/>
    <s v="₹ 10000 - ₹ 19,999"/>
    <s v="Recommend training"/>
  </r>
  <r>
    <x v="946"/>
    <x v="21"/>
    <x v="1"/>
    <x v="1"/>
    <n v="2056"/>
    <s v="Female"/>
    <x v="5"/>
    <n v="4"/>
    <n v="12031"/>
    <x v="0"/>
    <n v="3"/>
    <n v="2"/>
    <n v="20"/>
    <x v="1"/>
    <s v="Good"/>
    <s v="₹ 10000 - ₹ 19,999"/>
    <s v="Recommend training"/>
  </r>
  <r>
    <x v="947"/>
    <x v="21"/>
    <x v="1"/>
    <x v="0"/>
    <n v="2062"/>
    <s v="Male"/>
    <x v="6"/>
    <n v="1"/>
    <n v="9991"/>
    <x v="0"/>
    <n v="3"/>
    <n v="5"/>
    <n v="7"/>
    <x v="1"/>
    <s v="Good"/>
    <s v="₹ 7,000 - ₹ 10,000"/>
    <s v="Recommend training"/>
  </r>
  <r>
    <x v="948"/>
    <x v="22"/>
    <x v="1"/>
    <x v="0"/>
    <n v="119"/>
    <s v="Male"/>
    <x v="6"/>
    <n v="2"/>
    <n v="13503"/>
    <x v="0"/>
    <n v="4"/>
    <n v="3"/>
    <n v="22"/>
    <x v="1"/>
    <s v="Excellent"/>
    <s v="₹ 10000 - ₹ 19,999"/>
    <s v="Not recommend training"/>
  </r>
  <r>
    <x v="949"/>
    <x v="22"/>
    <x v="1"/>
    <x v="0"/>
    <n v="202"/>
    <s v="Female"/>
    <x v="2"/>
    <n v="2"/>
    <n v="5605"/>
    <x v="0"/>
    <n v="3"/>
    <n v="2"/>
    <n v="20"/>
    <x v="1"/>
    <s v="Good"/>
    <s v="₹ 10000 - ₹ 19,999"/>
    <s v="Recommend training"/>
  </r>
  <r>
    <x v="950"/>
    <x v="22"/>
    <x v="1"/>
    <x v="1"/>
    <n v="215"/>
    <s v="Male"/>
    <x v="5"/>
    <n v="4"/>
    <n v="10855"/>
    <x v="0"/>
    <n v="3"/>
    <n v="2"/>
    <n v="12"/>
    <x v="1"/>
    <s v="Good"/>
    <s v="₹ 10000 - ₹ 19,999"/>
    <s v="Recommend training"/>
  </r>
  <r>
    <x v="951"/>
    <x v="22"/>
    <x v="1"/>
    <x v="0"/>
    <n v="253"/>
    <s v="Female"/>
    <x v="8"/>
    <n v="3"/>
    <n v="19033"/>
    <x v="0"/>
    <n v="3"/>
    <n v="2"/>
    <n v="20"/>
    <x v="1"/>
    <s v="Good"/>
    <s v="₹ 10000 - ₹ 19,999"/>
    <s v="Recommend training"/>
  </r>
  <r>
    <x v="952"/>
    <x v="22"/>
    <x v="1"/>
    <x v="0"/>
    <n v="281"/>
    <s v="Male"/>
    <x v="0"/>
    <n v="4"/>
    <n v="2741"/>
    <x v="1"/>
    <n v="3"/>
    <n v="2"/>
    <n v="7"/>
    <x v="0"/>
    <s v="Good"/>
    <s v="₹ 3,000- ₹ 7,000"/>
    <s v="Recommend training"/>
  </r>
  <r>
    <x v="953"/>
    <x v="22"/>
    <x v="1"/>
    <x v="0"/>
    <n v="287"/>
    <s v="Male"/>
    <x v="6"/>
    <n v="4"/>
    <n v="4876"/>
    <x v="0"/>
    <n v="3"/>
    <n v="5"/>
    <n v="3"/>
    <x v="1"/>
    <s v="Good"/>
    <s v="₹ 10000 - ₹ 19,999"/>
    <s v="Recommend training"/>
  </r>
  <r>
    <x v="954"/>
    <x v="22"/>
    <x v="1"/>
    <x v="0"/>
    <n v="335"/>
    <s v="Male"/>
    <x v="2"/>
    <n v="4"/>
    <n v="3319"/>
    <x v="0"/>
    <n v="3"/>
    <n v="3"/>
    <n v="9"/>
    <x v="1"/>
    <s v="Good"/>
    <s v="₹ 10000 - ₹ 19,999"/>
    <s v="Recommend training"/>
  </r>
  <r>
    <x v="955"/>
    <x v="22"/>
    <x v="1"/>
    <x v="0"/>
    <n v="352"/>
    <s v="Male"/>
    <x v="7"/>
    <n v="3"/>
    <n v="19436"/>
    <x v="0"/>
    <n v="3"/>
    <n v="5"/>
    <n v="21"/>
    <x v="1"/>
    <s v="Good"/>
    <s v="₹ 10000 - ₹ 19,999"/>
    <s v="Recommend training"/>
  </r>
  <r>
    <x v="956"/>
    <x v="22"/>
    <x v="1"/>
    <x v="1"/>
    <n v="453"/>
    <s v="Male"/>
    <x v="5"/>
    <n v="4"/>
    <n v="7457"/>
    <x v="1"/>
    <n v="4"/>
    <n v="2"/>
    <n v="4"/>
    <x v="0"/>
    <s v="Excellent"/>
    <s v="₹ 7,000 - ₹ 10,000"/>
    <s v="Recommend training"/>
  </r>
  <r>
    <x v="957"/>
    <x v="22"/>
    <x v="1"/>
    <x v="0"/>
    <n v="483"/>
    <s v="Female"/>
    <x v="0"/>
    <n v="3"/>
    <n v="2213"/>
    <x v="1"/>
    <n v="3"/>
    <n v="3"/>
    <n v="7"/>
    <x v="0"/>
    <s v="Good"/>
    <s v="₹ 3,000- ₹ 7,000"/>
    <s v="Recommend training"/>
  </r>
  <r>
    <x v="958"/>
    <x v="22"/>
    <x v="0"/>
    <x v="1"/>
    <n v="492"/>
    <s v="Male"/>
    <x v="5"/>
    <n v="3"/>
    <n v="6380"/>
    <x v="1"/>
    <n v="3"/>
    <n v="6"/>
    <n v="6"/>
    <x v="2"/>
    <s v="Good"/>
    <s v="₹ 10000 - ₹ 19,999"/>
    <s v="Recommend training"/>
  </r>
  <r>
    <x v="959"/>
    <x v="22"/>
    <x v="1"/>
    <x v="1"/>
    <n v="516"/>
    <s v="Female"/>
    <x v="5"/>
    <n v="2"/>
    <n v="5715"/>
    <x v="0"/>
    <n v="3"/>
    <n v="5"/>
    <n v="5"/>
    <x v="1"/>
    <s v="Good"/>
    <s v="₹ 10000 - ₹ 19,999"/>
    <s v="Recommend training"/>
  </r>
  <r>
    <x v="960"/>
    <x v="22"/>
    <x v="1"/>
    <x v="0"/>
    <n v="521"/>
    <s v="Female"/>
    <x v="0"/>
    <n v="3"/>
    <n v="3448"/>
    <x v="0"/>
    <n v="4"/>
    <n v="3"/>
    <n v="1"/>
    <x v="1"/>
    <s v="Excellent"/>
    <s v="₹ 10000 - ₹ 19,999"/>
    <s v="Recommend training"/>
  </r>
  <r>
    <x v="961"/>
    <x v="22"/>
    <x v="1"/>
    <x v="1"/>
    <n v="558"/>
    <s v="Female"/>
    <x v="8"/>
    <n v="3"/>
    <n v="18041"/>
    <x v="0"/>
    <n v="3"/>
    <n v="2"/>
    <n v="20"/>
    <x v="1"/>
    <s v="Good"/>
    <s v="₹ 10000 - ₹ 19,999"/>
    <s v="Recommend training"/>
  </r>
  <r>
    <x v="962"/>
    <x v="22"/>
    <x v="1"/>
    <x v="0"/>
    <n v="601"/>
    <s v="Female"/>
    <x v="4"/>
    <n v="3"/>
    <n v="13237"/>
    <x v="0"/>
    <n v="3"/>
    <n v="3"/>
    <n v="20"/>
    <x v="1"/>
    <s v="Good"/>
    <s v="₹ 10000 - ₹ 19,999"/>
    <s v="Recommend training"/>
  </r>
  <r>
    <x v="963"/>
    <x v="22"/>
    <x v="1"/>
    <x v="1"/>
    <n v="615"/>
    <s v="Male"/>
    <x v="5"/>
    <n v="1"/>
    <n v="10932"/>
    <x v="0"/>
    <n v="3"/>
    <n v="2"/>
    <n v="1"/>
    <x v="1"/>
    <s v="Good"/>
    <s v="₹ 10000 - ₹ 19,999"/>
    <s v="Recommend training"/>
  </r>
  <r>
    <x v="964"/>
    <x v="22"/>
    <x v="1"/>
    <x v="1"/>
    <n v="729"/>
    <s v="Male"/>
    <x v="5"/>
    <n v="1"/>
    <n v="10475"/>
    <x v="1"/>
    <n v="4"/>
    <n v="2"/>
    <n v="18"/>
    <x v="0"/>
    <s v="Excellent"/>
    <s v="₹ 10000 - ₹ 19,999"/>
    <s v="Recommend training"/>
  </r>
  <r>
    <x v="965"/>
    <x v="22"/>
    <x v="1"/>
    <x v="0"/>
    <n v="763"/>
    <s v="Female"/>
    <x v="2"/>
    <n v="4"/>
    <n v="2342"/>
    <x v="1"/>
    <n v="4"/>
    <n v="2"/>
    <n v="4"/>
    <x v="0"/>
    <s v="Excellent"/>
    <s v="₹ 3,000- ₹ 7,000"/>
    <s v="Recommend training"/>
  </r>
  <r>
    <x v="966"/>
    <x v="22"/>
    <x v="1"/>
    <x v="0"/>
    <n v="807"/>
    <s v="Female"/>
    <x v="6"/>
    <n v="2"/>
    <n v="4244"/>
    <x v="0"/>
    <n v="4"/>
    <n v="2"/>
    <n v="8"/>
    <x v="1"/>
    <s v="Excellent"/>
    <s v="₹ 10000 - ₹ 19,999"/>
    <s v="Recommend training"/>
  </r>
  <r>
    <x v="967"/>
    <x v="22"/>
    <x v="1"/>
    <x v="0"/>
    <n v="832"/>
    <s v="Male"/>
    <x v="0"/>
    <n v="3"/>
    <n v="5094"/>
    <x v="0"/>
    <n v="3"/>
    <n v="6"/>
    <n v="1"/>
    <x v="1"/>
    <s v="Good"/>
    <s v="₹ 10000 - ₹ 19,999"/>
    <s v="Recommend training"/>
  </r>
  <r>
    <x v="968"/>
    <x v="22"/>
    <x v="1"/>
    <x v="1"/>
    <n v="954"/>
    <s v="Male"/>
    <x v="5"/>
    <n v="2"/>
    <n v="9705"/>
    <x v="0"/>
    <n v="3"/>
    <n v="2"/>
    <n v="1"/>
    <x v="1"/>
    <s v="Good"/>
    <s v="₹ 7,000 - ₹ 10,000"/>
    <s v="Recommend training"/>
  </r>
  <r>
    <x v="969"/>
    <x v="22"/>
    <x v="1"/>
    <x v="0"/>
    <n v="964"/>
    <s v="Male"/>
    <x v="2"/>
    <n v="2"/>
    <n v="3617"/>
    <x v="1"/>
    <n v="3"/>
    <n v="2"/>
    <n v="1"/>
    <x v="0"/>
    <s v="Good"/>
    <s v="₹ 10000 - ₹ 19,999"/>
    <s v="Recommend training"/>
  </r>
  <r>
    <x v="970"/>
    <x v="22"/>
    <x v="0"/>
    <x v="1"/>
    <n v="986"/>
    <s v="Female"/>
    <x v="5"/>
    <n v="2"/>
    <n v="13194"/>
    <x v="1"/>
    <n v="3"/>
    <n v="2"/>
    <n v="1"/>
    <x v="2"/>
    <s v="Good"/>
    <s v="₹ 10000 - ₹ 19,999"/>
    <s v="Recommend training"/>
  </r>
  <r>
    <x v="971"/>
    <x v="22"/>
    <x v="1"/>
    <x v="1"/>
    <n v="1066"/>
    <s v="Male"/>
    <x v="5"/>
    <n v="1"/>
    <n v="8396"/>
    <x v="0"/>
    <n v="3"/>
    <n v="3"/>
    <n v="7"/>
    <x v="1"/>
    <s v="Good"/>
    <s v="₹ 7,000 - ₹ 10,000"/>
    <s v="Recommend training"/>
  </r>
  <r>
    <x v="972"/>
    <x v="22"/>
    <x v="1"/>
    <x v="0"/>
    <n v="1092"/>
    <s v="Male"/>
    <x v="6"/>
    <n v="4"/>
    <n v="10322"/>
    <x v="0"/>
    <n v="4"/>
    <n v="6"/>
    <n v="11"/>
    <x v="1"/>
    <s v="Excellent"/>
    <s v="₹ 10000 - ₹ 19,999"/>
    <s v="Not recommend training"/>
  </r>
  <r>
    <x v="973"/>
    <x v="22"/>
    <x v="1"/>
    <x v="0"/>
    <n v="1128"/>
    <s v="Male"/>
    <x v="7"/>
    <n v="3"/>
    <n v="19626"/>
    <x v="0"/>
    <n v="3"/>
    <n v="2"/>
    <n v="20"/>
    <x v="1"/>
    <s v="Good"/>
    <s v="₹ 10000 - ₹ 19,999"/>
    <s v="Recommend training"/>
  </r>
  <r>
    <x v="974"/>
    <x v="22"/>
    <x v="1"/>
    <x v="0"/>
    <n v="1166"/>
    <s v="Female"/>
    <x v="7"/>
    <n v="3"/>
    <n v="13499"/>
    <x v="0"/>
    <n v="3"/>
    <n v="3"/>
    <n v="18"/>
    <x v="1"/>
    <s v="Good"/>
    <s v="₹ 10000 - ₹ 19,999"/>
    <s v="Recommend training"/>
  </r>
  <r>
    <x v="975"/>
    <x v="22"/>
    <x v="1"/>
    <x v="0"/>
    <n v="1180"/>
    <s v="Female"/>
    <x v="2"/>
    <n v="4"/>
    <n v="4422"/>
    <x v="1"/>
    <n v="3"/>
    <n v="3"/>
    <n v="1"/>
    <x v="0"/>
    <s v="Good"/>
    <s v="₹ 10000 - ₹ 19,999"/>
    <s v="Recommend training"/>
  </r>
  <r>
    <x v="976"/>
    <x v="22"/>
    <x v="1"/>
    <x v="1"/>
    <n v="1212"/>
    <s v="Male"/>
    <x v="5"/>
    <n v="2"/>
    <n v="4327"/>
    <x v="0"/>
    <n v="3"/>
    <n v="2"/>
    <n v="0"/>
    <x v="1"/>
    <s v="Good"/>
    <s v="₹ 10000 - ₹ 19,999"/>
    <s v="Recommend training"/>
  </r>
  <r>
    <x v="977"/>
    <x v="22"/>
    <x v="1"/>
    <x v="1"/>
    <n v="1239"/>
    <s v="Female"/>
    <x v="5"/>
    <n v="2"/>
    <n v="6852"/>
    <x v="0"/>
    <n v="3"/>
    <n v="2"/>
    <n v="5"/>
    <x v="1"/>
    <s v="Good"/>
    <s v="₹ 10000 - ₹ 19,999"/>
    <s v="Recommend training"/>
  </r>
  <r>
    <x v="978"/>
    <x v="22"/>
    <x v="0"/>
    <x v="1"/>
    <n v="1318"/>
    <s v="Male"/>
    <x v="5"/>
    <n v="2"/>
    <n v="9094"/>
    <x v="1"/>
    <n v="3"/>
    <n v="2"/>
    <n v="5"/>
    <x v="2"/>
    <s v="Good"/>
    <s v="₹ 7,000 - ₹ 10,000"/>
    <s v="Recommend training"/>
  </r>
  <r>
    <x v="979"/>
    <x v="22"/>
    <x v="1"/>
    <x v="0"/>
    <n v="1340"/>
    <s v="Male"/>
    <x v="2"/>
    <n v="3"/>
    <n v="3544"/>
    <x v="0"/>
    <n v="3"/>
    <n v="0"/>
    <n v="4"/>
    <x v="1"/>
    <s v="Good"/>
    <s v="₹ 10000 - ₹ 19,999"/>
    <s v="Recommend training"/>
  </r>
  <r>
    <x v="980"/>
    <x v="22"/>
    <x v="1"/>
    <x v="0"/>
    <n v="1346"/>
    <s v="Male"/>
    <x v="2"/>
    <n v="4"/>
    <n v="4661"/>
    <x v="0"/>
    <n v="3"/>
    <n v="4"/>
    <n v="9"/>
    <x v="1"/>
    <s v="Good"/>
    <s v="₹ 10000 - ₹ 19,999"/>
    <s v="Recommend training"/>
  </r>
  <r>
    <x v="981"/>
    <x v="22"/>
    <x v="1"/>
    <x v="0"/>
    <n v="1361"/>
    <s v="Male"/>
    <x v="0"/>
    <n v="2"/>
    <n v="2387"/>
    <x v="0"/>
    <n v="4"/>
    <n v="3"/>
    <n v="4"/>
    <x v="1"/>
    <s v="Excellent"/>
    <s v="₹ 3,000- ₹ 7,000"/>
    <s v="Recommend training"/>
  </r>
  <r>
    <x v="982"/>
    <x v="22"/>
    <x v="1"/>
    <x v="0"/>
    <n v="1375"/>
    <s v="Female"/>
    <x v="6"/>
    <n v="3"/>
    <n v="6377"/>
    <x v="0"/>
    <n v="4"/>
    <n v="0"/>
    <n v="12"/>
    <x v="1"/>
    <s v="Excellent"/>
    <s v="₹ 10000 - ₹ 19,999"/>
    <s v="Recommend training"/>
  </r>
  <r>
    <x v="983"/>
    <x v="22"/>
    <x v="1"/>
    <x v="0"/>
    <n v="1449"/>
    <s v="Male"/>
    <x v="0"/>
    <n v="3"/>
    <n v="3975"/>
    <x v="0"/>
    <n v="3"/>
    <n v="2"/>
    <n v="8"/>
    <x v="1"/>
    <s v="Good"/>
    <s v="₹ 10000 - ₹ 19,999"/>
    <s v="Recommend training"/>
  </r>
  <r>
    <x v="984"/>
    <x v="22"/>
    <x v="1"/>
    <x v="0"/>
    <n v="1468"/>
    <s v="Male"/>
    <x v="7"/>
    <n v="2"/>
    <n v="13757"/>
    <x v="0"/>
    <n v="3"/>
    <n v="5"/>
    <n v="9"/>
    <x v="1"/>
    <s v="Good"/>
    <s v="₹ 10000 - ₹ 19,999"/>
    <s v="Recommend training"/>
  </r>
  <r>
    <x v="985"/>
    <x v="22"/>
    <x v="1"/>
    <x v="0"/>
    <n v="1474"/>
    <s v="Male"/>
    <x v="2"/>
    <n v="3"/>
    <n v="2345"/>
    <x v="0"/>
    <n v="3"/>
    <n v="3"/>
    <n v="3"/>
    <x v="1"/>
    <s v="Good"/>
    <s v="₹ 3,000- ₹ 7,000"/>
    <s v="Recommend training"/>
  </r>
  <r>
    <x v="986"/>
    <x v="22"/>
    <x v="0"/>
    <x v="0"/>
    <n v="1534"/>
    <s v="Male"/>
    <x v="0"/>
    <n v="1"/>
    <n v="2018"/>
    <x v="0"/>
    <n v="3"/>
    <n v="3"/>
    <n v="5"/>
    <x v="0"/>
    <s v="Good"/>
    <s v="₹ 3,000- ₹ 7,000"/>
    <s v="Recommend training"/>
  </r>
  <r>
    <x v="987"/>
    <x v="22"/>
    <x v="1"/>
    <x v="1"/>
    <n v="1548"/>
    <s v="Male"/>
    <x v="5"/>
    <n v="1"/>
    <n v="5473"/>
    <x v="0"/>
    <n v="3"/>
    <n v="5"/>
    <n v="8"/>
    <x v="1"/>
    <s v="Good"/>
    <s v="₹ 10000 - ₹ 19,999"/>
    <s v="Recommend training"/>
  </r>
  <r>
    <x v="988"/>
    <x v="22"/>
    <x v="1"/>
    <x v="2"/>
    <n v="1550"/>
    <s v="Male"/>
    <x v="8"/>
    <n v="4"/>
    <n v="16437"/>
    <x v="1"/>
    <n v="4"/>
    <n v="2"/>
    <n v="21"/>
    <x v="0"/>
    <s v="Excellent"/>
    <s v="₹ 10000 - ₹ 19,999"/>
    <s v="Recommend training"/>
  </r>
  <r>
    <x v="989"/>
    <x v="22"/>
    <x v="1"/>
    <x v="0"/>
    <n v="1552"/>
    <s v="Male"/>
    <x v="6"/>
    <n v="4"/>
    <n v="4069"/>
    <x v="1"/>
    <n v="3"/>
    <n v="2"/>
    <n v="2"/>
    <x v="0"/>
    <s v="Good"/>
    <s v="₹ 10000 - ₹ 19,999"/>
    <s v="Recommend training"/>
  </r>
  <r>
    <x v="990"/>
    <x v="22"/>
    <x v="1"/>
    <x v="1"/>
    <n v="1598"/>
    <s v="Female"/>
    <x v="5"/>
    <n v="1"/>
    <n v="4639"/>
    <x v="0"/>
    <n v="3"/>
    <n v="2"/>
    <n v="5"/>
    <x v="1"/>
    <s v="Good"/>
    <s v="₹ 10000 - ₹ 19,999"/>
    <s v="Recommend training"/>
  </r>
  <r>
    <x v="991"/>
    <x v="22"/>
    <x v="1"/>
    <x v="0"/>
    <n v="1628"/>
    <s v="Female"/>
    <x v="4"/>
    <n v="3"/>
    <n v="10435"/>
    <x v="0"/>
    <n v="3"/>
    <n v="2"/>
    <n v="18"/>
    <x v="1"/>
    <s v="Good"/>
    <s v="₹ 10000 - ₹ 19,999"/>
    <s v="Recommend training"/>
  </r>
  <r>
    <x v="992"/>
    <x v="22"/>
    <x v="1"/>
    <x v="0"/>
    <n v="1641"/>
    <s v="Female"/>
    <x v="4"/>
    <n v="4"/>
    <n v="7945"/>
    <x v="1"/>
    <n v="3"/>
    <n v="2"/>
    <n v="4"/>
    <x v="0"/>
    <s v="Good"/>
    <s v="₹ 7,000 - ₹ 10,000"/>
    <s v="Recommend training"/>
  </r>
  <r>
    <x v="993"/>
    <x v="22"/>
    <x v="0"/>
    <x v="0"/>
    <n v="1649"/>
    <s v="Male"/>
    <x v="0"/>
    <n v="1"/>
    <n v="2166"/>
    <x v="1"/>
    <n v="3"/>
    <n v="3"/>
    <n v="4"/>
    <x v="2"/>
    <s v="Good"/>
    <s v="₹ 3,000- ₹ 7,000"/>
    <s v="Recommend training"/>
  </r>
  <r>
    <x v="994"/>
    <x v="22"/>
    <x v="1"/>
    <x v="0"/>
    <n v="1724"/>
    <s v="Female"/>
    <x v="4"/>
    <n v="1"/>
    <n v="6516"/>
    <x v="1"/>
    <n v="3"/>
    <n v="3"/>
    <n v="1"/>
    <x v="0"/>
    <s v="Good"/>
    <s v="₹ 10000 - ₹ 19,999"/>
    <s v="Recommend training"/>
  </r>
  <r>
    <x v="995"/>
    <x v="22"/>
    <x v="1"/>
    <x v="1"/>
    <n v="1740"/>
    <s v="Male"/>
    <x v="8"/>
    <n v="2"/>
    <n v="19833"/>
    <x v="0"/>
    <n v="3"/>
    <n v="3"/>
    <n v="21"/>
    <x v="1"/>
    <s v="Good"/>
    <s v="₹ 10000 - ₹ 19,999"/>
    <s v="Recommend training"/>
  </r>
  <r>
    <x v="996"/>
    <x v="22"/>
    <x v="1"/>
    <x v="0"/>
    <n v="1802"/>
    <s v="Female"/>
    <x v="0"/>
    <n v="1"/>
    <n v="3377"/>
    <x v="0"/>
    <n v="3"/>
    <n v="5"/>
    <n v="4"/>
    <x v="1"/>
    <s v="Good"/>
    <s v="₹ 10000 - ₹ 19,999"/>
    <s v="Recommend training"/>
  </r>
  <r>
    <x v="997"/>
    <x v="22"/>
    <x v="1"/>
    <x v="0"/>
    <n v="1822"/>
    <s v="Female"/>
    <x v="6"/>
    <n v="4"/>
    <n v="6513"/>
    <x v="0"/>
    <n v="3"/>
    <n v="3"/>
    <n v="5"/>
    <x v="1"/>
    <s v="Good"/>
    <s v="₹ 10000 - ₹ 19,999"/>
    <s v="Recommend training"/>
  </r>
  <r>
    <x v="998"/>
    <x v="22"/>
    <x v="1"/>
    <x v="0"/>
    <n v="1829"/>
    <s v="Female"/>
    <x v="6"/>
    <n v="1"/>
    <n v="4448"/>
    <x v="0"/>
    <n v="3"/>
    <n v="3"/>
    <n v="7"/>
    <x v="1"/>
    <s v="Good"/>
    <s v="₹ 10000 - ₹ 19,999"/>
    <s v="Recommend training"/>
  </r>
  <r>
    <x v="999"/>
    <x v="22"/>
    <x v="1"/>
    <x v="0"/>
    <n v="1892"/>
    <s v="Male"/>
    <x v="8"/>
    <n v="1"/>
    <n v="16823"/>
    <x v="0"/>
    <n v="3"/>
    <n v="3"/>
    <n v="19"/>
    <x v="1"/>
    <s v="Good"/>
    <s v="₹ 10000 - ₹ 19,999"/>
    <s v="Recommend training"/>
  </r>
  <r>
    <x v="1000"/>
    <x v="22"/>
    <x v="1"/>
    <x v="0"/>
    <n v="1985"/>
    <s v="Female"/>
    <x v="0"/>
    <n v="3"/>
    <n v="6323"/>
    <x v="0"/>
    <n v="3"/>
    <n v="2"/>
    <n v="10"/>
    <x v="1"/>
    <s v="Good"/>
    <s v="₹ 10000 - ₹ 19,999"/>
    <s v="Recommend training"/>
  </r>
  <r>
    <x v="1001"/>
    <x v="22"/>
    <x v="1"/>
    <x v="1"/>
    <n v="1986"/>
    <s v="Female"/>
    <x v="5"/>
    <n v="2"/>
    <n v="5677"/>
    <x v="0"/>
    <n v="3"/>
    <n v="4"/>
    <n v="11"/>
    <x v="1"/>
    <s v="Good"/>
    <s v="₹ 10000 - ₹ 19,999"/>
    <s v="Recommend training"/>
  </r>
  <r>
    <x v="1002"/>
    <x v="22"/>
    <x v="1"/>
    <x v="0"/>
    <n v="2012"/>
    <s v="Male"/>
    <x v="0"/>
    <n v="4"/>
    <n v="2406"/>
    <x v="0"/>
    <n v="3"/>
    <n v="3"/>
    <n v="1"/>
    <x v="1"/>
    <s v="Good"/>
    <s v="₹ 3,000- ₹ 7,000"/>
    <s v="Recommend training"/>
  </r>
  <r>
    <x v="1003"/>
    <x v="22"/>
    <x v="1"/>
    <x v="0"/>
    <n v="2048"/>
    <s v="Male"/>
    <x v="2"/>
    <n v="3"/>
    <n v="2809"/>
    <x v="0"/>
    <n v="3"/>
    <n v="2"/>
    <n v="2"/>
    <x v="1"/>
    <s v="Good"/>
    <s v="₹ 3,000- ₹ 7,000"/>
    <s v="Recommend training"/>
  </r>
  <r>
    <x v="1004"/>
    <x v="22"/>
    <x v="1"/>
    <x v="0"/>
    <n v="2051"/>
    <s v="Female"/>
    <x v="2"/>
    <n v="3"/>
    <n v="2001"/>
    <x v="0"/>
    <n v="3"/>
    <n v="2"/>
    <n v="5"/>
    <x v="1"/>
    <s v="Good"/>
    <s v="₹ 3,000- ₹ 7,000"/>
    <s v="Recommend training"/>
  </r>
  <r>
    <x v="1005"/>
    <x v="23"/>
    <x v="0"/>
    <x v="1"/>
    <n v="1"/>
    <s v="Female"/>
    <x v="5"/>
    <n v="4"/>
    <n v="5993"/>
    <x v="1"/>
    <n v="3"/>
    <n v="0"/>
    <n v="6"/>
    <x v="2"/>
    <s v="Good"/>
    <s v="₹ 10000 - ₹ 19,999"/>
    <s v="Recommend training"/>
  </r>
  <r>
    <x v="1006"/>
    <x v="23"/>
    <x v="0"/>
    <x v="0"/>
    <n v="58"/>
    <s v="Female"/>
    <x v="7"/>
    <n v="3"/>
    <n v="19545"/>
    <x v="0"/>
    <n v="3"/>
    <n v="0"/>
    <n v="22"/>
    <x v="0"/>
    <s v="Good"/>
    <s v="₹ 10000 - ₹ 19,999"/>
    <s v="Recommend training"/>
  </r>
  <r>
    <x v="1007"/>
    <x v="23"/>
    <x v="1"/>
    <x v="1"/>
    <n v="176"/>
    <s v="Male"/>
    <x v="5"/>
    <n v="3"/>
    <n v="8189"/>
    <x v="1"/>
    <n v="3"/>
    <n v="2"/>
    <n v="9"/>
    <x v="0"/>
    <s v="Good"/>
    <s v="₹ 7,000 - ₹ 10,000"/>
    <s v="Recommend training"/>
  </r>
  <r>
    <x v="1008"/>
    <x v="23"/>
    <x v="1"/>
    <x v="0"/>
    <n v="199"/>
    <s v="Male"/>
    <x v="8"/>
    <n v="1"/>
    <n v="17181"/>
    <x v="0"/>
    <n v="3"/>
    <n v="2"/>
    <n v="7"/>
    <x v="1"/>
    <s v="Good"/>
    <s v="₹ 10000 - ₹ 19,999"/>
    <s v="Recommend training"/>
  </r>
  <r>
    <x v="1009"/>
    <x v="23"/>
    <x v="1"/>
    <x v="0"/>
    <n v="200"/>
    <s v="Male"/>
    <x v="0"/>
    <n v="1"/>
    <n v="2238"/>
    <x v="0"/>
    <n v="4"/>
    <n v="2"/>
    <n v="5"/>
    <x v="1"/>
    <s v="Excellent"/>
    <s v="₹ 3,000- ₹ 7,000"/>
    <s v="Recommend training"/>
  </r>
  <r>
    <x v="1010"/>
    <x v="23"/>
    <x v="1"/>
    <x v="0"/>
    <n v="227"/>
    <s v="Male"/>
    <x v="2"/>
    <n v="3"/>
    <n v="2451"/>
    <x v="0"/>
    <n v="3"/>
    <n v="2"/>
    <n v="9"/>
    <x v="1"/>
    <s v="Good"/>
    <s v="₹ 3,000- ₹ 7,000"/>
    <s v="Recommend training"/>
  </r>
  <r>
    <x v="1011"/>
    <x v="23"/>
    <x v="0"/>
    <x v="1"/>
    <n v="248"/>
    <s v="Female"/>
    <x v="1"/>
    <n v="2"/>
    <n v="3140"/>
    <x v="1"/>
    <n v="4"/>
    <n v="5"/>
    <n v="4"/>
    <x v="2"/>
    <s v="Excellent"/>
    <s v="₹ 10000 - ₹ 19,999"/>
    <s v="Recommend training"/>
  </r>
  <r>
    <x v="1012"/>
    <x v="23"/>
    <x v="1"/>
    <x v="1"/>
    <n v="298"/>
    <s v="Female"/>
    <x v="8"/>
    <n v="4"/>
    <n v="13591"/>
    <x v="1"/>
    <n v="3"/>
    <n v="3"/>
    <n v="1"/>
    <x v="0"/>
    <s v="Good"/>
    <s v="₹ 10000 - ₹ 19,999"/>
    <s v="Recommend training"/>
  </r>
  <r>
    <x v="1013"/>
    <x v="23"/>
    <x v="1"/>
    <x v="0"/>
    <n v="334"/>
    <s v="Male"/>
    <x v="2"/>
    <n v="1"/>
    <n v="3072"/>
    <x v="0"/>
    <n v="3"/>
    <n v="2"/>
    <n v="1"/>
    <x v="1"/>
    <s v="Good"/>
    <s v="₹ 10000 - ₹ 19,999"/>
    <s v="Recommend training"/>
  </r>
  <r>
    <x v="1014"/>
    <x v="23"/>
    <x v="1"/>
    <x v="1"/>
    <n v="410"/>
    <s v="Male"/>
    <x v="8"/>
    <n v="2"/>
    <n v="16015"/>
    <x v="0"/>
    <n v="3"/>
    <n v="2"/>
    <n v="22"/>
    <x v="1"/>
    <s v="Good"/>
    <s v="₹ 10000 - ₹ 19,999"/>
    <s v="Recommend training"/>
  </r>
  <r>
    <x v="1015"/>
    <x v="23"/>
    <x v="1"/>
    <x v="0"/>
    <n v="466"/>
    <s v="Male"/>
    <x v="4"/>
    <n v="2"/>
    <n v="6032"/>
    <x v="1"/>
    <n v="3"/>
    <n v="3"/>
    <n v="5"/>
    <x v="0"/>
    <s v="Good"/>
    <s v="₹ 10000 - ₹ 19,999"/>
    <s v="Recommend training"/>
  </r>
  <r>
    <x v="1016"/>
    <x v="23"/>
    <x v="0"/>
    <x v="1"/>
    <n v="488"/>
    <s v="Male"/>
    <x v="5"/>
    <n v="2"/>
    <n v="9355"/>
    <x v="0"/>
    <n v="3"/>
    <n v="5"/>
    <n v="8"/>
    <x v="0"/>
    <s v="Good"/>
    <s v="₹ 7,000 - ₹ 10,000"/>
    <s v="Recommend training"/>
  </r>
  <r>
    <x v="1017"/>
    <x v="23"/>
    <x v="1"/>
    <x v="1"/>
    <n v="534"/>
    <s v="Male"/>
    <x v="5"/>
    <n v="1"/>
    <n v="8392"/>
    <x v="0"/>
    <n v="3"/>
    <n v="2"/>
    <n v="10"/>
    <x v="1"/>
    <s v="Good"/>
    <s v="₹ 7,000 - ₹ 10,000"/>
    <s v="Recommend training"/>
  </r>
  <r>
    <x v="1018"/>
    <x v="23"/>
    <x v="1"/>
    <x v="1"/>
    <n v="599"/>
    <s v="Male"/>
    <x v="5"/>
    <n v="4"/>
    <n v="6230"/>
    <x v="0"/>
    <n v="3"/>
    <n v="3"/>
    <n v="14"/>
    <x v="1"/>
    <s v="Good"/>
    <s v="₹ 10000 - ₹ 19,999"/>
    <s v="Recommend training"/>
  </r>
  <r>
    <x v="1019"/>
    <x v="23"/>
    <x v="1"/>
    <x v="0"/>
    <n v="616"/>
    <s v="Female"/>
    <x v="6"/>
    <n v="3"/>
    <n v="6811"/>
    <x v="1"/>
    <n v="3"/>
    <n v="3"/>
    <n v="8"/>
    <x v="0"/>
    <s v="Good"/>
    <s v="₹ 10000 - ₹ 19,999"/>
    <s v="Recommend training"/>
  </r>
  <r>
    <x v="1020"/>
    <x v="23"/>
    <x v="1"/>
    <x v="1"/>
    <n v="625"/>
    <s v="Female"/>
    <x v="8"/>
    <n v="1"/>
    <n v="16595"/>
    <x v="0"/>
    <n v="3"/>
    <n v="2"/>
    <n v="18"/>
    <x v="1"/>
    <s v="Good"/>
    <s v="₹ 10000 - ₹ 19,999"/>
    <s v="Recommend training"/>
  </r>
  <r>
    <x v="1021"/>
    <x v="23"/>
    <x v="1"/>
    <x v="2"/>
    <n v="731"/>
    <s v="Male"/>
    <x v="8"/>
    <n v="4"/>
    <n v="19141"/>
    <x v="0"/>
    <n v="3"/>
    <n v="2"/>
    <n v="21"/>
    <x v="1"/>
    <s v="Good"/>
    <s v="₹ 10000 - ₹ 19,999"/>
    <s v="Recommend training"/>
  </r>
  <r>
    <x v="1022"/>
    <x v="23"/>
    <x v="1"/>
    <x v="2"/>
    <n v="734"/>
    <s v="Male"/>
    <x v="8"/>
    <n v="3"/>
    <n v="19189"/>
    <x v="0"/>
    <n v="3"/>
    <n v="3"/>
    <n v="22"/>
    <x v="1"/>
    <s v="Good"/>
    <s v="₹ 10000 - ₹ 19,999"/>
    <s v="Recommend training"/>
  </r>
  <r>
    <x v="1023"/>
    <x v="23"/>
    <x v="0"/>
    <x v="0"/>
    <n v="927"/>
    <s v="Female"/>
    <x v="0"/>
    <n v="4"/>
    <n v="2778"/>
    <x v="1"/>
    <n v="3"/>
    <n v="1"/>
    <n v="7"/>
    <x v="2"/>
    <s v="Good"/>
    <s v="₹ 3,000- ₹ 7,000"/>
    <s v="Recommend training"/>
  </r>
  <r>
    <x v="1024"/>
    <x v="23"/>
    <x v="1"/>
    <x v="0"/>
    <n v="957"/>
    <s v="Male"/>
    <x v="0"/>
    <n v="1"/>
    <n v="4721"/>
    <x v="1"/>
    <n v="3"/>
    <n v="3"/>
    <n v="18"/>
    <x v="0"/>
    <s v="Good"/>
    <s v="₹ 10000 - ₹ 19,999"/>
    <s v="Recommend training"/>
  </r>
  <r>
    <x v="1025"/>
    <x v="23"/>
    <x v="1"/>
    <x v="0"/>
    <n v="999"/>
    <s v="Male"/>
    <x v="7"/>
    <n v="3"/>
    <n v="19419"/>
    <x v="0"/>
    <n v="3"/>
    <n v="2"/>
    <n v="18"/>
    <x v="1"/>
    <s v="Good"/>
    <s v="₹ 10000 - ₹ 19,999"/>
    <s v="Recommend training"/>
  </r>
  <r>
    <x v="1026"/>
    <x v="23"/>
    <x v="1"/>
    <x v="0"/>
    <n v="1025"/>
    <s v="Female"/>
    <x v="4"/>
    <n v="3"/>
    <n v="5003"/>
    <x v="0"/>
    <n v="3"/>
    <n v="6"/>
    <n v="2"/>
    <x v="1"/>
    <s v="Good"/>
    <s v="₹ 10000 - ₹ 19,999"/>
    <s v="Recommend training"/>
  </r>
  <r>
    <x v="1027"/>
    <x v="23"/>
    <x v="1"/>
    <x v="0"/>
    <n v="1035"/>
    <s v="Female"/>
    <x v="7"/>
    <n v="3"/>
    <n v="19973"/>
    <x v="0"/>
    <n v="4"/>
    <n v="3"/>
    <n v="21"/>
    <x v="1"/>
    <s v="Excellent"/>
    <s v="₹ 10000 - ₹ 19,999"/>
    <s v="Not recommend training"/>
  </r>
  <r>
    <x v="1028"/>
    <x v="23"/>
    <x v="1"/>
    <x v="0"/>
    <n v="1085"/>
    <s v="Female"/>
    <x v="2"/>
    <n v="3"/>
    <n v="3376"/>
    <x v="0"/>
    <n v="3"/>
    <n v="3"/>
    <n v="10"/>
    <x v="1"/>
    <s v="Good"/>
    <s v="₹ 10000 - ₹ 19,999"/>
    <s v="Recommend training"/>
  </r>
  <r>
    <x v="1029"/>
    <x v="23"/>
    <x v="1"/>
    <x v="0"/>
    <n v="1158"/>
    <s v="Male"/>
    <x v="0"/>
    <n v="4"/>
    <n v="4766"/>
    <x v="1"/>
    <n v="3"/>
    <n v="4"/>
    <n v="1"/>
    <x v="0"/>
    <s v="Good"/>
    <s v="₹ 10000 - ₹ 19,999"/>
    <s v="Recommend training"/>
  </r>
  <r>
    <x v="1030"/>
    <x v="23"/>
    <x v="0"/>
    <x v="0"/>
    <n v="1210"/>
    <s v="Male"/>
    <x v="2"/>
    <n v="1"/>
    <n v="2107"/>
    <x v="0"/>
    <n v="3"/>
    <n v="2"/>
    <n v="1"/>
    <x v="0"/>
    <s v="Good"/>
    <s v="₹ 3,000- ₹ 7,000"/>
    <s v="Recommend training"/>
  </r>
  <r>
    <x v="1031"/>
    <x v="23"/>
    <x v="1"/>
    <x v="1"/>
    <n v="1329"/>
    <s v="Male"/>
    <x v="5"/>
    <n v="2"/>
    <n v="6151"/>
    <x v="0"/>
    <n v="3"/>
    <n v="4"/>
    <n v="19"/>
    <x v="1"/>
    <s v="Good"/>
    <s v="₹ 10000 - ₹ 19,999"/>
    <s v="Recommend training"/>
  </r>
  <r>
    <x v="1032"/>
    <x v="23"/>
    <x v="1"/>
    <x v="1"/>
    <n v="1349"/>
    <s v="Female"/>
    <x v="5"/>
    <n v="1"/>
    <n v="4103"/>
    <x v="0"/>
    <n v="3"/>
    <n v="2"/>
    <n v="9"/>
    <x v="1"/>
    <s v="Good"/>
    <s v="₹ 10000 - ₹ 19,999"/>
    <s v="Recommend training"/>
  </r>
  <r>
    <x v="1033"/>
    <x v="23"/>
    <x v="1"/>
    <x v="0"/>
    <n v="1392"/>
    <s v="Female"/>
    <x v="2"/>
    <n v="4"/>
    <n v="5467"/>
    <x v="1"/>
    <n v="3"/>
    <n v="4"/>
    <n v="6"/>
    <x v="0"/>
    <s v="Good"/>
    <s v="₹ 10000 - ₹ 19,999"/>
    <s v="Recommend training"/>
  </r>
  <r>
    <x v="1034"/>
    <x v="23"/>
    <x v="1"/>
    <x v="0"/>
    <n v="1448"/>
    <s v="Male"/>
    <x v="2"/>
    <n v="3"/>
    <n v="2127"/>
    <x v="1"/>
    <n v="3"/>
    <n v="5"/>
    <n v="4"/>
    <x v="0"/>
    <s v="Good"/>
    <s v="₹ 3,000- ₹ 7,000"/>
    <s v="Recommend training"/>
  </r>
  <r>
    <x v="1035"/>
    <x v="23"/>
    <x v="1"/>
    <x v="1"/>
    <n v="1678"/>
    <s v="Male"/>
    <x v="5"/>
    <n v="3"/>
    <n v="7082"/>
    <x v="1"/>
    <n v="3"/>
    <n v="2"/>
    <n v="2"/>
    <x v="0"/>
    <s v="Good"/>
    <s v="₹ 7,000 - ₹ 10,000"/>
    <s v="Recommend training"/>
  </r>
  <r>
    <x v="1036"/>
    <x v="23"/>
    <x v="1"/>
    <x v="1"/>
    <n v="1708"/>
    <s v="Male"/>
    <x v="5"/>
    <n v="3"/>
    <n v="9241"/>
    <x v="0"/>
    <n v="3"/>
    <n v="3"/>
    <n v="10"/>
    <x v="1"/>
    <s v="Good"/>
    <s v="₹ 7,000 - ₹ 10,000"/>
    <s v="Recommend training"/>
  </r>
  <r>
    <x v="1037"/>
    <x v="23"/>
    <x v="1"/>
    <x v="2"/>
    <n v="1722"/>
    <s v="Male"/>
    <x v="3"/>
    <n v="2"/>
    <n v="6430"/>
    <x v="0"/>
    <n v="3"/>
    <n v="4"/>
    <n v="3"/>
    <x v="1"/>
    <s v="Good"/>
    <s v="₹ 10000 - ₹ 19,999"/>
    <s v="Recommend training"/>
  </r>
  <r>
    <x v="1038"/>
    <x v="23"/>
    <x v="1"/>
    <x v="0"/>
    <n v="1772"/>
    <s v="Male"/>
    <x v="0"/>
    <n v="1"/>
    <n v="2289"/>
    <x v="0"/>
    <n v="4"/>
    <n v="2"/>
    <n v="5"/>
    <x v="1"/>
    <s v="Excellent"/>
    <s v="₹ 3,000- ₹ 7,000"/>
    <s v="Recommend training"/>
  </r>
  <r>
    <x v="1039"/>
    <x v="23"/>
    <x v="1"/>
    <x v="0"/>
    <n v="1814"/>
    <s v="Male"/>
    <x v="6"/>
    <n v="2"/>
    <n v="6870"/>
    <x v="0"/>
    <n v="3"/>
    <n v="3"/>
    <n v="3"/>
    <x v="1"/>
    <s v="Good"/>
    <s v="₹ 10000 - ₹ 19,999"/>
    <s v="Recommend training"/>
  </r>
  <r>
    <x v="1040"/>
    <x v="23"/>
    <x v="1"/>
    <x v="1"/>
    <n v="1815"/>
    <s v="Female"/>
    <x v="5"/>
    <n v="3"/>
    <n v="10447"/>
    <x v="1"/>
    <n v="3"/>
    <n v="3"/>
    <n v="22"/>
    <x v="0"/>
    <s v="Good"/>
    <s v="₹ 10000 - ₹ 19,999"/>
    <s v="Recommend training"/>
  </r>
  <r>
    <x v="1041"/>
    <x v="23"/>
    <x v="1"/>
    <x v="1"/>
    <n v="1909"/>
    <s v="Female"/>
    <x v="5"/>
    <n v="2"/>
    <n v="4393"/>
    <x v="0"/>
    <n v="4"/>
    <n v="3"/>
    <n v="5"/>
    <x v="1"/>
    <s v="Excellent"/>
    <s v="₹ 10000 - ₹ 19,999"/>
    <s v="Not recommend training"/>
  </r>
  <r>
    <x v="1042"/>
    <x v="23"/>
    <x v="1"/>
    <x v="0"/>
    <n v="1999"/>
    <s v="Male"/>
    <x v="2"/>
    <n v="4"/>
    <n v="2782"/>
    <x v="0"/>
    <n v="4"/>
    <n v="3"/>
    <n v="5"/>
    <x v="1"/>
    <s v="Excellent"/>
    <s v="₹ 3,000- ₹ 7,000"/>
    <s v="Not recommend training"/>
  </r>
  <r>
    <x v="1043"/>
    <x v="23"/>
    <x v="1"/>
    <x v="0"/>
    <n v="2034"/>
    <s v="Female"/>
    <x v="4"/>
    <n v="2"/>
    <n v="13570"/>
    <x v="0"/>
    <n v="4"/>
    <n v="3"/>
    <n v="20"/>
    <x v="1"/>
    <s v="Excellent"/>
    <s v="₹ 10000 - ₹ 19,999"/>
    <s v="Not recommend training"/>
  </r>
  <r>
    <x v="1044"/>
    <x v="23"/>
    <x v="1"/>
    <x v="1"/>
    <n v="2037"/>
    <s v="Male"/>
    <x v="5"/>
    <n v="2"/>
    <n v="8938"/>
    <x v="0"/>
    <n v="3"/>
    <n v="5"/>
    <n v="5"/>
    <x v="1"/>
    <s v="Good"/>
    <s v="₹ 7,000 - ₹ 10,000"/>
    <s v="Recommend training"/>
  </r>
  <r>
    <x v="1045"/>
    <x v="24"/>
    <x v="1"/>
    <x v="1"/>
    <n v="35"/>
    <s v="Male"/>
    <x v="5"/>
    <n v="2"/>
    <n v="6825"/>
    <x v="0"/>
    <n v="3"/>
    <n v="2"/>
    <n v="9"/>
    <x v="1"/>
    <s v="Good"/>
    <s v="₹ 10000 - ₹ 19,999"/>
    <s v="Recommend training"/>
  </r>
  <r>
    <x v="1046"/>
    <x v="24"/>
    <x v="1"/>
    <x v="0"/>
    <n v="270"/>
    <s v="Female"/>
    <x v="4"/>
    <n v="3"/>
    <n v="5265"/>
    <x v="0"/>
    <n v="3"/>
    <n v="5"/>
    <n v="5"/>
    <x v="1"/>
    <s v="Good"/>
    <s v="₹ 10000 - ₹ 19,999"/>
    <s v="Recommend training"/>
  </r>
  <r>
    <x v="1047"/>
    <x v="24"/>
    <x v="1"/>
    <x v="0"/>
    <n v="319"/>
    <s v="Male"/>
    <x v="8"/>
    <n v="4"/>
    <n v="19232"/>
    <x v="0"/>
    <n v="3"/>
    <n v="3"/>
    <n v="22"/>
    <x v="1"/>
    <s v="Good"/>
    <s v="₹ 10000 - ₹ 19,999"/>
    <s v="Recommend training"/>
  </r>
  <r>
    <x v="1048"/>
    <x v="24"/>
    <x v="1"/>
    <x v="0"/>
    <n v="347"/>
    <s v="Female"/>
    <x v="2"/>
    <n v="1"/>
    <n v="6545"/>
    <x v="1"/>
    <n v="3"/>
    <n v="1"/>
    <n v="3"/>
    <x v="0"/>
    <s v="Good"/>
    <s v="₹ 10000 - ₹ 19,999"/>
    <s v="Recommend training"/>
  </r>
  <r>
    <x v="1049"/>
    <x v="24"/>
    <x v="1"/>
    <x v="0"/>
    <n v="351"/>
    <s v="Female"/>
    <x v="0"/>
    <n v="1"/>
    <n v="2593"/>
    <x v="1"/>
    <n v="3"/>
    <n v="4"/>
    <n v="9"/>
    <x v="0"/>
    <s v="Good"/>
    <s v="₹ 3,000- ₹ 7,000"/>
    <s v="Recommend training"/>
  </r>
  <r>
    <x v="1050"/>
    <x v="24"/>
    <x v="1"/>
    <x v="1"/>
    <n v="387"/>
    <s v="Male"/>
    <x v="5"/>
    <n v="3"/>
    <n v="4907"/>
    <x v="0"/>
    <n v="4"/>
    <n v="3"/>
    <n v="20"/>
    <x v="1"/>
    <s v="Excellent"/>
    <s v="₹ 10000 - ₹ 19,999"/>
    <s v="Not recommend training"/>
  </r>
  <r>
    <x v="1051"/>
    <x v="24"/>
    <x v="1"/>
    <x v="1"/>
    <n v="404"/>
    <s v="Female"/>
    <x v="5"/>
    <n v="2"/>
    <n v="13525"/>
    <x v="0"/>
    <n v="3"/>
    <n v="2"/>
    <n v="20"/>
    <x v="1"/>
    <s v="Good"/>
    <s v="₹ 10000 - ₹ 19,999"/>
    <s v="Recommend training"/>
  </r>
  <r>
    <x v="1052"/>
    <x v="24"/>
    <x v="1"/>
    <x v="0"/>
    <n v="468"/>
    <s v="Female"/>
    <x v="7"/>
    <n v="4"/>
    <n v="15992"/>
    <x v="0"/>
    <n v="3"/>
    <n v="2"/>
    <n v="1"/>
    <x v="1"/>
    <s v="Good"/>
    <s v="₹ 10000 - ₹ 19,999"/>
    <s v="Recommend training"/>
  </r>
  <r>
    <x v="1053"/>
    <x v="24"/>
    <x v="1"/>
    <x v="2"/>
    <n v="470"/>
    <s v="Male"/>
    <x v="3"/>
    <n v="3"/>
    <n v="2696"/>
    <x v="1"/>
    <n v="3"/>
    <n v="5"/>
    <n v="3"/>
    <x v="0"/>
    <s v="Good"/>
    <s v="₹ 3,000- ₹ 7,000"/>
    <s v="Recommend training"/>
  </r>
  <r>
    <x v="1054"/>
    <x v="24"/>
    <x v="1"/>
    <x v="0"/>
    <n v="477"/>
    <s v="Male"/>
    <x v="6"/>
    <n v="4"/>
    <n v="6781"/>
    <x v="0"/>
    <n v="4"/>
    <n v="6"/>
    <n v="1"/>
    <x v="1"/>
    <s v="Excellent"/>
    <s v="₹ 10000 - ₹ 19,999"/>
    <s v="Recommend training"/>
  </r>
  <r>
    <x v="1055"/>
    <x v="24"/>
    <x v="1"/>
    <x v="0"/>
    <n v="517"/>
    <s v="Female"/>
    <x v="0"/>
    <n v="1"/>
    <n v="2576"/>
    <x v="0"/>
    <n v="3"/>
    <n v="5"/>
    <n v="5"/>
    <x v="1"/>
    <s v="Good"/>
    <s v="₹ 3,000- ₹ 7,000"/>
    <s v="Recommend training"/>
  </r>
  <r>
    <x v="1056"/>
    <x v="24"/>
    <x v="1"/>
    <x v="0"/>
    <n v="547"/>
    <s v="Female"/>
    <x v="2"/>
    <n v="3"/>
    <n v="4556"/>
    <x v="0"/>
    <n v="3"/>
    <n v="3"/>
    <n v="5"/>
    <x v="1"/>
    <s v="Good"/>
    <s v="₹ 10000 - ₹ 19,999"/>
    <s v="Recommend training"/>
  </r>
  <r>
    <x v="1057"/>
    <x v="24"/>
    <x v="1"/>
    <x v="0"/>
    <n v="551"/>
    <s v="Female"/>
    <x v="6"/>
    <n v="4"/>
    <n v="4523"/>
    <x v="0"/>
    <n v="3"/>
    <n v="4"/>
    <n v="6"/>
    <x v="1"/>
    <s v="Good"/>
    <s v="₹ 10000 - ₹ 19,999"/>
    <s v="Recommend training"/>
  </r>
  <r>
    <x v="1058"/>
    <x v="24"/>
    <x v="1"/>
    <x v="0"/>
    <n v="591"/>
    <s v="Male"/>
    <x v="0"/>
    <n v="3"/>
    <n v="2093"/>
    <x v="0"/>
    <n v="3"/>
    <n v="4"/>
    <n v="2"/>
    <x v="1"/>
    <s v="Good"/>
    <s v="₹ 3,000- ₹ 7,000"/>
    <s v="Recommend training"/>
  </r>
  <r>
    <x v="1059"/>
    <x v="24"/>
    <x v="1"/>
    <x v="0"/>
    <n v="605"/>
    <s v="Male"/>
    <x v="4"/>
    <n v="1"/>
    <n v="7406"/>
    <x v="1"/>
    <n v="4"/>
    <n v="5"/>
    <n v="10"/>
    <x v="0"/>
    <s v="Excellent"/>
    <s v="₹ 7,000 - ₹ 10,000"/>
    <s v="Not recommend training"/>
  </r>
  <r>
    <x v="1060"/>
    <x v="24"/>
    <x v="1"/>
    <x v="0"/>
    <n v="659"/>
    <s v="Female"/>
    <x v="6"/>
    <n v="4"/>
    <n v="4089"/>
    <x v="0"/>
    <n v="3"/>
    <n v="4"/>
    <n v="10"/>
    <x v="1"/>
    <s v="Good"/>
    <s v="₹ 10000 - ₹ 19,999"/>
    <s v="Recommend training"/>
  </r>
  <r>
    <x v="1061"/>
    <x v="24"/>
    <x v="0"/>
    <x v="0"/>
    <n v="752"/>
    <s v="Male"/>
    <x v="2"/>
    <n v="3"/>
    <n v="2759"/>
    <x v="1"/>
    <n v="3"/>
    <n v="2"/>
    <n v="2"/>
    <x v="2"/>
    <s v="Good"/>
    <s v="₹ 3,000- ₹ 7,000"/>
    <s v="Recommend training"/>
  </r>
  <r>
    <x v="1062"/>
    <x v="24"/>
    <x v="1"/>
    <x v="0"/>
    <n v="809"/>
    <s v="Male"/>
    <x v="8"/>
    <n v="4"/>
    <n v="18430"/>
    <x v="0"/>
    <n v="3"/>
    <n v="4"/>
    <n v="24"/>
    <x v="1"/>
    <s v="Good"/>
    <s v="₹ 10000 - ₹ 19,999"/>
    <s v="Recommend training"/>
  </r>
  <r>
    <x v="1063"/>
    <x v="24"/>
    <x v="1"/>
    <x v="0"/>
    <n v="827"/>
    <s v="Female"/>
    <x v="4"/>
    <n v="4"/>
    <n v="6062"/>
    <x v="1"/>
    <n v="3"/>
    <n v="4"/>
    <n v="4"/>
    <x v="0"/>
    <s v="Good"/>
    <s v="₹ 10000 - ₹ 19,999"/>
    <s v="Recommend training"/>
  </r>
  <r>
    <x v="1064"/>
    <x v="24"/>
    <x v="1"/>
    <x v="0"/>
    <n v="836"/>
    <s v="Male"/>
    <x v="4"/>
    <n v="2"/>
    <n v="4434"/>
    <x v="0"/>
    <n v="3"/>
    <n v="3"/>
    <n v="9"/>
    <x v="1"/>
    <s v="Good"/>
    <s v="₹ 10000 - ₹ 19,999"/>
    <s v="Recommend training"/>
  </r>
  <r>
    <x v="1065"/>
    <x v="24"/>
    <x v="1"/>
    <x v="0"/>
    <n v="875"/>
    <s v="Male"/>
    <x v="2"/>
    <n v="4"/>
    <n v="2515"/>
    <x v="1"/>
    <n v="3"/>
    <n v="2"/>
    <n v="2"/>
    <x v="0"/>
    <s v="Good"/>
    <s v="₹ 3,000- ₹ 7,000"/>
    <s v="Recommend training"/>
  </r>
  <r>
    <x v="1066"/>
    <x v="24"/>
    <x v="1"/>
    <x v="0"/>
    <n v="894"/>
    <s v="Female"/>
    <x v="0"/>
    <n v="4"/>
    <n v="5231"/>
    <x v="1"/>
    <n v="3"/>
    <n v="1"/>
    <n v="5"/>
    <x v="0"/>
    <s v="Good"/>
    <s v="₹ 10000 - ₹ 19,999"/>
    <s v="Recommend training"/>
  </r>
  <r>
    <x v="1067"/>
    <x v="24"/>
    <x v="1"/>
    <x v="1"/>
    <n v="936"/>
    <s v="Female"/>
    <x v="5"/>
    <n v="3"/>
    <n v="6244"/>
    <x v="0"/>
    <n v="3"/>
    <n v="6"/>
    <n v="5"/>
    <x v="1"/>
    <s v="Good"/>
    <s v="₹ 10000 - ₹ 19,999"/>
    <s v="Recommend training"/>
  </r>
  <r>
    <x v="1068"/>
    <x v="24"/>
    <x v="1"/>
    <x v="1"/>
    <n v="1029"/>
    <s v="Male"/>
    <x v="8"/>
    <n v="3"/>
    <n v="18303"/>
    <x v="0"/>
    <n v="3"/>
    <n v="3"/>
    <n v="1"/>
    <x v="1"/>
    <s v="Good"/>
    <s v="₹ 10000 - ₹ 19,999"/>
    <s v="Recommend training"/>
  </r>
  <r>
    <x v="1069"/>
    <x v="24"/>
    <x v="1"/>
    <x v="0"/>
    <n v="1109"/>
    <s v="Male"/>
    <x v="8"/>
    <n v="1"/>
    <n v="17665"/>
    <x v="0"/>
    <n v="3"/>
    <n v="3"/>
    <n v="22"/>
    <x v="1"/>
    <s v="Good"/>
    <s v="₹ 10000 - ₹ 19,999"/>
    <s v="Recommend training"/>
  </r>
  <r>
    <x v="1070"/>
    <x v="24"/>
    <x v="1"/>
    <x v="0"/>
    <n v="1148"/>
    <s v="Male"/>
    <x v="0"/>
    <n v="4"/>
    <n v="4272"/>
    <x v="0"/>
    <n v="3"/>
    <n v="3"/>
    <n v="1"/>
    <x v="1"/>
    <s v="Good"/>
    <s v="₹ 10000 - ₹ 19,999"/>
    <s v="Recommend training"/>
  </r>
  <r>
    <x v="1071"/>
    <x v="24"/>
    <x v="0"/>
    <x v="1"/>
    <n v="1167"/>
    <s v="Male"/>
    <x v="5"/>
    <n v="1"/>
    <n v="13758"/>
    <x v="1"/>
    <n v="3"/>
    <n v="2"/>
    <n v="21"/>
    <x v="2"/>
    <s v="Good"/>
    <s v="₹ 10000 - ₹ 19,999"/>
    <s v="Recommend training"/>
  </r>
  <r>
    <x v="1072"/>
    <x v="24"/>
    <x v="1"/>
    <x v="1"/>
    <n v="1171"/>
    <s v="Male"/>
    <x v="5"/>
    <n v="1"/>
    <n v="5155"/>
    <x v="0"/>
    <n v="3"/>
    <n v="3"/>
    <n v="6"/>
    <x v="1"/>
    <s v="Good"/>
    <s v="₹ 10000 - ₹ 19,999"/>
    <s v="Recommend training"/>
  </r>
  <r>
    <x v="1073"/>
    <x v="24"/>
    <x v="1"/>
    <x v="2"/>
    <n v="1231"/>
    <s v="Male"/>
    <x v="3"/>
    <n v="1"/>
    <n v="6272"/>
    <x v="0"/>
    <n v="3"/>
    <n v="3"/>
    <n v="4"/>
    <x v="1"/>
    <s v="Good"/>
    <s v="₹ 10000 - ₹ 19,999"/>
    <s v="Recommend training"/>
  </r>
  <r>
    <x v="1074"/>
    <x v="24"/>
    <x v="1"/>
    <x v="0"/>
    <n v="1242"/>
    <s v="Female"/>
    <x v="7"/>
    <n v="1"/>
    <n v="13191"/>
    <x v="1"/>
    <n v="3"/>
    <n v="6"/>
    <n v="1"/>
    <x v="0"/>
    <s v="Good"/>
    <s v="₹ 10000 - ₹ 19,999"/>
    <s v="Recommend training"/>
  </r>
  <r>
    <x v="1075"/>
    <x v="24"/>
    <x v="1"/>
    <x v="0"/>
    <n v="1292"/>
    <s v="Female"/>
    <x v="2"/>
    <n v="2"/>
    <n v="2372"/>
    <x v="1"/>
    <n v="3"/>
    <n v="2"/>
    <n v="1"/>
    <x v="0"/>
    <s v="Good"/>
    <s v="₹ 3,000- ₹ 7,000"/>
    <s v="Recommend training"/>
  </r>
  <r>
    <x v="1076"/>
    <x v="24"/>
    <x v="1"/>
    <x v="0"/>
    <n v="1334"/>
    <s v="Male"/>
    <x v="8"/>
    <n v="3"/>
    <n v="17861"/>
    <x v="1"/>
    <n v="3"/>
    <n v="3"/>
    <n v="20"/>
    <x v="0"/>
    <s v="Good"/>
    <s v="₹ 10000 - ₹ 19,999"/>
    <s v="Recommend training"/>
  </r>
  <r>
    <x v="1077"/>
    <x v="24"/>
    <x v="1"/>
    <x v="2"/>
    <n v="1408"/>
    <s v="Female"/>
    <x v="8"/>
    <n v="1"/>
    <n v="16799"/>
    <x v="0"/>
    <n v="3"/>
    <n v="5"/>
    <n v="20"/>
    <x v="1"/>
    <s v="Good"/>
    <s v="₹ 10000 - ₹ 19,999"/>
    <s v="Recommend training"/>
  </r>
  <r>
    <x v="1078"/>
    <x v="24"/>
    <x v="1"/>
    <x v="0"/>
    <n v="1480"/>
    <s v="Female"/>
    <x v="0"/>
    <n v="4"/>
    <n v="3673"/>
    <x v="0"/>
    <n v="3"/>
    <n v="3"/>
    <n v="12"/>
    <x v="1"/>
    <s v="Good"/>
    <s v="₹ 10000 - ₹ 19,999"/>
    <s v="Recommend training"/>
  </r>
  <r>
    <x v="1079"/>
    <x v="24"/>
    <x v="1"/>
    <x v="0"/>
    <n v="1542"/>
    <s v="Male"/>
    <x v="0"/>
    <n v="2"/>
    <n v="4841"/>
    <x v="0"/>
    <n v="3"/>
    <n v="3"/>
    <n v="1"/>
    <x v="1"/>
    <s v="Good"/>
    <s v="₹ 10000 - ₹ 19,999"/>
    <s v="Recommend training"/>
  </r>
  <r>
    <x v="1080"/>
    <x v="24"/>
    <x v="1"/>
    <x v="0"/>
    <n v="1547"/>
    <s v="Male"/>
    <x v="6"/>
    <n v="4"/>
    <n v="10124"/>
    <x v="1"/>
    <n v="3"/>
    <n v="3"/>
    <n v="20"/>
    <x v="0"/>
    <s v="Good"/>
    <s v="₹ 10000 - ₹ 19,999"/>
    <s v="Recommend training"/>
  </r>
  <r>
    <x v="1081"/>
    <x v="24"/>
    <x v="1"/>
    <x v="0"/>
    <n v="1595"/>
    <s v="Male"/>
    <x v="8"/>
    <n v="4"/>
    <n v="19613"/>
    <x v="0"/>
    <n v="4"/>
    <n v="2"/>
    <n v="1"/>
    <x v="1"/>
    <s v="Excellent"/>
    <s v="₹ 10000 - ₹ 19,999"/>
    <s v="Recommend training"/>
  </r>
  <r>
    <x v="1082"/>
    <x v="24"/>
    <x v="1"/>
    <x v="0"/>
    <n v="1768"/>
    <s v="Male"/>
    <x v="0"/>
    <n v="2"/>
    <n v="2766"/>
    <x v="0"/>
    <n v="4"/>
    <n v="6"/>
    <n v="5"/>
    <x v="1"/>
    <s v="Excellent"/>
    <s v="₹ 3,000- ₹ 7,000"/>
    <s v="Not recommend training"/>
  </r>
  <r>
    <x v="1083"/>
    <x v="24"/>
    <x v="1"/>
    <x v="0"/>
    <n v="1803"/>
    <s v="Male"/>
    <x v="6"/>
    <n v="1"/>
    <n v="5538"/>
    <x v="0"/>
    <n v="3"/>
    <n v="2"/>
    <n v="0"/>
    <x v="1"/>
    <s v="Good"/>
    <s v="₹ 10000 - ₹ 19,999"/>
    <s v="Recommend training"/>
  </r>
  <r>
    <x v="1084"/>
    <x v="24"/>
    <x v="1"/>
    <x v="0"/>
    <n v="1854"/>
    <s v="Male"/>
    <x v="2"/>
    <n v="3"/>
    <n v="2936"/>
    <x v="0"/>
    <n v="4"/>
    <n v="1"/>
    <n v="6"/>
    <x v="1"/>
    <s v="Excellent"/>
    <s v="₹ 3,000- ₹ 7,000"/>
    <s v="Not recommend training"/>
  </r>
  <r>
    <x v="1085"/>
    <x v="24"/>
    <x v="1"/>
    <x v="0"/>
    <n v="1860"/>
    <s v="Male"/>
    <x v="0"/>
    <n v="3"/>
    <n v="3968"/>
    <x v="0"/>
    <n v="3"/>
    <n v="3"/>
    <n v="0"/>
    <x v="1"/>
    <s v="Good"/>
    <s v="₹ 10000 - ₹ 19,999"/>
    <s v="Recommend training"/>
  </r>
  <r>
    <x v="1086"/>
    <x v="24"/>
    <x v="1"/>
    <x v="0"/>
    <n v="1911"/>
    <s v="Male"/>
    <x v="7"/>
    <n v="1"/>
    <n v="13348"/>
    <x v="0"/>
    <n v="3"/>
    <n v="3"/>
    <n v="13"/>
    <x v="1"/>
    <s v="Good"/>
    <s v="₹ 10000 - ₹ 19,999"/>
    <s v="Recommend training"/>
  </r>
  <r>
    <x v="1087"/>
    <x v="24"/>
    <x v="1"/>
    <x v="1"/>
    <n v="1943"/>
    <s v="Male"/>
    <x v="5"/>
    <n v="4"/>
    <n v="5087"/>
    <x v="1"/>
    <n v="3"/>
    <n v="4"/>
    <n v="0"/>
    <x v="0"/>
    <s v="Good"/>
    <s v="₹ 10000 - ₹ 19,999"/>
    <s v="Recommend training"/>
  </r>
  <r>
    <x v="1088"/>
    <x v="24"/>
    <x v="1"/>
    <x v="0"/>
    <n v="1976"/>
    <s v="Male"/>
    <x v="2"/>
    <n v="3"/>
    <n v="4332"/>
    <x v="0"/>
    <n v="3"/>
    <n v="2"/>
    <n v="20"/>
    <x v="1"/>
    <s v="Good"/>
    <s v="₹ 10000 - ₹ 19,999"/>
    <s v="Recommend training"/>
  </r>
  <r>
    <x v="1089"/>
    <x v="24"/>
    <x v="1"/>
    <x v="0"/>
    <n v="1998"/>
    <s v="Male"/>
    <x v="2"/>
    <n v="1"/>
    <n v="5410"/>
    <x v="1"/>
    <n v="3"/>
    <n v="3"/>
    <n v="4"/>
    <x v="0"/>
    <s v="Good"/>
    <s v="₹ 10000 - ₹ 19,999"/>
    <s v="Recommend training"/>
  </r>
  <r>
    <x v="1090"/>
    <x v="24"/>
    <x v="1"/>
    <x v="0"/>
    <n v="2031"/>
    <s v="Male"/>
    <x v="8"/>
    <n v="3"/>
    <n v="18880"/>
    <x v="0"/>
    <n v="3"/>
    <n v="2"/>
    <n v="22"/>
    <x v="1"/>
    <s v="Good"/>
    <s v="₹ 10000 - ₹ 19,999"/>
    <s v="Recommend training"/>
  </r>
  <r>
    <x v="1091"/>
    <x v="25"/>
    <x v="1"/>
    <x v="0"/>
    <n v="46"/>
    <s v="Female"/>
    <x v="2"/>
    <n v="3"/>
    <n v="2645"/>
    <x v="0"/>
    <n v="3"/>
    <n v="3"/>
    <n v="5"/>
    <x v="1"/>
    <s v="Good"/>
    <s v="₹ 3,000- ₹ 7,000"/>
    <s v="Recommend training"/>
  </r>
  <r>
    <x v="1092"/>
    <x v="25"/>
    <x v="1"/>
    <x v="1"/>
    <n v="158"/>
    <s v="Male"/>
    <x v="8"/>
    <n v="4"/>
    <n v="16959"/>
    <x v="1"/>
    <n v="3"/>
    <n v="3"/>
    <n v="25"/>
    <x v="0"/>
    <s v="Good"/>
    <s v="₹ 10000 - ₹ 19,999"/>
    <s v="Recommend training"/>
  </r>
  <r>
    <x v="1093"/>
    <x v="25"/>
    <x v="1"/>
    <x v="0"/>
    <n v="171"/>
    <s v="Female"/>
    <x v="2"/>
    <n v="3"/>
    <n v="4739"/>
    <x v="0"/>
    <n v="3"/>
    <n v="2"/>
    <n v="3"/>
    <x v="1"/>
    <s v="Good"/>
    <s v="₹ 10000 - ₹ 19,999"/>
    <s v="Recommend training"/>
  </r>
  <r>
    <x v="1094"/>
    <x v="25"/>
    <x v="1"/>
    <x v="0"/>
    <n v="262"/>
    <s v="Male"/>
    <x v="2"/>
    <n v="4"/>
    <n v="2089"/>
    <x v="0"/>
    <n v="3"/>
    <n v="3"/>
    <n v="5"/>
    <x v="1"/>
    <s v="Good"/>
    <s v="₹ 3,000- ₹ 7,000"/>
    <s v="Recommend training"/>
  </r>
  <r>
    <x v="1095"/>
    <x v="25"/>
    <x v="1"/>
    <x v="1"/>
    <n v="327"/>
    <s v="Female"/>
    <x v="8"/>
    <n v="4"/>
    <n v="16064"/>
    <x v="1"/>
    <n v="4"/>
    <n v="3"/>
    <n v="17"/>
    <x v="0"/>
    <s v="Excellent"/>
    <s v="₹ 10000 - ₹ 19,999"/>
    <s v="Not recommend training"/>
  </r>
  <r>
    <x v="1096"/>
    <x v="25"/>
    <x v="1"/>
    <x v="0"/>
    <n v="430"/>
    <s v="Female"/>
    <x v="0"/>
    <n v="4"/>
    <n v="2455"/>
    <x v="0"/>
    <n v="3"/>
    <n v="5"/>
    <n v="8"/>
    <x v="1"/>
    <s v="Good"/>
    <s v="₹ 3,000- ₹ 7,000"/>
    <s v="Recommend training"/>
  </r>
  <r>
    <x v="1097"/>
    <x v="25"/>
    <x v="1"/>
    <x v="0"/>
    <n v="448"/>
    <s v="Female"/>
    <x v="0"/>
    <n v="3"/>
    <n v="5257"/>
    <x v="0"/>
    <n v="3"/>
    <n v="3"/>
    <n v="9"/>
    <x v="1"/>
    <s v="Good"/>
    <s v="₹ 10000 - ₹ 19,999"/>
    <s v="Recommend training"/>
  </r>
  <r>
    <x v="1098"/>
    <x v="25"/>
    <x v="1"/>
    <x v="0"/>
    <n v="451"/>
    <s v="Female"/>
    <x v="6"/>
    <n v="1"/>
    <n v="9985"/>
    <x v="0"/>
    <n v="3"/>
    <n v="1"/>
    <n v="1"/>
    <x v="1"/>
    <s v="Good"/>
    <s v="₹ 7,000 - ₹ 10,000"/>
    <s v="Recommend training"/>
  </r>
  <r>
    <x v="1099"/>
    <x v="25"/>
    <x v="1"/>
    <x v="0"/>
    <n v="520"/>
    <s v="Male"/>
    <x v="7"/>
    <n v="2"/>
    <n v="14336"/>
    <x v="0"/>
    <n v="3"/>
    <n v="3"/>
    <n v="25"/>
    <x v="1"/>
    <s v="Good"/>
    <s v="₹ 10000 - ₹ 19,999"/>
    <s v="Recommend training"/>
  </r>
  <r>
    <x v="1100"/>
    <x v="25"/>
    <x v="1"/>
    <x v="0"/>
    <n v="525"/>
    <s v="Male"/>
    <x v="0"/>
    <n v="4"/>
    <n v="2258"/>
    <x v="0"/>
    <n v="4"/>
    <n v="1"/>
    <n v="3"/>
    <x v="1"/>
    <s v="Excellent"/>
    <s v="₹ 3,000- ₹ 7,000"/>
    <s v="Not recommend training"/>
  </r>
  <r>
    <x v="1101"/>
    <x v="25"/>
    <x v="1"/>
    <x v="0"/>
    <n v="526"/>
    <s v="Female"/>
    <x v="6"/>
    <n v="3"/>
    <n v="4522"/>
    <x v="1"/>
    <n v="3"/>
    <n v="3"/>
    <n v="5"/>
    <x v="0"/>
    <s v="Good"/>
    <s v="₹ 10000 - ₹ 19,999"/>
    <s v="Recommend training"/>
  </r>
  <r>
    <x v="1102"/>
    <x v="25"/>
    <x v="1"/>
    <x v="0"/>
    <n v="661"/>
    <s v="Male"/>
    <x v="7"/>
    <n v="4"/>
    <n v="16627"/>
    <x v="1"/>
    <n v="3"/>
    <n v="3"/>
    <n v="1"/>
    <x v="0"/>
    <s v="Good"/>
    <s v="₹ 10000 - ₹ 19,999"/>
    <s v="Recommend training"/>
  </r>
  <r>
    <x v="1103"/>
    <x v="25"/>
    <x v="1"/>
    <x v="0"/>
    <n v="663"/>
    <s v="Male"/>
    <x v="0"/>
    <n v="3"/>
    <n v="5679"/>
    <x v="1"/>
    <n v="3"/>
    <n v="3"/>
    <n v="8"/>
    <x v="0"/>
    <s v="Good"/>
    <s v="₹ 10000 - ₹ 19,999"/>
    <s v="Recommend training"/>
  </r>
  <r>
    <x v="1104"/>
    <x v="25"/>
    <x v="1"/>
    <x v="1"/>
    <n v="754"/>
    <s v="Male"/>
    <x v="5"/>
    <n v="4"/>
    <n v="6804"/>
    <x v="0"/>
    <n v="3"/>
    <n v="5"/>
    <n v="2"/>
    <x v="1"/>
    <s v="Good"/>
    <s v="₹ 10000 - ₹ 19,999"/>
    <s v="Recommend training"/>
  </r>
  <r>
    <x v="1105"/>
    <x v="25"/>
    <x v="1"/>
    <x v="0"/>
    <n v="843"/>
    <s v="Male"/>
    <x v="7"/>
    <n v="1"/>
    <n v="17159"/>
    <x v="0"/>
    <n v="4"/>
    <n v="3"/>
    <n v="4"/>
    <x v="1"/>
    <s v="Excellent"/>
    <s v="₹ 10000 - ₹ 19,999"/>
    <s v="Recommend training"/>
  </r>
  <r>
    <x v="1106"/>
    <x v="25"/>
    <x v="1"/>
    <x v="0"/>
    <n v="902"/>
    <s v="Female"/>
    <x v="6"/>
    <n v="4"/>
    <n v="5562"/>
    <x v="0"/>
    <n v="3"/>
    <n v="2"/>
    <n v="5"/>
    <x v="1"/>
    <s v="Good"/>
    <s v="₹ 10000 - ₹ 19,999"/>
    <s v="Recommend training"/>
  </r>
  <r>
    <x v="1107"/>
    <x v="25"/>
    <x v="1"/>
    <x v="0"/>
    <n v="920"/>
    <s v="Female"/>
    <x v="4"/>
    <n v="2"/>
    <n v="4765"/>
    <x v="0"/>
    <n v="4"/>
    <n v="2"/>
    <n v="1"/>
    <x v="1"/>
    <s v="Excellent"/>
    <s v="₹ 10000 - ₹ 19,999"/>
    <s v="Recommend training"/>
  </r>
  <r>
    <x v="1108"/>
    <x v="25"/>
    <x v="1"/>
    <x v="1"/>
    <n v="1076"/>
    <s v="Male"/>
    <x v="5"/>
    <n v="4"/>
    <n v="10798"/>
    <x v="0"/>
    <n v="3"/>
    <n v="5"/>
    <n v="1"/>
    <x v="1"/>
    <s v="Good"/>
    <s v="₹ 10000 - ₹ 19,999"/>
    <s v="Recommend training"/>
  </r>
  <r>
    <x v="1109"/>
    <x v="25"/>
    <x v="1"/>
    <x v="0"/>
    <n v="1126"/>
    <s v="Female"/>
    <x v="4"/>
    <n v="1"/>
    <n v="10820"/>
    <x v="0"/>
    <n v="3"/>
    <n v="1"/>
    <n v="8"/>
    <x v="1"/>
    <s v="Good"/>
    <s v="₹ 10000 - ₹ 19,999"/>
    <s v="Recommend training"/>
  </r>
  <r>
    <x v="1110"/>
    <x v="25"/>
    <x v="0"/>
    <x v="1"/>
    <n v="1188"/>
    <s v="Female"/>
    <x v="5"/>
    <n v="3"/>
    <n v="5346"/>
    <x v="0"/>
    <n v="3"/>
    <n v="2"/>
    <n v="4"/>
    <x v="0"/>
    <s v="Good"/>
    <s v="₹ 10000 - ₹ 19,999"/>
    <s v="Recommend training"/>
  </r>
  <r>
    <x v="1111"/>
    <x v="25"/>
    <x v="1"/>
    <x v="0"/>
    <n v="1255"/>
    <s v="Male"/>
    <x v="7"/>
    <n v="4"/>
    <n v="19740"/>
    <x v="0"/>
    <n v="3"/>
    <n v="2"/>
    <n v="8"/>
    <x v="1"/>
    <s v="Good"/>
    <s v="₹ 10000 - ₹ 19,999"/>
    <s v="Recommend training"/>
  </r>
  <r>
    <x v="1112"/>
    <x v="25"/>
    <x v="1"/>
    <x v="1"/>
    <n v="1293"/>
    <s v="Female"/>
    <x v="5"/>
    <n v="4"/>
    <n v="10231"/>
    <x v="0"/>
    <n v="3"/>
    <n v="3"/>
    <n v="21"/>
    <x v="1"/>
    <s v="Good"/>
    <s v="₹ 10000 - ₹ 19,999"/>
    <s v="Recommend training"/>
  </r>
  <r>
    <x v="1113"/>
    <x v="25"/>
    <x v="1"/>
    <x v="0"/>
    <n v="1402"/>
    <s v="Female"/>
    <x v="2"/>
    <n v="3"/>
    <n v="4081"/>
    <x v="1"/>
    <n v="3"/>
    <n v="3"/>
    <n v="20"/>
    <x v="0"/>
    <s v="Good"/>
    <s v="₹ 10000 - ₹ 19,999"/>
    <s v="Recommend training"/>
  </r>
  <r>
    <x v="1114"/>
    <x v="25"/>
    <x v="1"/>
    <x v="0"/>
    <n v="1599"/>
    <s v="Male"/>
    <x v="0"/>
    <n v="2"/>
    <n v="4876"/>
    <x v="0"/>
    <n v="3"/>
    <n v="0"/>
    <n v="6"/>
    <x v="1"/>
    <s v="Good"/>
    <s v="₹ 10000 - ₹ 19,999"/>
    <s v="Recommend training"/>
  </r>
  <r>
    <x v="1115"/>
    <x v="25"/>
    <x v="1"/>
    <x v="0"/>
    <n v="1666"/>
    <s v="Male"/>
    <x v="7"/>
    <n v="3"/>
    <n v="17603"/>
    <x v="0"/>
    <n v="4"/>
    <n v="3"/>
    <n v="14"/>
    <x v="1"/>
    <s v="Excellent"/>
    <s v="₹ 10000 - ₹ 19,999"/>
    <s v="Not recommend training"/>
  </r>
  <r>
    <x v="1116"/>
    <x v="25"/>
    <x v="1"/>
    <x v="1"/>
    <n v="1706"/>
    <s v="Male"/>
    <x v="5"/>
    <n v="4"/>
    <n v="7847"/>
    <x v="1"/>
    <n v="3"/>
    <n v="3"/>
    <n v="10"/>
    <x v="0"/>
    <s v="Good"/>
    <s v="₹ 7,000 - ₹ 10,000"/>
    <s v="Recommend training"/>
  </r>
  <r>
    <x v="1117"/>
    <x v="25"/>
    <x v="0"/>
    <x v="0"/>
    <n v="1767"/>
    <s v="Male"/>
    <x v="2"/>
    <n v="3"/>
    <n v="2437"/>
    <x v="1"/>
    <n v="3"/>
    <n v="4"/>
    <n v="1"/>
    <x v="2"/>
    <s v="Good"/>
    <s v="₹ 3,000- ₹ 7,000"/>
    <s v="Recommend training"/>
  </r>
  <r>
    <x v="1118"/>
    <x v="25"/>
    <x v="1"/>
    <x v="2"/>
    <n v="1778"/>
    <s v="Male"/>
    <x v="3"/>
    <n v="4"/>
    <n v="3539"/>
    <x v="0"/>
    <n v="3"/>
    <n v="5"/>
    <n v="9"/>
    <x v="1"/>
    <s v="Good"/>
    <s v="₹ 10000 - ₹ 19,999"/>
    <s v="Recommend training"/>
  </r>
  <r>
    <x v="1119"/>
    <x v="25"/>
    <x v="1"/>
    <x v="0"/>
    <n v="1813"/>
    <s v="Male"/>
    <x v="2"/>
    <n v="3"/>
    <n v="2438"/>
    <x v="0"/>
    <n v="3"/>
    <n v="2"/>
    <n v="3"/>
    <x v="1"/>
    <s v="Good"/>
    <s v="₹ 3,000- ₹ 7,000"/>
    <s v="Recommend training"/>
  </r>
  <r>
    <x v="1120"/>
    <x v="25"/>
    <x v="1"/>
    <x v="1"/>
    <n v="1849"/>
    <s v="Male"/>
    <x v="5"/>
    <n v="4"/>
    <n v="5675"/>
    <x v="0"/>
    <n v="4"/>
    <n v="5"/>
    <n v="7"/>
    <x v="1"/>
    <s v="Excellent"/>
    <s v="₹ 10000 - ₹ 19,999"/>
    <s v="Not recommend training"/>
  </r>
  <r>
    <x v="1121"/>
    <x v="25"/>
    <x v="1"/>
    <x v="0"/>
    <n v="1866"/>
    <s v="Female"/>
    <x v="8"/>
    <n v="3"/>
    <n v="19392"/>
    <x v="0"/>
    <n v="3"/>
    <n v="2"/>
    <n v="16"/>
    <x v="1"/>
    <s v="Good"/>
    <s v="₹ 10000 - ₹ 19,999"/>
    <s v="Recommend training"/>
  </r>
  <r>
    <x v="1122"/>
    <x v="25"/>
    <x v="1"/>
    <x v="0"/>
    <n v="1971"/>
    <s v="Male"/>
    <x v="6"/>
    <n v="3"/>
    <n v="7510"/>
    <x v="0"/>
    <n v="3"/>
    <n v="1"/>
    <n v="10"/>
    <x v="1"/>
    <s v="Good"/>
    <s v="₹ 7,000 - ₹ 10,000"/>
    <s v="Recommend training"/>
  </r>
  <r>
    <x v="1123"/>
    <x v="26"/>
    <x v="1"/>
    <x v="0"/>
    <n v="36"/>
    <s v="Female"/>
    <x v="6"/>
    <n v="4"/>
    <n v="10248"/>
    <x v="0"/>
    <n v="3"/>
    <n v="4"/>
    <n v="22"/>
    <x v="1"/>
    <s v="Good"/>
    <s v="₹ 10000 - ₹ 19,999"/>
    <s v="Recommend training"/>
  </r>
  <r>
    <x v="1124"/>
    <x v="26"/>
    <x v="1"/>
    <x v="0"/>
    <n v="40"/>
    <s v="Male"/>
    <x v="6"/>
    <n v="4"/>
    <n v="6465"/>
    <x v="1"/>
    <n v="3"/>
    <n v="5"/>
    <n v="4"/>
    <x v="0"/>
    <s v="Good"/>
    <s v="₹ 10000 - ₹ 19,999"/>
    <s v="Recommend training"/>
  </r>
  <r>
    <x v="1125"/>
    <x v="26"/>
    <x v="1"/>
    <x v="1"/>
    <n v="68"/>
    <s v="Female"/>
    <x v="5"/>
    <n v="1"/>
    <n v="5454"/>
    <x v="1"/>
    <n v="4"/>
    <n v="2"/>
    <n v="4"/>
    <x v="0"/>
    <s v="Excellent"/>
    <s v="₹ 10000 - ₹ 19,999"/>
    <s v="Recommend training"/>
  </r>
  <r>
    <x v="1126"/>
    <x v="26"/>
    <x v="1"/>
    <x v="0"/>
    <n v="132"/>
    <s v="Male"/>
    <x v="0"/>
    <n v="2"/>
    <n v="2042"/>
    <x v="0"/>
    <n v="3"/>
    <n v="3"/>
    <n v="3"/>
    <x v="1"/>
    <s v="Good"/>
    <s v="₹ 3,000- ₹ 7,000"/>
    <s v="Recommend training"/>
  </r>
  <r>
    <x v="1127"/>
    <x v="26"/>
    <x v="0"/>
    <x v="0"/>
    <n v="392"/>
    <s v="Male"/>
    <x v="0"/>
    <n v="3"/>
    <n v="3161"/>
    <x v="1"/>
    <n v="4"/>
    <n v="0"/>
    <n v="1"/>
    <x v="2"/>
    <s v="Excellent"/>
    <s v="₹ 10000 - ₹ 19,999"/>
    <s v="Recommend training"/>
  </r>
  <r>
    <x v="1128"/>
    <x v="26"/>
    <x v="1"/>
    <x v="2"/>
    <n v="665"/>
    <s v="Female"/>
    <x v="3"/>
    <n v="3"/>
    <n v="5985"/>
    <x v="0"/>
    <n v="3"/>
    <n v="1"/>
    <n v="2"/>
    <x v="1"/>
    <s v="Good"/>
    <s v="₹ 10000 - ₹ 19,999"/>
    <s v="Recommend training"/>
  </r>
  <r>
    <x v="1129"/>
    <x v="26"/>
    <x v="1"/>
    <x v="0"/>
    <n v="671"/>
    <s v="Male"/>
    <x v="8"/>
    <n v="4"/>
    <n v="19513"/>
    <x v="1"/>
    <n v="3"/>
    <n v="2"/>
    <n v="2"/>
    <x v="0"/>
    <s v="Good"/>
    <s v="₹ 10000 - ₹ 19,999"/>
    <s v="Recommend training"/>
  </r>
  <r>
    <x v="1130"/>
    <x v="26"/>
    <x v="1"/>
    <x v="0"/>
    <n v="744"/>
    <s v="Male"/>
    <x v="0"/>
    <n v="3"/>
    <n v="3708"/>
    <x v="0"/>
    <n v="3"/>
    <n v="5"/>
    <n v="5"/>
    <x v="1"/>
    <s v="Good"/>
    <s v="₹ 10000 - ₹ 19,999"/>
    <s v="Recommend training"/>
  </r>
  <r>
    <x v="1131"/>
    <x v="26"/>
    <x v="1"/>
    <x v="0"/>
    <n v="852"/>
    <s v="Male"/>
    <x v="6"/>
    <n v="2"/>
    <n v="5933"/>
    <x v="0"/>
    <n v="3"/>
    <n v="2"/>
    <n v="5"/>
    <x v="1"/>
    <s v="Good"/>
    <s v="₹ 10000 - ₹ 19,999"/>
    <s v="Recommend training"/>
  </r>
  <r>
    <x v="1132"/>
    <x v="26"/>
    <x v="1"/>
    <x v="0"/>
    <n v="874"/>
    <s v="Male"/>
    <x v="0"/>
    <n v="4"/>
    <n v="2818"/>
    <x v="1"/>
    <n v="4"/>
    <n v="2"/>
    <n v="3"/>
    <x v="0"/>
    <s v="Excellent"/>
    <s v="₹ 3,000- ₹ 7,000"/>
    <s v="Recommend training"/>
  </r>
  <r>
    <x v="1133"/>
    <x v="26"/>
    <x v="1"/>
    <x v="0"/>
    <n v="913"/>
    <s v="Male"/>
    <x v="2"/>
    <n v="1"/>
    <n v="2559"/>
    <x v="1"/>
    <n v="3"/>
    <n v="0"/>
    <n v="8"/>
    <x v="0"/>
    <s v="Good"/>
    <s v="₹ 3,000- ₹ 7,000"/>
    <s v="Recommend training"/>
  </r>
  <r>
    <x v="1134"/>
    <x v="26"/>
    <x v="1"/>
    <x v="1"/>
    <n v="1039"/>
    <s v="Female"/>
    <x v="5"/>
    <n v="4"/>
    <n v="13320"/>
    <x v="1"/>
    <n v="3"/>
    <n v="2"/>
    <n v="12"/>
    <x v="0"/>
    <s v="Good"/>
    <s v="₹ 10000 - ₹ 19,999"/>
    <s v="Recommend training"/>
  </r>
  <r>
    <x v="1135"/>
    <x v="26"/>
    <x v="0"/>
    <x v="2"/>
    <n v="1098"/>
    <s v="Male"/>
    <x v="3"/>
    <n v="1"/>
    <n v="10482"/>
    <x v="0"/>
    <n v="3"/>
    <n v="1"/>
    <n v="20"/>
    <x v="0"/>
    <s v="Good"/>
    <s v="₹ 10000 - ₹ 19,999"/>
    <s v="Recommend training"/>
  </r>
  <r>
    <x v="1136"/>
    <x v="26"/>
    <x v="0"/>
    <x v="0"/>
    <n v="1200"/>
    <s v="Male"/>
    <x v="2"/>
    <n v="3"/>
    <n v="2936"/>
    <x v="1"/>
    <n v="3"/>
    <n v="4"/>
    <n v="6"/>
    <x v="2"/>
    <s v="Good"/>
    <s v="₹ 3,000- ₹ 7,000"/>
    <s v="Recommend training"/>
  </r>
  <r>
    <x v="1137"/>
    <x v="26"/>
    <x v="1"/>
    <x v="0"/>
    <n v="1206"/>
    <s v="Male"/>
    <x v="2"/>
    <n v="3"/>
    <n v="2290"/>
    <x v="0"/>
    <n v="3"/>
    <n v="3"/>
    <n v="0"/>
    <x v="1"/>
    <s v="Good"/>
    <s v="₹ 3,000- ₹ 7,000"/>
    <s v="Recommend training"/>
  </r>
  <r>
    <x v="1138"/>
    <x v="26"/>
    <x v="1"/>
    <x v="0"/>
    <n v="1225"/>
    <s v="Male"/>
    <x v="2"/>
    <n v="4"/>
    <n v="4541"/>
    <x v="0"/>
    <n v="4"/>
    <n v="3"/>
    <n v="20"/>
    <x v="1"/>
    <s v="Excellent"/>
    <s v="₹ 10000 - ₹ 19,999"/>
    <s v="Not recommend training"/>
  </r>
  <r>
    <x v="1139"/>
    <x v="26"/>
    <x v="1"/>
    <x v="0"/>
    <n v="1246"/>
    <s v="Female"/>
    <x v="2"/>
    <n v="4"/>
    <n v="2011"/>
    <x v="0"/>
    <n v="3"/>
    <n v="5"/>
    <n v="10"/>
    <x v="1"/>
    <s v="Good"/>
    <s v="₹ 3,000- ₹ 7,000"/>
    <s v="Recommend training"/>
  </r>
  <r>
    <x v="1140"/>
    <x v="26"/>
    <x v="1"/>
    <x v="1"/>
    <n v="1267"/>
    <s v="Male"/>
    <x v="8"/>
    <n v="2"/>
    <n v="18213"/>
    <x v="0"/>
    <n v="3"/>
    <n v="5"/>
    <n v="22"/>
    <x v="1"/>
    <s v="Good"/>
    <s v="₹ 10000 - ₹ 19,999"/>
    <s v="Recommend training"/>
  </r>
  <r>
    <x v="1141"/>
    <x v="26"/>
    <x v="1"/>
    <x v="0"/>
    <n v="1288"/>
    <s v="Male"/>
    <x v="8"/>
    <n v="1"/>
    <n v="19190"/>
    <x v="0"/>
    <n v="3"/>
    <n v="4"/>
    <n v="25"/>
    <x v="1"/>
    <s v="Good"/>
    <s v="₹ 10000 - ₹ 19,999"/>
    <s v="Recommend training"/>
  </r>
  <r>
    <x v="1142"/>
    <x v="26"/>
    <x v="0"/>
    <x v="0"/>
    <n v="1295"/>
    <s v="Female"/>
    <x v="6"/>
    <n v="4"/>
    <n v="7978"/>
    <x v="0"/>
    <n v="3"/>
    <n v="2"/>
    <n v="10"/>
    <x v="0"/>
    <s v="Good"/>
    <s v="₹ 7,000 - ₹ 10,000"/>
    <s v="Recommend training"/>
  </r>
  <r>
    <x v="1143"/>
    <x v="26"/>
    <x v="0"/>
    <x v="0"/>
    <n v="1333"/>
    <s v="Male"/>
    <x v="0"/>
    <n v="1"/>
    <n v="2362"/>
    <x v="0"/>
    <n v="3"/>
    <n v="4"/>
    <n v="3"/>
    <x v="0"/>
    <s v="Good"/>
    <s v="₹ 3,000- ₹ 7,000"/>
    <s v="Recommend training"/>
  </r>
  <r>
    <x v="1144"/>
    <x v="26"/>
    <x v="1"/>
    <x v="0"/>
    <n v="1471"/>
    <s v="Male"/>
    <x v="0"/>
    <n v="3"/>
    <n v="3162"/>
    <x v="0"/>
    <n v="3"/>
    <n v="5"/>
    <n v="5"/>
    <x v="1"/>
    <s v="Good"/>
    <s v="₹ 10000 - ₹ 19,999"/>
    <s v="Recommend training"/>
  </r>
  <r>
    <x v="1145"/>
    <x v="26"/>
    <x v="1"/>
    <x v="0"/>
    <n v="1475"/>
    <s v="Male"/>
    <x v="2"/>
    <n v="2"/>
    <n v="3420"/>
    <x v="0"/>
    <n v="3"/>
    <n v="3"/>
    <n v="5"/>
    <x v="1"/>
    <s v="Good"/>
    <s v="₹ 10000 - ₹ 19,999"/>
    <s v="Recommend training"/>
  </r>
  <r>
    <x v="1146"/>
    <x v="26"/>
    <x v="1"/>
    <x v="1"/>
    <n v="1481"/>
    <s v="Female"/>
    <x v="5"/>
    <n v="3"/>
    <n v="4768"/>
    <x v="0"/>
    <n v="3"/>
    <n v="4"/>
    <n v="1"/>
    <x v="1"/>
    <s v="Good"/>
    <s v="₹ 10000 - ₹ 19,999"/>
    <s v="Recommend training"/>
  </r>
  <r>
    <x v="1147"/>
    <x v="26"/>
    <x v="1"/>
    <x v="0"/>
    <n v="1496"/>
    <s v="Male"/>
    <x v="4"/>
    <n v="3"/>
    <n v="10209"/>
    <x v="1"/>
    <n v="3"/>
    <n v="2"/>
    <n v="2"/>
    <x v="0"/>
    <s v="Good"/>
    <s v="₹ 10000 - ₹ 19,999"/>
    <s v="Recommend training"/>
  </r>
  <r>
    <x v="1148"/>
    <x v="26"/>
    <x v="1"/>
    <x v="0"/>
    <n v="1523"/>
    <s v="Male"/>
    <x v="7"/>
    <n v="1"/>
    <n v="16328"/>
    <x v="0"/>
    <n v="3"/>
    <n v="1"/>
    <n v="20"/>
    <x v="1"/>
    <s v="Good"/>
    <s v="₹ 10000 - ₹ 19,999"/>
    <s v="Recommend training"/>
  </r>
  <r>
    <x v="1149"/>
    <x v="26"/>
    <x v="1"/>
    <x v="0"/>
    <n v="1608"/>
    <s v="Female"/>
    <x v="7"/>
    <n v="4"/>
    <n v="19049"/>
    <x v="1"/>
    <n v="3"/>
    <n v="4"/>
    <n v="22"/>
    <x v="0"/>
    <s v="Good"/>
    <s v="₹ 10000 - ₹ 19,999"/>
    <s v="Recommend training"/>
  </r>
  <r>
    <x v="1150"/>
    <x v="26"/>
    <x v="1"/>
    <x v="2"/>
    <n v="1642"/>
    <s v="Male"/>
    <x v="3"/>
    <n v="4"/>
    <n v="5743"/>
    <x v="1"/>
    <n v="3"/>
    <n v="3"/>
    <n v="10"/>
    <x v="0"/>
    <s v="Good"/>
    <s v="₹ 10000 - ₹ 19,999"/>
    <s v="Recommend training"/>
  </r>
  <r>
    <x v="1151"/>
    <x v="26"/>
    <x v="1"/>
    <x v="2"/>
    <n v="1683"/>
    <s v="Female"/>
    <x v="3"/>
    <n v="4"/>
    <n v="3195"/>
    <x v="1"/>
    <n v="3"/>
    <n v="2"/>
    <n v="2"/>
    <x v="0"/>
    <s v="Good"/>
    <s v="₹ 10000 - ₹ 19,999"/>
    <s v="Recommend training"/>
  </r>
  <r>
    <x v="1152"/>
    <x v="26"/>
    <x v="1"/>
    <x v="0"/>
    <n v="1703"/>
    <s v="Female"/>
    <x v="6"/>
    <n v="4"/>
    <n v="7879"/>
    <x v="1"/>
    <n v="3"/>
    <n v="2"/>
    <n v="8"/>
    <x v="0"/>
    <s v="Good"/>
    <s v="₹ 7,000 - ₹ 10,000"/>
    <s v="Recommend training"/>
  </r>
  <r>
    <x v="1153"/>
    <x v="26"/>
    <x v="0"/>
    <x v="0"/>
    <n v="1792"/>
    <s v="Male"/>
    <x v="2"/>
    <n v="2"/>
    <n v="2342"/>
    <x v="1"/>
    <n v="3"/>
    <n v="2"/>
    <n v="5"/>
    <x v="2"/>
    <s v="Good"/>
    <s v="₹ 3,000- ₹ 7,000"/>
    <s v="Recommend training"/>
  </r>
  <r>
    <x v="1154"/>
    <x v="26"/>
    <x v="1"/>
    <x v="0"/>
    <n v="1903"/>
    <s v="Male"/>
    <x v="6"/>
    <n v="1"/>
    <n v="5033"/>
    <x v="0"/>
    <n v="3"/>
    <n v="5"/>
    <n v="2"/>
    <x v="1"/>
    <s v="Good"/>
    <s v="₹ 10000 - ₹ 19,999"/>
    <s v="Recommend training"/>
  </r>
  <r>
    <x v="1155"/>
    <x v="26"/>
    <x v="1"/>
    <x v="0"/>
    <n v="2020"/>
    <s v="Male"/>
    <x v="2"/>
    <n v="4"/>
    <n v="2436"/>
    <x v="1"/>
    <n v="3"/>
    <n v="2"/>
    <n v="4"/>
    <x v="0"/>
    <s v="Good"/>
    <s v="₹ 3,000- ₹ 7,000"/>
    <s v="Recommend training"/>
  </r>
  <r>
    <x v="1156"/>
    <x v="27"/>
    <x v="1"/>
    <x v="0"/>
    <n v="86"/>
    <s v="Male"/>
    <x v="2"/>
    <n v="1"/>
    <n v="9724"/>
    <x v="0"/>
    <n v="3"/>
    <n v="2"/>
    <n v="1"/>
    <x v="1"/>
    <s v="Good"/>
    <s v="₹ 7,000 - ₹ 10,000"/>
    <s v="Recommend training"/>
  </r>
  <r>
    <x v="1157"/>
    <x v="27"/>
    <x v="1"/>
    <x v="0"/>
    <n v="101"/>
    <s v="Male"/>
    <x v="7"/>
    <n v="1"/>
    <n v="13245"/>
    <x v="1"/>
    <n v="3"/>
    <n v="3"/>
    <n v="0"/>
    <x v="0"/>
    <s v="Good"/>
    <s v="₹ 10000 - ₹ 19,999"/>
    <s v="Recommend training"/>
  </r>
  <r>
    <x v="1158"/>
    <x v="27"/>
    <x v="1"/>
    <x v="0"/>
    <n v="192"/>
    <s v="Male"/>
    <x v="2"/>
    <n v="4"/>
    <n v="3452"/>
    <x v="0"/>
    <n v="3"/>
    <n v="2"/>
    <n v="6"/>
    <x v="1"/>
    <s v="Good"/>
    <s v="₹ 10000 - ₹ 19,999"/>
    <s v="Recommend training"/>
  </r>
  <r>
    <x v="1159"/>
    <x v="27"/>
    <x v="1"/>
    <x v="0"/>
    <n v="206"/>
    <s v="Male"/>
    <x v="0"/>
    <n v="2"/>
    <n v="2348"/>
    <x v="0"/>
    <n v="3"/>
    <n v="2"/>
    <n v="17"/>
    <x v="1"/>
    <s v="Good"/>
    <s v="₹ 3,000- ₹ 7,000"/>
    <s v="Recommend training"/>
  </r>
  <r>
    <x v="1160"/>
    <x v="27"/>
    <x v="1"/>
    <x v="1"/>
    <n v="240"/>
    <s v="Female"/>
    <x v="5"/>
    <n v="1"/>
    <n v="5006"/>
    <x v="1"/>
    <n v="3"/>
    <n v="3"/>
    <n v="5"/>
    <x v="0"/>
    <s v="Good"/>
    <s v="₹ 10000 - ₹ 19,999"/>
    <s v="Recommend training"/>
  </r>
  <r>
    <x v="1161"/>
    <x v="27"/>
    <x v="1"/>
    <x v="0"/>
    <n v="264"/>
    <s v="Male"/>
    <x v="8"/>
    <n v="4"/>
    <n v="16792"/>
    <x v="0"/>
    <n v="4"/>
    <n v="1"/>
    <n v="20"/>
    <x v="1"/>
    <s v="Excellent"/>
    <s v="₹ 10000 - ₹ 19,999"/>
    <s v="Not recommend training"/>
  </r>
  <r>
    <x v="1162"/>
    <x v="27"/>
    <x v="1"/>
    <x v="1"/>
    <n v="302"/>
    <s v="Female"/>
    <x v="5"/>
    <n v="4"/>
    <n v="8865"/>
    <x v="0"/>
    <n v="3"/>
    <n v="2"/>
    <n v="19"/>
    <x v="1"/>
    <s v="Good"/>
    <s v="₹ 7,000 - ₹ 10,000"/>
    <s v="Recommend training"/>
  </r>
  <r>
    <x v="1163"/>
    <x v="27"/>
    <x v="1"/>
    <x v="0"/>
    <n v="336"/>
    <s v="Male"/>
    <x v="8"/>
    <n v="4"/>
    <n v="19202"/>
    <x v="0"/>
    <n v="3"/>
    <n v="2"/>
    <n v="24"/>
    <x v="1"/>
    <s v="Good"/>
    <s v="₹ 10000 - ₹ 19,999"/>
    <s v="Recommend training"/>
  </r>
  <r>
    <x v="1164"/>
    <x v="27"/>
    <x v="1"/>
    <x v="0"/>
    <n v="341"/>
    <s v="Male"/>
    <x v="4"/>
    <n v="3"/>
    <n v="6434"/>
    <x v="0"/>
    <n v="3"/>
    <n v="1"/>
    <n v="3"/>
    <x v="1"/>
    <s v="Good"/>
    <s v="₹ 10000 - ₹ 19,999"/>
    <s v="Recommend training"/>
  </r>
  <r>
    <x v="1165"/>
    <x v="27"/>
    <x v="1"/>
    <x v="0"/>
    <n v="372"/>
    <s v="Male"/>
    <x v="6"/>
    <n v="4"/>
    <n v="13496"/>
    <x v="1"/>
    <n v="3"/>
    <n v="2"/>
    <n v="20"/>
    <x v="0"/>
    <s v="Good"/>
    <s v="₹ 10000 - ₹ 19,999"/>
    <s v="Recommend training"/>
  </r>
  <r>
    <x v="1166"/>
    <x v="27"/>
    <x v="1"/>
    <x v="0"/>
    <n v="425"/>
    <s v="Male"/>
    <x v="0"/>
    <n v="1"/>
    <n v="5210"/>
    <x v="0"/>
    <n v="3"/>
    <n v="2"/>
    <n v="24"/>
    <x v="1"/>
    <s v="Good"/>
    <s v="₹ 10000 - ₹ 19,999"/>
    <s v="Recommend training"/>
  </r>
  <r>
    <x v="1167"/>
    <x v="27"/>
    <x v="1"/>
    <x v="0"/>
    <n v="452"/>
    <s v="Male"/>
    <x v="2"/>
    <n v="4"/>
    <n v="3697"/>
    <x v="0"/>
    <n v="3"/>
    <n v="3"/>
    <n v="10"/>
    <x v="1"/>
    <s v="Good"/>
    <s v="₹ 10000 - ₹ 19,999"/>
    <s v="Recommend training"/>
  </r>
  <r>
    <x v="1168"/>
    <x v="27"/>
    <x v="1"/>
    <x v="0"/>
    <n v="544"/>
    <s v="Male"/>
    <x v="2"/>
    <n v="4"/>
    <n v="2654"/>
    <x v="0"/>
    <n v="4"/>
    <n v="3"/>
    <n v="2"/>
    <x v="1"/>
    <s v="Excellent"/>
    <s v="₹ 3,000- ₹ 7,000"/>
    <s v="Not recommend training"/>
  </r>
  <r>
    <x v="1169"/>
    <x v="27"/>
    <x v="1"/>
    <x v="1"/>
    <n v="606"/>
    <s v="Male"/>
    <x v="5"/>
    <n v="2"/>
    <n v="4805"/>
    <x v="0"/>
    <n v="3"/>
    <n v="3"/>
    <n v="8"/>
    <x v="1"/>
    <s v="Good"/>
    <s v="₹ 10000 - ₹ 19,999"/>
    <s v="Recommend training"/>
  </r>
  <r>
    <x v="1170"/>
    <x v="27"/>
    <x v="0"/>
    <x v="1"/>
    <n v="684"/>
    <s v="Female"/>
    <x v="5"/>
    <n v="1"/>
    <n v="4286"/>
    <x v="0"/>
    <n v="3"/>
    <n v="4"/>
    <n v="1"/>
    <x v="0"/>
    <s v="Good"/>
    <s v="₹ 10000 - ₹ 19,999"/>
    <s v="Recommend training"/>
  </r>
  <r>
    <x v="1171"/>
    <x v="27"/>
    <x v="1"/>
    <x v="1"/>
    <n v="783"/>
    <s v="Male"/>
    <x v="1"/>
    <n v="3"/>
    <n v="6632"/>
    <x v="0"/>
    <n v="3"/>
    <n v="3"/>
    <n v="8"/>
    <x v="1"/>
    <s v="Good"/>
    <s v="₹ 10000 - ₹ 19,999"/>
    <s v="Recommend training"/>
  </r>
  <r>
    <x v="1172"/>
    <x v="27"/>
    <x v="1"/>
    <x v="0"/>
    <n v="834"/>
    <s v="Female"/>
    <x v="2"/>
    <n v="3"/>
    <n v="2274"/>
    <x v="0"/>
    <n v="3"/>
    <n v="3"/>
    <n v="1"/>
    <x v="1"/>
    <s v="Good"/>
    <s v="₹ 3,000- ₹ 7,000"/>
    <s v="Recommend training"/>
  </r>
  <r>
    <x v="1173"/>
    <x v="27"/>
    <x v="1"/>
    <x v="1"/>
    <n v="864"/>
    <s v="Male"/>
    <x v="5"/>
    <n v="1"/>
    <n v="10761"/>
    <x v="1"/>
    <n v="3"/>
    <n v="2"/>
    <n v="5"/>
    <x v="0"/>
    <s v="Good"/>
    <s v="₹ 10000 - ₹ 19,999"/>
    <s v="Recommend training"/>
  </r>
  <r>
    <x v="1174"/>
    <x v="27"/>
    <x v="1"/>
    <x v="0"/>
    <n v="972"/>
    <s v="Male"/>
    <x v="0"/>
    <n v="2"/>
    <n v="4447"/>
    <x v="0"/>
    <n v="3"/>
    <n v="5"/>
    <n v="9"/>
    <x v="1"/>
    <s v="Good"/>
    <s v="₹ 10000 - ₹ 19,999"/>
    <s v="Recommend training"/>
  </r>
  <r>
    <x v="1175"/>
    <x v="27"/>
    <x v="1"/>
    <x v="0"/>
    <n v="996"/>
    <s v="Female"/>
    <x v="0"/>
    <n v="4"/>
    <n v="2270"/>
    <x v="0"/>
    <n v="3"/>
    <n v="2"/>
    <n v="5"/>
    <x v="1"/>
    <s v="Good"/>
    <s v="₹ 3,000- ₹ 7,000"/>
    <s v="Recommend training"/>
  </r>
  <r>
    <x v="1176"/>
    <x v="27"/>
    <x v="1"/>
    <x v="0"/>
    <n v="1002"/>
    <s v="Male"/>
    <x v="0"/>
    <n v="1"/>
    <n v="3633"/>
    <x v="1"/>
    <n v="3"/>
    <n v="2"/>
    <n v="9"/>
    <x v="0"/>
    <s v="Good"/>
    <s v="₹ 10000 - ₹ 19,999"/>
    <s v="Recommend training"/>
  </r>
  <r>
    <x v="1177"/>
    <x v="27"/>
    <x v="1"/>
    <x v="1"/>
    <n v="1045"/>
    <s v="Female"/>
    <x v="8"/>
    <n v="4"/>
    <n v="17650"/>
    <x v="0"/>
    <n v="3"/>
    <n v="4"/>
    <n v="9"/>
    <x v="1"/>
    <s v="Good"/>
    <s v="₹ 10000 - ₹ 19,999"/>
    <s v="Recommend training"/>
  </r>
  <r>
    <x v="1178"/>
    <x v="27"/>
    <x v="1"/>
    <x v="2"/>
    <n v="1049"/>
    <s v="Male"/>
    <x v="3"/>
    <n v="2"/>
    <n v="2177"/>
    <x v="0"/>
    <n v="3"/>
    <n v="3"/>
    <n v="6"/>
    <x v="1"/>
    <s v="Good"/>
    <s v="₹ 3,000- ₹ 7,000"/>
    <s v="Recommend training"/>
  </r>
  <r>
    <x v="1179"/>
    <x v="27"/>
    <x v="1"/>
    <x v="1"/>
    <n v="1117"/>
    <s v="Female"/>
    <x v="5"/>
    <n v="3"/>
    <n v="5593"/>
    <x v="0"/>
    <n v="3"/>
    <n v="2"/>
    <n v="15"/>
    <x v="1"/>
    <s v="Good"/>
    <s v="₹ 10000 - ₹ 19,999"/>
    <s v="Recommend training"/>
  </r>
  <r>
    <x v="1180"/>
    <x v="27"/>
    <x v="1"/>
    <x v="0"/>
    <n v="1195"/>
    <s v="Female"/>
    <x v="2"/>
    <n v="3"/>
    <n v="4477"/>
    <x v="1"/>
    <n v="3"/>
    <n v="2"/>
    <n v="3"/>
    <x v="0"/>
    <s v="Good"/>
    <s v="₹ 10000 - ₹ 19,999"/>
    <s v="Recommend training"/>
  </r>
  <r>
    <x v="1181"/>
    <x v="27"/>
    <x v="0"/>
    <x v="1"/>
    <n v="1277"/>
    <s v="Female"/>
    <x v="8"/>
    <n v="2"/>
    <n v="18824"/>
    <x v="1"/>
    <n v="3"/>
    <n v="2"/>
    <n v="24"/>
    <x v="2"/>
    <s v="Good"/>
    <s v="₹ 10000 - ₹ 19,999"/>
    <s v="Recommend training"/>
  </r>
  <r>
    <x v="1182"/>
    <x v="27"/>
    <x v="1"/>
    <x v="0"/>
    <n v="1306"/>
    <s v="Female"/>
    <x v="8"/>
    <n v="2"/>
    <n v="18061"/>
    <x v="0"/>
    <n v="4"/>
    <n v="4"/>
    <n v="0"/>
    <x v="1"/>
    <s v="Excellent"/>
    <s v="₹ 10000 - ₹ 19,999"/>
    <s v="Not recommend training"/>
  </r>
  <r>
    <x v="1183"/>
    <x v="27"/>
    <x v="1"/>
    <x v="0"/>
    <n v="1460"/>
    <s v="Male"/>
    <x v="6"/>
    <n v="1"/>
    <n v="10851"/>
    <x v="1"/>
    <n v="3"/>
    <n v="2"/>
    <n v="7"/>
    <x v="0"/>
    <s v="Good"/>
    <s v="₹ 10000 - ₹ 19,999"/>
    <s v="Recommend training"/>
  </r>
  <r>
    <x v="1184"/>
    <x v="27"/>
    <x v="1"/>
    <x v="0"/>
    <n v="1465"/>
    <s v="Male"/>
    <x v="4"/>
    <n v="4"/>
    <n v="9380"/>
    <x v="1"/>
    <n v="3"/>
    <n v="4"/>
    <n v="3"/>
    <x v="0"/>
    <s v="Good"/>
    <s v="₹ 7,000 - ₹ 10,000"/>
    <s v="Recommend training"/>
  </r>
  <r>
    <x v="1185"/>
    <x v="27"/>
    <x v="1"/>
    <x v="0"/>
    <n v="1546"/>
    <s v="Male"/>
    <x v="2"/>
    <n v="4"/>
    <n v="2132"/>
    <x v="0"/>
    <n v="4"/>
    <n v="3"/>
    <n v="5"/>
    <x v="1"/>
    <s v="Excellent"/>
    <s v="₹ 3,000- ₹ 7,000"/>
    <s v="Not recommend training"/>
  </r>
  <r>
    <x v="1186"/>
    <x v="27"/>
    <x v="1"/>
    <x v="0"/>
    <n v="1553"/>
    <s v="Male"/>
    <x v="6"/>
    <n v="2"/>
    <n v="7441"/>
    <x v="0"/>
    <n v="3"/>
    <n v="4"/>
    <n v="10"/>
    <x v="1"/>
    <s v="Good"/>
    <s v="₹ 7,000 - ₹ 10,000"/>
    <s v="Recommend training"/>
  </r>
  <r>
    <x v="1187"/>
    <x v="27"/>
    <x v="1"/>
    <x v="0"/>
    <n v="1611"/>
    <s v="Female"/>
    <x v="0"/>
    <n v="1"/>
    <n v="5769"/>
    <x v="1"/>
    <n v="3"/>
    <n v="3"/>
    <n v="10"/>
    <x v="0"/>
    <s v="Good"/>
    <s v="₹ 10000 - ₹ 19,999"/>
    <s v="Recommend training"/>
  </r>
  <r>
    <x v="1188"/>
    <x v="27"/>
    <x v="1"/>
    <x v="1"/>
    <n v="1612"/>
    <s v="Male"/>
    <x v="5"/>
    <n v="1"/>
    <n v="4385"/>
    <x v="0"/>
    <n v="3"/>
    <n v="2"/>
    <n v="10"/>
    <x v="1"/>
    <s v="Good"/>
    <s v="₹ 10000 - ₹ 19,999"/>
    <s v="Recommend training"/>
  </r>
  <r>
    <x v="1189"/>
    <x v="27"/>
    <x v="1"/>
    <x v="0"/>
    <n v="1635"/>
    <s v="Female"/>
    <x v="4"/>
    <n v="4"/>
    <n v="5770"/>
    <x v="0"/>
    <n v="3"/>
    <n v="3"/>
    <n v="10"/>
    <x v="1"/>
    <s v="Good"/>
    <s v="₹ 10000 - ₹ 19,999"/>
    <s v="Recommend training"/>
  </r>
  <r>
    <x v="1190"/>
    <x v="27"/>
    <x v="1"/>
    <x v="0"/>
    <n v="1712"/>
    <s v="Male"/>
    <x v="6"/>
    <n v="3"/>
    <n v="10748"/>
    <x v="0"/>
    <n v="4"/>
    <n v="3"/>
    <n v="23"/>
    <x v="1"/>
    <s v="Excellent"/>
    <s v="₹ 10000 - ₹ 19,999"/>
    <s v="Not recommend training"/>
  </r>
  <r>
    <x v="1191"/>
    <x v="27"/>
    <x v="1"/>
    <x v="0"/>
    <n v="1719"/>
    <s v="Female"/>
    <x v="7"/>
    <n v="2"/>
    <n v="16704"/>
    <x v="0"/>
    <n v="3"/>
    <n v="2"/>
    <n v="21"/>
    <x v="1"/>
    <s v="Good"/>
    <s v="₹ 10000 - ₹ 19,999"/>
    <s v="Recommend training"/>
  </r>
  <r>
    <x v="1192"/>
    <x v="27"/>
    <x v="1"/>
    <x v="2"/>
    <n v="1744"/>
    <s v="Female"/>
    <x v="3"/>
    <n v="3"/>
    <n v="9756"/>
    <x v="0"/>
    <n v="4"/>
    <n v="2"/>
    <n v="5"/>
    <x v="1"/>
    <s v="Excellent"/>
    <s v="₹ 7,000 - ₹ 10,000"/>
    <s v="Recommend training"/>
  </r>
  <r>
    <x v="1193"/>
    <x v="27"/>
    <x v="1"/>
    <x v="1"/>
    <n v="1845"/>
    <s v="Female"/>
    <x v="5"/>
    <n v="3"/>
    <n v="5154"/>
    <x v="0"/>
    <n v="4"/>
    <n v="3"/>
    <n v="8"/>
    <x v="1"/>
    <s v="Excellent"/>
    <s v="₹ 10000 - ₹ 19,999"/>
    <s v="Not recommend training"/>
  </r>
  <r>
    <x v="1194"/>
    <x v="27"/>
    <x v="1"/>
    <x v="0"/>
    <n v="1888"/>
    <s v="Female"/>
    <x v="4"/>
    <n v="4"/>
    <n v="5906"/>
    <x v="0"/>
    <n v="3"/>
    <n v="2"/>
    <n v="9"/>
    <x v="1"/>
    <s v="Good"/>
    <s v="₹ 10000 - ₹ 19,999"/>
    <s v="Recommend training"/>
  </r>
  <r>
    <x v="1195"/>
    <x v="27"/>
    <x v="1"/>
    <x v="0"/>
    <n v="1922"/>
    <s v="Male"/>
    <x v="6"/>
    <n v="3"/>
    <n v="5399"/>
    <x v="0"/>
    <n v="3"/>
    <n v="3"/>
    <n v="4"/>
    <x v="1"/>
    <s v="Good"/>
    <s v="₹ 10000 - ₹ 19,999"/>
    <s v="Recommend training"/>
  </r>
  <r>
    <x v="1196"/>
    <x v="27"/>
    <x v="1"/>
    <x v="1"/>
    <n v="2046"/>
    <s v="Female"/>
    <x v="5"/>
    <n v="3"/>
    <n v="4850"/>
    <x v="0"/>
    <n v="3"/>
    <n v="3"/>
    <n v="5"/>
    <x v="1"/>
    <s v="Good"/>
    <s v="₹ 10000 - ₹ 19,999"/>
    <s v="Recommend training"/>
  </r>
  <r>
    <x v="1197"/>
    <x v="28"/>
    <x v="1"/>
    <x v="1"/>
    <n v="38"/>
    <s v="Female"/>
    <x v="8"/>
    <n v="1"/>
    <n v="18947"/>
    <x v="0"/>
    <n v="3"/>
    <n v="2"/>
    <n v="2"/>
    <x v="1"/>
    <s v="Good"/>
    <s v="₹ 10000 - ₹ 19,999"/>
    <s v="Recommend training"/>
  </r>
  <r>
    <x v="1198"/>
    <x v="28"/>
    <x v="1"/>
    <x v="1"/>
    <n v="62"/>
    <s v="Male"/>
    <x v="5"/>
    <n v="4"/>
    <n v="5772"/>
    <x v="1"/>
    <n v="4"/>
    <n v="4"/>
    <n v="9"/>
    <x v="0"/>
    <s v="Excellent"/>
    <s v="₹ 10000 - ₹ 19,999"/>
    <s v="Not recommend training"/>
  </r>
  <r>
    <x v="1199"/>
    <x v="28"/>
    <x v="1"/>
    <x v="2"/>
    <n v="103"/>
    <s v="Male"/>
    <x v="3"/>
    <n v="2"/>
    <n v="5021"/>
    <x v="1"/>
    <n v="4"/>
    <n v="2"/>
    <n v="4"/>
    <x v="0"/>
    <s v="Excellent"/>
    <s v="₹ 10000 - ₹ 19,999"/>
    <s v="Recommend training"/>
  </r>
  <r>
    <x v="1200"/>
    <x v="28"/>
    <x v="0"/>
    <x v="1"/>
    <n v="118"/>
    <s v="Male"/>
    <x v="5"/>
    <n v="4"/>
    <n v="9619"/>
    <x v="0"/>
    <n v="3"/>
    <n v="3"/>
    <n v="9"/>
    <x v="0"/>
    <s v="Good"/>
    <s v="₹ 7,000 - ₹ 10,000"/>
    <s v="Recommend training"/>
  </r>
  <r>
    <x v="1201"/>
    <x v="28"/>
    <x v="1"/>
    <x v="0"/>
    <n v="124"/>
    <s v="Male"/>
    <x v="6"/>
    <n v="1"/>
    <n v="10673"/>
    <x v="1"/>
    <n v="3"/>
    <n v="5"/>
    <n v="10"/>
    <x v="0"/>
    <s v="Good"/>
    <s v="₹ 10000 - ₹ 19,999"/>
    <s v="Recommend training"/>
  </r>
  <r>
    <x v="1202"/>
    <x v="28"/>
    <x v="1"/>
    <x v="1"/>
    <n v="244"/>
    <s v="Female"/>
    <x v="5"/>
    <n v="1"/>
    <n v="10453"/>
    <x v="0"/>
    <n v="4"/>
    <n v="2"/>
    <n v="24"/>
    <x v="1"/>
    <s v="Excellent"/>
    <s v="₹ 10000 - ₹ 19,999"/>
    <s v="Recommend training"/>
  </r>
  <r>
    <x v="1203"/>
    <x v="28"/>
    <x v="1"/>
    <x v="0"/>
    <n v="288"/>
    <s v="Male"/>
    <x v="6"/>
    <n v="1"/>
    <n v="9396"/>
    <x v="0"/>
    <n v="3"/>
    <n v="3"/>
    <n v="4"/>
    <x v="1"/>
    <s v="Good"/>
    <s v="₹ 7,000 - ₹ 10,000"/>
    <s v="Recommend training"/>
  </r>
  <r>
    <x v="1204"/>
    <x v="28"/>
    <x v="1"/>
    <x v="1"/>
    <n v="363"/>
    <s v="Female"/>
    <x v="8"/>
    <n v="2"/>
    <n v="16872"/>
    <x v="1"/>
    <n v="3"/>
    <n v="2"/>
    <n v="7"/>
    <x v="0"/>
    <s v="Good"/>
    <s v="₹ 10000 - ₹ 19,999"/>
    <s v="Recommend training"/>
  </r>
  <r>
    <x v="1205"/>
    <x v="28"/>
    <x v="1"/>
    <x v="0"/>
    <n v="487"/>
    <s v="Female"/>
    <x v="4"/>
    <n v="3"/>
    <n v="5258"/>
    <x v="0"/>
    <n v="3"/>
    <n v="2"/>
    <n v="1"/>
    <x v="1"/>
    <s v="Good"/>
    <s v="₹ 10000 - ₹ 19,999"/>
    <s v="Recommend training"/>
  </r>
  <r>
    <x v="1206"/>
    <x v="28"/>
    <x v="1"/>
    <x v="0"/>
    <n v="550"/>
    <s v="Female"/>
    <x v="4"/>
    <n v="3"/>
    <n v="4810"/>
    <x v="0"/>
    <n v="3"/>
    <n v="5"/>
    <n v="10"/>
    <x v="1"/>
    <s v="Good"/>
    <s v="₹ 10000 - ₹ 19,999"/>
    <s v="Recommend training"/>
  </r>
  <r>
    <x v="1207"/>
    <x v="28"/>
    <x v="1"/>
    <x v="0"/>
    <n v="575"/>
    <s v="Male"/>
    <x v="7"/>
    <n v="3"/>
    <n v="17861"/>
    <x v="0"/>
    <n v="3"/>
    <n v="2"/>
    <n v="3"/>
    <x v="1"/>
    <s v="Good"/>
    <s v="₹ 10000 - ₹ 19,999"/>
    <s v="Recommend training"/>
  </r>
  <r>
    <x v="1208"/>
    <x v="28"/>
    <x v="1"/>
    <x v="1"/>
    <n v="580"/>
    <s v="Female"/>
    <x v="5"/>
    <n v="4"/>
    <n v="9071"/>
    <x v="1"/>
    <n v="3"/>
    <n v="3"/>
    <n v="3"/>
    <x v="0"/>
    <s v="Good"/>
    <s v="₹ 7,000 - ₹ 10,000"/>
    <s v="Recommend training"/>
  </r>
  <r>
    <x v="1209"/>
    <x v="28"/>
    <x v="1"/>
    <x v="0"/>
    <n v="624"/>
    <s v="Female"/>
    <x v="6"/>
    <n v="3"/>
    <n v="10527"/>
    <x v="0"/>
    <n v="3"/>
    <n v="3"/>
    <n v="2"/>
    <x v="1"/>
    <s v="Good"/>
    <s v="₹ 10000 - ₹ 19,999"/>
    <s v="Recommend training"/>
  </r>
  <r>
    <x v="1210"/>
    <x v="28"/>
    <x v="1"/>
    <x v="0"/>
    <n v="1007"/>
    <s v="Male"/>
    <x v="4"/>
    <n v="3"/>
    <n v="10845"/>
    <x v="0"/>
    <n v="3"/>
    <n v="3"/>
    <n v="8"/>
    <x v="1"/>
    <s v="Good"/>
    <s v="₹ 10000 - ₹ 19,999"/>
    <s v="Recommend training"/>
  </r>
  <r>
    <x v="1211"/>
    <x v="28"/>
    <x v="1"/>
    <x v="0"/>
    <n v="1069"/>
    <s v="Male"/>
    <x v="7"/>
    <n v="4"/>
    <n v="19627"/>
    <x v="0"/>
    <n v="3"/>
    <n v="0"/>
    <n v="2"/>
    <x v="1"/>
    <s v="Good"/>
    <s v="₹ 10000 - ₹ 19,999"/>
    <s v="Recommend training"/>
  </r>
  <r>
    <x v="1212"/>
    <x v="28"/>
    <x v="1"/>
    <x v="0"/>
    <n v="1080"/>
    <s v="Female"/>
    <x v="2"/>
    <n v="1"/>
    <n v="4615"/>
    <x v="1"/>
    <n v="4"/>
    <n v="2"/>
    <n v="16"/>
    <x v="0"/>
    <s v="Excellent"/>
    <s v="₹ 10000 - ₹ 19,999"/>
    <s v="Recommend training"/>
  </r>
  <r>
    <x v="1213"/>
    <x v="28"/>
    <x v="1"/>
    <x v="1"/>
    <n v="1124"/>
    <s v="Male"/>
    <x v="8"/>
    <n v="3"/>
    <n v="17465"/>
    <x v="0"/>
    <n v="3"/>
    <n v="3"/>
    <n v="12"/>
    <x v="1"/>
    <s v="Good"/>
    <s v="₹ 10000 - ₹ 19,999"/>
    <s v="Recommend training"/>
  </r>
  <r>
    <x v="1214"/>
    <x v="28"/>
    <x v="1"/>
    <x v="1"/>
    <n v="1204"/>
    <s v="Female"/>
    <x v="8"/>
    <n v="1"/>
    <n v="17048"/>
    <x v="0"/>
    <n v="4"/>
    <n v="2"/>
    <n v="26"/>
    <x v="1"/>
    <s v="Excellent"/>
    <s v="₹ 10000 - ₹ 19,999"/>
    <s v="Recommend training"/>
  </r>
  <r>
    <x v="1215"/>
    <x v="28"/>
    <x v="1"/>
    <x v="0"/>
    <n v="1217"/>
    <s v="Male"/>
    <x v="7"/>
    <n v="2"/>
    <n v="19081"/>
    <x v="0"/>
    <n v="3"/>
    <n v="2"/>
    <n v="4"/>
    <x v="1"/>
    <s v="Good"/>
    <s v="₹ 10000 - ₹ 19,999"/>
    <s v="Recommend training"/>
  </r>
  <r>
    <x v="1216"/>
    <x v="28"/>
    <x v="1"/>
    <x v="0"/>
    <n v="1228"/>
    <s v="Male"/>
    <x v="4"/>
    <n v="4"/>
    <n v="7379"/>
    <x v="0"/>
    <n v="3"/>
    <n v="3"/>
    <n v="6"/>
    <x v="1"/>
    <s v="Good"/>
    <s v="₹ 7,000 - ₹ 10,000"/>
    <s v="Recommend training"/>
  </r>
  <r>
    <x v="1217"/>
    <x v="28"/>
    <x v="1"/>
    <x v="1"/>
    <n v="1280"/>
    <s v="Female"/>
    <x v="8"/>
    <n v="2"/>
    <n v="18789"/>
    <x v="0"/>
    <n v="3"/>
    <n v="2"/>
    <n v="11"/>
    <x v="1"/>
    <s v="Good"/>
    <s v="₹ 10000 - ₹ 19,999"/>
    <s v="Recommend training"/>
  </r>
  <r>
    <x v="1218"/>
    <x v="28"/>
    <x v="1"/>
    <x v="2"/>
    <n v="1314"/>
    <s v="Female"/>
    <x v="3"/>
    <n v="1"/>
    <n v="3423"/>
    <x v="0"/>
    <n v="3"/>
    <n v="3"/>
    <n v="7"/>
    <x v="1"/>
    <s v="Good"/>
    <s v="₹ 10000 - ₹ 19,999"/>
    <s v="Recommend training"/>
  </r>
  <r>
    <x v="1219"/>
    <x v="28"/>
    <x v="0"/>
    <x v="1"/>
    <n v="1457"/>
    <s v="Male"/>
    <x v="5"/>
    <n v="4"/>
    <n v="10096"/>
    <x v="0"/>
    <n v="3"/>
    <n v="1"/>
    <n v="7"/>
    <x v="0"/>
    <s v="Good"/>
    <s v="₹ 10000 - ₹ 19,999"/>
    <s v="Recommend training"/>
  </r>
  <r>
    <x v="1220"/>
    <x v="28"/>
    <x v="1"/>
    <x v="1"/>
    <n v="1527"/>
    <s v="Female"/>
    <x v="8"/>
    <n v="2"/>
    <n v="16606"/>
    <x v="0"/>
    <n v="3"/>
    <n v="2"/>
    <n v="13"/>
    <x v="1"/>
    <s v="Good"/>
    <s v="₹ 10000 - ₹ 19,999"/>
    <s v="Recommend training"/>
  </r>
  <r>
    <x v="1221"/>
    <x v="28"/>
    <x v="1"/>
    <x v="1"/>
    <n v="1602"/>
    <s v="Male"/>
    <x v="8"/>
    <n v="1"/>
    <n v="17567"/>
    <x v="0"/>
    <n v="3"/>
    <n v="5"/>
    <n v="26"/>
    <x v="1"/>
    <s v="Good"/>
    <s v="₹ 10000 - ₹ 19,999"/>
    <s v="Recommend training"/>
  </r>
  <r>
    <x v="1222"/>
    <x v="28"/>
    <x v="1"/>
    <x v="0"/>
    <n v="1727"/>
    <s v="Male"/>
    <x v="6"/>
    <n v="2"/>
    <n v="5562"/>
    <x v="0"/>
    <n v="3"/>
    <n v="3"/>
    <n v="10"/>
    <x v="1"/>
    <s v="Good"/>
    <s v="₹ 10000 - ₹ 19,999"/>
    <s v="Recommend training"/>
  </r>
  <r>
    <x v="1223"/>
    <x v="28"/>
    <x v="1"/>
    <x v="1"/>
    <n v="1732"/>
    <s v="Male"/>
    <x v="5"/>
    <n v="4"/>
    <n v="10368"/>
    <x v="1"/>
    <n v="3"/>
    <n v="5"/>
    <n v="10"/>
    <x v="0"/>
    <s v="Good"/>
    <s v="₹ 10000 - ₹ 19,999"/>
    <s v="Recommend training"/>
  </r>
  <r>
    <x v="1224"/>
    <x v="28"/>
    <x v="1"/>
    <x v="0"/>
    <n v="1789"/>
    <s v="Male"/>
    <x v="7"/>
    <n v="4"/>
    <n v="19328"/>
    <x v="1"/>
    <n v="3"/>
    <n v="3"/>
    <n v="2"/>
    <x v="0"/>
    <s v="Good"/>
    <s v="₹ 10000 - ₹ 19,999"/>
    <s v="Recommend training"/>
  </r>
  <r>
    <x v="1225"/>
    <x v="28"/>
    <x v="1"/>
    <x v="1"/>
    <n v="1801"/>
    <s v="Male"/>
    <x v="5"/>
    <n v="2"/>
    <n v="7991"/>
    <x v="0"/>
    <n v="3"/>
    <n v="3"/>
    <n v="2"/>
    <x v="1"/>
    <s v="Good"/>
    <s v="₹ 7,000 - ₹ 10,000"/>
    <s v="Recommend training"/>
  </r>
  <r>
    <x v="1226"/>
    <x v="28"/>
    <x v="0"/>
    <x v="0"/>
    <n v="1821"/>
    <s v="Female"/>
    <x v="6"/>
    <n v="2"/>
    <n v="8926"/>
    <x v="0"/>
    <n v="4"/>
    <n v="2"/>
    <n v="9"/>
    <x v="0"/>
    <s v="Excellent"/>
    <s v="₹ 7,000 - ₹ 10,000"/>
    <s v="Recommend training"/>
  </r>
  <r>
    <x v="1227"/>
    <x v="28"/>
    <x v="1"/>
    <x v="0"/>
    <n v="1857"/>
    <s v="Male"/>
    <x v="4"/>
    <n v="4"/>
    <n v="8578"/>
    <x v="0"/>
    <n v="3"/>
    <n v="4"/>
    <n v="9"/>
    <x v="1"/>
    <s v="Good"/>
    <s v="₹ 7,000 - ₹ 10,000"/>
    <s v="Recommend training"/>
  </r>
  <r>
    <x v="1228"/>
    <x v="28"/>
    <x v="1"/>
    <x v="1"/>
    <n v="1863"/>
    <s v="Female"/>
    <x v="5"/>
    <n v="1"/>
    <n v="13225"/>
    <x v="0"/>
    <n v="3"/>
    <n v="5"/>
    <n v="19"/>
    <x v="1"/>
    <s v="Good"/>
    <s v="₹ 10000 - ₹ 19,999"/>
    <s v="Recommend training"/>
  </r>
  <r>
    <x v="1229"/>
    <x v="28"/>
    <x v="0"/>
    <x v="1"/>
    <n v="1869"/>
    <s v="Female"/>
    <x v="5"/>
    <n v="2"/>
    <n v="7314"/>
    <x v="0"/>
    <n v="4"/>
    <n v="2"/>
    <n v="8"/>
    <x v="0"/>
    <s v="Excellent"/>
    <s v="₹ 7,000 - ₹ 10,000"/>
    <s v="Recommend training"/>
  </r>
  <r>
    <x v="1230"/>
    <x v="29"/>
    <x v="0"/>
    <x v="0"/>
    <n v="376"/>
    <s v="Male"/>
    <x v="8"/>
    <n v="2"/>
    <n v="11849"/>
    <x v="1"/>
    <n v="3"/>
    <n v="2"/>
    <n v="10"/>
    <x v="2"/>
    <s v="Good"/>
    <s v="₹ 10000 - ₹ 19,999"/>
    <s v="Recommend training"/>
  </r>
  <r>
    <x v="1231"/>
    <x v="29"/>
    <x v="1"/>
    <x v="0"/>
    <n v="447"/>
    <s v="Male"/>
    <x v="7"/>
    <n v="3"/>
    <n v="18300"/>
    <x v="0"/>
    <n v="3"/>
    <n v="2"/>
    <n v="3"/>
    <x v="1"/>
    <s v="Good"/>
    <s v="₹ 10000 - ₹ 19,999"/>
    <s v="Recommend training"/>
  </r>
  <r>
    <x v="1232"/>
    <x v="29"/>
    <x v="1"/>
    <x v="1"/>
    <n v="467"/>
    <s v="Male"/>
    <x v="1"/>
    <n v="3"/>
    <n v="2976"/>
    <x v="0"/>
    <n v="3"/>
    <n v="3"/>
    <n v="0"/>
    <x v="1"/>
    <s v="Good"/>
    <s v="₹ 3,000- ₹ 7,000"/>
    <s v="Recommend training"/>
  </r>
  <r>
    <x v="1233"/>
    <x v="29"/>
    <x v="1"/>
    <x v="0"/>
    <n v="574"/>
    <s v="Female"/>
    <x v="4"/>
    <n v="4"/>
    <n v="5070"/>
    <x v="0"/>
    <n v="3"/>
    <n v="2"/>
    <n v="5"/>
    <x v="1"/>
    <s v="Good"/>
    <s v="₹ 10000 - ₹ 19,999"/>
    <s v="Recommend training"/>
  </r>
  <r>
    <x v="1234"/>
    <x v="29"/>
    <x v="1"/>
    <x v="1"/>
    <n v="728"/>
    <s v="Male"/>
    <x v="5"/>
    <n v="1"/>
    <n v="4960"/>
    <x v="0"/>
    <n v="3"/>
    <n v="2"/>
    <n v="7"/>
    <x v="1"/>
    <s v="Good"/>
    <s v="₹ 10000 - ₹ 19,999"/>
    <s v="Recommend training"/>
  </r>
  <r>
    <x v="1235"/>
    <x v="29"/>
    <x v="1"/>
    <x v="1"/>
    <n v="746"/>
    <s v="Female"/>
    <x v="5"/>
    <n v="3"/>
    <n v="13770"/>
    <x v="1"/>
    <n v="3"/>
    <n v="2"/>
    <n v="22"/>
    <x v="0"/>
    <s v="Good"/>
    <s v="₹ 10000 - ₹ 19,999"/>
    <s v="Recommend training"/>
  </r>
  <r>
    <x v="1236"/>
    <x v="29"/>
    <x v="0"/>
    <x v="1"/>
    <n v="785"/>
    <s v="Female"/>
    <x v="5"/>
    <n v="3"/>
    <n v="6397"/>
    <x v="1"/>
    <n v="3"/>
    <n v="2"/>
    <n v="5"/>
    <x v="2"/>
    <s v="Good"/>
    <s v="₹ 10000 - ₹ 19,999"/>
    <s v="Recommend training"/>
  </r>
  <r>
    <x v="1237"/>
    <x v="29"/>
    <x v="1"/>
    <x v="0"/>
    <n v="820"/>
    <s v="Female"/>
    <x v="8"/>
    <n v="4"/>
    <n v="16752"/>
    <x v="1"/>
    <n v="3"/>
    <n v="3"/>
    <n v="26"/>
    <x v="0"/>
    <s v="Good"/>
    <s v="₹ 10000 - ₹ 19,999"/>
    <s v="Recommend training"/>
  </r>
  <r>
    <x v="1238"/>
    <x v="29"/>
    <x v="1"/>
    <x v="1"/>
    <n v="903"/>
    <s v="Female"/>
    <x v="5"/>
    <n v="4"/>
    <n v="4537"/>
    <x v="1"/>
    <n v="4"/>
    <n v="2"/>
    <n v="7"/>
    <x v="0"/>
    <s v="Excellent"/>
    <s v="₹ 10000 - ₹ 19,999"/>
    <s v="Recommend training"/>
  </r>
  <r>
    <x v="1239"/>
    <x v="29"/>
    <x v="1"/>
    <x v="1"/>
    <n v="925"/>
    <s v="Female"/>
    <x v="1"/>
    <n v="4"/>
    <n v="3294"/>
    <x v="1"/>
    <n v="3"/>
    <n v="3"/>
    <n v="3"/>
    <x v="0"/>
    <s v="Good"/>
    <s v="₹ 10000 - ₹ 19,999"/>
    <s v="Recommend training"/>
  </r>
  <r>
    <x v="1240"/>
    <x v="29"/>
    <x v="1"/>
    <x v="0"/>
    <n v="987"/>
    <s v="Male"/>
    <x v="4"/>
    <n v="3"/>
    <n v="5067"/>
    <x v="1"/>
    <n v="3"/>
    <n v="3"/>
    <n v="19"/>
    <x v="0"/>
    <s v="Good"/>
    <s v="₹ 10000 - ₹ 19,999"/>
    <s v="Recommend training"/>
  </r>
  <r>
    <x v="1241"/>
    <x v="29"/>
    <x v="1"/>
    <x v="1"/>
    <n v="1003"/>
    <s v="Female"/>
    <x v="5"/>
    <n v="4"/>
    <n v="4163"/>
    <x v="1"/>
    <n v="3"/>
    <n v="0"/>
    <n v="9"/>
    <x v="0"/>
    <s v="Good"/>
    <s v="₹ 10000 - ₹ 19,999"/>
    <s v="Recommend training"/>
  </r>
  <r>
    <x v="1242"/>
    <x v="29"/>
    <x v="1"/>
    <x v="0"/>
    <n v="1438"/>
    <s v="Male"/>
    <x v="2"/>
    <n v="4"/>
    <n v="3420"/>
    <x v="0"/>
    <n v="3"/>
    <n v="2"/>
    <n v="6"/>
    <x v="1"/>
    <s v="Good"/>
    <s v="₹ 10000 - ₹ 19,999"/>
    <s v="Recommend training"/>
  </r>
  <r>
    <x v="1243"/>
    <x v="29"/>
    <x v="1"/>
    <x v="0"/>
    <n v="1443"/>
    <s v="Female"/>
    <x v="7"/>
    <n v="3"/>
    <n v="17169"/>
    <x v="0"/>
    <n v="3"/>
    <n v="2"/>
    <n v="20"/>
    <x v="1"/>
    <s v="Good"/>
    <s v="₹ 10000 - ₹ 19,999"/>
    <s v="Recommend training"/>
  </r>
  <r>
    <x v="1244"/>
    <x v="29"/>
    <x v="1"/>
    <x v="1"/>
    <n v="1503"/>
    <s v="Female"/>
    <x v="5"/>
    <n v="3"/>
    <n v="4591"/>
    <x v="1"/>
    <n v="3"/>
    <n v="4"/>
    <n v="5"/>
    <x v="0"/>
    <s v="Good"/>
    <s v="₹ 10000 - ₹ 19,999"/>
    <s v="Recommend training"/>
  </r>
  <r>
    <x v="1245"/>
    <x v="29"/>
    <x v="1"/>
    <x v="2"/>
    <n v="1625"/>
    <s v="Female"/>
    <x v="8"/>
    <n v="3"/>
    <n v="19658"/>
    <x v="0"/>
    <n v="3"/>
    <n v="2"/>
    <n v="5"/>
    <x v="1"/>
    <s v="Good"/>
    <s v="₹ 10000 - ₹ 19,999"/>
    <s v="Recommend training"/>
  </r>
  <r>
    <x v="1246"/>
    <x v="29"/>
    <x v="1"/>
    <x v="1"/>
    <n v="1676"/>
    <s v="Female"/>
    <x v="8"/>
    <n v="2"/>
    <n v="15972"/>
    <x v="0"/>
    <n v="3"/>
    <n v="2"/>
    <n v="3"/>
    <x v="1"/>
    <s v="Good"/>
    <s v="₹ 10000 - ₹ 19,999"/>
    <s v="Recommend training"/>
  </r>
  <r>
    <x v="1247"/>
    <x v="29"/>
    <x v="0"/>
    <x v="1"/>
    <n v="1716"/>
    <s v="Male"/>
    <x v="5"/>
    <n v="3"/>
    <n v="12936"/>
    <x v="0"/>
    <n v="3"/>
    <n v="3"/>
    <n v="23"/>
    <x v="0"/>
    <s v="Good"/>
    <s v="₹ 10000 - ₹ 19,999"/>
    <s v="Recommend training"/>
  </r>
  <r>
    <x v="1248"/>
    <x v="29"/>
    <x v="1"/>
    <x v="1"/>
    <n v="1731"/>
    <s v="Male"/>
    <x v="5"/>
    <n v="2"/>
    <n v="4978"/>
    <x v="0"/>
    <n v="3"/>
    <n v="3"/>
    <n v="1"/>
    <x v="1"/>
    <s v="Good"/>
    <s v="₹ 10000 - ₹ 19,999"/>
    <s v="Recommend training"/>
  </r>
  <r>
    <x v="1249"/>
    <x v="29"/>
    <x v="1"/>
    <x v="0"/>
    <n v="1827"/>
    <s v="Female"/>
    <x v="4"/>
    <n v="2"/>
    <n v="10333"/>
    <x v="1"/>
    <n v="3"/>
    <n v="4"/>
    <n v="22"/>
    <x v="0"/>
    <s v="Good"/>
    <s v="₹ 10000 - ₹ 19,999"/>
    <s v="Recommend training"/>
  </r>
  <r>
    <x v="1250"/>
    <x v="29"/>
    <x v="1"/>
    <x v="0"/>
    <n v="1856"/>
    <s v="Female"/>
    <x v="0"/>
    <n v="3"/>
    <n v="2105"/>
    <x v="0"/>
    <n v="3"/>
    <n v="2"/>
    <n v="2"/>
    <x v="1"/>
    <s v="Good"/>
    <s v="₹ 3,000- ₹ 7,000"/>
    <s v="Recommend training"/>
  </r>
  <r>
    <x v="1251"/>
    <x v="29"/>
    <x v="1"/>
    <x v="0"/>
    <n v="1934"/>
    <s v="Male"/>
    <x v="2"/>
    <n v="2"/>
    <n v="5467"/>
    <x v="0"/>
    <n v="3"/>
    <n v="4"/>
    <n v="8"/>
    <x v="1"/>
    <s v="Good"/>
    <s v="₹ 10000 - ₹ 19,999"/>
    <s v="Recommend training"/>
  </r>
  <r>
    <x v="1252"/>
    <x v="29"/>
    <x v="1"/>
    <x v="0"/>
    <n v="1993"/>
    <s v="Male"/>
    <x v="6"/>
    <n v="3"/>
    <n v="8633"/>
    <x v="0"/>
    <n v="4"/>
    <n v="3"/>
    <n v="17"/>
    <x v="1"/>
    <s v="Excellent"/>
    <s v="₹ 7,000 - ₹ 10,000"/>
    <s v="Not recommend training"/>
  </r>
  <r>
    <x v="1253"/>
    <x v="29"/>
    <x v="1"/>
    <x v="0"/>
    <n v="2000"/>
    <s v="Female"/>
    <x v="7"/>
    <n v="2"/>
    <n v="11957"/>
    <x v="0"/>
    <n v="3"/>
    <n v="3"/>
    <n v="13"/>
    <x v="1"/>
    <s v="Good"/>
    <s v="₹ 10000 - ₹ 19,999"/>
    <s v="Recommend training"/>
  </r>
  <r>
    <x v="1254"/>
    <x v="30"/>
    <x v="0"/>
    <x v="0"/>
    <n v="64"/>
    <s v="Male"/>
    <x v="0"/>
    <n v="3"/>
    <n v="5381"/>
    <x v="1"/>
    <n v="3"/>
    <n v="2"/>
    <n v="1"/>
    <x v="2"/>
    <s v="Good"/>
    <s v="₹ 10000 - ₹ 19,999"/>
    <s v="Recommend training"/>
  </r>
  <r>
    <x v="1255"/>
    <x v="30"/>
    <x v="1"/>
    <x v="1"/>
    <n v="473"/>
    <s v="Female"/>
    <x v="8"/>
    <n v="3"/>
    <n v="12504"/>
    <x v="0"/>
    <n v="4"/>
    <n v="3"/>
    <n v="0"/>
    <x v="1"/>
    <s v="Excellent"/>
    <s v="₹ 10000 - ₹ 19,999"/>
    <s v="Not recommend training"/>
  </r>
  <r>
    <x v="1256"/>
    <x v="30"/>
    <x v="1"/>
    <x v="1"/>
    <n v="595"/>
    <s v="Female"/>
    <x v="5"/>
    <n v="4"/>
    <n v="4051"/>
    <x v="0"/>
    <n v="3"/>
    <n v="2"/>
    <n v="9"/>
    <x v="1"/>
    <s v="Good"/>
    <s v="₹ 10000 - ₹ 19,999"/>
    <s v="Recommend training"/>
  </r>
  <r>
    <x v="1257"/>
    <x v="30"/>
    <x v="1"/>
    <x v="0"/>
    <n v="664"/>
    <s v="Female"/>
    <x v="8"/>
    <n v="1"/>
    <n v="15402"/>
    <x v="0"/>
    <n v="3"/>
    <n v="3"/>
    <n v="3"/>
    <x v="1"/>
    <s v="Good"/>
    <s v="₹ 10000 - ₹ 19,999"/>
    <s v="Recommend training"/>
  </r>
  <r>
    <x v="1258"/>
    <x v="30"/>
    <x v="1"/>
    <x v="1"/>
    <n v="712"/>
    <s v="Male"/>
    <x v="5"/>
    <n v="2"/>
    <n v="8120"/>
    <x v="0"/>
    <n v="3"/>
    <n v="3"/>
    <n v="2"/>
    <x v="1"/>
    <s v="Good"/>
    <s v="₹ 7,000 - ₹ 10,000"/>
    <s v="Recommend training"/>
  </r>
  <r>
    <x v="1259"/>
    <x v="30"/>
    <x v="1"/>
    <x v="0"/>
    <n v="945"/>
    <s v="Male"/>
    <x v="2"/>
    <n v="3"/>
    <n v="2259"/>
    <x v="0"/>
    <n v="3"/>
    <n v="2"/>
    <n v="0"/>
    <x v="1"/>
    <s v="Good"/>
    <s v="₹ 3,000- ₹ 7,000"/>
    <s v="Recommend training"/>
  </r>
  <r>
    <x v="1260"/>
    <x v="30"/>
    <x v="1"/>
    <x v="0"/>
    <n v="1022"/>
    <s v="Male"/>
    <x v="6"/>
    <n v="3"/>
    <n v="4240"/>
    <x v="0"/>
    <n v="3"/>
    <n v="0"/>
    <n v="2"/>
    <x v="1"/>
    <s v="Good"/>
    <s v="₹ 10000 - ₹ 19,999"/>
    <s v="Recommend training"/>
  </r>
  <r>
    <x v="1261"/>
    <x v="30"/>
    <x v="1"/>
    <x v="0"/>
    <n v="1024"/>
    <s v="Male"/>
    <x v="6"/>
    <n v="3"/>
    <n v="10999"/>
    <x v="0"/>
    <n v="3"/>
    <n v="3"/>
    <n v="15"/>
    <x v="1"/>
    <s v="Good"/>
    <s v="₹ 10000 - ₹ 19,999"/>
    <s v="Recommend training"/>
  </r>
  <r>
    <x v="1262"/>
    <x v="30"/>
    <x v="1"/>
    <x v="0"/>
    <n v="1116"/>
    <s v="Male"/>
    <x v="8"/>
    <n v="4"/>
    <n v="16885"/>
    <x v="0"/>
    <n v="4"/>
    <n v="3"/>
    <n v="5"/>
    <x v="1"/>
    <s v="Excellent"/>
    <s v="₹ 10000 - ₹ 19,999"/>
    <s v="Not recommend training"/>
  </r>
  <r>
    <x v="1263"/>
    <x v="30"/>
    <x v="1"/>
    <x v="0"/>
    <n v="1258"/>
    <s v="Male"/>
    <x v="0"/>
    <n v="2"/>
    <n v="2559"/>
    <x v="0"/>
    <n v="3"/>
    <n v="4"/>
    <n v="1"/>
    <x v="1"/>
    <s v="Good"/>
    <s v="₹ 3,000- ₹ 7,000"/>
    <s v="Recommend training"/>
  </r>
  <r>
    <x v="1264"/>
    <x v="30"/>
    <x v="1"/>
    <x v="0"/>
    <n v="1263"/>
    <s v="Male"/>
    <x v="7"/>
    <n v="4"/>
    <n v="18265"/>
    <x v="0"/>
    <n v="3"/>
    <n v="3"/>
    <n v="1"/>
    <x v="1"/>
    <s v="Good"/>
    <s v="₹ 10000 - ₹ 19,999"/>
    <s v="Recommend training"/>
  </r>
  <r>
    <x v="1265"/>
    <x v="30"/>
    <x v="1"/>
    <x v="0"/>
    <n v="1363"/>
    <s v="Male"/>
    <x v="4"/>
    <n v="4"/>
    <n v="7898"/>
    <x v="0"/>
    <n v="3"/>
    <n v="2"/>
    <n v="10"/>
    <x v="1"/>
    <s v="Good"/>
    <s v="₹ 7,000 - ₹ 10,000"/>
    <s v="Recommend training"/>
  </r>
  <r>
    <x v="1266"/>
    <x v="30"/>
    <x v="1"/>
    <x v="1"/>
    <n v="1466"/>
    <s v="Male"/>
    <x v="5"/>
    <n v="1"/>
    <n v="5486"/>
    <x v="0"/>
    <n v="3"/>
    <n v="3"/>
    <n v="2"/>
    <x v="1"/>
    <s v="Good"/>
    <s v="₹ 10000 - ₹ 19,999"/>
    <s v="Recommend training"/>
  </r>
  <r>
    <x v="1267"/>
    <x v="30"/>
    <x v="1"/>
    <x v="1"/>
    <n v="1557"/>
    <s v="Female"/>
    <x v="5"/>
    <n v="3"/>
    <n v="6439"/>
    <x v="0"/>
    <n v="3"/>
    <n v="2"/>
    <n v="8"/>
    <x v="1"/>
    <s v="Good"/>
    <s v="₹ 10000 - ₹ 19,999"/>
    <s v="Recommend training"/>
  </r>
  <r>
    <x v="1268"/>
    <x v="30"/>
    <x v="1"/>
    <x v="0"/>
    <n v="1576"/>
    <s v="Female"/>
    <x v="2"/>
    <n v="1"/>
    <n v="2367"/>
    <x v="0"/>
    <n v="3"/>
    <n v="3"/>
    <n v="8"/>
    <x v="1"/>
    <s v="Good"/>
    <s v="₹ 3,000- ₹ 7,000"/>
    <s v="Recommend training"/>
  </r>
  <r>
    <x v="1269"/>
    <x v="30"/>
    <x v="1"/>
    <x v="0"/>
    <n v="1644"/>
    <s v="Male"/>
    <x v="8"/>
    <n v="4"/>
    <n v="15202"/>
    <x v="0"/>
    <n v="4"/>
    <n v="3"/>
    <n v="2"/>
    <x v="1"/>
    <s v="Excellent"/>
    <s v="₹ 10000 - ₹ 19,999"/>
    <s v="Not recommend training"/>
  </r>
  <r>
    <x v="1270"/>
    <x v="30"/>
    <x v="0"/>
    <x v="1"/>
    <n v="1691"/>
    <s v="Female"/>
    <x v="1"/>
    <n v="3"/>
    <n v="2655"/>
    <x v="1"/>
    <n v="3"/>
    <n v="3"/>
    <n v="9"/>
    <x v="2"/>
    <s v="Good"/>
    <s v="₹ 3,000- ₹ 7,000"/>
    <s v="Recommend training"/>
  </r>
  <r>
    <x v="1271"/>
    <x v="30"/>
    <x v="1"/>
    <x v="0"/>
    <n v="1867"/>
    <s v="Male"/>
    <x v="7"/>
    <n v="2"/>
    <n v="19665"/>
    <x v="0"/>
    <n v="3"/>
    <n v="3"/>
    <n v="22"/>
    <x v="1"/>
    <s v="Good"/>
    <s v="₹ 10000 - ₹ 19,999"/>
    <s v="Recommend training"/>
  </r>
  <r>
    <x v="1272"/>
    <x v="30"/>
    <x v="1"/>
    <x v="0"/>
    <n v="1900"/>
    <s v="Female"/>
    <x v="8"/>
    <n v="4"/>
    <n v="17174"/>
    <x v="0"/>
    <n v="3"/>
    <n v="3"/>
    <n v="22"/>
    <x v="1"/>
    <s v="Good"/>
    <s v="₹ 10000 - ₹ 19,999"/>
    <s v="Recommend training"/>
  </r>
  <r>
    <x v="1273"/>
    <x v="31"/>
    <x v="1"/>
    <x v="0"/>
    <n v="2"/>
    <s v="Male"/>
    <x v="2"/>
    <n v="2"/>
    <n v="5130"/>
    <x v="0"/>
    <n v="4"/>
    <n v="3"/>
    <n v="10"/>
    <x v="1"/>
    <s v="Excellent"/>
    <s v="₹ 10000 - ₹ 19,999"/>
    <s v="Not recommend training"/>
  </r>
  <r>
    <x v="1274"/>
    <x v="31"/>
    <x v="1"/>
    <x v="0"/>
    <n v="170"/>
    <s v="Female"/>
    <x v="4"/>
    <n v="1"/>
    <n v="6567"/>
    <x v="0"/>
    <n v="3"/>
    <n v="2"/>
    <n v="15"/>
    <x v="1"/>
    <s v="Good"/>
    <s v="₹ 10000 - ₹ 19,999"/>
    <s v="Recommend training"/>
  </r>
  <r>
    <x v="1275"/>
    <x v="31"/>
    <x v="1"/>
    <x v="0"/>
    <n v="275"/>
    <s v="Male"/>
    <x v="4"/>
    <n v="4"/>
    <n v="6804"/>
    <x v="1"/>
    <n v="3"/>
    <n v="0"/>
    <n v="7"/>
    <x v="0"/>
    <s v="Good"/>
    <s v="₹ 10000 - ₹ 19,999"/>
    <s v="Recommend training"/>
  </r>
  <r>
    <x v="1276"/>
    <x v="31"/>
    <x v="1"/>
    <x v="0"/>
    <n v="396"/>
    <s v="Female"/>
    <x v="7"/>
    <n v="1"/>
    <n v="18665"/>
    <x v="1"/>
    <n v="3"/>
    <n v="4"/>
    <n v="3"/>
    <x v="0"/>
    <s v="Good"/>
    <s v="₹ 10000 - ₹ 19,999"/>
    <s v="Recommend training"/>
  </r>
  <r>
    <x v="1277"/>
    <x v="31"/>
    <x v="1"/>
    <x v="0"/>
    <n v="431"/>
    <s v="Female"/>
    <x v="6"/>
    <n v="3"/>
    <n v="13964"/>
    <x v="1"/>
    <n v="3"/>
    <n v="2"/>
    <n v="7"/>
    <x v="0"/>
    <s v="Good"/>
    <s v="₹ 10000 - ₹ 19,999"/>
    <s v="Recommend training"/>
  </r>
  <r>
    <x v="1278"/>
    <x v="31"/>
    <x v="1"/>
    <x v="0"/>
    <n v="499"/>
    <s v="Male"/>
    <x v="6"/>
    <n v="3"/>
    <n v="10965"/>
    <x v="0"/>
    <n v="4"/>
    <n v="2"/>
    <n v="5"/>
    <x v="1"/>
    <s v="Excellent"/>
    <s v="₹ 10000 - ₹ 19,999"/>
    <s v="Recommend training"/>
  </r>
  <r>
    <x v="1279"/>
    <x v="31"/>
    <x v="1"/>
    <x v="0"/>
    <n v="638"/>
    <s v="Male"/>
    <x v="7"/>
    <n v="3"/>
    <n v="19502"/>
    <x v="1"/>
    <n v="3"/>
    <n v="5"/>
    <n v="31"/>
    <x v="0"/>
    <s v="Good"/>
    <s v="₹ 10000 - ₹ 19,999"/>
    <s v="Recommend training"/>
  </r>
  <r>
    <x v="1280"/>
    <x v="31"/>
    <x v="0"/>
    <x v="1"/>
    <n v="840"/>
    <s v="Female"/>
    <x v="5"/>
    <n v="4"/>
    <n v="7654"/>
    <x v="0"/>
    <n v="3"/>
    <n v="3"/>
    <n v="9"/>
    <x v="0"/>
    <s v="Good"/>
    <s v="₹ 7,000 - ₹ 10,000"/>
    <s v="Recommend training"/>
  </r>
  <r>
    <x v="1281"/>
    <x v="31"/>
    <x v="1"/>
    <x v="0"/>
    <n v="887"/>
    <s v="Female"/>
    <x v="2"/>
    <n v="1"/>
    <n v="3580"/>
    <x v="0"/>
    <n v="3"/>
    <n v="2"/>
    <n v="4"/>
    <x v="1"/>
    <s v="Good"/>
    <s v="₹ 10000 - ₹ 19,999"/>
    <s v="Recommend training"/>
  </r>
  <r>
    <x v="1282"/>
    <x v="31"/>
    <x v="1"/>
    <x v="0"/>
    <n v="944"/>
    <s v="Female"/>
    <x v="0"/>
    <n v="2"/>
    <n v="7403"/>
    <x v="0"/>
    <n v="3"/>
    <n v="3"/>
    <n v="26"/>
    <x v="1"/>
    <s v="Good"/>
    <s v="₹ 7,000 - ₹ 10,000"/>
    <s v="Recommend training"/>
  </r>
  <r>
    <x v="1283"/>
    <x v="31"/>
    <x v="1"/>
    <x v="1"/>
    <n v="1138"/>
    <s v="Male"/>
    <x v="5"/>
    <n v="2"/>
    <n v="13120"/>
    <x v="0"/>
    <n v="3"/>
    <n v="3"/>
    <n v="9"/>
    <x v="1"/>
    <s v="Good"/>
    <s v="₹ 10000 - ₹ 19,999"/>
    <s v="Recommend training"/>
  </r>
  <r>
    <x v="1284"/>
    <x v="31"/>
    <x v="1"/>
    <x v="0"/>
    <n v="1256"/>
    <s v="Male"/>
    <x v="8"/>
    <n v="3"/>
    <n v="18711"/>
    <x v="0"/>
    <n v="3"/>
    <n v="2"/>
    <n v="1"/>
    <x v="1"/>
    <s v="Good"/>
    <s v="₹ 10000 - ₹ 19,999"/>
    <s v="Recommend training"/>
  </r>
  <r>
    <x v="1285"/>
    <x v="31"/>
    <x v="0"/>
    <x v="0"/>
    <n v="1420"/>
    <s v="Male"/>
    <x v="0"/>
    <n v="1"/>
    <n v="4284"/>
    <x v="0"/>
    <n v="4"/>
    <n v="2"/>
    <n v="4"/>
    <x v="0"/>
    <s v="Excellent"/>
    <s v="₹ 10000 - ₹ 19,999"/>
    <s v="Recommend training"/>
  </r>
  <r>
    <x v="1286"/>
    <x v="31"/>
    <x v="1"/>
    <x v="0"/>
    <n v="1473"/>
    <s v="Male"/>
    <x v="6"/>
    <n v="3"/>
    <n v="6651"/>
    <x v="0"/>
    <n v="3"/>
    <n v="0"/>
    <n v="3"/>
    <x v="1"/>
    <s v="Good"/>
    <s v="₹ 10000 - ₹ 19,999"/>
    <s v="Recommend training"/>
  </r>
  <r>
    <x v="1287"/>
    <x v="31"/>
    <x v="1"/>
    <x v="0"/>
    <n v="1484"/>
    <s v="Male"/>
    <x v="6"/>
    <n v="2"/>
    <n v="10466"/>
    <x v="0"/>
    <n v="3"/>
    <n v="3"/>
    <n v="8"/>
    <x v="1"/>
    <s v="Good"/>
    <s v="₹ 10000 - ₹ 19,999"/>
    <s v="Recommend training"/>
  </r>
  <r>
    <x v="1288"/>
    <x v="31"/>
    <x v="1"/>
    <x v="0"/>
    <n v="1509"/>
    <s v="Female"/>
    <x v="0"/>
    <n v="1"/>
    <n v="4789"/>
    <x v="0"/>
    <n v="4"/>
    <n v="3"/>
    <n v="3"/>
    <x v="1"/>
    <s v="Excellent"/>
    <s v="₹ 10000 - ₹ 19,999"/>
    <s v="Not recommend training"/>
  </r>
  <r>
    <x v="1289"/>
    <x v="31"/>
    <x v="1"/>
    <x v="0"/>
    <n v="1617"/>
    <s v="Female"/>
    <x v="0"/>
    <n v="1"/>
    <n v="3211"/>
    <x v="0"/>
    <n v="3"/>
    <n v="3"/>
    <n v="9"/>
    <x v="1"/>
    <s v="Good"/>
    <s v="₹ 10000 - ₹ 19,999"/>
    <s v="Recommend training"/>
  </r>
  <r>
    <x v="1290"/>
    <x v="31"/>
    <x v="1"/>
    <x v="0"/>
    <n v="1655"/>
    <s v="Female"/>
    <x v="7"/>
    <n v="2"/>
    <n v="16413"/>
    <x v="0"/>
    <n v="3"/>
    <n v="2"/>
    <n v="4"/>
    <x v="1"/>
    <s v="Good"/>
    <s v="₹ 10000 - ₹ 19,999"/>
    <s v="Recommend training"/>
  </r>
  <r>
    <x v="1291"/>
    <x v="31"/>
    <x v="1"/>
    <x v="0"/>
    <n v="1661"/>
    <s v="Female"/>
    <x v="6"/>
    <n v="3"/>
    <n v="13966"/>
    <x v="1"/>
    <n v="3"/>
    <n v="3"/>
    <n v="15"/>
    <x v="0"/>
    <s v="Good"/>
    <s v="₹ 10000 - ₹ 19,999"/>
    <s v="Recommend training"/>
  </r>
  <r>
    <x v="1292"/>
    <x v="31"/>
    <x v="1"/>
    <x v="0"/>
    <n v="1674"/>
    <s v="Female"/>
    <x v="0"/>
    <n v="1"/>
    <n v="2587"/>
    <x v="1"/>
    <n v="3"/>
    <n v="2"/>
    <n v="2"/>
    <x v="0"/>
    <s v="Good"/>
    <s v="₹ 3,000- ₹ 7,000"/>
    <s v="Recommend training"/>
  </r>
  <r>
    <x v="1293"/>
    <x v="31"/>
    <x v="1"/>
    <x v="0"/>
    <n v="1677"/>
    <s v="Male"/>
    <x v="8"/>
    <n v="3"/>
    <n v="15379"/>
    <x v="0"/>
    <n v="3"/>
    <n v="2"/>
    <n v="8"/>
    <x v="1"/>
    <s v="Good"/>
    <s v="₹ 10000 - ₹ 19,999"/>
    <s v="Recommend training"/>
  </r>
  <r>
    <x v="1294"/>
    <x v="31"/>
    <x v="1"/>
    <x v="1"/>
    <n v="1757"/>
    <s v="Female"/>
    <x v="5"/>
    <n v="4"/>
    <n v="4507"/>
    <x v="0"/>
    <n v="3"/>
    <n v="1"/>
    <n v="5"/>
    <x v="1"/>
    <s v="Good"/>
    <s v="₹ 10000 - ₹ 19,999"/>
    <s v="Recommend training"/>
  </r>
  <r>
    <x v="1295"/>
    <x v="31"/>
    <x v="1"/>
    <x v="0"/>
    <n v="1941"/>
    <s v="Male"/>
    <x v="7"/>
    <n v="4"/>
    <n v="19161"/>
    <x v="0"/>
    <n v="3"/>
    <n v="3"/>
    <n v="5"/>
    <x v="1"/>
    <s v="Good"/>
    <s v="₹ 10000 - ₹ 19,999"/>
    <s v="Recommend training"/>
  </r>
  <r>
    <x v="1296"/>
    <x v="31"/>
    <x v="1"/>
    <x v="1"/>
    <n v="2065"/>
    <s v="Male"/>
    <x v="5"/>
    <n v="2"/>
    <n v="5390"/>
    <x v="0"/>
    <n v="3"/>
    <n v="3"/>
    <n v="9"/>
    <x v="1"/>
    <s v="Good"/>
    <s v="₹ 10000 - ₹ 19,999"/>
    <s v="Recommend training"/>
  </r>
  <r>
    <x v="1297"/>
    <x v="32"/>
    <x v="0"/>
    <x v="1"/>
    <n v="47"/>
    <s v="Male"/>
    <x v="1"/>
    <n v="3"/>
    <n v="2683"/>
    <x v="1"/>
    <n v="3"/>
    <n v="2"/>
    <n v="3"/>
    <x v="2"/>
    <s v="Good"/>
    <s v="₹ 3,000- ₹ 7,000"/>
    <s v="Recommend training"/>
  </r>
  <r>
    <x v="1298"/>
    <x v="32"/>
    <x v="1"/>
    <x v="0"/>
    <n v="80"/>
    <s v="Female"/>
    <x v="7"/>
    <n v="3"/>
    <n v="18740"/>
    <x v="1"/>
    <n v="3"/>
    <n v="2"/>
    <n v="27"/>
    <x v="0"/>
    <s v="Good"/>
    <s v="₹ 10000 - ₹ 19,999"/>
    <s v="Recommend training"/>
  </r>
  <r>
    <x v="1299"/>
    <x v="32"/>
    <x v="1"/>
    <x v="0"/>
    <n v="141"/>
    <s v="Female"/>
    <x v="7"/>
    <n v="2"/>
    <n v="18172"/>
    <x v="1"/>
    <n v="3"/>
    <n v="1"/>
    <n v="8"/>
    <x v="0"/>
    <s v="Good"/>
    <s v="₹ 10000 - ₹ 19,999"/>
    <s v="Recommend training"/>
  </r>
  <r>
    <x v="1300"/>
    <x v="32"/>
    <x v="1"/>
    <x v="1"/>
    <n v="174"/>
    <s v="Female"/>
    <x v="5"/>
    <n v="4"/>
    <n v="9208"/>
    <x v="0"/>
    <n v="3"/>
    <n v="3"/>
    <n v="2"/>
    <x v="1"/>
    <s v="Good"/>
    <s v="₹ 7,000 - ₹ 10,000"/>
    <s v="Recommend training"/>
  </r>
  <r>
    <x v="1301"/>
    <x v="32"/>
    <x v="1"/>
    <x v="0"/>
    <n v="226"/>
    <s v="Female"/>
    <x v="8"/>
    <n v="2"/>
    <n v="19926"/>
    <x v="0"/>
    <n v="3"/>
    <n v="5"/>
    <n v="5"/>
    <x v="1"/>
    <s v="Good"/>
    <s v="₹ 10000 - ₹ 19,999"/>
    <s v="Recommend training"/>
  </r>
  <r>
    <x v="1302"/>
    <x v="32"/>
    <x v="1"/>
    <x v="0"/>
    <n v="249"/>
    <s v="Male"/>
    <x v="0"/>
    <n v="3"/>
    <n v="3690"/>
    <x v="0"/>
    <n v="3"/>
    <n v="2"/>
    <n v="3"/>
    <x v="1"/>
    <s v="Good"/>
    <s v="₹ 10000 - ₹ 19,999"/>
    <s v="Recommend training"/>
  </r>
  <r>
    <x v="1303"/>
    <x v="32"/>
    <x v="1"/>
    <x v="1"/>
    <n v="323"/>
    <s v="Female"/>
    <x v="8"/>
    <n v="4"/>
    <n v="19517"/>
    <x v="0"/>
    <n v="3"/>
    <n v="3"/>
    <n v="7"/>
    <x v="1"/>
    <s v="Good"/>
    <s v="₹ 10000 - ₹ 19,999"/>
    <s v="Recommend training"/>
  </r>
  <r>
    <x v="1304"/>
    <x v="32"/>
    <x v="1"/>
    <x v="0"/>
    <n v="385"/>
    <s v="Male"/>
    <x v="7"/>
    <n v="2"/>
    <n v="19144"/>
    <x v="0"/>
    <n v="3"/>
    <n v="4"/>
    <n v="10"/>
    <x v="1"/>
    <s v="Good"/>
    <s v="₹ 10000 - ₹ 19,999"/>
    <s v="Recommend training"/>
  </r>
  <r>
    <x v="1305"/>
    <x v="32"/>
    <x v="1"/>
    <x v="0"/>
    <n v="491"/>
    <s v="Male"/>
    <x v="6"/>
    <n v="4"/>
    <n v="10496"/>
    <x v="0"/>
    <n v="3"/>
    <n v="2"/>
    <n v="4"/>
    <x v="1"/>
    <s v="Good"/>
    <s v="₹ 10000 - ₹ 19,999"/>
    <s v="Recommend training"/>
  </r>
  <r>
    <x v="1306"/>
    <x v="32"/>
    <x v="1"/>
    <x v="0"/>
    <n v="569"/>
    <s v="Male"/>
    <x v="8"/>
    <n v="3"/>
    <n v="17046"/>
    <x v="0"/>
    <n v="3"/>
    <n v="2"/>
    <n v="27"/>
    <x v="1"/>
    <s v="Good"/>
    <s v="₹ 10000 - ₹ 19,999"/>
    <s v="Recommend training"/>
  </r>
  <r>
    <x v="1307"/>
    <x v="32"/>
    <x v="1"/>
    <x v="2"/>
    <n v="644"/>
    <s v="Male"/>
    <x v="8"/>
    <n v="2"/>
    <n v="18200"/>
    <x v="0"/>
    <n v="3"/>
    <n v="2"/>
    <n v="32"/>
    <x v="1"/>
    <s v="Good"/>
    <s v="₹ 10000 - ₹ 19,999"/>
    <s v="Recommend training"/>
  </r>
  <r>
    <x v="1308"/>
    <x v="32"/>
    <x v="1"/>
    <x v="0"/>
    <n v="716"/>
    <s v="Male"/>
    <x v="0"/>
    <n v="3"/>
    <n v="3221"/>
    <x v="1"/>
    <n v="3"/>
    <n v="3"/>
    <n v="20"/>
    <x v="0"/>
    <s v="Good"/>
    <s v="₹ 10000 - ₹ 19,999"/>
    <s v="Recommend training"/>
  </r>
  <r>
    <x v="1309"/>
    <x v="32"/>
    <x v="0"/>
    <x v="1"/>
    <n v="723"/>
    <s v="Male"/>
    <x v="5"/>
    <n v="3"/>
    <n v="6796"/>
    <x v="1"/>
    <n v="3"/>
    <n v="4"/>
    <n v="4"/>
    <x v="2"/>
    <s v="Good"/>
    <s v="₹ 10000 - ₹ 19,999"/>
    <s v="Recommend training"/>
  </r>
  <r>
    <x v="1310"/>
    <x v="32"/>
    <x v="1"/>
    <x v="1"/>
    <n v="738"/>
    <s v="Male"/>
    <x v="1"/>
    <n v="2"/>
    <n v="3875"/>
    <x v="0"/>
    <n v="3"/>
    <n v="2"/>
    <n v="2"/>
    <x v="1"/>
    <s v="Good"/>
    <s v="₹ 10000 - ₹ 19,999"/>
    <s v="Recommend training"/>
  </r>
  <r>
    <x v="1311"/>
    <x v="32"/>
    <x v="1"/>
    <x v="0"/>
    <n v="815"/>
    <s v="Male"/>
    <x v="7"/>
    <n v="3"/>
    <n v="17639"/>
    <x v="0"/>
    <n v="3"/>
    <n v="3"/>
    <n v="4"/>
    <x v="1"/>
    <s v="Good"/>
    <s v="₹ 10000 - ₹ 19,999"/>
    <s v="Recommend training"/>
  </r>
  <r>
    <x v="1312"/>
    <x v="32"/>
    <x v="1"/>
    <x v="0"/>
    <n v="905"/>
    <s v="Male"/>
    <x v="8"/>
    <n v="1"/>
    <n v="17924"/>
    <x v="0"/>
    <n v="3"/>
    <n v="3"/>
    <n v="31"/>
    <x v="1"/>
    <s v="Good"/>
    <s v="₹ 10000 - ₹ 19,999"/>
    <s v="Recommend training"/>
  </r>
  <r>
    <x v="1313"/>
    <x v="32"/>
    <x v="1"/>
    <x v="0"/>
    <n v="997"/>
    <s v="Male"/>
    <x v="7"/>
    <n v="4"/>
    <n v="17399"/>
    <x v="0"/>
    <n v="4"/>
    <n v="1"/>
    <n v="5"/>
    <x v="1"/>
    <s v="Excellent"/>
    <s v="₹ 10000 - ₹ 19,999"/>
    <s v="Not recommend training"/>
  </r>
  <r>
    <x v="1314"/>
    <x v="32"/>
    <x v="1"/>
    <x v="0"/>
    <n v="1005"/>
    <s v="Male"/>
    <x v="4"/>
    <n v="3"/>
    <n v="13973"/>
    <x v="1"/>
    <n v="3"/>
    <n v="2"/>
    <n v="12"/>
    <x v="0"/>
    <s v="Good"/>
    <s v="₹ 10000 - ₹ 19,999"/>
    <s v="Recommend training"/>
  </r>
  <r>
    <x v="1315"/>
    <x v="32"/>
    <x v="1"/>
    <x v="0"/>
    <n v="1030"/>
    <s v="Male"/>
    <x v="0"/>
    <n v="4"/>
    <n v="2380"/>
    <x v="0"/>
    <n v="3"/>
    <n v="5"/>
    <n v="1"/>
    <x v="1"/>
    <s v="Good"/>
    <s v="₹ 3,000- ₹ 7,000"/>
    <s v="Recommend training"/>
  </r>
  <r>
    <x v="1316"/>
    <x v="32"/>
    <x v="1"/>
    <x v="1"/>
    <n v="1040"/>
    <s v="Female"/>
    <x v="5"/>
    <n v="3"/>
    <n v="6347"/>
    <x v="0"/>
    <n v="3"/>
    <n v="3"/>
    <n v="18"/>
    <x v="1"/>
    <s v="Good"/>
    <s v="₹ 10000 - ₹ 19,999"/>
    <s v="Recommend training"/>
  </r>
  <r>
    <x v="1317"/>
    <x v="32"/>
    <x v="1"/>
    <x v="0"/>
    <n v="1061"/>
    <s v="Male"/>
    <x v="7"/>
    <n v="3"/>
    <n v="19237"/>
    <x v="1"/>
    <n v="3"/>
    <n v="2"/>
    <n v="8"/>
    <x v="0"/>
    <s v="Good"/>
    <s v="₹ 10000 - ₹ 19,999"/>
    <s v="Recommend training"/>
  </r>
  <r>
    <x v="1318"/>
    <x v="32"/>
    <x v="0"/>
    <x v="1"/>
    <n v="1113"/>
    <s v="Male"/>
    <x v="5"/>
    <n v="3"/>
    <n v="4728"/>
    <x v="1"/>
    <n v="3"/>
    <n v="4"/>
    <n v="0"/>
    <x v="2"/>
    <s v="Good"/>
    <s v="₹ 10000 - ₹ 19,999"/>
    <s v="Recommend training"/>
  </r>
  <r>
    <x v="1319"/>
    <x v="32"/>
    <x v="1"/>
    <x v="0"/>
    <n v="1215"/>
    <s v="Female"/>
    <x v="8"/>
    <n v="1"/>
    <n v="17856"/>
    <x v="0"/>
    <n v="4"/>
    <n v="3"/>
    <n v="2"/>
    <x v="1"/>
    <s v="Excellent"/>
    <s v="₹ 10000 - ₹ 19,999"/>
    <s v="Not recommend training"/>
  </r>
  <r>
    <x v="1320"/>
    <x v="32"/>
    <x v="1"/>
    <x v="0"/>
    <n v="1317"/>
    <s v="Female"/>
    <x v="7"/>
    <n v="1"/>
    <n v="16880"/>
    <x v="1"/>
    <n v="3"/>
    <n v="2"/>
    <n v="3"/>
    <x v="0"/>
    <s v="Good"/>
    <s v="₹ 10000 - ₹ 19,999"/>
    <s v="Recommend training"/>
  </r>
  <r>
    <x v="1321"/>
    <x v="32"/>
    <x v="1"/>
    <x v="0"/>
    <n v="1539"/>
    <s v="Male"/>
    <x v="7"/>
    <n v="4"/>
    <n v="14411"/>
    <x v="1"/>
    <n v="3"/>
    <n v="2"/>
    <n v="32"/>
    <x v="0"/>
    <s v="Good"/>
    <s v="₹ 10000 - ₹ 19,999"/>
    <s v="Recommend training"/>
  </r>
  <r>
    <x v="1322"/>
    <x v="32"/>
    <x v="1"/>
    <x v="1"/>
    <n v="1591"/>
    <s v="Male"/>
    <x v="8"/>
    <n v="3"/>
    <n v="19331"/>
    <x v="1"/>
    <n v="3"/>
    <n v="2"/>
    <n v="1"/>
    <x v="0"/>
    <s v="Good"/>
    <s v="₹ 10000 - ₹ 19,999"/>
    <s v="Recommend training"/>
  </r>
  <r>
    <x v="1323"/>
    <x v="32"/>
    <x v="1"/>
    <x v="0"/>
    <n v="1606"/>
    <s v="Male"/>
    <x v="6"/>
    <n v="3"/>
    <n v="11245"/>
    <x v="1"/>
    <n v="3"/>
    <n v="3"/>
    <n v="30"/>
    <x v="0"/>
    <s v="Good"/>
    <s v="₹ 10000 - ₹ 19,999"/>
    <s v="Recommend training"/>
  </r>
  <r>
    <x v="1324"/>
    <x v="32"/>
    <x v="1"/>
    <x v="0"/>
    <n v="1656"/>
    <s v="Female"/>
    <x v="7"/>
    <n v="1"/>
    <n v="13269"/>
    <x v="0"/>
    <n v="3"/>
    <n v="3"/>
    <n v="14"/>
    <x v="1"/>
    <s v="Good"/>
    <s v="₹ 10000 - ₹ 19,999"/>
    <s v="Recommend training"/>
  </r>
  <r>
    <x v="1325"/>
    <x v="32"/>
    <x v="0"/>
    <x v="1"/>
    <n v="2044"/>
    <s v="Male"/>
    <x v="5"/>
    <n v="3"/>
    <n v="6728"/>
    <x v="0"/>
    <n v="3"/>
    <n v="3"/>
    <n v="6"/>
    <x v="0"/>
    <s v="Good"/>
    <s v="₹ 10000 - ₹ 19,999"/>
    <s v="Recommend training"/>
  </r>
  <r>
    <x v="1326"/>
    <x v="32"/>
    <x v="0"/>
    <x v="1"/>
    <n v="2055"/>
    <s v="Male"/>
    <x v="5"/>
    <n v="1"/>
    <n v="10854"/>
    <x v="1"/>
    <n v="3"/>
    <n v="3"/>
    <n v="3"/>
    <x v="2"/>
    <s v="Good"/>
    <s v="₹ 10000 - ₹ 19,999"/>
    <s v="Recommend training"/>
  </r>
  <r>
    <x v="1327"/>
    <x v="33"/>
    <x v="1"/>
    <x v="0"/>
    <n v="116"/>
    <s v="Male"/>
    <x v="0"/>
    <n v="4"/>
    <n v="2075"/>
    <x v="0"/>
    <n v="4"/>
    <n v="4"/>
    <n v="4"/>
    <x v="1"/>
    <s v="Excellent"/>
    <s v="₹ 3,000- ₹ 7,000"/>
    <s v="Recommend training"/>
  </r>
  <r>
    <x v="1328"/>
    <x v="33"/>
    <x v="1"/>
    <x v="1"/>
    <n v="120"/>
    <s v="Male"/>
    <x v="5"/>
    <n v="4"/>
    <n v="5441"/>
    <x v="1"/>
    <n v="4"/>
    <n v="2"/>
    <n v="10"/>
    <x v="0"/>
    <s v="Excellent"/>
    <s v="₹ 10000 - ₹ 19,999"/>
    <s v="Recommend training"/>
  </r>
  <r>
    <x v="1329"/>
    <x v="33"/>
    <x v="1"/>
    <x v="0"/>
    <n v="145"/>
    <s v="Female"/>
    <x v="6"/>
    <n v="1"/>
    <n v="7484"/>
    <x v="0"/>
    <n v="4"/>
    <n v="1"/>
    <n v="13"/>
    <x v="1"/>
    <s v="Excellent"/>
    <s v="₹ 7,000 - ₹ 10,000"/>
    <s v="Not recommend training"/>
  </r>
  <r>
    <x v="1330"/>
    <x v="33"/>
    <x v="1"/>
    <x v="0"/>
    <n v="162"/>
    <s v="Male"/>
    <x v="7"/>
    <n v="3"/>
    <n v="19537"/>
    <x v="0"/>
    <n v="3"/>
    <n v="5"/>
    <n v="20"/>
    <x v="1"/>
    <s v="Good"/>
    <s v="₹ 10000 - ₹ 19,999"/>
    <s v="Recommend training"/>
  </r>
  <r>
    <x v="1331"/>
    <x v="33"/>
    <x v="0"/>
    <x v="0"/>
    <n v="179"/>
    <s v="Male"/>
    <x v="4"/>
    <n v="4"/>
    <n v="10650"/>
    <x v="0"/>
    <n v="3"/>
    <n v="2"/>
    <n v="4"/>
    <x v="0"/>
    <s v="Good"/>
    <s v="₹ 10000 - ₹ 19,999"/>
    <s v="Recommend training"/>
  </r>
  <r>
    <x v="1332"/>
    <x v="33"/>
    <x v="1"/>
    <x v="0"/>
    <n v="211"/>
    <s v="Male"/>
    <x v="4"/>
    <n v="3"/>
    <n v="6132"/>
    <x v="0"/>
    <n v="3"/>
    <n v="2"/>
    <n v="1"/>
    <x v="1"/>
    <s v="Good"/>
    <s v="₹ 10000 - ₹ 19,999"/>
    <s v="Recommend training"/>
  </r>
  <r>
    <x v="1333"/>
    <x v="33"/>
    <x v="1"/>
    <x v="0"/>
    <n v="258"/>
    <s v="Female"/>
    <x v="6"/>
    <n v="2"/>
    <n v="13734"/>
    <x v="0"/>
    <n v="3"/>
    <n v="6"/>
    <n v="7"/>
    <x v="1"/>
    <s v="Good"/>
    <s v="₹ 10000 - ₹ 19,999"/>
    <s v="Recommend training"/>
  </r>
  <r>
    <x v="1334"/>
    <x v="33"/>
    <x v="1"/>
    <x v="0"/>
    <n v="296"/>
    <s v="Male"/>
    <x v="7"/>
    <n v="2"/>
    <n v="12490"/>
    <x v="0"/>
    <n v="3"/>
    <n v="5"/>
    <n v="10"/>
    <x v="1"/>
    <s v="Good"/>
    <s v="₹ 10000 - ₹ 19,999"/>
    <s v="Recommend training"/>
  </r>
  <r>
    <x v="1335"/>
    <x v="33"/>
    <x v="1"/>
    <x v="0"/>
    <n v="353"/>
    <s v="Male"/>
    <x v="2"/>
    <n v="4"/>
    <n v="2723"/>
    <x v="0"/>
    <n v="3"/>
    <n v="0"/>
    <n v="1"/>
    <x v="1"/>
    <s v="Good"/>
    <s v="₹ 3,000- ₹ 7,000"/>
    <s v="Recommend training"/>
  </r>
  <r>
    <x v="1336"/>
    <x v="33"/>
    <x v="1"/>
    <x v="0"/>
    <n v="408"/>
    <s v="Male"/>
    <x v="4"/>
    <n v="2"/>
    <n v="5482"/>
    <x v="0"/>
    <n v="3"/>
    <n v="3"/>
    <n v="4"/>
    <x v="1"/>
    <s v="Good"/>
    <s v="₹ 10000 - ₹ 19,999"/>
    <s v="Recommend training"/>
  </r>
  <r>
    <x v="1337"/>
    <x v="33"/>
    <x v="1"/>
    <x v="1"/>
    <n v="500"/>
    <s v="Female"/>
    <x v="5"/>
    <n v="4"/>
    <n v="4936"/>
    <x v="0"/>
    <n v="3"/>
    <n v="2"/>
    <n v="7"/>
    <x v="1"/>
    <s v="Good"/>
    <s v="₹ 10000 - ₹ 19,999"/>
    <s v="Recommend training"/>
  </r>
  <r>
    <x v="1338"/>
    <x v="33"/>
    <x v="1"/>
    <x v="1"/>
    <n v="851"/>
    <s v="Female"/>
    <x v="8"/>
    <n v="3"/>
    <n v="16307"/>
    <x v="0"/>
    <n v="3"/>
    <n v="2"/>
    <n v="20"/>
    <x v="1"/>
    <s v="Good"/>
    <s v="₹ 10000 - ₹ 19,999"/>
    <s v="Recommend training"/>
  </r>
  <r>
    <x v="1339"/>
    <x v="33"/>
    <x v="0"/>
    <x v="0"/>
    <n v="1081"/>
    <s v="Male"/>
    <x v="2"/>
    <n v="3"/>
    <n v="2461"/>
    <x v="1"/>
    <n v="3"/>
    <n v="2"/>
    <n v="10"/>
    <x v="2"/>
    <s v="Good"/>
    <s v="₹ 3,000- ₹ 7,000"/>
    <s v="Recommend training"/>
  </r>
  <r>
    <x v="1340"/>
    <x v="33"/>
    <x v="1"/>
    <x v="1"/>
    <n v="1282"/>
    <s v="Male"/>
    <x v="8"/>
    <n v="2"/>
    <n v="19847"/>
    <x v="1"/>
    <n v="4"/>
    <n v="5"/>
    <n v="29"/>
    <x v="0"/>
    <s v="Excellent"/>
    <s v="₹ 10000 - ₹ 19,999"/>
    <s v="Not recommend training"/>
  </r>
  <r>
    <x v="1341"/>
    <x v="33"/>
    <x v="1"/>
    <x v="0"/>
    <n v="1297"/>
    <s v="Female"/>
    <x v="0"/>
    <n v="3"/>
    <n v="2838"/>
    <x v="0"/>
    <n v="3"/>
    <n v="6"/>
    <n v="7"/>
    <x v="1"/>
    <s v="Good"/>
    <s v="₹ 3,000- ₹ 7,000"/>
    <s v="Recommend training"/>
  </r>
  <r>
    <x v="1342"/>
    <x v="33"/>
    <x v="1"/>
    <x v="2"/>
    <n v="1352"/>
    <s v="Male"/>
    <x v="8"/>
    <n v="2"/>
    <n v="14026"/>
    <x v="1"/>
    <n v="3"/>
    <n v="2"/>
    <n v="33"/>
    <x v="0"/>
    <s v="Good"/>
    <s v="₹ 10000 - ₹ 19,999"/>
    <s v="Recommend training"/>
  </r>
  <r>
    <x v="1343"/>
    <x v="33"/>
    <x v="1"/>
    <x v="0"/>
    <n v="1367"/>
    <s v="Female"/>
    <x v="4"/>
    <n v="2"/>
    <n v="13142"/>
    <x v="0"/>
    <n v="3"/>
    <n v="1"/>
    <n v="5"/>
    <x v="1"/>
    <s v="Good"/>
    <s v="₹ 10000 - ₹ 19,999"/>
    <s v="Recommend training"/>
  </r>
  <r>
    <x v="1344"/>
    <x v="33"/>
    <x v="1"/>
    <x v="1"/>
    <n v="1391"/>
    <s v="Male"/>
    <x v="5"/>
    <n v="2"/>
    <n v="10596"/>
    <x v="0"/>
    <n v="3"/>
    <n v="5"/>
    <n v="4"/>
    <x v="1"/>
    <s v="Good"/>
    <s v="₹ 10000 - ₹ 19,999"/>
    <s v="Recommend training"/>
  </r>
  <r>
    <x v="1345"/>
    <x v="33"/>
    <x v="1"/>
    <x v="0"/>
    <n v="1786"/>
    <s v="Female"/>
    <x v="8"/>
    <n v="3"/>
    <n v="13116"/>
    <x v="0"/>
    <n v="3"/>
    <n v="2"/>
    <n v="2"/>
    <x v="1"/>
    <s v="Good"/>
    <s v="₹ 10000 - ₹ 19,999"/>
    <s v="Recommend training"/>
  </r>
  <r>
    <x v="1346"/>
    <x v="34"/>
    <x v="1"/>
    <x v="0"/>
    <n v="259"/>
    <s v="Male"/>
    <x v="8"/>
    <n v="3"/>
    <n v="19999"/>
    <x v="0"/>
    <n v="3"/>
    <n v="5"/>
    <n v="33"/>
    <x v="1"/>
    <s v="Good"/>
    <s v="₹ 10000 - ₹ 19,999"/>
    <s v="Recommend training"/>
  </r>
  <r>
    <x v="1347"/>
    <x v="34"/>
    <x v="1"/>
    <x v="0"/>
    <n v="316"/>
    <s v="Female"/>
    <x v="0"/>
    <n v="4"/>
    <n v="3212"/>
    <x v="0"/>
    <n v="3"/>
    <n v="3"/>
    <n v="2"/>
    <x v="1"/>
    <s v="Good"/>
    <s v="₹ 10000 - ₹ 19,999"/>
    <s v="Recommend training"/>
  </r>
  <r>
    <x v="1348"/>
    <x v="34"/>
    <x v="1"/>
    <x v="1"/>
    <n v="329"/>
    <s v="Male"/>
    <x v="8"/>
    <n v="3"/>
    <n v="19068"/>
    <x v="1"/>
    <n v="3"/>
    <n v="2"/>
    <n v="33"/>
    <x v="0"/>
    <s v="Good"/>
    <s v="₹ 10000 - ₹ 19,999"/>
    <s v="Recommend training"/>
  </r>
  <r>
    <x v="1349"/>
    <x v="34"/>
    <x v="0"/>
    <x v="0"/>
    <n v="433"/>
    <s v="Male"/>
    <x v="2"/>
    <n v="2"/>
    <n v="4941"/>
    <x v="0"/>
    <n v="3"/>
    <n v="3"/>
    <n v="8"/>
    <x v="0"/>
    <s v="Good"/>
    <s v="₹ 10000 - ₹ 19,999"/>
    <s v="Recommend training"/>
  </r>
  <r>
    <x v="1350"/>
    <x v="34"/>
    <x v="1"/>
    <x v="0"/>
    <n v="543"/>
    <s v="Male"/>
    <x v="4"/>
    <n v="3"/>
    <n v="7969"/>
    <x v="1"/>
    <n v="3"/>
    <n v="4"/>
    <n v="5"/>
    <x v="0"/>
    <s v="Good"/>
    <s v="₹ 7,000 - ₹ 10,000"/>
    <s v="Recommend training"/>
  </r>
  <r>
    <x v="1351"/>
    <x v="34"/>
    <x v="1"/>
    <x v="0"/>
    <n v="546"/>
    <s v="Female"/>
    <x v="8"/>
    <n v="4"/>
    <n v="16555"/>
    <x v="0"/>
    <n v="3"/>
    <n v="2"/>
    <n v="5"/>
    <x v="1"/>
    <s v="Good"/>
    <s v="₹ 10000 - ₹ 19,999"/>
    <s v="Recommend training"/>
  </r>
  <r>
    <x v="1352"/>
    <x v="34"/>
    <x v="1"/>
    <x v="0"/>
    <n v="630"/>
    <s v="Male"/>
    <x v="2"/>
    <n v="1"/>
    <n v="5577"/>
    <x v="1"/>
    <n v="3"/>
    <n v="3"/>
    <n v="10"/>
    <x v="0"/>
    <s v="Good"/>
    <s v="₹ 10000 - ₹ 19,999"/>
    <s v="Recommend training"/>
  </r>
  <r>
    <x v="1353"/>
    <x v="34"/>
    <x v="1"/>
    <x v="1"/>
    <n v="776"/>
    <s v="Male"/>
    <x v="8"/>
    <n v="1"/>
    <n v="16856"/>
    <x v="0"/>
    <n v="3"/>
    <n v="3"/>
    <n v="34"/>
    <x v="1"/>
    <s v="Good"/>
    <s v="₹ 10000 - ₹ 19,999"/>
    <s v="Recommend training"/>
  </r>
  <r>
    <x v="1354"/>
    <x v="34"/>
    <x v="1"/>
    <x v="0"/>
    <n v="791"/>
    <s v="Male"/>
    <x v="2"/>
    <n v="4"/>
    <n v="4258"/>
    <x v="0"/>
    <n v="3"/>
    <n v="3"/>
    <n v="4"/>
    <x v="1"/>
    <s v="Good"/>
    <s v="₹ 10000 - ₹ 19,999"/>
    <s v="Recommend training"/>
  </r>
  <r>
    <x v="1355"/>
    <x v="34"/>
    <x v="1"/>
    <x v="0"/>
    <n v="813"/>
    <s v="Female"/>
    <x v="0"/>
    <n v="3"/>
    <n v="3149"/>
    <x v="0"/>
    <n v="4"/>
    <n v="3"/>
    <n v="5"/>
    <x v="1"/>
    <s v="Excellent"/>
    <s v="₹ 10000 - ₹ 19,999"/>
    <s v="Not recommend training"/>
  </r>
  <r>
    <x v="1356"/>
    <x v="34"/>
    <x v="1"/>
    <x v="0"/>
    <n v="867"/>
    <s v="Female"/>
    <x v="4"/>
    <n v="4"/>
    <n v="13826"/>
    <x v="0"/>
    <n v="4"/>
    <n v="3"/>
    <n v="9"/>
    <x v="1"/>
    <s v="Excellent"/>
    <s v="₹ 10000 - ₹ 19,999"/>
    <s v="Not recommend training"/>
  </r>
  <r>
    <x v="1357"/>
    <x v="34"/>
    <x v="1"/>
    <x v="0"/>
    <n v="976"/>
    <s v="Male"/>
    <x v="8"/>
    <n v="4"/>
    <n v="17099"/>
    <x v="0"/>
    <n v="3"/>
    <n v="2"/>
    <n v="9"/>
    <x v="1"/>
    <s v="Good"/>
    <s v="₹ 10000 - ₹ 19,999"/>
    <s v="Recommend training"/>
  </r>
  <r>
    <x v="1358"/>
    <x v="34"/>
    <x v="0"/>
    <x v="1"/>
    <n v="1038"/>
    <s v="Female"/>
    <x v="8"/>
    <n v="4"/>
    <n v="19845"/>
    <x v="0"/>
    <n v="3"/>
    <n v="3"/>
    <n v="32"/>
    <x v="0"/>
    <s v="Good"/>
    <s v="₹ 10000 - ₹ 19,999"/>
    <s v="Recommend training"/>
  </r>
  <r>
    <x v="1359"/>
    <x v="34"/>
    <x v="1"/>
    <x v="0"/>
    <n v="1118"/>
    <s v="Male"/>
    <x v="6"/>
    <n v="2"/>
    <n v="10445"/>
    <x v="0"/>
    <n v="3"/>
    <n v="4"/>
    <n v="8"/>
    <x v="1"/>
    <s v="Good"/>
    <s v="₹ 10000 - ₹ 19,999"/>
    <s v="Recommend training"/>
  </r>
  <r>
    <x v="1360"/>
    <x v="34"/>
    <x v="0"/>
    <x v="1"/>
    <n v="1319"/>
    <s v="Male"/>
    <x v="5"/>
    <n v="2"/>
    <n v="8446"/>
    <x v="1"/>
    <n v="3"/>
    <n v="2"/>
    <n v="8"/>
    <x v="2"/>
    <s v="Good"/>
    <s v="₹ 7,000 - ₹ 10,000"/>
    <s v="Recommend training"/>
  </r>
  <r>
    <x v="1361"/>
    <x v="34"/>
    <x v="1"/>
    <x v="0"/>
    <n v="1401"/>
    <s v="Female"/>
    <x v="4"/>
    <n v="3"/>
    <n v="13247"/>
    <x v="1"/>
    <n v="3"/>
    <n v="3"/>
    <n v="5"/>
    <x v="0"/>
    <s v="Good"/>
    <s v="₹ 10000 - ₹ 19,999"/>
    <s v="Recommend training"/>
  </r>
  <r>
    <x v="1362"/>
    <x v="34"/>
    <x v="1"/>
    <x v="0"/>
    <n v="1409"/>
    <s v="Female"/>
    <x v="0"/>
    <n v="1"/>
    <n v="2950"/>
    <x v="0"/>
    <n v="3"/>
    <n v="2"/>
    <n v="5"/>
    <x v="1"/>
    <s v="Good"/>
    <s v="₹ 3,000- ₹ 7,000"/>
    <s v="Recommend training"/>
  </r>
  <r>
    <x v="1363"/>
    <x v="34"/>
    <x v="1"/>
    <x v="1"/>
    <n v="2019"/>
    <s v="Male"/>
    <x v="1"/>
    <n v="4"/>
    <n v="3482"/>
    <x v="0"/>
    <n v="3"/>
    <n v="3"/>
    <n v="9"/>
    <x v="1"/>
    <s v="Good"/>
    <s v="₹ 10000 - ₹ 19,999"/>
    <s v="Recommend training"/>
  </r>
  <r>
    <x v="1364"/>
    <x v="35"/>
    <x v="1"/>
    <x v="1"/>
    <n v="23"/>
    <s v="Female"/>
    <x v="8"/>
    <n v="4"/>
    <n v="15427"/>
    <x v="0"/>
    <n v="3"/>
    <n v="3"/>
    <n v="25"/>
    <x v="1"/>
    <s v="Good"/>
    <s v="₹ 10000 - ₹ 19,999"/>
    <s v="Recommend training"/>
  </r>
  <r>
    <x v="1365"/>
    <x v="35"/>
    <x v="1"/>
    <x v="0"/>
    <n v="32"/>
    <s v="Female"/>
    <x v="8"/>
    <n v="3"/>
    <n v="19094"/>
    <x v="0"/>
    <n v="3"/>
    <n v="3"/>
    <n v="14"/>
    <x v="1"/>
    <s v="Good"/>
    <s v="₹ 10000 - ₹ 19,999"/>
    <s v="Recommend training"/>
  </r>
  <r>
    <x v="1366"/>
    <x v="35"/>
    <x v="1"/>
    <x v="1"/>
    <n v="205"/>
    <s v="Male"/>
    <x v="1"/>
    <n v="3"/>
    <n v="2306"/>
    <x v="1"/>
    <n v="4"/>
    <n v="3"/>
    <n v="7"/>
    <x v="0"/>
    <s v="Excellent"/>
    <s v="₹ 3,000- ₹ 7,000"/>
    <s v="Not recommend training"/>
  </r>
  <r>
    <x v="1367"/>
    <x v="35"/>
    <x v="1"/>
    <x v="0"/>
    <n v="250"/>
    <s v="Female"/>
    <x v="4"/>
    <n v="1"/>
    <n v="4450"/>
    <x v="0"/>
    <n v="3"/>
    <n v="3"/>
    <n v="4"/>
    <x v="1"/>
    <s v="Good"/>
    <s v="₹ 10000 - ₹ 19,999"/>
    <s v="Recommend training"/>
  </r>
  <r>
    <x v="1368"/>
    <x v="35"/>
    <x v="1"/>
    <x v="0"/>
    <n v="386"/>
    <s v="Male"/>
    <x v="7"/>
    <n v="3"/>
    <n v="17584"/>
    <x v="1"/>
    <n v="3"/>
    <n v="5"/>
    <n v="5"/>
    <x v="0"/>
    <s v="Good"/>
    <s v="₹ 10000 - ₹ 19,999"/>
    <s v="Recommend training"/>
  </r>
  <r>
    <x v="1369"/>
    <x v="35"/>
    <x v="1"/>
    <x v="1"/>
    <n v="682"/>
    <s v="Female"/>
    <x v="5"/>
    <n v="1"/>
    <n v="8381"/>
    <x v="0"/>
    <n v="4"/>
    <n v="2"/>
    <n v="14"/>
    <x v="1"/>
    <s v="Excellent"/>
    <s v="₹ 7,000 - ₹ 10,000"/>
    <s v="Recommend training"/>
  </r>
  <r>
    <x v="1370"/>
    <x v="35"/>
    <x v="1"/>
    <x v="0"/>
    <n v="730"/>
    <s v="Male"/>
    <x v="7"/>
    <n v="3"/>
    <n v="14814"/>
    <x v="0"/>
    <n v="3"/>
    <n v="3"/>
    <n v="5"/>
    <x v="1"/>
    <s v="Good"/>
    <s v="₹ 10000 - ₹ 19,999"/>
    <s v="Recommend training"/>
  </r>
  <r>
    <x v="1371"/>
    <x v="35"/>
    <x v="1"/>
    <x v="0"/>
    <n v="769"/>
    <s v="Male"/>
    <x v="0"/>
    <n v="4"/>
    <n v="2450"/>
    <x v="0"/>
    <n v="3"/>
    <n v="4"/>
    <n v="2"/>
    <x v="1"/>
    <s v="Good"/>
    <s v="₹ 3,000- ₹ 7,000"/>
    <s v="Recommend training"/>
  </r>
  <r>
    <x v="1372"/>
    <x v="35"/>
    <x v="1"/>
    <x v="1"/>
    <n v="862"/>
    <s v="Female"/>
    <x v="5"/>
    <n v="4"/>
    <n v="10934"/>
    <x v="1"/>
    <n v="3"/>
    <n v="3"/>
    <n v="5"/>
    <x v="0"/>
    <s v="Good"/>
    <s v="₹ 10000 - ₹ 19,999"/>
    <s v="Recommend training"/>
  </r>
  <r>
    <x v="1373"/>
    <x v="35"/>
    <x v="1"/>
    <x v="1"/>
    <n v="897"/>
    <s v="Male"/>
    <x v="5"/>
    <n v="4"/>
    <n v="11836"/>
    <x v="0"/>
    <n v="3"/>
    <n v="3"/>
    <n v="2"/>
    <x v="1"/>
    <s v="Good"/>
    <s v="₹ 10000 - ₹ 19,999"/>
    <s v="Recommend training"/>
  </r>
  <r>
    <x v="1374"/>
    <x v="35"/>
    <x v="1"/>
    <x v="0"/>
    <n v="901"/>
    <s v="Female"/>
    <x v="7"/>
    <n v="4"/>
    <n v="14275"/>
    <x v="0"/>
    <n v="3"/>
    <n v="0"/>
    <n v="12"/>
    <x v="1"/>
    <s v="Good"/>
    <s v="₹ 10000 - ₹ 19,999"/>
    <s v="Recommend training"/>
  </r>
  <r>
    <x v="1375"/>
    <x v="35"/>
    <x v="1"/>
    <x v="1"/>
    <n v="981"/>
    <s v="Male"/>
    <x v="8"/>
    <n v="3"/>
    <n v="14852"/>
    <x v="0"/>
    <n v="3"/>
    <n v="3"/>
    <n v="17"/>
    <x v="1"/>
    <s v="Good"/>
    <s v="₹ 10000 - ₹ 19,999"/>
    <s v="Recommend training"/>
  </r>
  <r>
    <x v="1376"/>
    <x v="35"/>
    <x v="1"/>
    <x v="1"/>
    <n v="1050"/>
    <s v="Female"/>
    <x v="5"/>
    <n v="2"/>
    <n v="7525"/>
    <x v="0"/>
    <n v="3"/>
    <n v="2"/>
    <n v="15"/>
    <x v="1"/>
    <s v="Good"/>
    <s v="₹ 7,000 - ₹ 10,000"/>
    <s v="Recommend training"/>
  </r>
  <r>
    <x v="1377"/>
    <x v="35"/>
    <x v="1"/>
    <x v="0"/>
    <n v="1201"/>
    <s v="Female"/>
    <x v="8"/>
    <n v="3"/>
    <n v="18606"/>
    <x v="0"/>
    <n v="3"/>
    <n v="6"/>
    <n v="7"/>
    <x v="1"/>
    <s v="Good"/>
    <s v="₹ 10000 - ₹ 19,999"/>
    <s v="Recommend training"/>
  </r>
  <r>
    <x v="1378"/>
    <x v="35"/>
    <x v="1"/>
    <x v="0"/>
    <n v="1472"/>
    <s v="Male"/>
    <x v="7"/>
    <n v="2"/>
    <n v="16598"/>
    <x v="0"/>
    <n v="3"/>
    <n v="2"/>
    <n v="9"/>
    <x v="1"/>
    <s v="Good"/>
    <s v="₹ 10000 - ₹ 19,999"/>
    <s v="Recommend training"/>
  </r>
  <r>
    <x v="1379"/>
    <x v="35"/>
    <x v="0"/>
    <x v="0"/>
    <n v="1572"/>
    <s v="Female"/>
    <x v="4"/>
    <n v="4"/>
    <n v="10169"/>
    <x v="0"/>
    <n v="3"/>
    <n v="4"/>
    <n v="33"/>
    <x v="0"/>
    <s v="Good"/>
    <s v="₹ 10000 - ₹ 19,999"/>
    <s v="Recommend training"/>
  </r>
  <r>
    <x v="1380"/>
    <x v="35"/>
    <x v="1"/>
    <x v="0"/>
    <n v="1689"/>
    <s v="Male"/>
    <x v="6"/>
    <n v="4"/>
    <n v="7005"/>
    <x v="0"/>
    <n v="3"/>
    <n v="2"/>
    <n v="4"/>
    <x v="1"/>
    <s v="Good"/>
    <s v="₹ 7,000 - ₹ 10,000"/>
    <s v="Recommend training"/>
  </r>
  <r>
    <x v="1381"/>
    <x v="35"/>
    <x v="1"/>
    <x v="0"/>
    <n v="1775"/>
    <s v="Female"/>
    <x v="4"/>
    <n v="3"/>
    <n v="12965"/>
    <x v="1"/>
    <n v="4"/>
    <n v="2"/>
    <n v="3"/>
    <x v="0"/>
    <s v="Excellent"/>
    <s v="₹ 10000 - ₹ 19,999"/>
    <s v="Recommend training"/>
  </r>
  <r>
    <x v="1382"/>
    <x v="35"/>
    <x v="0"/>
    <x v="1"/>
    <n v="1968"/>
    <s v="Male"/>
    <x v="5"/>
    <n v="1"/>
    <n v="10448"/>
    <x v="1"/>
    <n v="3"/>
    <n v="2"/>
    <n v="2"/>
    <x v="2"/>
    <s v="Good"/>
    <s v="₹ 10000 - ₹ 19,999"/>
    <s v="Recommend training"/>
  </r>
  <r>
    <x v="1383"/>
    <x v="36"/>
    <x v="1"/>
    <x v="0"/>
    <n v="126"/>
    <s v="Female"/>
    <x v="7"/>
    <n v="3"/>
    <n v="13549"/>
    <x v="0"/>
    <n v="3"/>
    <n v="5"/>
    <n v="4"/>
    <x v="1"/>
    <s v="Good"/>
    <s v="₹ 10000 - ₹ 19,999"/>
    <s v="Recommend training"/>
  </r>
  <r>
    <x v="1384"/>
    <x v="36"/>
    <x v="1"/>
    <x v="2"/>
    <n v="148"/>
    <s v="Female"/>
    <x v="8"/>
    <n v="4"/>
    <n v="17328"/>
    <x v="1"/>
    <n v="3"/>
    <n v="3"/>
    <n v="5"/>
    <x v="0"/>
    <s v="Good"/>
    <s v="₹ 10000 - ₹ 19,999"/>
    <s v="Recommend training"/>
  </r>
  <r>
    <x v="1385"/>
    <x v="36"/>
    <x v="1"/>
    <x v="1"/>
    <n v="303"/>
    <s v="Female"/>
    <x v="5"/>
    <n v="1"/>
    <n v="5940"/>
    <x v="0"/>
    <n v="3"/>
    <n v="4"/>
    <n v="6"/>
    <x v="1"/>
    <s v="Good"/>
    <s v="₹ 10000 - ₹ 19,999"/>
    <s v="Recommend training"/>
  </r>
  <r>
    <x v="1386"/>
    <x v="36"/>
    <x v="1"/>
    <x v="0"/>
    <n v="450"/>
    <s v="Female"/>
    <x v="2"/>
    <n v="3"/>
    <n v="4869"/>
    <x v="0"/>
    <n v="3"/>
    <n v="4"/>
    <n v="4"/>
    <x v="1"/>
    <s v="Good"/>
    <s v="₹ 10000 - ₹ 19,999"/>
    <s v="Recommend training"/>
  </r>
  <r>
    <x v="1387"/>
    <x v="36"/>
    <x v="1"/>
    <x v="0"/>
    <n v="522"/>
    <s v="Male"/>
    <x v="7"/>
    <n v="1"/>
    <n v="19406"/>
    <x v="0"/>
    <n v="3"/>
    <n v="4"/>
    <n v="4"/>
    <x v="1"/>
    <s v="Good"/>
    <s v="₹ 10000 - ₹ 19,999"/>
    <s v="Recommend training"/>
  </r>
  <r>
    <x v="1388"/>
    <x v="36"/>
    <x v="1"/>
    <x v="0"/>
    <n v="578"/>
    <s v="Female"/>
    <x v="0"/>
    <n v="3"/>
    <n v="3780"/>
    <x v="0"/>
    <n v="3"/>
    <n v="3"/>
    <n v="1"/>
    <x v="1"/>
    <s v="Good"/>
    <s v="₹ 10000 - ₹ 19,999"/>
    <s v="Recommend training"/>
  </r>
  <r>
    <x v="1389"/>
    <x v="36"/>
    <x v="1"/>
    <x v="2"/>
    <n v="698"/>
    <s v="Male"/>
    <x v="3"/>
    <n v="2"/>
    <n v="10725"/>
    <x v="0"/>
    <n v="3"/>
    <n v="1"/>
    <n v="9"/>
    <x v="1"/>
    <s v="Good"/>
    <s v="₹ 10000 - ₹ 19,999"/>
    <s v="Recommend training"/>
  </r>
  <r>
    <x v="1390"/>
    <x v="36"/>
    <x v="1"/>
    <x v="0"/>
    <n v="799"/>
    <s v="Female"/>
    <x v="4"/>
    <n v="1"/>
    <n v="5485"/>
    <x v="1"/>
    <n v="3"/>
    <n v="4"/>
    <n v="5"/>
    <x v="0"/>
    <s v="Good"/>
    <s v="₹ 10000 - ₹ 19,999"/>
    <s v="Recommend training"/>
  </r>
  <r>
    <x v="1391"/>
    <x v="36"/>
    <x v="1"/>
    <x v="0"/>
    <n v="1013"/>
    <s v="Female"/>
    <x v="4"/>
    <n v="3"/>
    <n v="10739"/>
    <x v="0"/>
    <n v="3"/>
    <n v="2"/>
    <n v="10"/>
    <x v="1"/>
    <s v="Good"/>
    <s v="₹ 10000 - ₹ 19,999"/>
    <s v="Recommend training"/>
  </r>
  <r>
    <x v="1392"/>
    <x v="36"/>
    <x v="1"/>
    <x v="1"/>
    <n v="1070"/>
    <s v="Female"/>
    <x v="5"/>
    <n v="3"/>
    <n v="10686"/>
    <x v="0"/>
    <n v="3"/>
    <n v="4"/>
    <n v="9"/>
    <x v="1"/>
    <s v="Good"/>
    <s v="₹ 10000 - ₹ 19,999"/>
    <s v="Recommend training"/>
  </r>
  <r>
    <x v="1393"/>
    <x v="36"/>
    <x v="1"/>
    <x v="0"/>
    <n v="1245"/>
    <s v="Female"/>
    <x v="4"/>
    <n v="3"/>
    <n v="10502"/>
    <x v="0"/>
    <n v="3"/>
    <n v="2"/>
    <n v="5"/>
    <x v="1"/>
    <s v="Good"/>
    <s v="₹ 10000 - ₹ 19,999"/>
    <s v="Recommend training"/>
  </r>
  <r>
    <x v="1394"/>
    <x v="36"/>
    <x v="1"/>
    <x v="0"/>
    <n v="1250"/>
    <s v="Male"/>
    <x v="7"/>
    <n v="4"/>
    <n v="17779"/>
    <x v="0"/>
    <n v="3"/>
    <n v="2"/>
    <n v="10"/>
    <x v="1"/>
    <s v="Good"/>
    <s v="₹ 10000 - ₹ 19,999"/>
    <s v="Recommend training"/>
  </r>
  <r>
    <x v="1395"/>
    <x v="36"/>
    <x v="1"/>
    <x v="0"/>
    <n v="1422"/>
    <s v="Female"/>
    <x v="7"/>
    <n v="4"/>
    <n v="17328"/>
    <x v="0"/>
    <n v="3"/>
    <n v="3"/>
    <n v="20"/>
    <x v="1"/>
    <s v="Good"/>
    <s v="₹ 10000 - ₹ 19,999"/>
    <s v="Recommend training"/>
  </r>
  <r>
    <x v="1396"/>
    <x v="36"/>
    <x v="1"/>
    <x v="0"/>
    <n v="1520"/>
    <s v="Female"/>
    <x v="8"/>
    <n v="4"/>
    <n v="16032"/>
    <x v="0"/>
    <n v="4"/>
    <n v="2"/>
    <n v="14"/>
    <x v="1"/>
    <s v="Excellent"/>
    <s v="₹ 10000 - ₹ 19,999"/>
    <s v="Recommend training"/>
  </r>
  <r>
    <x v="1397"/>
    <x v="36"/>
    <x v="1"/>
    <x v="0"/>
    <n v="1665"/>
    <s v="Female"/>
    <x v="8"/>
    <n v="3"/>
    <n v="17426"/>
    <x v="0"/>
    <n v="4"/>
    <n v="6"/>
    <n v="10"/>
    <x v="1"/>
    <s v="Excellent"/>
    <s v="₹ 10000 - ₹ 19,999"/>
    <s v="Not recommend training"/>
  </r>
  <r>
    <x v="1398"/>
    <x v="36"/>
    <x v="1"/>
    <x v="0"/>
    <n v="1830"/>
    <s v="Female"/>
    <x v="2"/>
    <n v="4"/>
    <n v="6854"/>
    <x v="0"/>
    <n v="3"/>
    <n v="2"/>
    <n v="7"/>
    <x v="1"/>
    <s v="Good"/>
    <s v="₹ 10000 - ₹ 19,999"/>
    <s v="Recommend training"/>
  </r>
  <r>
    <x v="1399"/>
    <x v="36"/>
    <x v="1"/>
    <x v="0"/>
    <n v="1969"/>
    <s v="Female"/>
    <x v="2"/>
    <n v="3"/>
    <n v="2897"/>
    <x v="0"/>
    <n v="3"/>
    <n v="6"/>
    <n v="4"/>
    <x v="1"/>
    <s v="Good"/>
    <s v="₹ 3,000- ₹ 7,000"/>
    <s v="Recommend training"/>
  </r>
  <r>
    <x v="1400"/>
    <x v="36"/>
    <x v="1"/>
    <x v="0"/>
    <n v="1980"/>
    <s v="Female"/>
    <x v="4"/>
    <n v="1"/>
    <n v="4440"/>
    <x v="1"/>
    <n v="3"/>
    <n v="3"/>
    <n v="5"/>
    <x v="0"/>
    <s v="Good"/>
    <s v="₹ 10000 - ₹ 19,999"/>
    <s v="Recommend training"/>
  </r>
  <r>
    <x v="1401"/>
    <x v="37"/>
    <x v="1"/>
    <x v="0"/>
    <n v="84"/>
    <s v="Female"/>
    <x v="8"/>
    <n v="3"/>
    <n v="14756"/>
    <x v="1"/>
    <n v="3"/>
    <n v="2"/>
    <n v="5"/>
    <x v="0"/>
    <s v="Good"/>
    <s v="₹ 10000 - ₹ 19,999"/>
    <s v="Recommend training"/>
  </r>
  <r>
    <x v="1402"/>
    <x v="37"/>
    <x v="1"/>
    <x v="1"/>
    <n v="106"/>
    <s v="Male"/>
    <x v="5"/>
    <n v="4"/>
    <n v="10239"/>
    <x v="0"/>
    <n v="3"/>
    <n v="4"/>
    <n v="1"/>
    <x v="1"/>
    <s v="Good"/>
    <s v="₹ 10000 - ₹ 19,999"/>
    <s v="Recommend training"/>
  </r>
  <r>
    <x v="1403"/>
    <x v="37"/>
    <x v="1"/>
    <x v="0"/>
    <n v="254"/>
    <s v="Male"/>
    <x v="7"/>
    <n v="2"/>
    <n v="18722"/>
    <x v="0"/>
    <n v="3"/>
    <n v="3"/>
    <n v="24"/>
    <x v="1"/>
    <s v="Good"/>
    <s v="₹ 10000 - ₹ 19,999"/>
    <s v="Recommend training"/>
  </r>
  <r>
    <x v="1404"/>
    <x v="37"/>
    <x v="1"/>
    <x v="0"/>
    <n v="374"/>
    <s v="Male"/>
    <x v="8"/>
    <n v="1"/>
    <n v="19045"/>
    <x v="1"/>
    <n v="3"/>
    <n v="2"/>
    <n v="36"/>
    <x v="0"/>
    <s v="Good"/>
    <s v="₹ 10000 - ₹ 19,999"/>
    <s v="Recommend training"/>
  </r>
  <r>
    <x v="1405"/>
    <x v="37"/>
    <x v="1"/>
    <x v="0"/>
    <n v="389"/>
    <s v="Male"/>
    <x v="0"/>
    <n v="4"/>
    <n v="5415"/>
    <x v="1"/>
    <n v="3"/>
    <n v="4"/>
    <n v="10"/>
    <x v="0"/>
    <s v="Good"/>
    <s v="₹ 10000 - ₹ 19,999"/>
    <s v="Recommend training"/>
  </r>
  <r>
    <x v="1406"/>
    <x v="37"/>
    <x v="1"/>
    <x v="0"/>
    <n v="505"/>
    <s v="Female"/>
    <x v="8"/>
    <n v="4"/>
    <n v="16659"/>
    <x v="1"/>
    <n v="3"/>
    <n v="2"/>
    <n v="5"/>
    <x v="0"/>
    <s v="Good"/>
    <s v="₹ 10000 - ₹ 19,999"/>
    <s v="Recommend training"/>
  </r>
  <r>
    <x v="1407"/>
    <x v="37"/>
    <x v="1"/>
    <x v="1"/>
    <n v="597"/>
    <s v="Female"/>
    <x v="8"/>
    <n v="2"/>
    <n v="16835"/>
    <x v="0"/>
    <n v="4"/>
    <n v="2"/>
    <n v="10"/>
    <x v="1"/>
    <s v="Excellent"/>
    <s v="₹ 10000 - ₹ 19,999"/>
    <s v="Recommend training"/>
  </r>
  <r>
    <x v="1408"/>
    <x v="37"/>
    <x v="0"/>
    <x v="0"/>
    <n v="787"/>
    <s v="Male"/>
    <x v="8"/>
    <n v="1"/>
    <n v="19859"/>
    <x v="1"/>
    <n v="3"/>
    <n v="2"/>
    <n v="5"/>
    <x v="2"/>
    <s v="Good"/>
    <s v="₹ 10000 - ₹ 19,999"/>
    <s v="Recommend training"/>
  </r>
  <r>
    <x v="1409"/>
    <x v="37"/>
    <x v="0"/>
    <x v="1"/>
    <n v="842"/>
    <s v="Male"/>
    <x v="5"/>
    <n v="4"/>
    <n v="5160"/>
    <x v="0"/>
    <n v="3"/>
    <n v="3"/>
    <n v="9"/>
    <x v="0"/>
    <s v="Good"/>
    <s v="₹ 10000 - ₹ 19,999"/>
    <s v="Recommend training"/>
  </r>
  <r>
    <x v="1410"/>
    <x v="37"/>
    <x v="1"/>
    <x v="0"/>
    <n v="1034"/>
    <s v="Male"/>
    <x v="6"/>
    <n v="2"/>
    <n v="6385"/>
    <x v="1"/>
    <n v="3"/>
    <n v="3"/>
    <n v="8"/>
    <x v="0"/>
    <s v="Good"/>
    <s v="₹ 10000 - ₹ 19,999"/>
    <s v="Recommend training"/>
  </r>
  <r>
    <x v="1411"/>
    <x v="37"/>
    <x v="1"/>
    <x v="0"/>
    <n v="1074"/>
    <s v="Male"/>
    <x v="8"/>
    <n v="1"/>
    <n v="16756"/>
    <x v="0"/>
    <n v="3"/>
    <n v="3"/>
    <n v="9"/>
    <x v="1"/>
    <s v="Good"/>
    <s v="₹ 10000 - ₹ 19,999"/>
    <s v="Recommend training"/>
  </r>
  <r>
    <x v="1412"/>
    <x v="37"/>
    <x v="1"/>
    <x v="0"/>
    <n v="1096"/>
    <s v="Male"/>
    <x v="4"/>
    <n v="2"/>
    <n v="10976"/>
    <x v="0"/>
    <n v="3"/>
    <n v="4"/>
    <n v="3"/>
    <x v="1"/>
    <s v="Good"/>
    <s v="₹ 10000 - ₹ 19,999"/>
    <s v="Recommend training"/>
  </r>
  <r>
    <x v="1413"/>
    <x v="37"/>
    <x v="1"/>
    <x v="0"/>
    <n v="1278"/>
    <s v="Male"/>
    <x v="6"/>
    <n v="2"/>
    <n v="13577"/>
    <x v="1"/>
    <n v="3"/>
    <n v="3"/>
    <n v="33"/>
    <x v="0"/>
    <s v="Good"/>
    <s v="₹ 10000 - ₹ 19,999"/>
    <s v="Recommend training"/>
  </r>
  <r>
    <x v="1414"/>
    <x v="37"/>
    <x v="1"/>
    <x v="0"/>
    <n v="1336"/>
    <s v="Female"/>
    <x v="8"/>
    <n v="3"/>
    <n v="19187"/>
    <x v="0"/>
    <n v="3"/>
    <n v="5"/>
    <n v="19"/>
    <x v="1"/>
    <s v="Good"/>
    <s v="₹ 10000 - ₹ 19,999"/>
    <s v="Recommend training"/>
  </r>
  <r>
    <x v="1415"/>
    <x v="37"/>
    <x v="0"/>
    <x v="1"/>
    <n v="1372"/>
    <s v="Male"/>
    <x v="5"/>
    <n v="3"/>
    <n v="13695"/>
    <x v="1"/>
    <n v="3"/>
    <n v="2"/>
    <n v="19"/>
    <x v="2"/>
    <s v="Good"/>
    <s v="₹ 10000 - ₹ 19,999"/>
    <s v="Recommend training"/>
  </r>
  <r>
    <x v="1416"/>
    <x v="37"/>
    <x v="1"/>
    <x v="0"/>
    <n v="1424"/>
    <s v="Male"/>
    <x v="7"/>
    <n v="4"/>
    <n v="14732"/>
    <x v="0"/>
    <n v="3"/>
    <n v="4"/>
    <n v="7"/>
    <x v="1"/>
    <s v="Good"/>
    <s v="₹ 10000 - ₹ 19,999"/>
    <s v="Recommend training"/>
  </r>
  <r>
    <x v="1417"/>
    <x v="37"/>
    <x v="1"/>
    <x v="0"/>
    <n v="1501"/>
    <s v="Male"/>
    <x v="6"/>
    <n v="3"/>
    <n v="4035"/>
    <x v="1"/>
    <n v="3"/>
    <n v="2"/>
    <n v="3"/>
    <x v="0"/>
    <s v="Good"/>
    <s v="₹ 10000 - ₹ 19,999"/>
    <s v="Recommend training"/>
  </r>
  <r>
    <x v="1418"/>
    <x v="37"/>
    <x v="1"/>
    <x v="1"/>
    <n v="1578"/>
    <s v="Male"/>
    <x v="8"/>
    <n v="4"/>
    <n v="19586"/>
    <x v="0"/>
    <n v="4"/>
    <n v="3"/>
    <n v="36"/>
    <x v="1"/>
    <s v="Excellent"/>
    <s v="₹ 10000 - ₹ 19,999"/>
    <s v="Not recommend training"/>
  </r>
  <r>
    <x v="1419"/>
    <x v="37"/>
    <x v="1"/>
    <x v="0"/>
    <n v="1694"/>
    <s v="Male"/>
    <x v="2"/>
    <n v="2"/>
    <n v="3537"/>
    <x v="0"/>
    <n v="3"/>
    <n v="1"/>
    <n v="4"/>
    <x v="1"/>
    <s v="Good"/>
    <s v="₹ 10000 - ₹ 19,999"/>
    <s v="Recommend training"/>
  </r>
  <r>
    <x v="1420"/>
    <x v="37"/>
    <x v="1"/>
    <x v="0"/>
    <n v="1770"/>
    <s v="Male"/>
    <x v="7"/>
    <n v="1"/>
    <n v="19038"/>
    <x v="0"/>
    <n v="3"/>
    <n v="2"/>
    <n v="1"/>
    <x v="1"/>
    <s v="Good"/>
    <s v="₹ 10000 - ₹ 19,999"/>
    <s v="Recommend training"/>
  </r>
  <r>
    <x v="1421"/>
    <x v="37"/>
    <x v="1"/>
    <x v="0"/>
    <n v="1873"/>
    <s v="Male"/>
    <x v="2"/>
    <n v="4"/>
    <n v="2662"/>
    <x v="0"/>
    <n v="4"/>
    <n v="2"/>
    <n v="5"/>
    <x v="1"/>
    <s v="Excellent"/>
    <s v="₹ 3,000- ₹ 7,000"/>
    <s v="Recommend training"/>
  </r>
  <r>
    <x v="1422"/>
    <x v="37"/>
    <x v="1"/>
    <x v="2"/>
    <n v="1973"/>
    <s v="Male"/>
    <x v="8"/>
    <n v="2"/>
    <n v="19636"/>
    <x v="1"/>
    <n v="3"/>
    <n v="0"/>
    <n v="10"/>
    <x v="0"/>
    <s v="Good"/>
    <s v="₹ 10000 - ₹ 19,999"/>
    <s v="Recommend training"/>
  </r>
  <r>
    <x v="1423"/>
    <x v="38"/>
    <x v="1"/>
    <x v="0"/>
    <n v="112"/>
    <s v="Male"/>
    <x v="4"/>
    <n v="4"/>
    <n v="7260"/>
    <x v="0"/>
    <n v="3"/>
    <n v="3"/>
    <n v="6"/>
    <x v="1"/>
    <s v="Good"/>
    <s v="₹ 7,000 - ₹ 10,000"/>
    <s v="Recommend training"/>
  </r>
  <r>
    <x v="1424"/>
    <x v="38"/>
    <x v="0"/>
    <x v="0"/>
    <n v="161"/>
    <s v="Female"/>
    <x v="2"/>
    <n v="2"/>
    <n v="4963"/>
    <x v="1"/>
    <n v="3"/>
    <n v="2"/>
    <n v="5"/>
    <x v="2"/>
    <s v="Good"/>
    <s v="₹ 10000 - ₹ 19,999"/>
    <s v="Recommend training"/>
  </r>
  <r>
    <x v="1425"/>
    <x v="38"/>
    <x v="1"/>
    <x v="0"/>
    <n v="241"/>
    <s v="Female"/>
    <x v="2"/>
    <n v="1"/>
    <n v="4257"/>
    <x v="1"/>
    <n v="3"/>
    <n v="3"/>
    <n v="2"/>
    <x v="0"/>
    <s v="Good"/>
    <s v="₹ 10000 - ₹ 19,999"/>
    <s v="Recommend training"/>
  </r>
  <r>
    <x v="1426"/>
    <x v="38"/>
    <x v="1"/>
    <x v="1"/>
    <n v="532"/>
    <s v="Female"/>
    <x v="5"/>
    <n v="1"/>
    <n v="13212"/>
    <x v="0"/>
    <n v="3"/>
    <n v="0"/>
    <n v="7"/>
    <x v="1"/>
    <s v="Good"/>
    <s v="₹ 10000 - ₹ 19,999"/>
    <s v="Recommend training"/>
  </r>
  <r>
    <x v="1427"/>
    <x v="38"/>
    <x v="1"/>
    <x v="0"/>
    <n v="762"/>
    <s v="Male"/>
    <x v="6"/>
    <n v="4"/>
    <n v="11103"/>
    <x v="0"/>
    <n v="3"/>
    <n v="1"/>
    <n v="10"/>
    <x v="1"/>
    <s v="Good"/>
    <s v="₹ 10000 - ₹ 19,999"/>
    <s v="Recommend training"/>
  </r>
  <r>
    <x v="1428"/>
    <x v="38"/>
    <x v="1"/>
    <x v="0"/>
    <n v="1071"/>
    <s v="Female"/>
    <x v="2"/>
    <n v="3"/>
    <n v="2942"/>
    <x v="0"/>
    <n v="3"/>
    <n v="4"/>
    <n v="5"/>
    <x v="1"/>
    <s v="Good"/>
    <s v="₹ 3,000- ₹ 7,000"/>
    <s v="Recommend training"/>
  </r>
  <r>
    <x v="1429"/>
    <x v="38"/>
    <x v="1"/>
    <x v="0"/>
    <n v="1191"/>
    <s v="Female"/>
    <x v="8"/>
    <n v="1"/>
    <n v="19943"/>
    <x v="0"/>
    <n v="3"/>
    <n v="2"/>
    <n v="5"/>
    <x v="1"/>
    <s v="Good"/>
    <s v="₹ 10000 - ₹ 19,999"/>
    <s v="Recommend training"/>
  </r>
  <r>
    <x v="1430"/>
    <x v="38"/>
    <x v="1"/>
    <x v="2"/>
    <n v="1338"/>
    <s v="Male"/>
    <x v="8"/>
    <n v="2"/>
    <n v="19717"/>
    <x v="0"/>
    <n v="3"/>
    <n v="4"/>
    <n v="7"/>
    <x v="1"/>
    <s v="Good"/>
    <s v="₹ 10000 - ₹ 19,999"/>
    <s v="Recommend training"/>
  </r>
  <r>
    <x v="1431"/>
    <x v="38"/>
    <x v="1"/>
    <x v="0"/>
    <n v="1373"/>
    <s v="Male"/>
    <x v="4"/>
    <n v="2"/>
    <n v="13402"/>
    <x v="1"/>
    <n v="3"/>
    <n v="0"/>
    <n v="19"/>
    <x v="0"/>
    <s v="Good"/>
    <s v="₹ 10000 - ₹ 19,999"/>
    <s v="Recommend training"/>
  </r>
  <r>
    <x v="1432"/>
    <x v="38"/>
    <x v="1"/>
    <x v="0"/>
    <n v="1441"/>
    <s v="Female"/>
    <x v="2"/>
    <n v="1"/>
    <n v="2066"/>
    <x v="0"/>
    <n v="4"/>
    <n v="3"/>
    <n v="3"/>
    <x v="1"/>
    <s v="Excellent"/>
    <s v="₹ 3,000- ₹ 7,000"/>
    <s v="Not recommend training"/>
  </r>
  <r>
    <x v="1433"/>
    <x v="38"/>
    <x v="0"/>
    <x v="0"/>
    <n v="1907"/>
    <s v="Male"/>
    <x v="0"/>
    <n v="4"/>
    <n v="2587"/>
    <x v="0"/>
    <n v="3"/>
    <n v="3"/>
    <n v="4"/>
    <x v="0"/>
    <s v="Good"/>
    <s v="₹ 3,000- ₹ 7,000"/>
    <s v="Recommend training"/>
  </r>
  <r>
    <x v="1434"/>
    <x v="38"/>
    <x v="1"/>
    <x v="1"/>
    <n v="1935"/>
    <s v="Female"/>
    <x v="5"/>
    <n v="1"/>
    <n v="5380"/>
    <x v="0"/>
    <n v="3"/>
    <n v="3"/>
    <n v="0"/>
    <x v="1"/>
    <s v="Good"/>
    <s v="₹ 10000 - ₹ 19,999"/>
    <s v="Recommend training"/>
  </r>
  <r>
    <x v="1435"/>
    <x v="38"/>
    <x v="1"/>
    <x v="0"/>
    <n v="2026"/>
    <s v="Male"/>
    <x v="6"/>
    <n v="3"/>
    <n v="6306"/>
    <x v="0"/>
    <n v="4"/>
    <n v="2"/>
    <n v="13"/>
    <x v="1"/>
    <s v="Excellent"/>
    <s v="₹ 10000 - ₹ 19,999"/>
    <s v="Recommend training"/>
  </r>
  <r>
    <x v="1436"/>
    <x v="38"/>
    <x v="0"/>
    <x v="0"/>
    <n v="2032"/>
    <s v="Male"/>
    <x v="0"/>
    <n v="3"/>
    <n v="2339"/>
    <x v="0"/>
    <n v="3"/>
    <n v="4"/>
    <n v="10"/>
    <x v="0"/>
    <s v="Good"/>
    <s v="₹ 3,000- ₹ 7,000"/>
    <s v="Recommend training"/>
  </r>
  <r>
    <x v="1437"/>
    <x v="39"/>
    <x v="1"/>
    <x v="0"/>
    <n v="223"/>
    <s v="Male"/>
    <x v="6"/>
    <n v="4"/>
    <n v="9439"/>
    <x v="1"/>
    <n v="3"/>
    <n v="2"/>
    <n v="5"/>
    <x v="0"/>
    <s v="Good"/>
    <s v="₹ 7,000 - ₹ 10,000"/>
    <s v="Recommend training"/>
  </r>
  <r>
    <x v="1438"/>
    <x v="39"/>
    <x v="1"/>
    <x v="0"/>
    <n v="482"/>
    <s v="Male"/>
    <x v="6"/>
    <n v="3"/>
    <n v="6755"/>
    <x v="0"/>
    <n v="3"/>
    <n v="2"/>
    <n v="3"/>
    <x v="1"/>
    <s v="Good"/>
    <s v="₹ 10000 - ₹ 19,999"/>
    <s v="Recommend training"/>
  </r>
  <r>
    <x v="1439"/>
    <x v="39"/>
    <x v="1"/>
    <x v="1"/>
    <n v="568"/>
    <s v="Male"/>
    <x v="8"/>
    <n v="4"/>
    <n v="14118"/>
    <x v="0"/>
    <n v="3"/>
    <n v="3"/>
    <n v="1"/>
    <x v="1"/>
    <s v="Good"/>
    <s v="₹ 10000 - ₹ 19,999"/>
    <s v="Recommend training"/>
  </r>
  <r>
    <x v="1440"/>
    <x v="39"/>
    <x v="1"/>
    <x v="0"/>
    <n v="1483"/>
    <s v="Male"/>
    <x v="2"/>
    <n v="3"/>
    <n v="4900"/>
    <x v="0"/>
    <n v="4"/>
    <n v="2"/>
    <n v="12"/>
    <x v="1"/>
    <s v="Excellent"/>
    <s v="₹ 10000 - ₹ 19,999"/>
    <s v="Recommend training"/>
  </r>
  <r>
    <x v="1441"/>
    <x v="40"/>
    <x v="1"/>
    <x v="1"/>
    <n v="131"/>
    <s v="Male"/>
    <x v="5"/>
    <n v="3"/>
    <n v="13872"/>
    <x v="0"/>
    <n v="3"/>
    <n v="1"/>
    <n v="37"/>
    <x v="1"/>
    <s v="Good"/>
    <s v="₹ 10000 - ₹ 19,999"/>
    <s v="Recommend training"/>
  </r>
  <r>
    <x v="1442"/>
    <x v="40"/>
    <x v="0"/>
    <x v="0"/>
    <n v="165"/>
    <s v="Female"/>
    <x v="6"/>
    <n v="4"/>
    <n v="10312"/>
    <x v="0"/>
    <n v="3"/>
    <n v="3"/>
    <n v="40"/>
    <x v="0"/>
    <s v="Good"/>
    <s v="₹ 10000 - ₹ 19,999"/>
    <s v="Recommend training"/>
  </r>
  <r>
    <x v="1443"/>
    <x v="40"/>
    <x v="1"/>
    <x v="0"/>
    <n v="214"/>
    <s v="Female"/>
    <x v="2"/>
    <n v="2"/>
    <n v="3346"/>
    <x v="1"/>
    <n v="4"/>
    <n v="3"/>
    <n v="1"/>
    <x v="0"/>
    <s v="Excellent"/>
    <s v="₹ 10000 - ₹ 19,999"/>
    <s v="Recommend training"/>
  </r>
  <r>
    <x v="1444"/>
    <x v="40"/>
    <x v="1"/>
    <x v="0"/>
    <n v="422"/>
    <s v="Male"/>
    <x v="6"/>
    <n v="3"/>
    <n v="5660"/>
    <x v="1"/>
    <n v="3"/>
    <n v="2"/>
    <n v="5"/>
    <x v="0"/>
    <s v="Good"/>
    <s v="₹ 10000 - ₹ 19,999"/>
    <s v="Recommend training"/>
  </r>
  <r>
    <x v="1445"/>
    <x v="40"/>
    <x v="0"/>
    <x v="0"/>
    <n v="825"/>
    <s v="Male"/>
    <x v="7"/>
    <n v="2"/>
    <n v="19246"/>
    <x v="1"/>
    <n v="3"/>
    <n v="2"/>
    <n v="31"/>
    <x v="2"/>
    <s v="Good"/>
    <s v="₹ 10000 - ₹ 19,999"/>
    <s v="Recommend training"/>
  </r>
  <r>
    <x v="1446"/>
    <x v="40"/>
    <x v="0"/>
    <x v="0"/>
    <n v="918"/>
    <s v="Male"/>
    <x v="0"/>
    <n v="4"/>
    <n v="2380"/>
    <x v="1"/>
    <n v="3"/>
    <n v="3"/>
    <n v="1"/>
    <x v="2"/>
    <s v="Good"/>
    <s v="₹ 3,000- ₹ 7,000"/>
    <s v="Recommend training"/>
  </r>
  <r>
    <x v="1447"/>
    <x v="40"/>
    <x v="1"/>
    <x v="0"/>
    <n v="940"/>
    <s v="Female"/>
    <x v="6"/>
    <n v="2"/>
    <n v="10552"/>
    <x v="1"/>
    <n v="3"/>
    <n v="3"/>
    <n v="6"/>
    <x v="0"/>
    <s v="Good"/>
    <s v="₹ 10000 - ₹ 19,999"/>
    <s v="Recommend training"/>
  </r>
  <r>
    <x v="1448"/>
    <x v="40"/>
    <x v="0"/>
    <x v="0"/>
    <n v="977"/>
    <s v="Male"/>
    <x v="2"/>
    <n v="3"/>
    <n v="2479"/>
    <x v="0"/>
    <n v="4"/>
    <n v="4"/>
    <n v="1"/>
    <x v="0"/>
    <s v="Excellent"/>
    <s v="₹ 3,000- ₹ 7,000"/>
    <s v="Recommend training"/>
  </r>
  <r>
    <x v="1449"/>
    <x v="40"/>
    <x v="1"/>
    <x v="0"/>
    <n v="1308"/>
    <s v="Male"/>
    <x v="2"/>
    <n v="3"/>
    <n v="2372"/>
    <x v="0"/>
    <n v="3"/>
    <n v="3"/>
    <n v="2"/>
    <x v="1"/>
    <s v="Good"/>
    <s v="₹ 3,000- ₹ 7,000"/>
    <s v="Recommend training"/>
  </r>
  <r>
    <x v="1450"/>
    <x v="40"/>
    <x v="0"/>
    <x v="0"/>
    <n v="1360"/>
    <s v="Female"/>
    <x v="4"/>
    <n v="1"/>
    <n v="10008"/>
    <x v="1"/>
    <n v="3"/>
    <n v="0"/>
    <n v="10"/>
    <x v="2"/>
    <s v="Good"/>
    <s v="₹ 10000 - ₹ 19,999"/>
    <s v="Recommend training"/>
  </r>
  <r>
    <x v="1451"/>
    <x v="40"/>
    <x v="1"/>
    <x v="0"/>
    <n v="1423"/>
    <s v="Female"/>
    <x v="7"/>
    <n v="1"/>
    <n v="19701"/>
    <x v="1"/>
    <n v="4"/>
    <n v="3"/>
    <n v="9"/>
    <x v="0"/>
    <s v="Excellent"/>
    <s v="₹ 10000 - ₹ 19,999"/>
    <s v="Not recommend training"/>
  </r>
  <r>
    <x v="1452"/>
    <x v="40"/>
    <x v="1"/>
    <x v="1"/>
    <n v="1824"/>
    <s v="Male"/>
    <x v="8"/>
    <n v="2"/>
    <n v="16291"/>
    <x v="0"/>
    <n v="4"/>
    <n v="0"/>
    <n v="16"/>
    <x v="1"/>
    <s v="Excellent"/>
    <s v="₹ 10000 - ₹ 19,999"/>
    <s v="Recommend training"/>
  </r>
  <r>
    <x v="1453"/>
    <x v="40"/>
    <x v="1"/>
    <x v="0"/>
    <n v="1837"/>
    <s v="Male"/>
    <x v="7"/>
    <n v="3"/>
    <n v="15787"/>
    <x v="1"/>
    <n v="3"/>
    <n v="3"/>
    <n v="2"/>
    <x v="0"/>
    <s v="Good"/>
    <s v="₹ 10000 - ₹ 19,999"/>
    <s v="Recommend training"/>
  </r>
  <r>
    <x v="1454"/>
    <x v="40"/>
    <x v="1"/>
    <x v="1"/>
    <n v="1938"/>
    <s v="Female"/>
    <x v="8"/>
    <n v="4"/>
    <n v="17875"/>
    <x v="1"/>
    <n v="3"/>
    <n v="2"/>
    <n v="1"/>
    <x v="0"/>
    <s v="Good"/>
    <s v="₹ 10000 - ₹ 19,999"/>
    <s v="Recommend training"/>
  </r>
  <r>
    <x v="1455"/>
    <x v="41"/>
    <x v="1"/>
    <x v="0"/>
    <n v="10"/>
    <s v="Female"/>
    <x v="0"/>
    <n v="1"/>
    <n v="2670"/>
    <x v="1"/>
    <n v="4"/>
    <n v="3"/>
    <n v="1"/>
    <x v="0"/>
    <s v="Excellent"/>
    <s v="₹ 3,000- ₹ 7,000"/>
    <s v="Recommend training"/>
  </r>
  <r>
    <x v="1456"/>
    <x v="41"/>
    <x v="1"/>
    <x v="1"/>
    <n v="81"/>
    <s v="Female"/>
    <x v="5"/>
    <n v="1"/>
    <n v="7637"/>
    <x v="0"/>
    <n v="3"/>
    <n v="3"/>
    <n v="21"/>
    <x v="1"/>
    <s v="Good"/>
    <s v="₹ 7,000 - ₹ 10,000"/>
    <s v="Recommend training"/>
  </r>
  <r>
    <x v="1457"/>
    <x v="41"/>
    <x v="1"/>
    <x v="1"/>
    <n v="91"/>
    <s v="Female"/>
    <x v="5"/>
    <n v="3"/>
    <n v="5473"/>
    <x v="0"/>
    <n v="3"/>
    <n v="2"/>
    <n v="4"/>
    <x v="1"/>
    <s v="Good"/>
    <s v="₹ 10000 - ₹ 19,999"/>
    <s v="Recommend training"/>
  </r>
  <r>
    <x v="1458"/>
    <x v="41"/>
    <x v="1"/>
    <x v="2"/>
    <n v="140"/>
    <s v="Female"/>
    <x v="8"/>
    <n v="4"/>
    <n v="18844"/>
    <x v="0"/>
    <n v="4"/>
    <n v="3"/>
    <n v="3"/>
    <x v="1"/>
    <s v="Excellent"/>
    <s v="₹ 10000 - ₹ 19,999"/>
    <s v="Not recommend training"/>
  </r>
  <r>
    <x v="1459"/>
    <x v="41"/>
    <x v="1"/>
    <x v="0"/>
    <n v="309"/>
    <s v="Male"/>
    <x v="2"/>
    <n v="4"/>
    <n v="2177"/>
    <x v="0"/>
    <n v="3"/>
    <n v="6"/>
    <n v="1"/>
    <x v="1"/>
    <s v="Good"/>
    <s v="₹ 3,000- ₹ 7,000"/>
    <s v="Recommend training"/>
  </r>
  <r>
    <x v="1460"/>
    <x v="41"/>
    <x v="1"/>
    <x v="2"/>
    <n v="321"/>
    <s v="Male"/>
    <x v="3"/>
    <n v="3"/>
    <n v="2267"/>
    <x v="0"/>
    <n v="3"/>
    <n v="2"/>
    <n v="2"/>
    <x v="1"/>
    <s v="Good"/>
    <s v="₹ 3,000- ₹ 7,000"/>
    <s v="Recommend training"/>
  </r>
  <r>
    <x v="1461"/>
    <x v="41"/>
    <x v="1"/>
    <x v="0"/>
    <n v="1032"/>
    <s v="Female"/>
    <x v="4"/>
    <n v="4"/>
    <n v="13726"/>
    <x v="1"/>
    <n v="3"/>
    <n v="4"/>
    <n v="5"/>
    <x v="0"/>
    <s v="Good"/>
    <s v="₹ 10000 - ₹ 19,999"/>
    <s v="Recommend training"/>
  </r>
  <r>
    <x v="1462"/>
    <x v="41"/>
    <x v="1"/>
    <x v="1"/>
    <n v="1048"/>
    <s v="Male"/>
    <x v="8"/>
    <n v="4"/>
    <n v="11904"/>
    <x v="1"/>
    <n v="3"/>
    <n v="1"/>
    <n v="6"/>
    <x v="0"/>
    <s v="Good"/>
    <s v="₹ 10000 - ₹ 19,999"/>
    <s v="Recommend training"/>
  </r>
  <r>
    <x v="1463"/>
    <x v="41"/>
    <x v="1"/>
    <x v="1"/>
    <n v="1254"/>
    <s v="Female"/>
    <x v="5"/>
    <n v="4"/>
    <n v="5171"/>
    <x v="0"/>
    <n v="3"/>
    <n v="2"/>
    <n v="6"/>
    <x v="1"/>
    <s v="Good"/>
    <s v="₹ 10000 - ₹ 19,999"/>
    <s v="Recommend training"/>
  </r>
  <r>
    <x v="1464"/>
    <x v="41"/>
    <x v="1"/>
    <x v="0"/>
    <n v="1283"/>
    <s v="Male"/>
    <x v="4"/>
    <n v="4"/>
    <n v="10512"/>
    <x v="0"/>
    <n v="3"/>
    <n v="6"/>
    <n v="9"/>
    <x v="1"/>
    <s v="Good"/>
    <s v="₹ 10000 - ₹ 19,999"/>
    <s v="Recommend training"/>
  </r>
  <r>
    <x v="1465"/>
    <x v="42"/>
    <x v="1"/>
    <x v="0"/>
    <n v="549"/>
    <s v="Female"/>
    <x v="8"/>
    <n v="1"/>
    <n v="19566"/>
    <x v="0"/>
    <n v="3"/>
    <n v="5"/>
    <n v="29"/>
    <x v="1"/>
    <s v="Good"/>
    <s v="₹ 10000 - ₹ 19,999"/>
    <s v="Recommend training"/>
  </r>
  <r>
    <x v="1466"/>
    <x v="42"/>
    <x v="1"/>
    <x v="1"/>
    <n v="573"/>
    <s v="Female"/>
    <x v="5"/>
    <n v="1"/>
    <n v="10266"/>
    <x v="0"/>
    <n v="3"/>
    <n v="5"/>
    <n v="18"/>
    <x v="1"/>
    <s v="Good"/>
    <s v="₹ 10000 - ₹ 19,999"/>
    <s v="Recommend training"/>
  </r>
  <r>
    <x v="1467"/>
    <x v="42"/>
    <x v="1"/>
    <x v="1"/>
    <n v="732"/>
    <s v="Male"/>
    <x v="5"/>
    <n v="1"/>
    <n v="5405"/>
    <x v="0"/>
    <n v="3"/>
    <n v="1"/>
    <n v="2"/>
    <x v="1"/>
    <s v="Good"/>
    <s v="₹ 10000 - ₹ 19,999"/>
    <s v="Recommend training"/>
  </r>
  <r>
    <x v="1468"/>
    <x v="42"/>
    <x v="1"/>
    <x v="1"/>
    <n v="1233"/>
    <s v="Male"/>
    <x v="5"/>
    <n v="4"/>
    <n v="5220"/>
    <x v="1"/>
    <n v="3"/>
    <n v="3"/>
    <n v="11"/>
    <x v="0"/>
    <s v="Good"/>
    <s v="₹ 10000 - ₹ 19,999"/>
    <s v="Recommend training"/>
  </r>
  <r>
    <x v="1469"/>
    <x v="42"/>
    <x v="1"/>
    <x v="0"/>
    <n v="1697"/>
    <s v="Male"/>
    <x v="6"/>
    <n v="4"/>
    <n v="10883"/>
    <x v="0"/>
    <n v="4"/>
    <n v="2"/>
    <n v="1"/>
    <x v="1"/>
    <s v="Excellent"/>
    <s v="₹ 10000 - ₹ 19,999"/>
    <s v="Recommend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78F0C-5C5E-4853-BC72-491FAF3D9F4F}" name="PivotTable1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M18" firstHeaderRow="1" firstDataRow="1" firstDataCol="1" rowPageCount="1" colPageCount="1"/>
  <pivotFields count="17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axis="axisPage" multipleItemSelectionAllowed="1" showAll="0">
      <items count="3">
        <item h="1"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numFmtId="1" showAll="0"/>
    <pivotField showAll="0"/>
    <pivotField axis="axisRow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numFmtId="1" showAll="0"/>
    <pivotField numFmtId="1" showAll="0"/>
    <pivotField showAll="0"/>
    <pivotField numFmtId="1" showAll="0"/>
    <pivotField numFmtId="1" showAll="0"/>
    <pivotField numFmtId="1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Count of Emp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54F48-E58C-40D0-A272-B86555924AC7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">
  <location ref="U6:V9" firstHeaderRow="1" firstDataRow="1" firstDataCol="1"/>
  <pivotFields count="17">
    <pivotField showAll="0"/>
    <pivotField numFmtId="1"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showAll="0"/>
    <pivotField numFmtId="1" showAll="0"/>
    <pivotField numFmtId="1" showAll="0"/>
    <pivotField dataFiel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OverTime" fld="9" subtotal="count" baseField="2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43226-944A-4638-8BAB-2C2B66ED474B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R7:AS11" firstHeaderRow="1" firstDataRow="1" firstDataCol="1"/>
  <pivotFields count="17"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axis="axisRow" showAll="0">
      <items count="4">
        <item x="2"/>
        <item x="0"/>
        <item x="1"/>
        <item t="default"/>
      </items>
    </pivotField>
    <pivotField numFmtId="1" showAll="0"/>
    <pivotField showAll="0"/>
    <pivotField showAll="0"/>
    <pivotField numFmtId="1" showAll="0"/>
    <pivotField dataField="1" numFmtId="1"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8" subtotal="average" baseField="3" baseItem="0" numFmtId="1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7E345-FDF7-4764-91D8-4600EAEC4F6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6:AF50" firstHeaderRow="1" firstDataRow="1" firstDataCol="1"/>
  <pivotFields count="17">
    <pivotField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axis="axisRow" numFmtId="1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Attrition" fld="2" subtotal="count" baseField="0" baseItem="0"/>
  </dataFields>
  <formats count="5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3" type="button" dataOnly="0" labelOnly="1" outline="0"/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E85E6-D480-49AC-88CE-C7A90B398A0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10" firstHeaderRow="1" firstDataRow="1" firstDataCol="1"/>
  <pivotFields count="17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numFmtId="1" showAll="0"/>
    <pivotField showAll="0"/>
    <pivotField axis="axisRow" showAll="0">
      <items count="4">
        <item x="2"/>
        <item x="0"/>
        <item x="1"/>
        <item t="default"/>
      </items>
    </pivotField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E5D839E-3AA1-40E9-B2B9-26AD8EEF1102}" autoFormatId="16" applyNumberFormats="0" applyBorderFormats="0" applyFontFormats="0" applyPatternFormats="0" applyAlignmentFormats="0" applyWidthHeightFormats="0">
  <queryTableRefresh nextId="43" unboundColumnsRight="4">
    <queryTableFields count="16">
      <queryTableField id="1" name="EmpID" tableColumnId="1"/>
      <queryTableField id="2" name="Age" tableColumnId="2"/>
      <queryTableField id="4" name="Attrition" tableColumnId="4"/>
      <queryTableField id="7" name="Department" tableColumnId="7"/>
      <queryTableField id="14" name="Gender" tableColumnId="14"/>
      <queryTableField id="18" name="JobRole" tableColumnId="18"/>
      <queryTableField id="19" name="JobSatisfaction" tableColumnId="19"/>
      <queryTableField id="21" name="MonthlyIncome" tableColumnId="21"/>
      <queryTableField id="26" name="OverTime" tableColumnId="26"/>
      <queryTableField id="28" name="PerformanceRating" tableColumnId="28"/>
      <queryTableField id="33" name="TrainingTimesLastYear" tableColumnId="33"/>
      <queryTableField id="35" name="YearsAtCompany" tableColumnId="35"/>
      <queryTableField id="39" dataBound="0" tableColumnId="40"/>
      <queryTableField id="40" dataBound="0" tableColumnId="41"/>
      <queryTableField id="41" dataBound="0" tableColumnId="42"/>
      <queryTableField id="42" dataBound="0" tableColumnId="43"/>
    </queryTableFields>
    <queryTableDeletedFields count="26">
      <deletedField name="WorkLifeBalance"/>
      <deletedField name="YearsInCurrentRole"/>
      <deletedField name="YearsSinceLastPromotion"/>
      <deletedField name="YearsWithCurrManager"/>
      <deletedField name="StandardHours"/>
      <deletedField name="StockOptionLevel"/>
      <deletedField name="TotalWorkingYears"/>
      <deletedField name="RelationshipSatisfaction"/>
      <deletedField name="PercentSalaryHike"/>
      <deletedField name="Over18"/>
      <deletedField name="SalarySlab"/>
      <deletedField name="MonthlyRate"/>
      <deletedField name="NumCompaniesWorked"/>
      <deletedField name="MaritalStatus"/>
      <deletedField name="HourlyRate"/>
      <deletedField name="JobInvolvement"/>
      <deletedField name="JobLevel"/>
      <deletedField name="EnvironmentSatisfaction"/>
      <deletedField name="EmployeeCount"/>
      <deletedField name="DistanceFromHome"/>
      <deletedField name="Education"/>
      <deletedField name="BusinessTravel"/>
      <deletedField name="DailyRate"/>
      <deletedField name="AgeGroup"/>
      <deletedField name="EducationField"/>
      <deletedField name="EmployeeNumb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4AF6999-F0D3-401A-B6DB-7D188A82D66D}" autoFormatId="16" applyNumberFormats="0" applyBorderFormats="0" applyFontFormats="0" applyPatternFormats="0" applyAlignmentFormats="0" applyWidthHeightFormats="0">
  <queryTableRefresh nextId="39">
    <queryTableFields count="12">
      <queryTableField id="1" name="EmpID" tableColumnId="1"/>
      <queryTableField id="2" name="Age" tableColumnId="2"/>
      <queryTableField id="4" name="Attrition" tableColumnId="4"/>
      <queryTableField id="7" name="Department" tableColumnId="7"/>
      <queryTableField id="14" name="Gender" tableColumnId="14"/>
      <queryTableField id="18" name="JobRole" tableColumnId="18"/>
      <queryTableField id="19" name="JobSatisfaction" tableColumnId="19"/>
      <queryTableField id="21" name="MonthlyIncome" tableColumnId="21"/>
      <queryTableField id="26" name="OverTime" tableColumnId="26"/>
      <queryTableField id="28" name="PerformanceRating" tableColumnId="28"/>
      <queryTableField id="33" name="TrainingTimesLastYear" tableColumnId="33"/>
      <queryTableField id="35" name="YearsAtCompany" tableColumnId="35"/>
    </queryTableFields>
    <queryTableDeletedFields count="26">
      <deletedField name="WorkLifeBalance"/>
      <deletedField name="YearsInCurrentRole"/>
      <deletedField name="YearsSinceLastPromotion"/>
      <deletedField name="YearsWithCurrManager"/>
      <deletedField name="StandardHours"/>
      <deletedField name="StockOptionLevel"/>
      <deletedField name="TotalWorkingYears"/>
      <deletedField name="RelationshipSatisfaction"/>
      <deletedField name="PercentSalaryHike"/>
      <deletedField name="Over18"/>
      <deletedField name="SalarySlab"/>
      <deletedField name="MonthlyRate"/>
      <deletedField name="NumCompaniesWorked"/>
      <deletedField name="MaritalStatus"/>
      <deletedField name="HourlyRate"/>
      <deletedField name="JobInvolvement"/>
      <deletedField name="JobLevel"/>
      <deletedField name="EnvironmentSatisfaction"/>
      <deletedField name="EmployeeCount"/>
      <deletedField name="DistanceFromHome"/>
      <deletedField name="Education"/>
      <deletedField name="BusinessTravel"/>
      <deletedField name="DailyRate"/>
      <deletedField name="AgeGroup"/>
      <deletedField name="EducationField"/>
      <deletedField name="EmployeeNumb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A86968-BDAA-4C30-88A8-970EF404AB4E}" autoFormatId="16" applyNumberFormats="0" applyBorderFormats="0" applyFontFormats="0" applyPatternFormats="0" applyAlignmentFormats="0" applyWidthHeightFormats="0">
  <queryTableRefresh nextId="39">
    <queryTableFields count="38">
      <queryTableField id="1" name="EmpID" tableColumnId="1"/>
      <queryTableField id="2" name="Age" tableColumnId="2"/>
      <queryTableField id="3" name="AgeGroup" tableColumnId="3"/>
      <queryTableField id="4" name="Attrition" tableColumnId="4"/>
      <queryTableField id="5" name="BusinessTravel" tableColumnId="5"/>
      <queryTableField id="6" name="DailyRate" tableColumnId="6"/>
      <queryTableField id="7" name="Department" tableColumnId="7"/>
      <queryTableField id="8" name="DistanceFromHome" tableColumnId="8"/>
      <queryTableField id="9" name="Education" tableColumnId="9"/>
      <queryTableField id="10" name="EducationField" tableColumnId="10"/>
      <queryTableField id="11" name="EmployeeCount" tableColumnId="11"/>
      <queryTableField id="12" name="EmployeeNumber" tableColumnId="12"/>
      <queryTableField id="13" name="EnvironmentSatisfaction" tableColumnId="13"/>
      <queryTableField id="14" name="Gender" tableColumnId="14"/>
      <queryTableField id="15" name="HourlyRate" tableColumnId="15"/>
      <queryTableField id="16" name="JobInvolvement" tableColumnId="16"/>
      <queryTableField id="17" name="JobLevel" tableColumnId="17"/>
      <queryTableField id="18" name="JobRole" tableColumnId="18"/>
      <queryTableField id="19" name="JobSatisfaction" tableColumnId="19"/>
      <queryTableField id="20" name="MaritalStatus" tableColumnId="20"/>
      <queryTableField id="21" name="MonthlyIncome" tableColumnId="21"/>
      <queryTableField id="22" name="SalarySlab" tableColumnId="22"/>
      <queryTableField id="23" name="MonthlyRate" tableColumnId="23"/>
      <queryTableField id="24" name="NumCompaniesWorked" tableColumnId="24"/>
      <queryTableField id="25" name="Over18" tableColumnId="25"/>
      <queryTableField id="26" name="OverTime" tableColumnId="26"/>
      <queryTableField id="27" name="PercentSalaryHike" tableColumnId="27"/>
      <queryTableField id="28" name="PerformanceRating" tableColumnId="28"/>
      <queryTableField id="29" name="RelationshipSatisfaction" tableColumnId="29"/>
      <queryTableField id="30" name="StandardHours" tableColumnId="30"/>
      <queryTableField id="31" name="StockOptionLevel" tableColumnId="31"/>
      <queryTableField id="32" name="TotalWorkingYears" tableColumnId="32"/>
      <queryTableField id="33" name="TrainingTimesLastYear" tableColumnId="33"/>
      <queryTableField id="34" name="WorkLifeBalance" tableColumnId="34"/>
      <queryTableField id="35" name="YearsAtCompany" tableColumnId="35"/>
      <queryTableField id="36" name="YearsInCurrentRole" tableColumnId="36"/>
      <queryTableField id="37" name="YearsSinceLastPromotion" tableColumnId="37"/>
      <queryTableField id="38" name="YearsWithCurrManager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4B4EFD-8C21-47DF-A0D2-5BF4DCF70467}" name="HR_Analytics56" displayName="HR_Analytics56" ref="A1:P1471" tableType="queryTable" totalsRowShown="0">
  <tableColumns count="16">
    <tableColumn id="1" xr3:uid="{15C6AE38-ECFC-4048-AEBB-1B29CEA3DB3F}" uniqueName="1" name="EmpID" queryTableFieldId="1" dataDxfId="55" totalsRowDxfId="69"/>
    <tableColumn id="2" xr3:uid="{3C009C83-9AB3-459E-A5FA-0F46A92C1BBA}" uniqueName="2" name="Age" queryTableFieldId="2" dataDxfId="54" totalsRowDxfId="68"/>
    <tableColumn id="4" xr3:uid="{8937BD85-471C-4F35-8E45-852E6BFB7AAC}" uniqueName="4" name="Attrition" queryTableFieldId="4" dataDxfId="53" totalsRowDxfId="67"/>
    <tableColumn id="7" xr3:uid="{925D5FCF-9032-44A3-8611-5FC82BF6FE15}" uniqueName="7" name="Department" queryTableFieldId="7" dataDxfId="52" totalsRowDxfId="66"/>
    <tableColumn id="14" xr3:uid="{FB195A99-4B2E-406F-B61B-3C77F75A246D}" uniqueName="14" name="Gender" queryTableFieldId="14" dataDxfId="51" totalsRowDxfId="65"/>
    <tableColumn id="18" xr3:uid="{A8277DB9-35EA-43D8-AA21-520FE693687F}" uniqueName="18" name="JobRole" queryTableFieldId="18" dataDxfId="50" totalsRowDxfId="64"/>
    <tableColumn id="19" xr3:uid="{76CE66F8-5DA6-4B87-8E7A-32A14A7363E4}" uniqueName="19" name="JobSatisfaction" queryTableFieldId="19" dataDxfId="49" totalsRowDxfId="63"/>
    <tableColumn id="21" xr3:uid="{4BE3C6B8-E81A-4575-BA00-7327000CD6B1}" uniqueName="21" name="MonthlyIncome" queryTableFieldId="21" dataDxfId="48" totalsRowDxfId="62"/>
    <tableColumn id="26" xr3:uid="{2998ACC0-890F-4B9B-BE75-D06D84CF0EF6}" uniqueName="26" name="OverTime" queryTableFieldId="26" dataDxfId="47" totalsRowDxfId="61"/>
    <tableColumn id="28" xr3:uid="{925B2C96-D465-468E-8C15-0E799836568F}" uniqueName="28" name="PerformanceRating" queryTableFieldId="28" dataDxfId="46" totalsRowDxfId="60"/>
    <tableColumn id="33" xr3:uid="{8E762762-3264-4B6A-96CD-4DAF246009FD}" uniqueName="33" name="TrainingTimesLastYear" queryTableFieldId="33" dataDxfId="45" totalsRowDxfId="59"/>
    <tableColumn id="35" xr3:uid="{1206DDE0-AB52-4D8D-8A6A-36BEFEB79378}" uniqueName="35" name="YearsAtCompany" queryTableFieldId="35" dataDxfId="44" totalsRowDxfId="58"/>
    <tableColumn id="40" xr3:uid="{91FB897C-E480-4D11-9F0F-4A0EA6FD7E95}" uniqueName="40" name="Attrition_Risk" queryTableFieldId="39" dataDxfId="7" totalsRowDxfId="57">
      <calculatedColumnFormula>IF(AND(HR_Analytics56[[#This Row],[Attrition]]="Yes",HR_Analytics56[[#This Row],[OverTime]]="Yes"),"High Risk",IF(OR(HR_Analytics56[[#This Row],[Attrition]]="Yes",HR_Analytics56[[#This Row],[OverTime]]="Yes"), "medium risk", "No Risk"))</calculatedColumnFormula>
    </tableColumn>
    <tableColumn id="41" xr3:uid="{AF30676B-47BD-4CBC-9C87-66F8DAF00FE6}" uniqueName="41" name="Performance_Category" queryTableFieldId="40" dataDxfId="43" totalsRowDxfId="56">
      <calculatedColumnFormula array="1">_xlfn.IFS(HR_Analytics56[[#This Row],[PerformanceRating]]=3,"Good",HR_Analytics56[[#This Row],[PerformanceRating]]=4, "Excellent")</calculatedColumnFormula>
    </tableColumn>
    <tableColumn id="42" xr3:uid="{29D24E60-0605-4B1F-9993-37D0223E6B23}" uniqueName="42" name="Salary_Category" queryTableFieldId="41" dataDxfId="6">
      <calculatedColumnFormula>IF(HR_Analytics56[[#This Row],[MonthlyIncome]]&lt;3000,"&lt; ₹3,000",IF(HR_Analytics56[[#This Row],[MonthlyIncome]]&lt;=7000,"₹ 3,000 - ₹ 7,000","&gt; ₹7,000"))</calculatedColumnFormula>
    </tableColumn>
    <tableColumn id="43" xr3:uid="{275FD83B-6227-4A24-8A8A-99959E5904E8}" uniqueName="43" name="Training_Recommendation" queryTableFieldId="42" dataDxfId="41" totalsRowDxfId="42">
      <calculatedColumnFormula array="1">IF(OR(HR_Analytics56[[#This Row],[PerformanceRating]]=3, OR(HR_Analytics56[[#This Row],[YearsAtCompany]]={1,4}), OR(HR_Analytics56[[#This Row],[TrainingTimesLastYear]]={0,2})), "Recommend training", "Not recommend training")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6978C0-85B2-4E0B-80DC-1685FBDF2057}" name="Table6" displayName="Table6" ref="S3:T7" totalsRowShown="0" headerRowDxfId="35" headerRowBorderDxfId="39" tableBorderDxfId="40" totalsRowBorderDxfId="38">
  <autoFilter ref="S3:T7" xr:uid="{CD6978C0-85B2-4E0B-80DC-1685FBDF2057}"/>
  <tableColumns count="2">
    <tableColumn id="1" xr3:uid="{7FC51DC2-8729-433D-8950-332829FC69A7}" name="Conditional Formatting" dataDxfId="37"/>
    <tableColumn id="2" xr3:uid="{68E07BEF-8194-44F1-8283-C789BBE11D51}" name="Color" dataDxfId="36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9D30A-2EB5-4842-A3DD-371804CC5ECB}" name="HR_Analytics5" displayName="HR_Analytics5" ref="A1:L1471" tableType="queryTable" totalsRowShown="0">
  <autoFilter ref="A1:L1471" xr:uid="{ACDC62EA-8871-41A9-80CE-133BFC3649A3}"/>
  <tableColumns count="12">
    <tableColumn id="1" xr3:uid="{5E8F728A-7C2E-4E57-8487-582D6441E4E1}" uniqueName="1" name="EmpID" queryTableFieldId="1" dataDxfId="81"/>
    <tableColumn id="2" xr3:uid="{48FE0815-D21B-4773-B49C-30F7AF88D0A7}" uniqueName="2" name="Age" queryTableFieldId="2" dataDxfId="80"/>
    <tableColumn id="4" xr3:uid="{FCE91E46-EDF3-4F55-9E97-FE396CB8ACB3}" uniqueName="4" name="Attrition" queryTableFieldId="4" dataDxfId="79"/>
    <tableColumn id="7" xr3:uid="{9550FC84-9DBA-40B7-B067-2573FD319E11}" uniqueName="7" name="Department" queryTableFieldId="7" dataDxfId="78"/>
    <tableColumn id="14" xr3:uid="{836BC788-E36B-44DB-8BC9-64D48050D9BE}" uniqueName="14" name="Gender" queryTableFieldId="14" dataDxfId="70"/>
    <tableColumn id="18" xr3:uid="{AFB0FAC2-DC9F-4C77-ACBE-7117A0A3D987}" uniqueName="18" name="JobRole" queryTableFieldId="18" dataDxfId="71"/>
    <tableColumn id="19" xr3:uid="{6C754130-D391-484B-95D8-D578970C31CB}" uniqueName="19" name="JobSatisfaction" queryTableFieldId="19" dataDxfId="77"/>
    <tableColumn id="21" xr3:uid="{B3E0CACD-C1F9-474B-B193-1814825EE5CF}" uniqueName="21" name="MonthlyIncome" queryTableFieldId="21" dataDxfId="76"/>
    <tableColumn id="26" xr3:uid="{048D740C-A789-4A62-B67B-5F239F926A32}" uniqueName="26" name="OverTime" queryTableFieldId="26" dataDxfId="72"/>
    <tableColumn id="28" xr3:uid="{7D1FBE2F-B73A-417F-9AA8-1B57808828A3}" uniqueName="28" name="PerformanceRating" queryTableFieldId="28" dataDxfId="75"/>
    <tableColumn id="33" xr3:uid="{35AE6E52-360B-4CFC-9B44-14B2AAA42ED0}" uniqueName="33" name="TrainingTimesLastYear" queryTableFieldId="33" dataDxfId="74"/>
    <tableColumn id="35" xr3:uid="{B8186D66-3BA7-4A36-A040-2EC71E58DAE4}" uniqueName="35" name="YearsAtCompany" queryTableFieldId="35" dataDxfId="7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C62EA-8871-41A9-80CE-133BFC3649A3}" name="HR_Analytics" displayName="HR_Analytics" ref="A1:AL1481" tableType="queryTable" totalsRowShown="0">
  <autoFilter ref="A1:AL1481" xr:uid="{ACDC62EA-8871-41A9-80CE-133BFC3649A3}"/>
  <tableColumns count="38">
    <tableColumn id="1" xr3:uid="{0F2CC58F-D55B-476C-9ED2-4952E5F5690B}" uniqueName="1" name="EmpID" queryTableFieldId="1" dataDxfId="93"/>
    <tableColumn id="2" xr3:uid="{6205BE93-59EA-4752-83A9-1C075C794B93}" uniqueName="2" name="Age" queryTableFieldId="2"/>
    <tableColumn id="3" xr3:uid="{F15F17E7-65D8-4679-8ADE-268FEBB19ABC}" uniqueName="3" name="AgeGroup" queryTableFieldId="3" dataDxfId="92"/>
    <tableColumn id="4" xr3:uid="{4B33A6DB-21D3-4C36-A571-A5A2FF073C29}" uniqueName="4" name="Attrition" queryTableFieldId="4" dataDxfId="91"/>
    <tableColumn id="5" xr3:uid="{EA42378C-48DC-4980-BAF6-4A9A06AFDDFB}" uniqueName="5" name="BusinessTravel" queryTableFieldId="5" dataDxfId="90"/>
    <tableColumn id="6" xr3:uid="{73BFD6B2-570F-43A6-BF65-4D411F9239A9}" uniqueName="6" name="DailyRate" queryTableFieldId="6"/>
    <tableColumn id="7" xr3:uid="{0767A284-52BF-4809-8ABD-12CE3C226C81}" uniqueName="7" name="Department" queryTableFieldId="7" dataDxfId="89"/>
    <tableColumn id="8" xr3:uid="{58F57E8A-4C6E-4695-BE40-B2C0F2491708}" uniqueName="8" name="DistanceFromHome" queryTableFieldId="8"/>
    <tableColumn id="9" xr3:uid="{728CEFE7-2887-4B10-88F3-25B8C50967D8}" uniqueName="9" name="Education" queryTableFieldId="9"/>
    <tableColumn id="10" xr3:uid="{D9822972-A79F-4210-B5C2-A8E881839617}" uniqueName="10" name="EducationField" queryTableFieldId="10" dataDxfId="88"/>
    <tableColumn id="11" xr3:uid="{7DC06828-9C83-49D2-83A9-2EB9DA5088AA}" uniqueName="11" name="EmployeeCount" queryTableFieldId="11"/>
    <tableColumn id="12" xr3:uid="{8A08C928-C235-4158-BFE6-701F991FDD80}" uniqueName="12" name="EmployeeNumber" queryTableFieldId="12"/>
    <tableColumn id="13" xr3:uid="{2999970B-17F6-458E-B8D1-B94735C7051D}" uniqueName="13" name="EnvironmentSatisfaction" queryTableFieldId="13"/>
    <tableColumn id="14" xr3:uid="{D0410152-A6BD-4F03-A1D7-7EDD724A1BB2}" uniqueName="14" name="Gender" queryTableFieldId="14" dataDxfId="87"/>
    <tableColumn id="15" xr3:uid="{82FCFA7E-B22A-450B-A6B8-6FADDC988C24}" uniqueName="15" name="HourlyRate" queryTableFieldId="15"/>
    <tableColumn id="16" xr3:uid="{0FF0EB86-C3A8-4CD9-A7CE-FAECEFF5AE38}" uniqueName="16" name="JobInvolvement" queryTableFieldId="16"/>
    <tableColumn id="17" xr3:uid="{7DBF3054-2934-4CD1-8BFF-45926E0BF6F8}" uniqueName="17" name="JobLevel" queryTableFieldId="17"/>
    <tableColumn id="18" xr3:uid="{6577F44D-A714-4445-9878-712DDE673439}" uniqueName="18" name="JobRole" queryTableFieldId="18" dataDxfId="86"/>
    <tableColumn id="19" xr3:uid="{B8D1E565-5377-4E65-82D2-75F7DC8BF0A4}" uniqueName="19" name="JobSatisfaction" queryTableFieldId="19"/>
    <tableColumn id="20" xr3:uid="{B4784BA1-83F3-424A-99EF-AD6CA692660D}" uniqueName="20" name="MaritalStatus" queryTableFieldId="20" dataDxfId="85"/>
    <tableColumn id="21" xr3:uid="{FF6A027D-C04B-4B7A-B25D-127171FA66EB}" uniqueName="21" name="MonthlyIncome" queryTableFieldId="21"/>
    <tableColumn id="22" xr3:uid="{D97F0408-E9FF-4C0A-A54E-C9C7EDB8589E}" uniqueName="22" name="SalarySlab" queryTableFieldId="22" dataDxfId="84"/>
    <tableColumn id="23" xr3:uid="{E59A01D2-BA5F-4359-9B32-39C6EAC8F6F7}" uniqueName="23" name="MonthlyRate" queryTableFieldId="23"/>
    <tableColumn id="24" xr3:uid="{B81A7EB6-09AA-424F-8AB0-3B2149FE68B3}" uniqueName="24" name="NumCompaniesWorked" queryTableFieldId="24"/>
    <tableColumn id="25" xr3:uid="{20DCE52A-B8FC-405D-93B7-A06BCF8DA817}" uniqueName="25" name="Over18" queryTableFieldId="25" dataDxfId="83"/>
    <tableColumn id="26" xr3:uid="{54081E29-B2AD-4AA6-A48E-7A8F24BA1972}" uniqueName="26" name="OverTime" queryTableFieldId="26" dataDxfId="82"/>
    <tableColumn id="27" xr3:uid="{4B3B6989-620A-4832-A1F6-EE006799D952}" uniqueName="27" name="PercentSalaryHike" queryTableFieldId="27"/>
    <tableColumn id="28" xr3:uid="{FB3EC0D9-5391-4F86-BD5F-53470EFCCAC4}" uniqueName="28" name="PerformanceRating" queryTableFieldId="28"/>
    <tableColumn id="29" xr3:uid="{B3AA126A-BF67-43C6-91C4-B85C5E3FEE00}" uniqueName="29" name="RelationshipSatisfaction" queryTableFieldId="29"/>
    <tableColumn id="30" xr3:uid="{2EA3AEC4-8B56-490B-8276-4143B036DABA}" uniqueName="30" name="StandardHours" queryTableFieldId="30"/>
    <tableColumn id="31" xr3:uid="{5AD76584-7EFE-4A45-AA3A-22A43B457ED8}" uniqueName="31" name="StockOptionLevel" queryTableFieldId="31"/>
    <tableColumn id="32" xr3:uid="{31A244E1-4E85-4287-AE74-147AB6CA0E50}" uniqueName="32" name="TotalWorkingYears" queryTableFieldId="32"/>
    <tableColumn id="33" xr3:uid="{E5FAFBBE-1B3C-4A9E-8FF0-5F10CA07A306}" uniqueName="33" name="TrainingTimesLastYear" queryTableFieldId="33"/>
    <tableColumn id="34" xr3:uid="{D48EEAC3-BB57-47AD-8B1B-A91CC3F6C366}" uniqueName="34" name="WorkLifeBalance" queryTableFieldId="34"/>
    <tableColumn id="35" xr3:uid="{6339E5D8-BDCF-4B79-9BF2-B2D86712637F}" uniqueName="35" name="YearsAtCompany" queryTableFieldId="35"/>
    <tableColumn id="36" xr3:uid="{ADDF0459-31B5-4487-9D0E-C6DF59E144B5}" uniqueName="36" name="YearsInCurrentRole" queryTableFieldId="36"/>
    <tableColumn id="37" xr3:uid="{FECCB305-C090-414E-A833-9785B9696293}" uniqueName="37" name="YearsSinceLastPromotion" queryTableFieldId="37"/>
    <tableColumn id="38" xr3:uid="{0FDBFBC9-440A-49F5-A00A-BD4FC0799F50}" uniqueName="38" name="YearsWithCurrManager" queryTableFieldId="3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A801-62FC-490C-9E63-A23966EF5AF6}">
  <dimension ref="B2:AX50"/>
  <sheetViews>
    <sheetView zoomScale="90" zoomScaleNormal="90" workbookViewId="0">
      <selection activeCell="L5" sqref="L5"/>
    </sheetView>
  </sheetViews>
  <sheetFormatPr defaultRowHeight="24" x14ac:dyDescent="0.8"/>
  <cols>
    <col min="2" max="2" width="34.296875" bestFit="1" customWidth="1"/>
    <col min="3" max="3" width="15.796875" bestFit="1" customWidth="1"/>
    <col min="4" max="11" width="6.8984375" bestFit="1" customWidth="1"/>
    <col min="12" max="12" width="24.8984375" bestFit="1" customWidth="1"/>
    <col min="13" max="13" width="16.19921875" bestFit="1" customWidth="1"/>
    <col min="14" max="20" width="6.8984375" bestFit="1" customWidth="1"/>
    <col min="21" max="21" width="13.59765625" bestFit="1" customWidth="1"/>
    <col min="22" max="22" width="18.59765625" bestFit="1" customWidth="1"/>
    <col min="23" max="23" width="16.3984375" customWidth="1"/>
    <col min="24" max="24" width="13.59765625" bestFit="1" customWidth="1"/>
    <col min="25" max="25" width="18.59765625" bestFit="1" customWidth="1"/>
    <col min="26" max="30" width="6.8984375" bestFit="1" customWidth="1"/>
    <col min="31" max="31" width="21.796875" bestFit="1" customWidth="1"/>
    <col min="32" max="32" width="16.796875" bestFit="1" customWidth="1"/>
    <col min="33" max="33" width="4.296875" bestFit="1" customWidth="1"/>
    <col min="34" max="34" width="11.796875" bestFit="1" customWidth="1"/>
    <col min="35" max="40" width="6.8984375" bestFit="1" customWidth="1"/>
    <col min="41" max="41" width="3.3984375" customWidth="1"/>
    <col min="42" max="43" width="6.8984375" bestFit="1" customWidth="1"/>
    <col min="44" max="44" width="22.59765625" bestFit="1" customWidth="1"/>
    <col min="45" max="45" width="33.59765625" customWidth="1"/>
    <col min="46" max="49" width="6.8984375" bestFit="1" customWidth="1"/>
    <col min="50" max="50" width="12.3984375" customWidth="1"/>
    <col min="51" max="53" width="6.8984375" bestFit="1" customWidth="1"/>
    <col min="54" max="54" width="6.296875" customWidth="1"/>
    <col min="55" max="102" width="6.8984375" bestFit="1" customWidth="1"/>
    <col min="103" max="112" width="7.8984375" bestFit="1" customWidth="1"/>
    <col min="113" max="113" width="6.8984375" bestFit="1" customWidth="1"/>
    <col min="114" max="123" width="7.8984375" bestFit="1" customWidth="1"/>
    <col min="124" max="124" width="6.8984375" bestFit="1" customWidth="1"/>
    <col min="125" max="134" width="7.8984375" bestFit="1" customWidth="1"/>
    <col min="135" max="135" width="6.8984375" bestFit="1" customWidth="1"/>
    <col min="136" max="145" width="7.8984375" bestFit="1" customWidth="1"/>
    <col min="146" max="146" width="6.8984375" bestFit="1" customWidth="1"/>
    <col min="147" max="156" width="7.8984375" bestFit="1" customWidth="1"/>
    <col min="157" max="157" width="6.8984375" bestFit="1" customWidth="1"/>
    <col min="158" max="167" width="7.8984375" bestFit="1" customWidth="1"/>
    <col min="168" max="168" width="6.8984375" bestFit="1" customWidth="1"/>
    <col min="169" max="178" width="7.8984375" bestFit="1" customWidth="1"/>
    <col min="179" max="179" width="6.8984375" bestFit="1" customWidth="1"/>
    <col min="180" max="189" width="7.8984375" bestFit="1" customWidth="1"/>
    <col min="190" max="190" width="6.8984375" bestFit="1" customWidth="1"/>
    <col min="191" max="200" width="7.8984375" bestFit="1" customWidth="1"/>
    <col min="201" max="201" width="6.8984375" bestFit="1" customWidth="1"/>
    <col min="202" max="211" width="7.8984375" bestFit="1" customWidth="1"/>
    <col min="212" max="212" width="6.8984375" bestFit="1" customWidth="1"/>
    <col min="213" max="222" width="7.8984375" bestFit="1" customWidth="1"/>
    <col min="223" max="223" width="6.8984375" bestFit="1" customWidth="1"/>
    <col min="224" max="233" width="7.8984375" bestFit="1" customWidth="1"/>
    <col min="234" max="234" width="6.8984375" bestFit="1" customWidth="1"/>
    <col min="235" max="244" width="7.8984375" bestFit="1" customWidth="1"/>
    <col min="245" max="245" width="6.8984375" bestFit="1" customWidth="1"/>
    <col min="246" max="255" width="7.8984375" bestFit="1" customWidth="1"/>
    <col min="256" max="256" width="6.8984375" bestFit="1" customWidth="1"/>
    <col min="257" max="266" width="7.8984375" bestFit="1" customWidth="1"/>
    <col min="267" max="267" width="6.8984375" bestFit="1" customWidth="1"/>
    <col min="268" max="277" width="7.8984375" bestFit="1" customWidth="1"/>
    <col min="278" max="278" width="6.8984375" bestFit="1" customWidth="1"/>
    <col min="279" max="288" width="7.8984375" bestFit="1" customWidth="1"/>
    <col min="289" max="289" width="6.8984375" bestFit="1" customWidth="1"/>
    <col min="290" max="299" width="7.8984375" bestFit="1" customWidth="1"/>
    <col min="300" max="300" width="6.8984375" bestFit="1" customWidth="1"/>
    <col min="301" max="310" width="7.8984375" bestFit="1" customWidth="1"/>
    <col min="311" max="311" width="6.8984375" bestFit="1" customWidth="1"/>
    <col min="312" max="321" width="7.8984375" bestFit="1" customWidth="1"/>
    <col min="322" max="322" width="6.8984375" bestFit="1" customWidth="1"/>
    <col min="323" max="332" width="7.8984375" bestFit="1" customWidth="1"/>
    <col min="333" max="333" width="6.8984375" bestFit="1" customWidth="1"/>
    <col min="334" max="343" width="7.8984375" bestFit="1" customWidth="1"/>
    <col min="344" max="344" width="6.8984375" bestFit="1" customWidth="1"/>
    <col min="345" max="354" width="7.8984375" bestFit="1" customWidth="1"/>
    <col min="355" max="355" width="6.8984375" bestFit="1" customWidth="1"/>
    <col min="356" max="365" width="7.8984375" bestFit="1" customWidth="1"/>
    <col min="366" max="366" width="6.8984375" bestFit="1" customWidth="1"/>
    <col min="367" max="376" width="7.8984375" bestFit="1" customWidth="1"/>
    <col min="377" max="377" width="6.8984375" bestFit="1" customWidth="1"/>
    <col min="378" max="387" width="7.8984375" bestFit="1" customWidth="1"/>
    <col min="388" max="388" width="6.8984375" bestFit="1" customWidth="1"/>
    <col min="389" max="398" width="7.8984375" bestFit="1" customWidth="1"/>
    <col min="399" max="399" width="6.8984375" bestFit="1" customWidth="1"/>
    <col min="400" max="409" width="7.8984375" bestFit="1" customWidth="1"/>
    <col min="410" max="410" width="6.8984375" bestFit="1" customWidth="1"/>
    <col min="411" max="420" width="7.8984375" bestFit="1" customWidth="1"/>
    <col min="421" max="421" width="6.8984375" bestFit="1" customWidth="1"/>
    <col min="422" max="431" width="7.8984375" bestFit="1" customWidth="1"/>
    <col min="432" max="432" width="6.8984375" bestFit="1" customWidth="1"/>
    <col min="433" max="442" width="7.8984375" bestFit="1" customWidth="1"/>
    <col min="443" max="443" width="6.8984375" bestFit="1" customWidth="1"/>
    <col min="444" max="453" width="7.8984375" bestFit="1" customWidth="1"/>
    <col min="454" max="454" width="6.8984375" bestFit="1" customWidth="1"/>
    <col min="455" max="464" width="7.8984375" bestFit="1" customWidth="1"/>
    <col min="465" max="465" width="6.8984375" bestFit="1" customWidth="1"/>
    <col min="466" max="475" width="7.8984375" bestFit="1" customWidth="1"/>
    <col min="476" max="476" width="6.8984375" bestFit="1" customWidth="1"/>
    <col min="477" max="486" width="7.8984375" bestFit="1" customWidth="1"/>
    <col min="487" max="487" width="6.8984375" bestFit="1" customWidth="1"/>
    <col min="488" max="497" width="7.8984375" bestFit="1" customWidth="1"/>
    <col min="498" max="498" width="6.8984375" bestFit="1" customWidth="1"/>
    <col min="499" max="508" width="7.8984375" bestFit="1" customWidth="1"/>
    <col min="509" max="509" width="6.8984375" bestFit="1" customWidth="1"/>
    <col min="510" max="519" width="7.8984375" bestFit="1" customWidth="1"/>
    <col min="520" max="520" width="6.8984375" bestFit="1" customWidth="1"/>
    <col min="521" max="530" width="7.8984375" bestFit="1" customWidth="1"/>
    <col min="531" max="531" width="6.8984375" bestFit="1" customWidth="1"/>
    <col min="532" max="541" width="7.8984375" bestFit="1" customWidth="1"/>
    <col min="542" max="542" width="6.8984375" bestFit="1" customWidth="1"/>
    <col min="543" max="552" width="7.8984375" bestFit="1" customWidth="1"/>
    <col min="553" max="553" width="6.8984375" bestFit="1" customWidth="1"/>
    <col min="554" max="563" width="7.8984375" bestFit="1" customWidth="1"/>
    <col min="564" max="564" width="6.8984375" bestFit="1" customWidth="1"/>
    <col min="565" max="574" width="7.8984375" bestFit="1" customWidth="1"/>
    <col min="575" max="575" width="6.8984375" bestFit="1" customWidth="1"/>
    <col min="576" max="585" width="7.8984375" bestFit="1" customWidth="1"/>
    <col min="586" max="586" width="6.8984375" bestFit="1" customWidth="1"/>
    <col min="587" max="596" width="7.8984375" bestFit="1" customWidth="1"/>
    <col min="597" max="597" width="6.8984375" bestFit="1" customWidth="1"/>
    <col min="598" max="607" width="7.8984375" bestFit="1" customWidth="1"/>
    <col min="608" max="608" width="6.8984375" bestFit="1" customWidth="1"/>
    <col min="609" max="618" width="7.8984375" bestFit="1" customWidth="1"/>
    <col min="619" max="619" width="6.8984375" bestFit="1" customWidth="1"/>
    <col min="620" max="620" width="7.8984375" bestFit="1" customWidth="1"/>
    <col min="621" max="1472" width="6.8984375" bestFit="1" customWidth="1"/>
    <col min="1473" max="1473" width="11.796875" bestFit="1" customWidth="1"/>
  </cols>
  <sheetData>
    <row r="2" spans="2:50" ht="27" x14ac:dyDescent="0.9">
      <c r="B2" s="35" t="s">
        <v>1562</v>
      </c>
      <c r="C2" s="35"/>
      <c r="D2" s="35"/>
      <c r="E2" s="35"/>
    </row>
    <row r="3" spans="2:50" ht="27" x14ac:dyDescent="0.9">
      <c r="B3" s="29" t="s">
        <v>1563</v>
      </c>
      <c r="C3" s="29"/>
      <c r="D3" s="29"/>
      <c r="E3" s="29"/>
      <c r="F3" s="29"/>
      <c r="G3" s="29"/>
      <c r="J3" s="34" t="s">
        <v>1567</v>
      </c>
      <c r="K3" s="26"/>
      <c r="L3" s="26"/>
      <c r="M3" s="26"/>
      <c r="N3" s="26"/>
      <c r="O3" s="26"/>
      <c r="P3" s="26"/>
      <c r="Q3" s="26"/>
      <c r="S3" s="34" t="s">
        <v>1569</v>
      </c>
      <c r="T3" s="26"/>
      <c r="U3" s="26"/>
      <c r="V3" s="26"/>
      <c r="W3" s="26"/>
      <c r="X3" s="26"/>
      <c r="Y3" s="26"/>
      <c r="Z3" s="26"/>
      <c r="AA3" s="26"/>
      <c r="AD3" s="34" t="s">
        <v>1570</v>
      </c>
      <c r="AE3" s="26"/>
      <c r="AF3" s="26"/>
      <c r="AG3" s="26"/>
      <c r="AH3" s="26"/>
      <c r="AI3" s="26"/>
      <c r="AJ3" s="26"/>
      <c r="AK3" s="26"/>
      <c r="AP3" s="34" t="s">
        <v>1572</v>
      </c>
      <c r="AQ3" s="26"/>
      <c r="AR3" s="26"/>
      <c r="AS3" s="26"/>
      <c r="AT3" s="26"/>
      <c r="AU3" s="26"/>
      <c r="AV3" s="26"/>
      <c r="AW3" s="26"/>
      <c r="AX3" s="26"/>
    </row>
    <row r="4" spans="2:50" ht="27" x14ac:dyDescent="0.9">
      <c r="B4" s="38" t="s">
        <v>1577</v>
      </c>
      <c r="C4" s="30"/>
      <c r="D4" s="30"/>
      <c r="E4" s="30"/>
      <c r="F4" s="30"/>
      <c r="G4" s="30"/>
      <c r="L4" s="39" t="s">
        <v>1578</v>
      </c>
      <c r="M4" s="3"/>
      <c r="U4" s="41" t="s">
        <v>1576</v>
      </c>
      <c r="V4" s="41"/>
      <c r="W4" s="41"/>
      <c r="X4" s="3"/>
      <c r="AE4" s="39" t="s">
        <v>1571</v>
      </c>
      <c r="AR4" s="37" t="s">
        <v>1574</v>
      </c>
      <c r="AS4" s="37"/>
    </row>
    <row r="5" spans="2:50" ht="25.8" x14ac:dyDescent="0.85">
      <c r="B5" s="33"/>
    </row>
    <row r="6" spans="2:50" ht="25.8" x14ac:dyDescent="0.85">
      <c r="B6" s="31" t="s">
        <v>1564</v>
      </c>
      <c r="C6" s="3" t="s">
        <v>1566</v>
      </c>
      <c r="L6" s="31" t="s">
        <v>3</v>
      </c>
      <c r="M6" s="3" t="s">
        <v>40</v>
      </c>
      <c r="U6" s="31" t="s">
        <v>3</v>
      </c>
      <c r="V6" s="3" t="s">
        <v>1575</v>
      </c>
      <c r="AE6" s="31" t="s">
        <v>1564</v>
      </c>
      <c r="AF6" s="3" t="s">
        <v>1568</v>
      </c>
      <c r="AR6" s="33"/>
    </row>
    <row r="7" spans="2:50" x14ac:dyDescent="0.8">
      <c r="B7" s="32" t="s">
        <v>71</v>
      </c>
      <c r="C7" s="2">
        <v>63</v>
      </c>
      <c r="L7" s="3"/>
      <c r="M7" s="3"/>
      <c r="U7" s="32" t="s">
        <v>49</v>
      </c>
      <c r="V7" s="2">
        <v>1233</v>
      </c>
      <c r="AE7" s="36">
        <v>18</v>
      </c>
      <c r="AF7" s="2">
        <v>8</v>
      </c>
      <c r="AR7" s="31" t="s">
        <v>1564</v>
      </c>
      <c r="AS7" s="3" t="s">
        <v>1573</v>
      </c>
    </row>
    <row r="8" spans="2:50" x14ac:dyDescent="0.8">
      <c r="B8" s="32" t="s">
        <v>42</v>
      </c>
      <c r="C8" s="2">
        <v>961</v>
      </c>
      <c r="L8" s="31" t="s">
        <v>1564</v>
      </c>
      <c r="M8" s="3" t="s">
        <v>1566</v>
      </c>
      <c r="U8" s="32" t="s">
        <v>40</v>
      </c>
      <c r="V8" s="2">
        <v>237</v>
      </c>
      <c r="AE8" s="36">
        <v>19</v>
      </c>
      <c r="AF8" s="2">
        <v>9</v>
      </c>
      <c r="AR8" s="32" t="s">
        <v>71</v>
      </c>
      <c r="AS8" s="8">
        <v>6654.5079365079364</v>
      </c>
    </row>
    <row r="9" spans="2:50" x14ac:dyDescent="0.8">
      <c r="B9" s="32" t="s">
        <v>51</v>
      </c>
      <c r="C9" s="2">
        <v>446</v>
      </c>
      <c r="L9" s="32" t="s">
        <v>161</v>
      </c>
      <c r="M9" s="2">
        <v>9</v>
      </c>
      <c r="U9" s="32" t="s">
        <v>1565</v>
      </c>
      <c r="V9" s="2">
        <v>1470</v>
      </c>
      <c r="AE9" s="36">
        <v>20</v>
      </c>
      <c r="AF9" s="2">
        <v>11</v>
      </c>
      <c r="AR9" s="32" t="s">
        <v>42</v>
      </c>
      <c r="AS9" s="8">
        <v>6281.2528616024974</v>
      </c>
    </row>
    <row r="10" spans="2:50" x14ac:dyDescent="0.8">
      <c r="B10" s="32" t="s">
        <v>1565</v>
      </c>
      <c r="C10" s="2">
        <v>1470</v>
      </c>
      <c r="L10" s="32" t="s">
        <v>71</v>
      </c>
      <c r="M10" s="2">
        <v>12</v>
      </c>
      <c r="AE10" s="36">
        <v>21</v>
      </c>
      <c r="AF10" s="2">
        <v>13</v>
      </c>
      <c r="AR10" s="32" t="s">
        <v>51</v>
      </c>
      <c r="AS10" s="8">
        <v>6959.17264573991</v>
      </c>
    </row>
    <row r="11" spans="2:50" x14ac:dyDescent="0.8">
      <c r="L11" s="32" t="s">
        <v>45</v>
      </c>
      <c r="M11" s="2">
        <v>62</v>
      </c>
      <c r="AE11" s="36">
        <v>22</v>
      </c>
      <c r="AF11" s="2">
        <v>16</v>
      </c>
      <c r="AR11" s="32" t="s">
        <v>1565</v>
      </c>
      <c r="AS11" s="8">
        <v>6502.931292517007</v>
      </c>
    </row>
    <row r="12" spans="2:50" x14ac:dyDescent="0.8">
      <c r="L12" s="32" t="s">
        <v>442</v>
      </c>
      <c r="M12" s="2">
        <v>5</v>
      </c>
      <c r="AE12" s="36">
        <v>23</v>
      </c>
      <c r="AF12" s="2">
        <v>14</v>
      </c>
    </row>
    <row r="13" spans="2:50" x14ac:dyDescent="0.8">
      <c r="L13" s="32" t="s">
        <v>112</v>
      </c>
      <c r="M13" s="2">
        <v>10</v>
      </c>
      <c r="AE13" s="36">
        <v>24</v>
      </c>
      <c r="AF13" s="2">
        <v>26</v>
      </c>
    </row>
    <row r="14" spans="2:50" x14ac:dyDescent="0.8">
      <c r="L14" s="32" t="s">
        <v>252</v>
      </c>
      <c r="M14" s="2">
        <v>2</v>
      </c>
      <c r="AE14" s="36">
        <v>25</v>
      </c>
      <c r="AF14" s="2">
        <v>26</v>
      </c>
    </row>
    <row r="15" spans="2:50" x14ac:dyDescent="0.8">
      <c r="L15" s="32" t="s">
        <v>60</v>
      </c>
      <c r="M15" s="2">
        <v>47</v>
      </c>
      <c r="AE15" s="36">
        <v>26</v>
      </c>
      <c r="AF15" s="2">
        <v>39</v>
      </c>
    </row>
    <row r="16" spans="2:50" x14ac:dyDescent="0.8">
      <c r="L16" s="32" t="s">
        <v>137</v>
      </c>
      <c r="M16" s="2">
        <v>57</v>
      </c>
      <c r="AE16" s="36">
        <v>27</v>
      </c>
      <c r="AF16" s="2">
        <v>48</v>
      </c>
    </row>
    <row r="17" spans="12:32" x14ac:dyDescent="0.8">
      <c r="L17" s="32" t="s">
        <v>54</v>
      </c>
      <c r="M17" s="2">
        <v>33</v>
      </c>
      <c r="AE17" s="36">
        <v>28</v>
      </c>
      <c r="AF17" s="2">
        <v>48</v>
      </c>
    </row>
    <row r="18" spans="12:32" x14ac:dyDescent="0.8">
      <c r="L18" s="32" t="s">
        <v>1565</v>
      </c>
      <c r="M18" s="2">
        <v>237</v>
      </c>
      <c r="AE18" s="36">
        <v>29</v>
      </c>
      <c r="AF18" s="2">
        <v>68</v>
      </c>
    </row>
    <row r="19" spans="12:32" x14ac:dyDescent="0.8">
      <c r="AE19" s="36">
        <v>30</v>
      </c>
      <c r="AF19" s="2">
        <v>60</v>
      </c>
    </row>
    <row r="20" spans="12:32" x14ac:dyDescent="0.8">
      <c r="AE20" s="36">
        <v>31</v>
      </c>
      <c r="AF20" s="2">
        <v>69</v>
      </c>
    </row>
    <row r="21" spans="12:32" x14ac:dyDescent="0.8">
      <c r="AE21" s="36">
        <v>32</v>
      </c>
      <c r="AF21" s="2">
        <v>61</v>
      </c>
    </row>
    <row r="22" spans="12:32" x14ac:dyDescent="0.8">
      <c r="AE22" s="36">
        <v>33</v>
      </c>
      <c r="AF22" s="2">
        <v>58</v>
      </c>
    </row>
    <row r="23" spans="12:32" x14ac:dyDescent="0.8">
      <c r="AE23" s="36">
        <v>34</v>
      </c>
      <c r="AF23" s="2">
        <v>77</v>
      </c>
    </row>
    <row r="24" spans="12:32" x14ac:dyDescent="0.8">
      <c r="AE24" s="36">
        <v>35</v>
      </c>
      <c r="AF24" s="2">
        <v>78</v>
      </c>
    </row>
    <row r="25" spans="12:32" x14ac:dyDescent="0.8">
      <c r="AE25" s="36">
        <v>36</v>
      </c>
      <c r="AF25" s="2">
        <v>69</v>
      </c>
    </row>
    <row r="26" spans="12:32" x14ac:dyDescent="0.8">
      <c r="AE26" s="36">
        <v>37</v>
      </c>
      <c r="AF26" s="2">
        <v>50</v>
      </c>
    </row>
    <row r="27" spans="12:32" x14ac:dyDescent="0.8">
      <c r="AE27" s="36">
        <v>38</v>
      </c>
      <c r="AF27" s="2">
        <v>58</v>
      </c>
    </row>
    <row r="28" spans="12:32" x14ac:dyDescent="0.8">
      <c r="AE28" s="36">
        <v>39</v>
      </c>
      <c r="AF28" s="2">
        <v>42</v>
      </c>
    </row>
    <row r="29" spans="12:32" x14ac:dyDescent="0.8">
      <c r="AE29" s="36">
        <v>40</v>
      </c>
      <c r="AF29" s="2">
        <v>57</v>
      </c>
    </row>
    <row r="30" spans="12:32" x14ac:dyDescent="0.8">
      <c r="AE30" s="36">
        <v>41</v>
      </c>
      <c r="AF30" s="2">
        <v>40</v>
      </c>
    </row>
    <row r="31" spans="12:32" x14ac:dyDescent="0.8">
      <c r="AE31" s="36">
        <v>42</v>
      </c>
      <c r="AF31" s="2">
        <v>46</v>
      </c>
    </row>
    <row r="32" spans="12:32" x14ac:dyDescent="0.8">
      <c r="AE32" s="36">
        <v>43</v>
      </c>
      <c r="AF32" s="2">
        <v>32</v>
      </c>
    </row>
    <row r="33" spans="31:32" x14ac:dyDescent="0.8">
      <c r="AE33" s="36">
        <v>44</v>
      </c>
      <c r="AF33" s="2">
        <v>33</v>
      </c>
    </row>
    <row r="34" spans="31:32" x14ac:dyDescent="0.8">
      <c r="AE34" s="36">
        <v>45</v>
      </c>
      <c r="AF34" s="2">
        <v>41</v>
      </c>
    </row>
    <row r="35" spans="31:32" x14ac:dyDescent="0.8">
      <c r="AE35" s="36">
        <v>46</v>
      </c>
      <c r="AF35" s="2">
        <v>33</v>
      </c>
    </row>
    <row r="36" spans="31:32" x14ac:dyDescent="0.8">
      <c r="AE36" s="36">
        <v>47</v>
      </c>
      <c r="AF36" s="2">
        <v>24</v>
      </c>
    </row>
    <row r="37" spans="31:32" x14ac:dyDescent="0.8">
      <c r="AE37" s="36">
        <v>48</v>
      </c>
      <c r="AF37" s="2">
        <v>19</v>
      </c>
    </row>
    <row r="38" spans="31:32" x14ac:dyDescent="0.8">
      <c r="AE38" s="36">
        <v>49</v>
      </c>
      <c r="AF38" s="2">
        <v>24</v>
      </c>
    </row>
    <row r="39" spans="31:32" x14ac:dyDescent="0.8">
      <c r="AE39" s="36">
        <v>50</v>
      </c>
      <c r="AF39" s="2">
        <v>30</v>
      </c>
    </row>
    <row r="40" spans="31:32" x14ac:dyDescent="0.8">
      <c r="AE40" s="36">
        <v>51</v>
      </c>
      <c r="AF40" s="2">
        <v>19</v>
      </c>
    </row>
    <row r="41" spans="31:32" x14ac:dyDescent="0.8">
      <c r="AE41" s="36">
        <v>52</v>
      </c>
      <c r="AF41" s="2">
        <v>18</v>
      </c>
    </row>
    <row r="42" spans="31:32" x14ac:dyDescent="0.8">
      <c r="AE42" s="36">
        <v>53</v>
      </c>
      <c r="AF42" s="2">
        <v>19</v>
      </c>
    </row>
    <row r="43" spans="31:32" x14ac:dyDescent="0.8">
      <c r="AE43" s="36">
        <v>54</v>
      </c>
      <c r="AF43" s="2">
        <v>18</v>
      </c>
    </row>
    <row r="44" spans="31:32" x14ac:dyDescent="0.8">
      <c r="AE44" s="36">
        <v>55</v>
      </c>
      <c r="AF44" s="2">
        <v>22</v>
      </c>
    </row>
    <row r="45" spans="31:32" x14ac:dyDescent="0.8">
      <c r="AE45" s="36">
        <v>56</v>
      </c>
      <c r="AF45" s="2">
        <v>14</v>
      </c>
    </row>
    <row r="46" spans="31:32" x14ac:dyDescent="0.8">
      <c r="AE46" s="36">
        <v>57</v>
      </c>
      <c r="AF46" s="2">
        <v>4</v>
      </c>
    </row>
    <row r="47" spans="31:32" x14ac:dyDescent="0.8">
      <c r="AE47" s="36">
        <v>58</v>
      </c>
      <c r="AF47" s="2">
        <v>14</v>
      </c>
    </row>
    <row r="48" spans="31:32" x14ac:dyDescent="0.8">
      <c r="AE48" s="36">
        <v>59</v>
      </c>
      <c r="AF48" s="2">
        <v>10</v>
      </c>
    </row>
    <row r="49" spans="31:32" x14ac:dyDescent="0.8">
      <c r="AE49" s="36">
        <v>60</v>
      </c>
      <c r="AF49" s="2">
        <v>5</v>
      </c>
    </row>
    <row r="50" spans="31:32" x14ac:dyDescent="0.8">
      <c r="AE50" s="36" t="s">
        <v>1565</v>
      </c>
      <c r="AF50" s="2">
        <v>1470</v>
      </c>
    </row>
  </sheetData>
  <mergeCells count="7">
    <mergeCell ref="AR4:AS4"/>
    <mergeCell ref="B2:E2"/>
    <mergeCell ref="B3:G3"/>
    <mergeCell ref="J3:Q3"/>
    <mergeCell ref="S3:AA3"/>
    <mergeCell ref="AD3:AK3"/>
    <mergeCell ref="AP3:A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61FA-9E84-401D-9888-362A91CD7434}">
  <dimension ref="A1:X1479"/>
  <sheetViews>
    <sheetView workbookViewId="0">
      <selection activeCell="W3" sqref="W3:X3"/>
    </sheetView>
  </sheetViews>
  <sheetFormatPr defaultRowHeight="24" x14ac:dyDescent="0.8"/>
  <cols>
    <col min="1" max="1" width="8.8984375" style="6" bestFit="1" customWidth="1"/>
    <col min="2" max="2" width="9" style="9" customWidth="1"/>
    <col min="3" max="3" width="9.8984375" style="6" bestFit="1" customWidth="1"/>
    <col min="4" max="4" width="22.59765625" style="6" bestFit="1" customWidth="1"/>
    <col min="5" max="5" width="18.796875" style="9" bestFit="1" customWidth="1"/>
    <col min="6" max="7" width="22.8984375" style="6" bestFit="1" customWidth="1"/>
    <col min="8" max="8" width="16.69921875" style="9" bestFit="1" customWidth="1"/>
    <col min="9" max="9" width="16.5" style="9" bestFit="1" customWidth="1"/>
    <col min="10" max="10" width="11.59765625" style="6" bestFit="1" customWidth="1"/>
    <col min="11" max="11" width="20.296875" style="9" bestFit="1" customWidth="1"/>
    <col min="12" max="12" width="23.8984375" style="9" bestFit="1" customWidth="1"/>
    <col min="13" max="13" width="18.5" style="9" bestFit="1" customWidth="1"/>
    <col min="14" max="14" width="18.296875" customWidth="1"/>
    <col min="15" max="15" width="23.3984375" customWidth="1"/>
    <col min="16" max="16" width="23" style="11" bestFit="1" customWidth="1"/>
    <col min="17" max="17" width="23" bestFit="1" customWidth="1"/>
    <col min="19" max="20" width="35" bestFit="1" customWidth="1"/>
    <col min="23" max="23" width="21.296875" bestFit="1" customWidth="1"/>
    <col min="24" max="24" width="23.5" customWidth="1"/>
    <col min="25" max="25" width="21.3984375" bestFit="1" customWidth="1"/>
  </cols>
  <sheetData>
    <row r="1" spans="1:24" ht="27" x14ac:dyDescent="0.9">
      <c r="A1" s="16" t="s">
        <v>0</v>
      </c>
      <c r="B1" s="17" t="s">
        <v>1</v>
      </c>
      <c r="C1" s="16" t="s">
        <v>3</v>
      </c>
      <c r="D1" s="16" t="s">
        <v>6</v>
      </c>
      <c r="E1" s="16" t="s">
        <v>13</v>
      </c>
      <c r="F1" s="16" t="s">
        <v>17</v>
      </c>
      <c r="G1" s="17" t="s">
        <v>18</v>
      </c>
      <c r="H1" s="17" t="s">
        <v>20</v>
      </c>
      <c r="I1" s="16" t="s">
        <v>25</v>
      </c>
      <c r="J1" s="17" t="s">
        <v>27</v>
      </c>
      <c r="K1" s="17" t="s">
        <v>32</v>
      </c>
      <c r="L1" s="17" t="s">
        <v>34</v>
      </c>
      <c r="M1" s="19" t="s">
        <v>1546</v>
      </c>
      <c r="N1" s="19" t="s">
        <v>1547</v>
      </c>
      <c r="O1" s="18" t="s">
        <v>1548</v>
      </c>
      <c r="P1" s="15" t="s">
        <v>1549</v>
      </c>
    </row>
    <row r="2" spans="1:24" x14ac:dyDescent="0.8">
      <c r="A2" s="5" t="s">
        <v>38</v>
      </c>
      <c r="B2" s="8">
        <v>18</v>
      </c>
      <c r="C2" s="5" t="s">
        <v>40</v>
      </c>
      <c r="D2" s="5" t="s">
        <v>42</v>
      </c>
      <c r="E2" s="5" t="s">
        <v>44</v>
      </c>
      <c r="F2" s="5" t="s">
        <v>45</v>
      </c>
      <c r="G2" s="8">
        <v>3</v>
      </c>
      <c r="H2" s="8">
        <v>1420</v>
      </c>
      <c r="I2" s="5" t="s">
        <v>49</v>
      </c>
      <c r="J2" s="8">
        <v>3</v>
      </c>
      <c r="K2" s="8">
        <v>2</v>
      </c>
      <c r="L2" s="8">
        <v>0</v>
      </c>
      <c r="M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" s="8" t="str" cm="1">
        <f t="array" ref="N2">_xlfn.IFS(HR_Analytics56[[#This Row],[PerformanceRating]]=3,"Good",HR_Analytics56[[#This Row],[PerformanceRating]]=4, "Excellent")</f>
        <v>Good</v>
      </c>
      <c r="O2" s="8" t="str">
        <f>IF(HR_Analytics56[[#This Row],[MonthlyIncome]]&lt;3000,"&lt; ₹3,000",IF(HR_Analytics56[[#This Row],[MonthlyIncome]]&lt;=7000,"₹ 3,000 - ₹ 7,000","&gt; ₹7,000"))</f>
        <v>&lt; ₹3,000</v>
      </c>
      <c r="P2" s="13" t="str" cm="1">
        <f t="array" ref="P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" spans="1:24" ht="25.8" x14ac:dyDescent="0.85">
      <c r="A3" s="5" t="s">
        <v>50</v>
      </c>
      <c r="B3" s="8">
        <v>18</v>
      </c>
      <c r="C3" s="5" t="s">
        <v>49</v>
      </c>
      <c r="D3" s="5" t="s">
        <v>51</v>
      </c>
      <c r="E3" s="5" t="s">
        <v>53</v>
      </c>
      <c r="F3" s="5" t="s">
        <v>54</v>
      </c>
      <c r="G3" s="8">
        <v>3</v>
      </c>
      <c r="H3" s="8">
        <v>1200</v>
      </c>
      <c r="I3" s="5" t="s">
        <v>49</v>
      </c>
      <c r="J3" s="8">
        <v>3</v>
      </c>
      <c r="K3" s="8">
        <v>2</v>
      </c>
      <c r="L3" s="8">
        <v>0</v>
      </c>
      <c r="M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" s="8" t="str" cm="1">
        <f t="array" ref="N3">_xlfn.IFS(HR_Analytics56[[#This Row],[PerformanceRating]]=3,"Good",HR_Analytics56[[#This Row],[PerformanceRating]]=4, "Excellent")</f>
        <v>Good</v>
      </c>
      <c r="O3" s="8" t="str">
        <f>IF(HR_Analytics56[[#This Row],[MonthlyIncome]]&lt;3000,"&lt; ₹3,000",IF(HR_Analytics56[[#This Row],[MonthlyIncome]]&lt;=7000,"₹ 3,000 - ₹ 7,000","&gt; ₹7,000"))</f>
        <v>&lt; ₹3,000</v>
      </c>
      <c r="P3" s="8" t="str" cm="1">
        <f t="array" ref="P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  <c r="S3" s="20" t="s">
        <v>1550</v>
      </c>
      <c r="T3" s="21" t="s">
        <v>1551</v>
      </c>
      <c r="W3" s="40" t="s">
        <v>1560</v>
      </c>
      <c r="X3" s="40"/>
    </row>
    <row r="4" spans="1:24" x14ac:dyDescent="0.8">
      <c r="A4" s="5" t="s">
        <v>55</v>
      </c>
      <c r="B4" s="8">
        <v>18</v>
      </c>
      <c r="C4" s="5" t="s">
        <v>40</v>
      </c>
      <c r="D4" s="5" t="s">
        <v>51</v>
      </c>
      <c r="E4" s="5" t="s">
        <v>44</v>
      </c>
      <c r="F4" s="5" t="s">
        <v>54</v>
      </c>
      <c r="G4" s="8">
        <v>2</v>
      </c>
      <c r="H4" s="8">
        <v>1878</v>
      </c>
      <c r="I4" s="5" t="s">
        <v>40</v>
      </c>
      <c r="J4" s="8">
        <v>3</v>
      </c>
      <c r="K4" s="8">
        <v>3</v>
      </c>
      <c r="L4" s="8">
        <v>0</v>
      </c>
      <c r="M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" s="8" t="str" cm="1">
        <f t="array" ref="N4">_xlfn.IFS(HR_Analytics56[[#This Row],[PerformanceRating]]=3,"Good",HR_Analytics56[[#This Row],[PerformanceRating]]=4, "Excellent")</f>
        <v>Good</v>
      </c>
      <c r="O4" s="8" t="str">
        <f>IF(HR_Analytics56[[#This Row],[MonthlyIncome]]&lt;3000,"&lt; ₹3,000",IF(HR_Analytics56[[#This Row],[MonthlyIncome]]&lt;=7000,"₹ 3,000 - ₹ 7,000","&gt; ₹7,000"))</f>
        <v>&lt; ₹3,000</v>
      </c>
      <c r="P4" s="8" t="str" cm="1">
        <f t="array" ref="P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  <c r="S4" s="22" t="s">
        <v>1552</v>
      </c>
      <c r="T4" s="23" t="s">
        <v>1553</v>
      </c>
      <c r="W4" s="27" t="s">
        <v>1561</v>
      </c>
      <c r="X4" s="27" t="s">
        <v>51</v>
      </c>
    </row>
    <row r="5" spans="1:24" x14ac:dyDescent="0.8">
      <c r="A5" s="5" t="s">
        <v>58</v>
      </c>
      <c r="B5" s="8">
        <v>18</v>
      </c>
      <c r="C5" s="5" t="s">
        <v>49</v>
      </c>
      <c r="D5" s="5" t="s">
        <v>42</v>
      </c>
      <c r="E5" s="5" t="s">
        <v>44</v>
      </c>
      <c r="F5" s="5" t="s">
        <v>60</v>
      </c>
      <c r="G5" s="8">
        <v>4</v>
      </c>
      <c r="H5" s="8">
        <v>1051</v>
      </c>
      <c r="I5" s="5" t="s">
        <v>49</v>
      </c>
      <c r="J5" s="8">
        <v>3</v>
      </c>
      <c r="K5" s="8">
        <v>2</v>
      </c>
      <c r="L5" s="8">
        <v>0</v>
      </c>
      <c r="M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" s="8" t="str" cm="1">
        <f t="array" ref="N5">_xlfn.IFS(HR_Analytics56[[#This Row],[PerformanceRating]]=3,"Good",HR_Analytics56[[#This Row],[PerformanceRating]]=4, "Excellent")</f>
        <v>Good</v>
      </c>
      <c r="O5" s="8" t="str">
        <f>IF(HR_Analytics56[[#This Row],[MonthlyIncome]]&lt;3000,"&lt; ₹3,000",IF(HR_Analytics56[[#This Row],[MonthlyIncome]]&lt;=7000,"₹ 3,000 - ₹ 7,000","&gt; ₹7,000"))</f>
        <v>&lt; ₹3,000</v>
      </c>
      <c r="P5" s="8" t="str" cm="1">
        <f t="array" ref="P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  <c r="S5" s="22" t="s">
        <v>1554</v>
      </c>
      <c r="T5" s="23" t="s">
        <v>1557</v>
      </c>
      <c r="W5" s="28" t="s">
        <v>1545</v>
      </c>
      <c r="X5" s="27" t="s">
        <v>45</v>
      </c>
    </row>
    <row r="6" spans="1:24" x14ac:dyDescent="0.8">
      <c r="A6" s="5" t="s">
        <v>61</v>
      </c>
      <c r="B6" s="8">
        <v>18</v>
      </c>
      <c r="C6" s="5" t="s">
        <v>40</v>
      </c>
      <c r="D6" s="5" t="s">
        <v>42</v>
      </c>
      <c r="E6" s="5" t="s">
        <v>44</v>
      </c>
      <c r="F6" s="5" t="s">
        <v>45</v>
      </c>
      <c r="G6" s="8">
        <v>3</v>
      </c>
      <c r="H6" s="8">
        <v>1904</v>
      </c>
      <c r="I6" s="5" t="s">
        <v>49</v>
      </c>
      <c r="J6" s="8">
        <v>3</v>
      </c>
      <c r="K6" s="8">
        <v>0</v>
      </c>
      <c r="L6" s="8">
        <v>0</v>
      </c>
      <c r="M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" s="8" t="str" cm="1">
        <f t="array" ref="N6">_xlfn.IFS(HR_Analytics56[[#This Row],[PerformanceRating]]=3,"Good",HR_Analytics56[[#This Row],[PerformanceRating]]=4, "Excellent")</f>
        <v>Good</v>
      </c>
      <c r="O6" s="8" t="str">
        <f>IF(HR_Analytics56[[#This Row],[MonthlyIncome]]&lt;3000,"&lt; ₹3,000",IF(HR_Analytics56[[#This Row],[MonthlyIncome]]&lt;=7000,"₹ 3,000 - ₹ 7,000","&gt; ₹7,000"))</f>
        <v>&lt; ₹3,000</v>
      </c>
      <c r="P6" s="8" t="str" cm="1">
        <f t="array" ref="P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  <c r="S6" s="22" t="s">
        <v>1555</v>
      </c>
      <c r="T6" s="23" t="s">
        <v>1559</v>
      </c>
      <c r="W6" s="28" t="s">
        <v>3</v>
      </c>
      <c r="X6" s="27" t="s">
        <v>40</v>
      </c>
    </row>
    <row r="7" spans="1:24" x14ac:dyDescent="0.8">
      <c r="A7" s="5" t="s">
        <v>62</v>
      </c>
      <c r="B7" s="8">
        <v>18</v>
      </c>
      <c r="C7" s="5" t="s">
        <v>49</v>
      </c>
      <c r="D7" s="5" t="s">
        <v>42</v>
      </c>
      <c r="E7" s="5" t="s">
        <v>53</v>
      </c>
      <c r="F7" s="5" t="s">
        <v>45</v>
      </c>
      <c r="G7" s="8">
        <v>4</v>
      </c>
      <c r="H7" s="8">
        <v>1611</v>
      </c>
      <c r="I7" s="5" t="s">
        <v>49</v>
      </c>
      <c r="J7" s="8">
        <v>3</v>
      </c>
      <c r="K7" s="8">
        <v>5</v>
      </c>
      <c r="L7" s="8">
        <v>0</v>
      </c>
      <c r="M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" s="8" t="str" cm="1">
        <f t="array" ref="N7">_xlfn.IFS(HR_Analytics56[[#This Row],[PerformanceRating]]=3,"Good",HR_Analytics56[[#This Row],[PerformanceRating]]=4, "Excellent")</f>
        <v>Good</v>
      </c>
      <c r="O7" s="8" t="str">
        <f>IF(HR_Analytics56[[#This Row],[MonthlyIncome]]&lt;3000,"&lt; ₹3,000",IF(HR_Analytics56[[#This Row],[MonthlyIncome]]&lt;=7000,"₹ 3,000 - ₹ 7,000","&gt; ₹7,000"))</f>
        <v>&lt; ₹3,000</v>
      </c>
      <c r="P7" s="8" t="str" cm="1">
        <f t="array" ref="P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  <c r="S7" s="24" t="s">
        <v>1556</v>
      </c>
      <c r="T7" s="25" t="s">
        <v>1558</v>
      </c>
    </row>
    <row r="8" spans="1:24" x14ac:dyDescent="0.8">
      <c r="A8" s="5" t="s">
        <v>63</v>
      </c>
      <c r="B8" s="8">
        <v>18</v>
      </c>
      <c r="C8" s="5" t="s">
        <v>40</v>
      </c>
      <c r="D8" s="5" t="s">
        <v>51</v>
      </c>
      <c r="E8" s="5" t="s">
        <v>53</v>
      </c>
      <c r="F8" s="5" t="s">
        <v>54</v>
      </c>
      <c r="G8" s="8">
        <v>4</v>
      </c>
      <c r="H8" s="8">
        <v>1569</v>
      </c>
      <c r="I8" s="5" t="s">
        <v>40</v>
      </c>
      <c r="J8" s="8">
        <v>3</v>
      </c>
      <c r="K8" s="8">
        <v>2</v>
      </c>
      <c r="L8" s="8">
        <v>0</v>
      </c>
      <c r="M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8" s="8" t="str" cm="1">
        <f t="array" ref="N8">_xlfn.IFS(HR_Analytics56[[#This Row],[PerformanceRating]]=3,"Good",HR_Analytics56[[#This Row],[PerformanceRating]]=4, "Excellent")</f>
        <v>Good</v>
      </c>
      <c r="O8" s="8" t="str">
        <f>IF(HR_Analytics56[[#This Row],[MonthlyIncome]]&lt;3000,"&lt; ₹3,000",IF(HR_Analytics56[[#This Row],[MonthlyIncome]]&lt;=7000,"₹ 3,000 - ₹ 7,000","&gt; ₹7,000"))</f>
        <v>&lt; ₹3,000</v>
      </c>
      <c r="P8" s="8" t="str" cm="1">
        <f t="array" ref="P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" spans="1:24" x14ac:dyDescent="0.8">
      <c r="A9" s="5" t="s">
        <v>64</v>
      </c>
      <c r="B9" s="8">
        <v>18</v>
      </c>
      <c r="C9" s="5" t="s">
        <v>49</v>
      </c>
      <c r="D9" s="5" t="s">
        <v>42</v>
      </c>
      <c r="E9" s="5" t="s">
        <v>53</v>
      </c>
      <c r="F9" s="5" t="s">
        <v>60</v>
      </c>
      <c r="G9" s="8">
        <v>3</v>
      </c>
      <c r="H9" s="8">
        <v>1514</v>
      </c>
      <c r="I9" s="5" t="s">
        <v>49</v>
      </c>
      <c r="J9" s="8">
        <v>3</v>
      </c>
      <c r="K9" s="8">
        <v>4</v>
      </c>
      <c r="L9" s="8">
        <v>0</v>
      </c>
      <c r="M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" s="8" t="str" cm="1">
        <f t="array" ref="N9">_xlfn.IFS(HR_Analytics56[[#This Row],[PerformanceRating]]=3,"Good",HR_Analytics56[[#This Row],[PerformanceRating]]=4, "Excellent")</f>
        <v>Good</v>
      </c>
      <c r="O9" s="8" t="str">
        <f>IF(HR_Analytics56[[#This Row],[MonthlyIncome]]&lt;3000,"&lt; ₹3,000",IF(HR_Analytics56[[#This Row],[MonthlyIncome]]&lt;=7000,"₹ 3,000 - ₹ 7,000","&gt; ₹7,000"))</f>
        <v>&lt; ₹3,000</v>
      </c>
      <c r="P9" s="8" t="str" cm="1">
        <f t="array" ref="P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" spans="1:24" x14ac:dyDescent="0.8">
      <c r="A10" s="5" t="s">
        <v>65</v>
      </c>
      <c r="B10" s="8">
        <v>19</v>
      </c>
      <c r="C10" s="5" t="s">
        <v>40</v>
      </c>
      <c r="D10" s="5" t="s">
        <v>51</v>
      </c>
      <c r="E10" s="5" t="s">
        <v>44</v>
      </c>
      <c r="F10" s="5" t="s">
        <v>54</v>
      </c>
      <c r="G10" s="8">
        <v>3</v>
      </c>
      <c r="H10" s="8">
        <v>1675</v>
      </c>
      <c r="I10" s="5" t="s">
        <v>40</v>
      </c>
      <c r="J10" s="8">
        <v>3</v>
      </c>
      <c r="K10" s="8">
        <v>2</v>
      </c>
      <c r="L10" s="8">
        <v>0</v>
      </c>
      <c r="M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" s="8" t="str" cm="1">
        <f t="array" ref="N10">_xlfn.IFS(HR_Analytics56[[#This Row],[PerformanceRating]]=3,"Good",HR_Analytics56[[#This Row],[PerformanceRating]]=4, "Excellent")</f>
        <v>Good</v>
      </c>
      <c r="O10" s="8" t="str">
        <f>IF(HR_Analytics56[[#This Row],[MonthlyIncome]]&lt;3000,"&lt; ₹3,000",IF(HR_Analytics56[[#This Row],[MonthlyIncome]]&lt;=7000,"₹ 3,000 - ₹ 7,000","&gt; ₹7,000"))</f>
        <v>&lt; ₹3,000</v>
      </c>
      <c r="P10" s="8" t="str" cm="1">
        <f t="array" ref="P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" spans="1:24" x14ac:dyDescent="0.8">
      <c r="A11" s="5" t="s">
        <v>66</v>
      </c>
      <c r="B11" s="8">
        <v>19</v>
      </c>
      <c r="C11" s="5" t="s">
        <v>49</v>
      </c>
      <c r="D11" s="5" t="s">
        <v>42</v>
      </c>
      <c r="E11" s="5" t="s">
        <v>53</v>
      </c>
      <c r="F11" s="5" t="s">
        <v>45</v>
      </c>
      <c r="G11" s="8">
        <v>2</v>
      </c>
      <c r="H11" s="8">
        <v>1483</v>
      </c>
      <c r="I11" s="5" t="s">
        <v>49</v>
      </c>
      <c r="J11" s="8">
        <v>3</v>
      </c>
      <c r="K11" s="8">
        <v>3</v>
      </c>
      <c r="L11" s="8">
        <v>1</v>
      </c>
      <c r="M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" s="8" t="str" cm="1">
        <f t="array" ref="N11">_xlfn.IFS(HR_Analytics56[[#This Row],[PerformanceRating]]=3,"Good",HR_Analytics56[[#This Row],[PerformanceRating]]=4, "Excellent")</f>
        <v>Good</v>
      </c>
      <c r="O11" s="8" t="str">
        <f>IF(HR_Analytics56[[#This Row],[MonthlyIncome]]&lt;3000,"&lt; ₹3,000",IF(HR_Analytics56[[#This Row],[MonthlyIncome]]&lt;=7000,"₹ 3,000 - ₹ 7,000","&gt; ₹7,000"))</f>
        <v>&lt; ₹3,000</v>
      </c>
      <c r="P11" s="8" t="str" cm="1">
        <f t="array" ref="P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" spans="1:24" x14ac:dyDescent="0.8">
      <c r="A12" s="5" t="s">
        <v>67</v>
      </c>
      <c r="B12" s="8">
        <v>19</v>
      </c>
      <c r="C12" s="5" t="s">
        <v>40</v>
      </c>
      <c r="D12" s="5" t="s">
        <v>51</v>
      </c>
      <c r="E12" s="5" t="s">
        <v>53</v>
      </c>
      <c r="F12" s="5" t="s">
        <v>54</v>
      </c>
      <c r="G12" s="8">
        <v>1</v>
      </c>
      <c r="H12" s="8">
        <v>2325</v>
      </c>
      <c r="I12" s="5" t="s">
        <v>49</v>
      </c>
      <c r="J12" s="8">
        <v>4</v>
      </c>
      <c r="K12" s="8">
        <v>5</v>
      </c>
      <c r="L12" s="8">
        <v>0</v>
      </c>
      <c r="M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" s="8" t="str" cm="1">
        <f t="array" ref="N12">_xlfn.IFS(HR_Analytics56[[#This Row],[PerformanceRating]]=3,"Good",HR_Analytics56[[#This Row],[PerformanceRating]]=4, "Excellent")</f>
        <v>Excellent</v>
      </c>
      <c r="O12" s="8" t="str">
        <f>IF(HR_Analytics56[[#This Row],[MonthlyIncome]]&lt;3000,"&lt; ₹3,000",IF(HR_Analytics56[[#This Row],[MonthlyIncome]]&lt;=7000,"₹ 3,000 - ₹ 7,000","&gt; ₹7,000"))</f>
        <v>&lt; ₹3,000</v>
      </c>
      <c r="P12" s="8" t="str" cm="1">
        <f t="array" ref="P1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" spans="1:24" x14ac:dyDescent="0.8">
      <c r="A13" s="5" t="s">
        <v>69</v>
      </c>
      <c r="B13" s="8">
        <v>19</v>
      </c>
      <c r="C13" s="5" t="s">
        <v>40</v>
      </c>
      <c r="D13" s="5" t="s">
        <v>42</v>
      </c>
      <c r="E13" s="5" t="s">
        <v>44</v>
      </c>
      <c r="F13" s="5" t="s">
        <v>45</v>
      </c>
      <c r="G13" s="8">
        <v>4</v>
      </c>
      <c r="H13" s="8">
        <v>1102</v>
      </c>
      <c r="I13" s="5" t="s">
        <v>49</v>
      </c>
      <c r="J13" s="8">
        <v>4</v>
      </c>
      <c r="K13" s="8">
        <v>3</v>
      </c>
      <c r="L13" s="8">
        <v>1</v>
      </c>
      <c r="M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" s="8" t="str" cm="1">
        <f t="array" ref="N13">_xlfn.IFS(HR_Analytics56[[#This Row],[PerformanceRating]]=3,"Good",HR_Analytics56[[#This Row],[PerformanceRating]]=4, "Excellent")</f>
        <v>Excellent</v>
      </c>
      <c r="O13" s="8" t="str">
        <f>IF(HR_Analytics56[[#This Row],[MonthlyIncome]]&lt;3000,"&lt; ₹3,000",IF(HR_Analytics56[[#This Row],[MonthlyIncome]]&lt;=7000,"₹ 3,000 - ₹ 7,000","&gt; ₹7,000"))</f>
        <v>&lt; ₹3,000</v>
      </c>
      <c r="P13" s="8" t="str" cm="1">
        <f t="array" ref="P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" spans="1:24" x14ac:dyDescent="0.8">
      <c r="A14" s="5" t="s">
        <v>70</v>
      </c>
      <c r="B14" s="8">
        <v>19</v>
      </c>
      <c r="C14" s="5" t="s">
        <v>40</v>
      </c>
      <c r="D14" s="5" t="s">
        <v>71</v>
      </c>
      <c r="E14" s="5" t="s">
        <v>44</v>
      </c>
      <c r="F14" s="5" t="s">
        <v>71</v>
      </c>
      <c r="G14" s="8">
        <v>4</v>
      </c>
      <c r="H14" s="8">
        <v>2564</v>
      </c>
      <c r="I14" s="5" t="s">
        <v>49</v>
      </c>
      <c r="J14" s="8">
        <v>3</v>
      </c>
      <c r="K14" s="8">
        <v>3</v>
      </c>
      <c r="L14" s="8">
        <v>1</v>
      </c>
      <c r="M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" s="8" t="str" cm="1">
        <f t="array" ref="N14">_xlfn.IFS(HR_Analytics56[[#This Row],[PerformanceRating]]=3,"Good",HR_Analytics56[[#This Row],[PerformanceRating]]=4, "Excellent")</f>
        <v>Good</v>
      </c>
      <c r="O14" s="8" t="str">
        <f>IF(HR_Analytics56[[#This Row],[MonthlyIncome]]&lt;3000,"&lt; ₹3,000",IF(HR_Analytics56[[#This Row],[MonthlyIncome]]&lt;=7000,"₹ 3,000 - ₹ 7,000","&gt; ₹7,000"))</f>
        <v>&lt; ₹3,000</v>
      </c>
      <c r="P14" s="8" t="str" cm="1">
        <f t="array" ref="P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" spans="1:24" x14ac:dyDescent="0.8">
      <c r="A15" s="5" t="s">
        <v>72</v>
      </c>
      <c r="B15" s="8">
        <v>19</v>
      </c>
      <c r="C15" s="5" t="s">
        <v>40</v>
      </c>
      <c r="D15" s="5" t="s">
        <v>51</v>
      </c>
      <c r="E15" s="5" t="s">
        <v>44</v>
      </c>
      <c r="F15" s="5" t="s">
        <v>54</v>
      </c>
      <c r="G15" s="8">
        <v>2</v>
      </c>
      <c r="H15" s="8">
        <v>2121</v>
      </c>
      <c r="I15" s="5" t="s">
        <v>40</v>
      </c>
      <c r="J15" s="8">
        <v>3</v>
      </c>
      <c r="K15" s="8">
        <v>3</v>
      </c>
      <c r="L15" s="8">
        <v>1</v>
      </c>
      <c r="M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5" s="8" t="str" cm="1">
        <f t="array" ref="N15">_xlfn.IFS(HR_Analytics56[[#This Row],[PerformanceRating]]=3,"Good",HR_Analytics56[[#This Row],[PerformanceRating]]=4, "Excellent")</f>
        <v>Good</v>
      </c>
      <c r="O15" s="8" t="str">
        <f>IF(HR_Analytics56[[#This Row],[MonthlyIncome]]&lt;3000,"&lt; ₹3,000",IF(HR_Analytics56[[#This Row],[MonthlyIncome]]&lt;=7000,"₹ 3,000 - ₹ 7,000","&gt; ₹7,000"))</f>
        <v>&lt; ₹3,000</v>
      </c>
      <c r="P15" s="8" t="str" cm="1">
        <f t="array" ref="P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" spans="1:24" x14ac:dyDescent="0.8">
      <c r="A16" s="5" t="s">
        <v>74</v>
      </c>
      <c r="B16" s="8">
        <v>19</v>
      </c>
      <c r="C16" s="5" t="s">
        <v>49</v>
      </c>
      <c r="D16" s="5" t="s">
        <v>42</v>
      </c>
      <c r="E16" s="5" t="s">
        <v>44</v>
      </c>
      <c r="F16" s="5" t="s">
        <v>60</v>
      </c>
      <c r="G16" s="8">
        <v>1</v>
      </c>
      <c r="H16" s="8">
        <v>2552</v>
      </c>
      <c r="I16" s="5" t="s">
        <v>49</v>
      </c>
      <c r="J16" s="8">
        <v>4</v>
      </c>
      <c r="K16" s="8">
        <v>4</v>
      </c>
      <c r="L16" s="8">
        <v>1</v>
      </c>
      <c r="M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" s="8" t="str" cm="1">
        <f t="array" ref="N16">_xlfn.IFS(HR_Analytics56[[#This Row],[PerformanceRating]]=3,"Good",HR_Analytics56[[#This Row],[PerformanceRating]]=4, "Excellent")</f>
        <v>Excellent</v>
      </c>
      <c r="O16" s="8" t="str">
        <f>IF(HR_Analytics56[[#This Row],[MonthlyIncome]]&lt;3000,"&lt; ₹3,000",IF(HR_Analytics56[[#This Row],[MonthlyIncome]]&lt;=7000,"₹ 3,000 - ₹ 7,000","&gt; ₹7,000"))</f>
        <v>&lt; ₹3,000</v>
      </c>
      <c r="P16" s="8" t="str" cm="1">
        <f t="array" ref="P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" spans="1:16" x14ac:dyDescent="0.8">
      <c r="A17" s="5" t="s">
        <v>75</v>
      </c>
      <c r="B17" s="8">
        <v>19</v>
      </c>
      <c r="C17" s="5" t="s">
        <v>40</v>
      </c>
      <c r="D17" s="5" t="s">
        <v>42</v>
      </c>
      <c r="E17" s="5" t="s">
        <v>53</v>
      </c>
      <c r="F17" s="5" t="s">
        <v>60</v>
      </c>
      <c r="G17" s="8">
        <v>2</v>
      </c>
      <c r="H17" s="8">
        <v>1859</v>
      </c>
      <c r="I17" s="5" t="s">
        <v>40</v>
      </c>
      <c r="J17" s="8">
        <v>4</v>
      </c>
      <c r="K17" s="8">
        <v>2</v>
      </c>
      <c r="L17" s="8">
        <v>1</v>
      </c>
      <c r="M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7" s="8" t="str" cm="1">
        <f t="array" ref="N17">_xlfn.IFS(HR_Analytics56[[#This Row],[PerformanceRating]]=3,"Good",HR_Analytics56[[#This Row],[PerformanceRating]]=4, "Excellent")</f>
        <v>Excellent</v>
      </c>
      <c r="O17" s="8" t="str">
        <f>IF(HR_Analytics56[[#This Row],[MonthlyIncome]]&lt;3000,"&lt; ₹3,000",IF(HR_Analytics56[[#This Row],[MonthlyIncome]]&lt;=7000,"₹ 3,000 - ₹ 7,000","&gt; ₹7,000"))</f>
        <v>&lt; ₹3,000</v>
      </c>
      <c r="P17" s="8" t="str" cm="1">
        <f t="array" ref="P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" spans="1:16" x14ac:dyDescent="0.8">
      <c r="A18" s="5" t="s">
        <v>76</v>
      </c>
      <c r="B18" s="8">
        <v>19</v>
      </c>
      <c r="C18" s="5" t="s">
        <v>49</v>
      </c>
      <c r="D18" s="5" t="s">
        <v>42</v>
      </c>
      <c r="E18" s="5" t="s">
        <v>53</v>
      </c>
      <c r="F18" s="5" t="s">
        <v>60</v>
      </c>
      <c r="G18" s="8">
        <v>4</v>
      </c>
      <c r="H18" s="8">
        <v>2994</v>
      </c>
      <c r="I18" s="5" t="s">
        <v>40</v>
      </c>
      <c r="J18" s="8">
        <v>3</v>
      </c>
      <c r="K18" s="8">
        <v>2</v>
      </c>
      <c r="L18" s="8">
        <v>1</v>
      </c>
      <c r="M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8" s="8" t="str" cm="1">
        <f t="array" ref="N18">_xlfn.IFS(HR_Analytics56[[#This Row],[PerformanceRating]]=3,"Good",HR_Analytics56[[#This Row],[PerformanceRating]]=4, "Excellent")</f>
        <v>Good</v>
      </c>
      <c r="O18" s="8" t="str">
        <f>IF(HR_Analytics56[[#This Row],[MonthlyIncome]]&lt;3000,"&lt; ₹3,000",IF(HR_Analytics56[[#This Row],[MonthlyIncome]]&lt;=7000,"₹ 3,000 - ₹ 7,000","&gt; ₹7,000"))</f>
        <v>&lt; ₹3,000</v>
      </c>
      <c r="P18" s="8" t="str" cm="1">
        <f t="array" ref="P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" spans="1:16" x14ac:dyDescent="0.8">
      <c r="A19" s="5" t="s">
        <v>77</v>
      </c>
      <c r="B19" s="8">
        <v>20</v>
      </c>
      <c r="C19" s="5" t="s">
        <v>40</v>
      </c>
      <c r="D19" s="5" t="s">
        <v>42</v>
      </c>
      <c r="E19" s="5" t="s">
        <v>53</v>
      </c>
      <c r="F19" s="5" t="s">
        <v>45</v>
      </c>
      <c r="G19" s="8">
        <v>4</v>
      </c>
      <c r="H19" s="8">
        <v>2926</v>
      </c>
      <c r="I19" s="5" t="s">
        <v>40</v>
      </c>
      <c r="J19" s="8">
        <v>3</v>
      </c>
      <c r="K19" s="8">
        <v>5</v>
      </c>
      <c r="L19" s="8">
        <v>1</v>
      </c>
      <c r="M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9" s="8" t="str" cm="1">
        <f t="array" ref="N19">_xlfn.IFS(HR_Analytics56[[#This Row],[PerformanceRating]]=3,"Good",HR_Analytics56[[#This Row],[PerformanceRating]]=4, "Excellent")</f>
        <v>Good</v>
      </c>
      <c r="O19" s="8" t="str">
        <f>IF(HR_Analytics56[[#This Row],[MonthlyIncome]]&lt;3000,"&lt; ₹3,000",IF(HR_Analytics56[[#This Row],[MonthlyIncome]]&lt;=7000,"₹ 3,000 - ₹ 7,000","&gt; ₹7,000"))</f>
        <v>&lt; ₹3,000</v>
      </c>
      <c r="P19" s="8" t="str" cm="1">
        <f t="array" ref="P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" spans="1:16" x14ac:dyDescent="0.8">
      <c r="A20" s="5" t="s">
        <v>78</v>
      </c>
      <c r="B20" s="8">
        <v>20</v>
      </c>
      <c r="C20" s="5" t="s">
        <v>49</v>
      </c>
      <c r="D20" s="5" t="s">
        <v>42</v>
      </c>
      <c r="E20" s="5" t="s">
        <v>53</v>
      </c>
      <c r="F20" s="5" t="s">
        <v>60</v>
      </c>
      <c r="G20" s="8">
        <v>2</v>
      </c>
      <c r="H20" s="8">
        <v>2836</v>
      </c>
      <c r="I20" s="5" t="s">
        <v>49</v>
      </c>
      <c r="J20" s="8">
        <v>3</v>
      </c>
      <c r="K20" s="8">
        <v>0</v>
      </c>
      <c r="L20" s="8">
        <v>1</v>
      </c>
      <c r="M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" s="8" t="str" cm="1">
        <f t="array" ref="N20">_xlfn.IFS(HR_Analytics56[[#This Row],[PerformanceRating]]=3,"Good",HR_Analytics56[[#This Row],[PerformanceRating]]=4, "Excellent")</f>
        <v>Good</v>
      </c>
      <c r="O20" s="8" t="str">
        <f>IF(HR_Analytics56[[#This Row],[MonthlyIncome]]&lt;3000,"&lt; ₹3,000",IF(HR_Analytics56[[#This Row],[MonthlyIncome]]&lt;=7000,"₹ 3,000 - ₹ 7,000","&gt; ₹7,000"))</f>
        <v>&lt; ₹3,000</v>
      </c>
      <c r="P20" s="8" t="str" cm="1">
        <f t="array" ref="P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" spans="1:16" x14ac:dyDescent="0.8">
      <c r="A21" s="5" t="s">
        <v>79</v>
      </c>
      <c r="B21" s="8">
        <v>20</v>
      </c>
      <c r="C21" s="5" t="s">
        <v>40</v>
      </c>
      <c r="D21" s="5" t="s">
        <v>42</v>
      </c>
      <c r="E21" s="5" t="s">
        <v>44</v>
      </c>
      <c r="F21" s="5" t="s">
        <v>60</v>
      </c>
      <c r="G21" s="8">
        <v>3</v>
      </c>
      <c r="H21" s="8">
        <v>1009</v>
      </c>
      <c r="I21" s="5" t="s">
        <v>40</v>
      </c>
      <c r="J21" s="8">
        <v>3</v>
      </c>
      <c r="K21" s="8">
        <v>5</v>
      </c>
      <c r="L21" s="8">
        <v>1</v>
      </c>
      <c r="M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1" s="8" t="str" cm="1">
        <f t="array" ref="N21">_xlfn.IFS(HR_Analytics56[[#This Row],[PerformanceRating]]=3,"Good",HR_Analytics56[[#This Row],[PerformanceRating]]=4, "Excellent")</f>
        <v>Good</v>
      </c>
      <c r="O21" s="8" t="str">
        <f>IF(HR_Analytics56[[#This Row],[MonthlyIncome]]&lt;3000,"&lt; ₹3,000",IF(HR_Analytics56[[#This Row],[MonthlyIncome]]&lt;=7000,"₹ 3,000 - ₹ 7,000","&gt; ₹7,000"))</f>
        <v>&lt; ₹3,000</v>
      </c>
      <c r="P21" s="8" t="str" cm="1">
        <f t="array" ref="P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" spans="1:16" x14ac:dyDescent="0.8">
      <c r="A22" s="5" t="s">
        <v>80</v>
      </c>
      <c r="B22" s="8">
        <v>20</v>
      </c>
      <c r="C22" s="5" t="s">
        <v>40</v>
      </c>
      <c r="D22" s="5" t="s">
        <v>51</v>
      </c>
      <c r="E22" s="5" t="s">
        <v>53</v>
      </c>
      <c r="F22" s="5" t="s">
        <v>54</v>
      </c>
      <c r="G22" s="8">
        <v>3</v>
      </c>
      <c r="H22" s="8">
        <v>2044</v>
      </c>
      <c r="I22" s="5" t="s">
        <v>49</v>
      </c>
      <c r="J22" s="8">
        <v>3</v>
      </c>
      <c r="K22" s="8">
        <v>3</v>
      </c>
      <c r="L22" s="8">
        <v>2</v>
      </c>
      <c r="M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2" s="8" t="str" cm="1">
        <f t="array" ref="N22">_xlfn.IFS(HR_Analytics56[[#This Row],[PerformanceRating]]=3,"Good",HR_Analytics56[[#This Row],[PerformanceRating]]=4, "Excellent")</f>
        <v>Good</v>
      </c>
      <c r="O22" s="8" t="str">
        <f>IF(HR_Analytics56[[#This Row],[MonthlyIncome]]&lt;3000,"&lt; ₹3,000",IF(HR_Analytics56[[#This Row],[MonthlyIncome]]&lt;=7000,"₹ 3,000 - ₹ 7,000","&gt; ₹7,000"))</f>
        <v>&lt; ₹3,000</v>
      </c>
      <c r="P22" s="8" t="str" cm="1">
        <f t="array" ref="P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" spans="1:16" x14ac:dyDescent="0.8">
      <c r="A23" s="5" t="s">
        <v>81</v>
      </c>
      <c r="B23" s="8">
        <v>20</v>
      </c>
      <c r="C23" s="5" t="s">
        <v>40</v>
      </c>
      <c r="D23" s="5" t="s">
        <v>42</v>
      </c>
      <c r="E23" s="5" t="s">
        <v>44</v>
      </c>
      <c r="F23" s="5" t="s">
        <v>45</v>
      </c>
      <c r="G23" s="8">
        <v>1</v>
      </c>
      <c r="H23" s="8">
        <v>2973</v>
      </c>
      <c r="I23" s="5" t="s">
        <v>49</v>
      </c>
      <c r="J23" s="8">
        <v>3</v>
      </c>
      <c r="K23" s="8">
        <v>2</v>
      </c>
      <c r="L23" s="8">
        <v>1</v>
      </c>
      <c r="M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3" s="8" t="str" cm="1">
        <f t="array" ref="N23">_xlfn.IFS(HR_Analytics56[[#This Row],[PerformanceRating]]=3,"Good",HR_Analytics56[[#This Row],[PerformanceRating]]=4, "Excellent")</f>
        <v>Good</v>
      </c>
      <c r="O23" s="8" t="str">
        <f>IF(HR_Analytics56[[#This Row],[MonthlyIncome]]&lt;3000,"&lt; ₹3,000",IF(HR_Analytics56[[#This Row],[MonthlyIncome]]&lt;=7000,"₹ 3,000 - ₹ 7,000","&gt; ₹7,000"))</f>
        <v>&lt; ₹3,000</v>
      </c>
      <c r="P23" s="8" t="str" cm="1">
        <f t="array" ref="P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" spans="1:16" x14ac:dyDescent="0.8">
      <c r="A24" s="5" t="s">
        <v>82</v>
      </c>
      <c r="B24" s="8">
        <v>20</v>
      </c>
      <c r="C24" s="5" t="s">
        <v>40</v>
      </c>
      <c r="D24" s="5" t="s">
        <v>42</v>
      </c>
      <c r="E24" s="5" t="s">
        <v>53</v>
      </c>
      <c r="F24" s="5" t="s">
        <v>60</v>
      </c>
      <c r="G24" s="8">
        <v>1</v>
      </c>
      <c r="H24" s="8">
        <v>2600</v>
      </c>
      <c r="I24" s="5" t="s">
        <v>40</v>
      </c>
      <c r="J24" s="8">
        <v>3</v>
      </c>
      <c r="K24" s="8">
        <v>2</v>
      </c>
      <c r="L24" s="8">
        <v>1</v>
      </c>
      <c r="M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4" s="8" t="str" cm="1">
        <f t="array" ref="N24">_xlfn.IFS(HR_Analytics56[[#This Row],[PerformanceRating]]=3,"Good",HR_Analytics56[[#This Row],[PerformanceRating]]=4, "Excellent")</f>
        <v>Good</v>
      </c>
      <c r="O24" s="8" t="str">
        <f>IF(HR_Analytics56[[#This Row],[MonthlyIncome]]&lt;3000,"&lt; ₹3,000",IF(HR_Analytics56[[#This Row],[MonthlyIncome]]&lt;=7000,"₹ 3,000 - ₹ 7,000","&gt; ₹7,000"))</f>
        <v>&lt; ₹3,000</v>
      </c>
      <c r="P24" s="8" t="str" cm="1">
        <f t="array" ref="P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" spans="1:16" x14ac:dyDescent="0.8">
      <c r="A25" s="5" t="s">
        <v>83</v>
      </c>
      <c r="B25" s="8">
        <v>20</v>
      </c>
      <c r="C25" s="5" t="s">
        <v>40</v>
      </c>
      <c r="D25" s="5" t="s">
        <v>51</v>
      </c>
      <c r="E25" s="5" t="s">
        <v>53</v>
      </c>
      <c r="F25" s="5" t="s">
        <v>54</v>
      </c>
      <c r="G25" s="8">
        <v>4</v>
      </c>
      <c r="H25" s="8">
        <v>2323</v>
      </c>
      <c r="I25" s="5" t="s">
        <v>40</v>
      </c>
      <c r="J25" s="8">
        <v>3</v>
      </c>
      <c r="K25" s="8">
        <v>3</v>
      </c>
      <c r="L25" s="8">
        <v>2</v>
      </c>
      <c r="M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5" s="8" t="str" cm="1">
        <f t="array" ref="N25">_xlfn.IFS(HR_Analytics56[[#This Row],[PerformanceRating]]=3,"Good",HR_Analytics56[[#This Row],[PerformanceRating]]=4, "Excellent")</f>
        <v>Good</v>
      </c>
      <c r="O25" s="8" t="str">
        <f>IF(HR_Analytics56[[#This Row],[MonthlyIncome]]&lt;3000,"&lt; ₹3,000",IF(HR_Analytics56[[#This Row],[MonthlyIncome]]&lt;=7000,"₹ 3,000 - ₹ 7,000","&gt; ₹7,000"))</f>
        <v>&lt; ₹3,000</v>
      </c>
      <c r="P25" s="8" t="str" cm="1">
        <f t="array" ref="P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" spans="1:16" x14ac:dyDescent="0.8">
      <c r="A26" s="5" t="s">
        <v>84</v>
      </c>
      <c r="B26" s="8">
        <v>20</v>
      </c>
      <c r="C26" s="5" t="s">
        <v>49</v>
      </c>
      <c r="D26" s="5" t="s">
        <v>42</v>
      </c>
      <c r="E26" s="5" t="s">
        <v>44</v>
      </c>
      <c r="F26" s="5" t="s">
        <v>45</v>
      </c>
      <c r="G26" s="8">
        <v>3</v>
      </c>
      <c r="H26" s="8">
        <v>3033</v>
      </c>
      <c r="I26" s="5" t="s">
        <v>49</v>
      </c>
      <c r="J26" s="8">
        <v>3</v>
      </c>
      <c r="K26" s="8">
        <v>2</v>
      </c>
      <c r="L26" s="8">
        <v>2</v>
      </c>
      <c r="M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" s="8" t="str" cm="1">
        <f t="array" ref="N26">_xlfn.IFS(HR_Analytics56[[#This Row],[PerformanceRating]]=3,"Good",HR_Analytics56[[#This Row],[PerformanceRating]]=4, "Excellent")</f>
        <v>Good</v>
      </c>
      <c r="O26" s="8" t="str">
        <f>IF(HR_Analytics56[[#This Row],[MonthlyIncome]]&lt;3000,"&lt; ₹3,000",IF(HR_Analytics56[[#This Row],[MonthlyIncome]]&lt;=7000,"₹ 3,000 - ₹ 7,000","&gt; ₹7,000"))</f>
        <v>₹ 3,000 - ₹ 7,000</v>
      </c>
      <c r="P26" s="8" t="str" cm="1">
        <f t="array" ref="P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" spans="1:16" x14ac:dyDescent="0.8">
      <c r="A27" s="5" t="s">
        <v>85</v>
      </c>
      <c r="B27" s="8">
        <v>20</v>
      </c>
      <c r="C27" s="5" t="s">
        <v>49</v>
      </c>
      <c r="D27" s="5" t="s">
        <v>51</v>
      </c>
      <c r="E27" s="5" t="s">
        <v>44</v>
      </c>
      <c r="F27" s="5" t="s">
        <v>54</v>
      </c>
      <c r="G27" s="8">
        <v>4</v>
      </c>
      <c r="H27" s="8">
        <v>2678</v>
      </c>
      <c r="I27" s="5" t="s">
        <v>49</v>
      </c>
      <c r="J27" s="8">
        <v>3</v>
      </c>
      <c r="K27" s="8">
        <v>2</v>
      </c>
      <c r="L27" s="8">
        <v>2</v>
      </c>
      <c r="M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" s="8" t="str" cm="1">
        <f t="array" ref="N27">_xlfn.IFS(HR_Analytics56[[#This Row],[PerformanceRating]]=3,"Good",HR_Analytics56[[#This Row],[PerformanceRating]]=4, "Excellent")</f>
        <v>Good</v>
      </c>
      <c r="O27" s="8" t="str">
        <f>IF(HR_Analytics56[[#This Row],[MonthlyIncome]]&lt;3000,"&lt; ₹3,000",IF(HR_Analytics56[[#This Row],[MonthlyIncome]]&lt;=7000,"₹ 3,000 - ₹ 7,000","&gt; ₹7,000"))</f>
        <v>&lt; ₹3,000</v>
      </c>
      <c r="P27" s="8" t="str" cm="1">
        <f t="array" ref="P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" spans="1:16" x14ac:dyDescent="0.8">
      <c r="A28" s="5" t="s">
        <v>86</v>
      </c>
      <c r="B28" s="8">
        <v>20</v>
      </c>
      <c r="C28" s="5" t="s">
        <v>49</v>
      </c>
      <c r="D28" s="5" t="s">
        <v>51</v>
      </c>
      <c r="E28" s="5" t="s">
        <v>53</v>
      </c>
      <c r="F28" s="5" t="s">
        <v>54</v>
      </c>
      <c r="G28" s="8">
        <v>3</v>
      </c>
      <c r="H28" s="8">
        <v>2783</v>
      </c>
      <c r="I28" s="5" t="s">
        <v>49</v>
      </c>
      <c r="J28" s="8">
        <v>3</v>
      </c>
      <c r="K28" s="8">
        <v>3</v>
      </c>
      <c r="L28" s="8">
        <v>2</v>
      </c>
      <c r="M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" s="8" t="str" cm="1">
        <f t="array" ref="N28">_xlfn.IFS(HR_Analytics56[[#This Row],[PerformanceRating]]=3,"Good",HR_Analytics56[[#This Row],[PerformanceRating]]=4, "Excellent")</f>
        <v>Good</v>
      </c>
      <c r="O28" s="8" t="str">
        <f>IF(HR_Analytics56[[#This Row],[MonthlyIncome]]&lt;3000,"&lt; ₹3,000",IF(HR_Analytics56[[#This Row],[MonthlyIncome]]&lt;=7000,"₹ 3,000 - ₹ 7,000","&gt; ₹7,000"))</f>
        <v>&lt; ₹3,000</v>
      </c>
      <c r="P28" s="8" t="str" cm="1">
        <f t="array" ref="P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" spans="1:16" x14ac:dyDescent="0.8">
      <c r="A29" s="5" t="s">
        <v>87</v>
      </c>
      <c r="B29" s="8">
        <v>20</v>
      </c>
      <c r="C29" s="5" t="s">
        <v>49</v>
      </c>
      <c r="D29" s="5" t="s">
        <v>51</v>
      </c>
      <c r="E29" s="5" t="s">
        <v>44</v>
      </c>
      <c r="F29" s="5" t="s">
        <v>54</v>
      </c>
      <c r="G29" s="8">
        <v>1</v>
      </c>
      <c r="H29" s="8">
        <v>2728</v>
      </c>
      <c r="I29" s="5" t="s">
        <v>49</v>
      </c>
      <c r="J29" s="8">
        <v>3</v>
      </c>
      <c r="K29" s="8">
        <v>3</v>
      </c>
      <c r="L29" s="8">
        <v>2</v>
      </c>
      <c r="M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" s="8" t="str" cm="1">
        <f t="array" ref="N29">_xlfn.IFS(HR_Analytics56[[#This Row],[PerformanceRating]]=3,"Good",HR_Analytics56[[#This Row],[PerformanceRating]]=4, "Excellent")</f>
        <v>Good</v>
      </c>
      <c r="O29" s="8" t="str">
        <f>IF(HR_Analytics56[[#This Row],[MonthlyIncome]]&lt;3000,"&lt; ₹3,000",IF(HR_Analytics56[[#This Row],[MonthlyIncome]]&lt;=7000,"₹ 3,000 - ₹ 7,000","&gt; ₹7,000"))</f>
        <v>&lt; ₹3,000</v>
      </c>
      <c r="P29" s="8" t="str" cm="1">
        <f t="array" ref="P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" spans="1:16" x14ac:dyDescent="0.8">
      <c r="A30" s="5" t="s">
        <v>88</v>
      </c>
      <c r="B30" s="8">
        <v>21</v>
      </c>
      <c r="C30" s="5" t="s">
        <v>49</v>
      </c>
      <c r="D30" s="5" t="s">
        <v>42</v>
      </c>
      <c r="E30" s="5" t="s">
        <v>44</v>
      </c>
      <c r="F30" s="5" t="s">
        <v>60</v>
      </c>
      <c r="G30" s="8">
        <v>4</v>
      </c>
      <c r="H30" s="8">
        <v>1232</v>
      </c>
      <c r="I30" s="5" t="s">
        <v>49</v>
      </c>
      <c r="J30" s="8">
        <v>3</v>
      </c>
      <c r="K30" s="8">
        <v>6</v>
      </c>
      <c r="L30" s="8">
        <v>0</v>
      </c>
      <c r="M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" s="8" t="str" cm="1">
        <f t="array" ref="N30">_xlfn.IFS(HR_Analytics56[[#This Row],[PerformanceRating]]=3,"Good",HR_Analytics56[[#This Row],[PerformanceRating]]=4, "Excellent")</f>
        <v>Good</v>
      </c>
      <c r="O30" s="8" t="str">
        <f>IF(HR_Analytics56[[#This Row],[MonthlyIncome]]&lt;3000,"&lt; ₹3,000",IF(HR_Analytics56[[#This Row],[MonthlyIncome]]&lt;=7000,"₹ 3,000 - ₹ 7,000","&gt; ₹7,000"))</f>
        <v>&lt; ₹3,000</v>
      </c>
      <c r="P30" s="8" t="str" cm="1">
        <f t="array" ref="P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" spans="1:16" x14ac:dyDescent="0.8">
      <c r="A31" s="5" t="s">
        <v>89</v>
      </c>
      <c r="B31" s="8">
        <v>21</v>
      </c>
      <c r="C31" s="5" t="s">
        <v>49</v>
      </c>
      <c r="D31" s="5" t="s">
        <v>42</v>
      </c>
      <c r="E31" s="5" t="s">
        <v>44</v>
      </c>
      <c r="F31" s="5" t="s">
        <v>60</v>
      </c>
      <c r="G31" s="8">
        <v>3</v>
      </c>
      <c r="H31" s="8">
        <v>3230</v>
      </c>
      <c r="I31" s="5" t="s">
        <v>49</v>
      </c>
      <c r="J31" s="8">
        <v>3</v>
      </c>
      <c r="K31" s="8">
        <v>4</v>
      </c>
      <c r="L31" s="8">
        <v>3</v>
      </c>
      <c r="M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" s="8" t="str" cm="1">
        <f t="array" ref="N31">_xlfn.IFS(HR_Analytics56[[#This Row],[PerformanceRating]]=3,"Good",HR_Analytics56[[#This Row],[PerformanceRating]]=4, "Excellent")</f>
        <v>Good</v>
      </c>
      <c r="O31" s="8" t="str">
        <f>IF(HR_Analytics56[[#This Row],[MonthlyIncome]]&lt;3000,"&lt; ₹3,000",IF(HR_Analytics56[[#This Row],[MonthlyIncome]]&lt;=7000,"₹ 3,000 - ₹ 7,000","&gt; ₹7,000"))</f>
        <v>₹ 3,000 - ₹ 7,000</v>
      </c>
      <c r="P31" s="8" t="str" cm="1">
        <f t="array" ref="P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" spans="1:16" x14ac:dyDescent="0.8">
      <c r="A32" s="5" t="s">
        <v>90</v>
      </c>
      <c r="B32" s="8">
        <v>21</v>
      </c>
      <c r="C32" s="5" t="s">
        <v>40</v>
      </c>
      <c r="D32" s="5" t="s">
        <v>51</v>
      </c>
      <c r="E32" s="5" t="s">
        <v>53</v>
      </c>
      <c r="F32" s="5" t="s">
        <v>54</v>
      </c>
      <c r="G32" s="8">
        <v>2</v>
      </c>
      <c r="H32" s="8">
        <v>2174</v>
      </c>
      <c r="I32" s="5" t="s">
        <v>40</v>
      </c>
      <c r="J32" s="8">
        <v>3</v>
      </c>
      <c r="K32" s="8">
        <v>3</v>
      </c>
      <c r="L32" s="8">
        <v>3</v>
      </c>
      <c r="M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2" s="8" t="str" cm="1">
        <f t="array" ref="N32">_xlfn.IFS(HR_Analytics56[[#This Row],[PerformanceRating]]=3,"Good",HR_Analytics56[[#This Row],[PerformanceRating]]=4, "Excellent")</f>
        <v>Good</v>
      </c>
      <c r="O32" s="8" t="str">
        <f>IF(HR_Analytics56[[#This Row],[MonthlyIncome]]&lt;3000,"&lt; ₹3,000",IF(HR_Analytics56[[#This Row],[MonthlyIncome]]&lt;=7000,"₹ 3,000 - ₹ 7,000","&gt; ₹7,000"))</f>
        <v>&lt; ₹3,000</v>
      </c>
      <c r="P32" s="8" t="str" cm="1">
        <f t="array" ref="P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" spans="1:16" x14ac:dyDescent="0.8">
      <c r="A33" s="5" t="s">
        <v>91</v>
      </c>
      <c r="B33" s="8">
        <v>21</v>
      </c>
      <c r="C33" s="5" t="s">
        <v>49</v>
      </c>
      <c r="D33" s="5" t="s">
        <v>51</v>
      </c>
      <c r="E33" s="5" t="s">
        <v>44</v>
      </c>
      <c r="F33" s="5" t="s">
        <v>54</v>
      </c>
      <c r="G33" s="8">
        <v>4</v>
      </c>
      <c r="H33" s="8">
        <v>2610</v>
      </c>
      <c r="I33" s="5" t="s">
        <v>49</v>
      </c>
      <c r="J33" s="8">
        <v>4</v>
      </c>
      <c r="K33" s="8">
        <v>3</v>
      </c>
      <c r="L33" s="8">
        <v>3</v>
      </c>
      <c r="M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" s="8" t="str" cm="1">
        <f t="array" ref="N33">_xlfn.IFS(HR_Analytics56[[#This Row],[PerformanceRating]]=3,"Good",HR_Analytics56[[#This Row],[PerformanceRating]]=4, "Excellent")</f>
        <v>Excellent</v>
      </c>
      <c r="O33" s="8" t="str">
        <f>IF(HR_Analytics56[[#This Row],[MonthlyIncome]]&lt;3000,"&lt; ₹3,000",IF(HR_Analytics56[[#This Row],[MonthlyIncome]]&lt;=7000,"₹ 3,000 - ₹ 7,000","&gt; ₹7,000"))</f>
        <v>&lt; ₹3,000</v>
      </c>
      <c r="P33" s="8" t="str" cm="1">
        <f t="array" ref="P3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34" spans="1:16" x14ac:dyDescent="0.8">
      <c r="A34" s="5" t="s">
        <v>92</v>
      </c>
      <c r="B34" s="8">
        <v>21</v>
      </c>
      <c r="C34" s="5" t="s">
        <v>40</v>
      </c>
      <c r="D34" s="5" t="s">
        <v>51</v>
      </c>
      <c r="E34" s="5" t="s">
        <v>53</v>
      </c>
      <c r="F34" s="5" t="s">
        <v>54</v>
      </c>
      <c r="G34" s="8">
        <v>2</v>
      </c>
      <c r="H34" s="8">
        <v>2716</v>
      </c>
      <c r="I34" s="5" t="s">
        <v>49</v>
      </c>
      <c r="J34" s="8">
        <v>3</v>
      </c>
      <c r="K34" s="8">
        <v>0</v>
      </c>
      <c r="L34" s="8">
        <v>1</v>
      </c>
      <c r="M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4" s="8" t="str" cm="1">
        <f t="array" ref="N34">_xlfn.IFS(HR_Analytics56[[#This Row],[PerformanceRating]]=3,"Good",HR_Analytics56[[#This Row],[PerformanceRating]]=4, "Excellent")</f>
        <v>Good</v>
      </c>
      <c r="O34" s="8" t="str">
        <f>IF(HR_Analytics56[[#This Row],[MonthlyIncome]]&lt;3000,"&lt; ₹3,000",IF(HR_Analytics56[[#This Row],[MonthlyIncome]]&lt;=7000,"₹ 3,000 - ₹ 7,000","&gt; ₹7,000"))</f>
        <v>&lt; ₹3,000</v>
      </c>
      <c r="P34" s="8" t="str" cm="1">
        <f t="array" ref="P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" spans="1:16" x14ac:dyDescent="0.8">
      <c r="A35" s="5" t="s">
        <v>93</v>
      </c>
      <c r="B35" s="8">
        <v>21</v>
      </c>
      <c r="C35" s="5" t="s">
        <v>49</v>
      </c>
      <c r="D35" s="5" t="s">
        <v>51</v>
      </c>
      <c r="E35" s="5" t="s">
        <v>44</v>
      </c>
      <c r="F35" s="5" t="s">
        <v>54</v>
      </c>
      <c r="G35" s="8">
        <v>3</v>
      </c>
      <c r="H35" s="8">
        <v>3447</v>
      </c>
      <c r="I35" s="5" t="s">
        <v>49</v>
      </c>
      <c r="J35" s="8">
        <v>3</v>
      </c>
      <c r="K35" s="8">
        <v>2</v>
      </c>
      <c r="L35" s="8">
        <v>3</v>
      </c>
      <c r="M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" s="8" t="str" cm="1">
        <f t="array" ref="N35">_xlfn.IFS(HR_Analytics56[[#This Row],[PerformanceRating]]=3,"Good",HR_Analytics56[[#This Row],[PerformanceRating]]=4, "Excellent")</f>
        <v>Good</v>
      </c>
      <c r="O35" s="8" t="str">
        <f>IF(HR_Analytics56[[#This Row],[MonthlyIncome]]&lt;3000,"&lt; ₹3,000",IF(HR_Analytics56[[#This Row],[MonthlyIncome]]&lt;=7000,"₹ 3,000 - ₹ 7,000","&gt; ₹7,000"))</f>
        <v>₹ 3,000 - ₹ 7,000</v>
      </c>
      <c r="P35" s="8" t="str" cm="1">
        <f t="array" ref="P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" spans="1:16" x14ac:dyDescent="0.8">
      <c r="A36" s="5" t="s">
        <v>94</v>
      </c>
      <c r="B36" s="8">
        <v>21</v>
      </c>
      <c r="C36" s="5" t="s">
        <v>40</v>
      </c>
      <c r="D36" s="5" t="s">
        <v>42</v>
      </c>
      <c r="E36" s="5" t="s">
        <v>53</v>
      </c>
      <c r="F36" s="5" t="s">
        <v>60</v>
      </c>
      <c r="G36" s="8">
        <v>4</v>
      </c>
      <c r="H36" s="8">
        <v>2693</v>
      </c>
      <c r="I36" s="5" t="s">
        <v>49</v>
      </c>
      <c r="J36" s="8">
        <v>3</v>
      </c>
      <c r="K36" s="8">
        <v>3</v>
      </c>
      <c r="L36" s="8">
        <v>1</v>
      </c>
      <c r="M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6" s="8" t="str" cm="1">
        <f t="array" ref="N36">_xlfn.IFS(HR_Analytics56[[#This Row],[PerformanceRating]]=3,"Good",HR_Analytics56[[#This Row],[PerformanceRating]]=4, "Excellent")</f>
        <v>Good</v>
      </c>
      <c r="O36" s="8" t="str">
        <f>IF(HR_Analytics56[[#This Row],[MonthlyIncome]]&lt;3000,"&lt; ₹3,000",IF(HR_Analytics56[[#This Row],[MonthlyIncome]]&lt;=7000,"₹ 3,000 - ₹ 7,000","&gt; ₹7,000"))</f>
        <v>&lt; ₹3,000</v>
      </c>
      <c r="P36" s="8" t="str" cm="1">
        <f t="array" ref="P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" spans="1:16" x14ac:dyDescent="0.8">
      <c r="A37" s="5" t="s">
        <v>95</v>
      </c>
      <c r="B37" s="8">
        <v>21</v>
      </c>
      <c r="C37" s="5" t="s">
        <v>40</v>
      </c>
      <c r="D37" s="5" t="s">
        <v>42</v>
      </c>
      <c r="E37" s="5" t="s">
        <v>53</v>
      </c>
      <c r="F37" s="5" t="s">
        <v>45</v>
      </c>
      <c r="G37" s="8">
        <v>1</v>
      </c>
      <c r="H37" s="8">
        <v>1416</v>
      </c>
      <c r="I37" s="5" t="s">
        <v>49</v>
      </c>
      <c r="J37" s="8">
        <v>3</v>
      </c>
      <c r="K37" s="8">
        <v>6</v>
      </c>
      <c r="L37" s="8">
        <v>1</v>
      </c>
      <c r="M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7" s="8" t="str" cm="1">
        <f t="array" ref="N37">_xlfn.IFS(HR_Analytics56[[#This Row],[PerformanceRating]]=3,"Good",HR_Analytics56[[#This Row],[PerformanceRating]]=4, "Excellent")</f>
        <v>Good</v>
      </c>
      <c r="O37" s="8" t="str">
        <f>IF(HR_Analytics56[[#This Row],[MonthlyIncome]]&lt;3000,"&lt; ₹3,000",IF(HR_Analytics56[[#This Row],[MonthlyIncome]]&lt;=7000,"₹ 3,000 - ₹ 7,000","&gt; ₹7,000"))</f>
        <v>&lt; ₹3,000</v>
      </c>
      <c r="P37" s="8" t="str" cm="1">
        <f t="array" ref="P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" spans="1:16" x14ac:dyDescent="0.8">
      <c r="A38" s="5" t="s">
        <v>96</v>
      </c>
      <c r="B38" s="8">
        <v>21</v>
      </c>
      <c r="C38" s="5" t="s">
        <v>49</v>
      </c>
      <c r="D38" s="5" t="s">
        <v>42</v>
      </c>
      <c r="E38" s="5" t="s">
        <v>53</v>
      </c>
      <c r="F38" s="5" t="s">
        <v>60</v>
      </c>
      <c r="G38" s="8">
        <v>2</v>
      </c>
      <c r="H38" s="8">
        <v>2070</v>
      </c>
      <c r="I38" s="5" t="s">
        <v>40</v>
      </c>
      <c r="J38" s="8">
        <v>3</v>
      </c>
      <c r="K38" s="8">
        <v>6</v>
      </c>
      <c r="L38" s="8">
        <v>2</v>
      </c>
      <c r="M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8" s="8" t="str" cm="1">
        <f t="array" ref="N38">_xlfn.IFS(HR_Analytics56[[#This Row],[PerformanceRating]]=3,"Good",HR_Analytics56[[#This Row],[PerformanceRating]]=4, "Excellent")</f>
        <v>Good</v>
      </c>
      <c r="O38" s="8" t="str">
        <f>IF(HR_Analytics56[[#This Row],[MonthlyIncome]]&lt;3000,"&lt; ₹3,000",IF(HR_Analytics56[[#This Row],[MonthlyIncome]]&lt;=7000,"₹ 3,000 - ₹ 7,000","&gt; ₹7,000"))</f>
        <v>&lt; ₹3,000</v>
      </c>
      <c r="P38" s="8" t="str" cm="1">
        <f t="array" ref="P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" spans="1:16" x14ac:dyDescent="0.8">
      <c r="A39" s="5" t="s">
        <v>97</v>
      </c>
      <c r="B39" s="8">
        <v>21</v>
      </c>
      <c r="C39" s="5" t="s">
        <v>40</v>
      </c>
      <c r="D39" s="5" t="s">
        <v>42</v>
      </c>
      <c r="E39" s="5" t="s">
        <v>53</v>
      </c>
      <c r="F39" s="5" t="s">
        <v>45</v>
      </c>
      <c r="G39" s="8">
        <v>3</v>
      </c>
      <c r="H39" s="8">
        <v>2625</v>
      </c>
      <c r="I39" s="5" t="s">
        <v>49</v>
      </c>
      <c r="J39" s="8">
        <v>4</v>
      </c>
      <c r="K39" s="8">
        <v>2</v>
      </c>
      <c r="L39" s="8">
        <v>2</v>
      </c>
      <c r="M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9" s="8" t="str" cm="1">
        <f t="array" ref="N39">_xlfn.IFS(HR_Analytics56[[#This Row],[PerformanceRating]]=3,"Good",HR_Analytics56[[#This Row],[PerformanceRating]]=4, "Excellent")</f>
        <v>Excellent</v>
      </c>
      <c r="O39" s="8" t="str">
        <f>IF(HR_Analytics56[[#This Row],[MonthlyIncome]]&lt;3000,"&lt; ₹3,000",IF(HR_Analytics56[[#This Row],[MonthlyIncome]]&lt;=7000,"₹ 3,000 - ₹ 7,000","&gt; ₹7,000"))</f>
        <v>&lt; ₹3,000</v>
      </c>
      <c r="P39" s="8" t="str" cm="1">
        <f t="array" ref="P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" spans="1:16" x14ac:dyDescent="0.8">
      <c r="A40" s="5" t="s">
        <v>98</v>
      </c>
      <c r="B40" s="8">
        <v>21</v>
      </c>
      <c r="C40" s="5" t="s">
        <v>49</v>
      </c>
      <c r="D40" s="5" t="s">
        <v>42</v>
      </c>
      <c r="E40" s="5" t="s">
        <v>44</v>
      </c>
      <c r="F40" s="5" t="s">
        <v>60</v>
      </c>
      <c r="G40" s="8">
        <v>4</v>
      </c>
      <c r="H40" s="8">
        <v>3117</v>
      </c>
      <c r="I40" s="5" t="s">
        <v>49</v>
      </c>
      <c r="J40" s="8">
        <v>3</v>
      </c>
      <c r="K40" s="8">
        <v>2</v>
      </c>
      <c r="L40" s="8">
        <v>2</v>
      </c>
      <c r="M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" s="8" t="str" cm="1">
        <f t="array" ref="N40">_xlfn.IFS(HR_Analytics56[[#This Row],[PerformanceRating]]=3,"Good",HR_Analytics56[[#This Row],[PerformanceRating]]=4, "Excellent")</f>
        <v>Good</v>
      </c>
      <c r="O40" s="8" t="str">
        <f>IF(HR_Analytics56[[#This Row],[MonthlyIncome]]&lt;3000,"&lt; ₹3,000",IF(HR_Analytics56[[#This Row],[MonthlyIncome]]&lt;=7000,"₹ 3,000 - ₹ 7,000","&gt; ₹7,000"))</f>
        <v>₹ 3,000 - ₹ 7,000</v>
      </c>
      <c r="P40" s="8" t="str" cm="1">
        <f t="array" ref="P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" spans="1:16" x14ac:dyDescent="0.8">
      <c r="A41" s="5" t="s">
        <v>99</v>
      </c>
      <c r="B41" s="8">
        <v>21</v>
      </c>
      <c r="C41" s="5" t="s">
        <v>40</v>
      </c>
      <c r="D41" s="5" t="s">
        <v>51</v>
      </c>
      <c r="E41" s="5" t="s">
        <v>44</v>
      </c>
      <c r="F41" s="5" t="s">
        <v>54</v>
      </c>
      <c r="G41" s="8">
        <v>2</v>
      </c>
      <c r="H41" s="8">
        <v>2679</v>
      </c>
      <c r="I41" s="5" t="s">
        <v>49</v>
      </c>
      <c r="J41" s="8">
        <v>3</v>
      </c>
      <c r="K41" s="8">
        <v>3</v>
      </c>
      <c r="L41" s="8">
        <v>1</v>
      </c>
      <c r="M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" s="8" t="str" cm="1">
        <f t="array" ref="N41">_xlfn.IFS(HR_Analytics56[[#This Row],[PerformanceRating]]=3,"Good",HR_Analytics56[[#This Row],[PerformanceRating]]=4, "Excellent")</f>
        <v>Good</v>
      </c>
      <c r="O41" s="8" t="str">
        <f>IF(HR_Analytics56[[#This Row],[MonthlyIncome]]&lt;3000,"&lt; ₹3,000",IF(HR_Analytics56[[#This Row],[MonthlyIncome]]&lt;=7000,"₹ 3,000 - ₹ 7,000","&gt; ₹7,000"))</f>
        <v>&lt; ₹3,000</v>
      </c>
      <c r="P41" s="8" t="str" cm="1">
        <f t="array" ref="P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" spans="1:16" x14ac:dyDescent="0.8">
      <c r="A42" s="5" t="s">
        <v>100</v>
      </c>
      <c r="B42" s="8">
        <v>21</v>
      </c>
      <c r="C42" s="5" t="s">
        <v>49</v>
      </c>
      <c r="D42" s="5" t="s">
        <v>51</v>
      </c>
      <c r="E42" s="5" t="s">
        <v>44</v>
      </c>
      <c r="F42" s="5" t="s">
        <v>54</v>
      </c>
      <c r="G42" s="8">
        <v>1</v>
      </c>
      <c r="H42" s="8">
        <v>2380</v>
      </c>
      <c r="I42" s="5" t="s">
        <v>40</v>
      </c>
      <c r="J42" s="8">
        <v>3</v>
      </c>
      <c r="K42" s="8">
        <v>6</v>
      </c>
      <c r="L42" s="8">
        <v>2</v>
      </c>
      <c r="M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2" s="8" t="str" cm="1">
        <f t="array" ref="N42">_xlfn.IFS(HR_Analytics56[[#This Row],[PerformanceRating]]=3,"Good",HR_Analytics56[[#This Row],[PerformanceRating]]=4, "Excellent")</f>
        <v>Good</v>
      </c>
      <c r="O42" s="8" t="str">
        <f>IF(HR_Analytics56[[#This Row],[MonthlyIncome]]&lt;3000,"&lt; ₹3,000",IF(HR_Analytics56[[#This Row],[MonthlyIncome]]&lt;=7000,"₹ 3,000 - ₹ 7,000","&gt; ₹7,000"))</f>
        <v>&lt; ₹3,000</v>
      </c>
      <c r="P42" s="8" t="str" cm="1">
        <f t="array" ref="P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" spans="1:16" x14ac:dyDescent="0.8">
      <c r="A43" s="5" t="s">
        <v>101</v>
      </c>
      <c r="B43" s="8">
        <v>22</v>
      </c>
      <c r="C43" s="5" t="s">
        <v>49</v>
      </c>
      <c r="D43" s="5" t="s">
        <v>42</v>
      </c>
      <c r="E43" s="5" t="s">
        <v>44</v>
      </c>
      <c r="F43" s="5" t="s">
        <v>45</v>
      </c>
      <c r="G43" s="8">
        <v>4</v>
      </c>
      <c r="H43" s="8">
        <v>2935</v>
      </c>
      <c r="I43" s="5" t="s">
        <v>40</v>
      </c>
      <c r="J43" s="8">
        <v>3</v>
      </c>
      <c r="K43" s="8">
        <v>2</v>
      </c>
      <c r="L43" s="8">
        <v>1</v>
      </c>
      <c r="M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3" s="8" t="str" cm="1">
        <f t="array" ref="N43">_xlfn.IFS(HR_Analytics56[[#This Row],[PerformanceRating]]=3,"Good",HR_Analytics56[[#This Row],[PerformanceRating]]=4, "Excellent")</f>
        <v>Good</v>
      </c>
      <c r="O43" s="8" t="str">
        <f>IF(HR_Analytics56[[#This Row],[MonthlyIncome]]&lt;3000,"&lt; ₹3,000",IF(HR_Analytics56[[#This Row],[MonthlyIncome]]&lt;=7000,"₹ 3,000 - ₹ 7,000","&gt; ₹7,000"))</f>
        <v>&lt; ₹3,000</v>
      </c>
      <c r="P43" s="8" t="str" cm="1">
        <f t="array" ref="P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" spans="1:16" x14ac:dyDescent="0.8">
      <c r="A44" s="5" t="s">
        <v>103</v>
      </c>
      <c r="B44" s="8">
        <v>22</v>
      </c>
      <c r="C44" s="5" t="s">
        <v>49</v>
      </c>
      <c r="D44" s="5" t="s">
        <v>42</v>
      </c>
      <c r="E44" s="5" t="s">
        <v>53</v>
      </c>
      <c r="F44" s="5" t="s">
        <v>45</v>
      </c>
      <c r="G44" s="8">
        <v>4</v>
      </c>
      <c r="H44" s="8">
        <v>2871</v>
      </c>
      <c r="I44" s="5" t="s">
        <v>49</v>
      </c>
      <c r="J44" s="8">
        <v>3</v>
      </c>
      <c r="K44" s="8">
        <v>5</v>
      </c>
      <c r="L44" s="8">
        <v>0</v>
      </c>
      <c r="M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" s="8" t="str" cm="1">
        <f t="array" ref="N44">_xlfn.IFS(HR_Analytics56[[#This Row],[PerformanceRating]]=3,"Good",HR_Analytics56[[#This Row],[PerformanceRating]]=4, "Excellent")</f>
        <v>Good</v>
      </c>
      <c r="O44" s="8" t="str">
        <f>IF(HR_Analytics56[[#This Row],[MonthlyIncome]]&lt;3000,"&lt; ₹3,000",IF(HR_Analytics56[[#This Row],[MonthlyIncome]]&lt;=7000,"₹ 3,000 - ₹ 7,000","&gt; ₹7,000"))</f>
        <v>&lt; ₹3,000</v>
      </c>
      <c r="P44" s="8" t="str" cm="1">
        <f t="array" ref="P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" spans="1:16" x14ac:dyDescent="0.8">
      <c r="A45" s="5" t="s">
        <v>104</v>
      </c>
      <c r="B45" s="8">
        <v>22</v>
      </c>
      <c r="C45" s="5" t="s">
        <v>49</v>
      </c>
      <c r="D45" s="5" t="s">
        <v>42</v>
      </c>
      <c r="E45" s="5" t="s">
        <v>44</v>
      </c>
      <c r="F45" s="5" t="s">
        <v>45</v>
      </c>
      <c r="G45" s="8">
        <v>4</v>
      </c>
      <c r="H45" s="8">
        <v>2523</v>
      </c>
      <c r="I45" s="5" t="s">
        <v>49</v>
      </c>
      <c r="J45" s="8">
        <v>3</v>
      </c>
      <c r="K45" s="8">
        <v>2</v>
      </c>
      <c r="L45" s="8">
        <v>2</v>
      </c>
      <c r="M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" s="8" t="str" cm="1">
        <f t="array" ref="N45">_xlfn.IFS(HR_Analytics56[[#This Row],[PerformanceRating]]=3,"Good",HR_Analytics56[[#This Row],[PerformanceRating]]=4, "Excellent")</f>
        <v>Good</v>
      </c>
      <c r="O45" s="8" t="str">
        <f>IF(HR_Analytics56[[#This Row],[MonthlyIncome]]&lt;3000,"&lt; ₹3,000",IF(HR_Analytics56[[#This Row],[MonthlyIncome]]&lt;=7000,"₹ 3,000 - ₹ 7,000","&gt; ₹7,000"))</f>
        <v>&lt; ₹3,000</v>
      </c>
      <c r="P45" s="8" t="str" cm="1">
        <f t="array" ref="P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" spans="1:16" x14ac:dyDescent="0.8">
      <c r="A46" s="5" t="s">
        <v>106</v>
      </c>
      <c r="B46" s="8">
        <v>22</v>
      </c>
      <c r="C46" s="5" t="s">
        <v>49</v>
      </c>
      <c r="D46" s="5" t="s">
        <v>42</v>
      </c>
      <c r="E46" s="5" t="s">
        <v>44</v>
      </c>
      <c r="F46" s="5" t="s">
        <v>60</v>
      </c>
      <c r="G46" s="8">
        <v>4</v>
      </c>
      <c r="H46" s="8">
        <v>2323</v>
      </c>
      <c r="I46" s="5" t="s">
        <v>49</v>
      </c>
      <c r="J46" s="8">
        <v>4</v>
      </c>
      <c r="K46" s="8">
        <v>6</v>
      </c>
      <c r="L46" s="8">
        <v>2</v>
      </c>
      <c r="M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" s="8" t="str" cm="1">
        <f t="array" ref="N46">_xlfn.IFS(HR_Analytics56[[#This Row],[PerformanceRating]]=3,"Good",HR_Analytics56[[#This Row],[PerformanceRating]]=4, "Excellent")</f>
        <v>Excellent</v>
      </c>
      <c r="O46" s="8" t="str">
        <f>IF(HR_Analytics56[[#This Row],[MonthlyIncome]]&lt;3000,"&lt; ₹3,000",IF(HR_Analytics56[[#This Row],[MonthlyIncome]]&lt;=7000,"₹ 3,000 - ₹ 7,000","&gt; ₹7,000"))</f>
        <v>&lt; ₹3,000</v>
      </c>
      <c r="P46" s="8" t="str" cm="1">
        <f t="array" ref="P4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7" spans="1:16" x14ac:dyDescent="0.8">
      <c r="A47" s="5" t="s">
        <v>107</v>
      </c>
      <c r="B47" s="8">
        <v>22</v>
      </c>
      <c r="C47" s="5" t="s">
        <v>49</v>
      </c>
      <c r="D47" s="5" t="s">
        <v>42</v>
      </c>
      <c r="E47" s="5" t="s">
        <v>44</v>
      </c>
      <c r="F47" s="5" t="s">
        <v>60</v>
      </c>
      <c r="G47" s="8">
        <v>2</v>
      </c>
      <c r="H47" s="8">
        <v>2328</v>
      </c>
      <c r="I47" s="5" t="s">
        <v>40</v>
      </c>
      <c r="J47" s="8">
        <v>3</v>
      </c>
      <c r="K47" s="8">
        <v>2</v>
      </c>
      <c r="L47" s="8">
        <v>4</v>
      </c>
      <c r="M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7" s="8" t="str" cm="1">
        <f t="array" ref="N47">_xlfn.IFS(HR_Analytics56[[#This Row],[PerformanceRating]]=3,"Good",HR_Analytics56[[#This Row],[PerformanceRating]]=4, "Excellent")</f>
        <v>Good</v>
      </c>
      <c r="O47" s="8" t="str">
        <f>IF(HR_Analytics56[[#This Row],[MonthlyIncome]]&lt;3000,"&lt; ₹3,000",IF(HR_Analytics56[[#This Row],[MonthlyIncome]]&lt;=7000,"₹ 3,000 - ₹ 7,000","&gt; ₹7,000"))</f>
        <v>&lt; ₹3,000</v>
      </c>
      <c r="P47" s="8" t="str" cm="1">
        <f t="array" ref="P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" spans="1:16" x14ac:dyDescent="0.8">
      <c r="A48" s="5" t="s">
        <v>108</v>
      </c>
      <c r="B48" s="8">
        <v>22</v>
      </c>
      <c r="C48" s="5" t="s">
        <v>49</v>
      </c>
      <c r="D48" s="5" t="s">
        <v>42</v>
      </c>
      <c r="E48" s="5" t="s">
        <v>53</v>
      </c>
      <c r="F48" s="5" t="s">
        <v>60</v>
      </c>
      <c r="G48" s="8">
        <v>2</v>
      </c>
      <c r="H48" s="8">
        <v>2244</v>
      </c>
      <c r="I48" s="5" t="s">
        <v>49</v>
      </c>
      <c r="J48" s="8">
        <v>3</v>
      </c>
      <c r="K48" s="8">
        <v>1</v>
      </c>
      <c r="L48" s="8">
        <v>2</v>
      </c>
      <c r="M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" s="8" t="str" cm="1">
        <f t="array" ref="N48">_xlfn.IFS(HR_Analytics56[[#This Row],[PerformanceRating]]=3,"Good",HR_Analytics56[[#This Row],[PerformanceRating]]=4, "Excellent")</f>
        <v>Good</v>
      </c>
      <c r="O48" s="8" t="str">
        <f>IF(HR_Analytics56[[#This Row],[MonthlyIncome]]&lt;3000,"&lt; ₹3,000",IF(HR_Analytics56[[#This Row],[MonthlyIncome]]&lt;=7000,"₹ 3,000 - ₹ 7,000","&gt; ₹7,000"))</f>
        <v>&lt; ₹3,000</v>
      </c>
      <c r="P48" s="8" t="str" cm="1">
        <f t="array" ref="P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" spans="1:16" x14ac:dyDescent="0.8">
      <c r="A49" s="5" t="s">
        <v>109</v>
      </c>
      <c r="B49" s="8">
        <v>22</v>
      </c>
      <c r="C49" s="5" t="s">
        <v>40</v>
      </c>
      <c r="D49" s="5" t="s">
        <v>42</v>
      </c>
      <c r="E49" s="5" t="s">
        <v>44</v>
      </c>
      <c r="F49" s="5" t="s">
        <v>45</v>
      </c>
      <c r="G49" s="8">
        <v>3</v>
      </c>
      <c r="H49" s="8">
        <v>3894</v>
      </c>
      <c r="I49" s="5" t="s">
        <v>49</v>
      </c>
      <c r="J49" s="8">
        <v>3</v>
      </c>
      <c r="K49" s="8">
        <v>3</v>
      </c>
      <c r="L49" s="8">
        <v>2</v>
      </c>
      <c r="M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9" s="8" t="str" cm="1">
        <f t="array" ref="N49">_xlfn.IFS(HR_Analytics56[[#This Row],[PerformanceRating]]=3,"Good",HR_Analytics56[[#This Row],[PerformanceRating]]=4, "Excellent")</f>
        <v>Good</v>
      </c>
      <c r="O49" s="8" t="str">
        <f>IF(HR_Analytics56[[#This Row],[MonthlyIncome]]&lt;3000,"&lt; ₹3,000",IF(HR_Analytics56[[#This Row],[MonthlyIncome]]&lt;=7000,"₹ 3,000 - ₹ 7,000","&gt; ₹7,000"))</f>
        <v>₹ 3,000 - ₹ 7,000</v>
      </c>
      <c r="P49" s="8" t="str" cm="1">
        <f t="array" ref="P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" spans="1:16" x14ac:dyDescent="0.8">
      <c r="A50" s="5" t="s">
        <v>110</v>
      </c>
      <c r="B50" s="8">
        <v>22</v>
      </c>
      <c r="C50" s="5" t="s">
        <v>49</v>
      </c>
      <c r="D50" s="5" t="s">
        <v>42</v>
      </c>
      <c r="E50" s="5" t="s">
        <v>44</v>
      </c>
      <c r="F50" s="5" t="s">
        <v>60</v>
      </c>
      <c r="G50" s="8">
        <v>3</v>
      </c>
      <c r="H50" s="8">
        <v>2773</v>
      </c>
      <c r="I50" s="5" t="s">
        <v>49</v>
      </c>
      <c r="J50" s="8">
        <v>4</v>
      </c>
      <c r="K50" s="8">
        <v>3</v>
      </c>
      <c r="L50" s="8">
        <v>2</v>
      </c>
      <c r="M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" s="8" t="str" cm="1">
        <f t="array" ref="N50">_xlfn.IFS(HR_Analytics56[[#This Row],[PerformanceRating]]=3,"Good",HR_Analytics56[[#This Row],[PerformanceRating]]=4, "Excellent")</f>
        <v>Excellent</v>
      </c>
      <c r="O50" s="8" t="str">
        <f>IF(HR_Analytics56[[#This Row],[MonthlyIncome]]&lt;3000,"&lt; ₹3,000",IF(HR_Analytics56[[#This Row],[MonthlyIncome]]&lt;=7000,"₹ 3,000 - ₹ 7,000","&gt; ₹7,000"))</f>
        <v>&lt; ₹3,000</v>
      </c>
      <c r="P50" s="8" t="str" cm="1">
        <f t="array" ref="P5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1" spans="1:16" x14ac:dyDescent="0.8">
      <c r="A51" s="5" t="s">
        <v>111</v>
      </c>
      <c r="B51" s="8">
        <v>22</v>
      </c>
      <c r="C51" s="5" t="s">
        <v>49</v>
      </c>
      <c r="D51" s="5" t="s">
        <v>42</v>
      </c>
      <c r="E51" s="5" t="s">
        <v>44</v>
      </c>
      <c r="F51" s="5" t="s">
        <v>112</v>
      </c>
      <c r="G51" s="8">
        <v>4</v>
      </c>
      <c r="H51" s="8">
        <v>4775</v>
      </c>
      <c r="I51" s="5" t="s">
        <v>49</v>
      </c>
      <c r="J51" s="8">
        <v>4</v>
      </c>
      <c r="K51" s="8">
        <v>2</v>
      </c>
      <c r="L51" s="8">
        <v>2</v>
      </c>
      <c r="M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" s="8" t="str" cm="1">
        <f t="array" ref="N51">_xlfn.IFS(HR_Analytics56[[#This Row],[PerformanceRating]]=3,"Good",HR_Analytics56[[#This Row],[PerformanceRating]]=4, "Excellent")</f>
        <v>Excellent</v>
      </c>
      <c r="O51" s="8" t="str">
        <f>IF(HR_Analytics56[[#This Row],[MonthlyIncome]]&lt;3000,"&lt; ₹3,000",IF(HR_Analytics56[[#This Row],[MonthlyIncome]]&lt;=7000,"₹ 3,000 - ₹ 7,000","&gt; ₹7,000"))</f>
        <v>₹ 3,000 - ₹ 7,000</v>
      </c>
      <c r="P51" s="8" t="str" cm="1">
        <f t="array" ref="P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" spans="1:16" x14ac:dyDescent="0.8">
      <c r="A52" s="5" t="s">
        <v>113</v>
      </c>
      <c r="B52" s="8">
        <v>22</v>
      </c>
      <c r="C52" s="5" t="s">
        <v>40</v>
      </c>
      <c r="D52" s="5" t="s">
        <v>42</v>
      </c>
      <c r="E52" s="5" t="s">
        <v>53</v>
      </c>
      <c r="F52" s="5" t="s">
        <v>112</v>
      </c>
      <c r="G52" s="8">
        <v>3</v>
      </c>
      <c r="H52" s="8">
        <v>4171</v>
      </c>
      <c r="I52" s="5" t="s">
        <v>40</v>
      </c>
      <c r="J52" s="8">
        <v>3</v>
      </c>
      <c r="K52" s="8">
        <v>3</v>
      </c>
      <c r="L52" s="8">
        <v>3</v>
      </c>
      <c r="M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2" s="8" t="str" cm="1">
        <f t="array" ref="N52">_xlfn.IFS(HR_Analytics56[[#This Row],[PerformanceRating]]=3,"Good",HR_Analytics56[[#This Row],[PerformanceRating]]=4, "Excellent")</f>
        <v>Good</v>
      </c>
      <c r="O52" s="8" t="str">
        <f>IF(HR_Analytics56[[#This Row],[MonthlyIncome]]&lt;3000,"&lt; ₹3,000",IF(HR_Analytics56[[#This Row],[MonthlyIncome]]&lt;=7000,"₹ 3,000 - ₹ 7,000","&gt; ₹7,000"))</f>
        <v>₹ 3,000 - ₹ 7,000</v>
      </c>
      <c r="P52" s="8" t="str" cm="1">
        <f t="array" ref="P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" spans="1:16" x14ac:dyDescent="0.8">
      <c r="A53" s="5" t="s">
        <v>114</v>
      </c>
      <c r="B53" s="8">
        <v>22</v>
      </c>
      <c r="C53" s="5" t="s">
        <v>49</v>
      </c>
      <c r="D53" s="5" t="s">
        <v>42</v>
      </c>
      <c r="E53" s="5" t="s">
        <v>44</v>
      </c>
      <c r="F53" s="5" t="s">
        <v>45</v>
      </c>
      <c r="G53" s="8">
        <v>1</v>
      </c>
      <c r="H53" s="8">
        <v>2451</v>
      </c>
      <c r="I53" s="5" t="s">
        <v>49</v>
      </c>
      <c r="J53" s="8">
        <v>3</v>
      </c>
      <c r="K53" s="8">
        <v>3</v>
      </c>
      <c r="L53" s="8">
        <v>4</v>
      </c>
      <c r="M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" s="8" t="str" cm="1">
        <f t="array" ref="N53">_xlfn.IFS(HR_Analytics56[[#This Row],[PerformanceRating]]=3,"Good",HR_Analytics56[[#This Row],[PerformanceRating]]=4, "Excellent")</f>
        <v>Good</v>
      </c>
      <c r="O53" s="8" t="str">
        <f>IF(HR_Analytics56[[#This Row],[MonthlyIncome]]&lt;3000,"&lt; ₹3,000",IF(HR_Analytics56[[#This Row],[MonthlyIncome]]&lt;=7000,"₹ 3,000 - ₹ 7,000","&gt; ₹7,000"))</f>
        <v>&lt; ₹3,000</v>
      </c>
      <c r="P53" s="8" t="str" cm="1">
        <f t="array" ref="P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" spans="1:16" x14ac:dyDescent="0.8">
      <c r="A54" s="5" t="s">
        <v>115</v>
      </c>
      <c r="B54" s="8">
        <v>22</v>
      </c>
      <c r="C54" s="5" t="s">
        <v>40</v>
      </c>
      <c r="D54" s="5" t="s">
        <v>42</v>
      </c>
      <c r="E54" s="5" t="s">
        <v>44</v>
      </c>
      <c r="F54" s="5" t="s">
        <v>60</v>
      </c>
      <c r="G54" s="8">
        <v>4</v>
      </c>
      <c r="H54" s="8">
        <v>2853</v>
      </c>
      <c r="I54" s="5" t="s">
        <v>40</v>
      </c>
      <c r="J54" s="8">
        <v>3</v>
      </c>
      <c r="K54" s="8">
        <v>5</v>
      </c>
      <c r="L54" s="8">
        <v>0</v>
      </c>
      <c r="M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4" s="8" t="str" cm="1">
        <f t="array" ref="N54">_xlfn.IFS(HR_Analytics56[[#This Row],[PerformanceRating]]=3,"Good",HR_Analytics56[[#This Row],[PerformanceRating]]=4, "Excellent")</f>
        <v>Good</v>
      </c>
      <c r="O54" s="8" t="str">
        <f>IF(HR_Analytics56[[#This Row],[MonthlyIncome]]&lt;3000,"&lt; ₹3,000",IF(HR_Analytics56[[#This Row],[MonthlyIncome]]&lt;=7000,"₹ 3,000 - ₹ 7,000","&gt; ₹7,000"))</f>
        <v>&lt; ₹3,000</v>
      </c>
      <c r="P54" s="8" t="str" cm="1">
        <f t="array" ref="P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" spans="1:16" x14ac:dyDescent="0.8">
      <c r="A55" s="5" t="s">
        <v>116</v>
      </c>
      <c r="B55" s="8">
        <v>22</v>
      </c>
      <c r="C55" s="5" t="s">
        <v>49</v>
      </c>
      <c r="D55" s="5" t="s">
        <v>42</v>
      </c>
      <c r="E55" s="5" t="s">
        <v>53</v>
      </c>
      <c r="F55" s="5" t="s">
        <v>60</v>
      </c>
      <c r="G55" s="8">
        <v>3</v>
      </c>
      <c r="H55" s="8">
        <v>2814</v>
      </c>
      <c r="I55" s="5" t="s">
        <v>40</v>
      </c>
      <c r="J55" s="8">
        <v>3</v>
      </c>
      <c r="K55" s="8">
        <v>2</v>
      </c>
      <c r="L55" s="8">
        <v>4</v>
      </c>
      <c r="M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5" s="8" t="str" cm="1">
        <f t="array" ref="N55">_xlfn.IFS(HR_Analytics56[[#This Row],[PerformanceRating]]=3,"Good",HR_Analytics56[[#This Row],[PerformanceRating]]=4, "Excellent")</f>
        <v>Good</v>
      </c>
      <c r="O55" s="8" t="str">
        <f>IF(HR_Analytics56[[#This Row],[MonthlyIncome]]&lt;3000,"&lt; ₹3,000",IF(HR_Analytics56[[#This Row],[MonthlyIncome]]&lt;=7000,"₹ 3,000 - ₹ 7,000","&gt; ₹7,000"))</f>
        <v>&lt; ₹3,000</v>
      </c>
      <c r="P55" s="8" t="str" cm="1">
        <f t="array" ref="P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" spans="1:16" x14ac:dyDescent="0.8">
      <c r="A56" s="5" t="s">
        <v>117</v>
      </c>
      <c r="B56" s="8">
        <v>22</v>
      </c>
      <c r="C56" s="5" t="s">
        <v>40</v>
      </c>
      <c r="D56" s="5" t="s">
        <v>42</v>
      </c>
      <c r="E56" s="5" t="s">
        <v>53</v>
      </c>
      <c r="F56" s="5" t="s">
        <v>45</v>
      </c>
      <c r="G56" s="8">
        <v>1</v>
      </c>
      <c r="H56" s="8">
        <v>2398</v>
      </c>
      <c r="I56" s="5" t="s">
        <v>40</v>
      </c>
      <c r="J56" s="8">
        <v>3</v>
      </c>
      <c r="K56" s="8">
        <v>6</v>
      </c>
      <c r="L56" s="8">
        <v>1</v>
      </c>
      <c r="M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6" s="8" t="str" cm="1">
        <f t="array" ref="N56">_xlfn.IFS(HR_Analytics56[[#This Row],[PerformanceRating]]=3,"Good",HR_Analytics56[[#This Row],[PerformanceRating]]=4, "Excellent")</f>
        <v>Good</v>
      </c>
      <c r="O56" s="8" t="str">
        <f>IF(HR_Analytics56[[#This Row],[MonthlyIncome]]&lt;3000,"&lt; ₹3,000",IF(HR_Analytics56[[#This Row],[MonthlyIncome]]&lt;=7000,"₹ 3,000 - ₹ 7,000","&gt; ₹7,000"))</f>
        <v>&lt; ₹3,000</v>
      </c>
      <c r="P56" s="8" t="str" cm="1">
        <f t="array" ref="P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" spans="1:16" x14ac:dyDescent="0.8">
      <c r="A57" s="5" t="s">
        <v>118</v>
      </c>
      <c r="B57" s="8">
        <v>22</v>
      </c>
      <c r="C57" s="5" t="s">
        <v>40</v>
      </c>
      <c r="D57" s="5" t="s">
        <v>42</v>
      </c>
      <c r="E57" s="5" t="s">
        <v>44</v>
      </c>
      <c r="F57" s="5" t="s">
        <v>60</v>
      </c>
      <c r="G57" s="8">
        <v>2</v>
      </c>
      <c r="H57" s="8">
        <v>2472</v>
      </c>
      <c r="I57" s="5" t="s">
        <v>40</v>
      </c>
      <c r="J57" s="8">
        <v>4</v>
      </c>
      <c r="K57" s="8">
        <v>2</v>
      </c>
      <c r="L57" s="8">
        <v>1</v>
      </c>
      <c r="M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7" s="8" t="str" cm="1">
        <f t="array" ref="N57">_xlfn.IFS(HR_Analytics56[[#This Row],[PerformanceRating]]=3,"Good",HR_Analytics56[[#This Row],[PerformanceRating]]=4, "Excellent")</f>
        <v>Excellent</v>
      </c>
      <c r="O57" s="8" t="str">
        <f>IF(HR_Analytics56[[#This Row],[MonthlyIncome]]&lt;3000,"&lt; ₹3,000",IF(HR_Analytics56[[#This Row],[MonthlyIncome]]&lt;=7000,"₹ 3,000 - ₹ 7,000","&gt; ₹7,000"))</f>
        <v>&lt; ₹3,000</v>
      </c>
      <c r="P57" s="8" t="str" cm="1">
        <f t="array" ref="P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" spans="1:16" x14ac:dyDescent="0.8">
      <c r="A58" s="5" t="s">
        <v>119</v>
      </c>
      <c r="B58" s="8">
        <v>22</v>
      </c>
      <c r="C58" s="5" t="s">
        <v>49</v>
      </c>
      <c r="D58" s="5" t="s">
        <v>42</v>
      </c>
      <c r="E58" s="5" t="s">
        <v>44</v>
      </c>
      <c r="F58" s="5" t="s">
        <v>60</v>
      </c>
      <c r="G58" s="8">
        <v>3</v>
      </c>
      <c r="H58" s="8">
        <v>3375</v>
      </c>
      <c r="I58" s="5" t="s">
        <v>49</v>
      </c>
      <c r="J58" s="8">
        <v>3</v>
      </c>
      <c r="K58" s="8">
        <v>2</v>
      </c>
      <c r="L58" s="8">
        <v>3</v>
      </c>
      <c r="M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" s="8" t="str" cm="1">
        <f t="array" ref="N58">_xlfn.IFS(HR_Analytics56[[#This Row],[PerformanceRating]]=3,"Good",HR_Analytics56[[#This Row],[PerformanceRating]]=4, "Excellent")</f>
        <v>Good</v>
      </c>
      <c r="O58" s="8" t="str">
        <f>IF(HR_Analytics56[[#This Row],[MonthlyIncome]]&lt;3000,"&lt; ₹3,000",IF(HR_Analytics56[[#This Row],[MonthlyIncome]]&lt;=7000,"₹ 3,000 - ₹ 7,000","&gt; ₹7,000"))</f>
        <v>₹ 3,000 - ₹ 7,000</v>
      </c>
      <c r="P58" s="8" t="str" cm="1">
        <f t="array" ref="P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" spans="1:16" x14ac:dyDescent="0.8">
      <c r="A59" s="5" t="s">
        <v>120</v>
      </c>
      <c r="B59" s="8">
        <v>23</v>
      </c>
      <c r="C59" s="5" t="s">
        <v>49</v>
      </c>
      <c r="D59" s="5" t="s">
        <v>51</v>
      </c>
      <c r="E59" s="5" t="s">
        <v>44</v>
      </c>
      <c r="F59" s="5" t="s">
        <v>54</v>
      </c>
      <c r="G59" s="8">
        <v>1</v>
      </c>
      <c r="H59" s="8">
        <v>2322</v>
      </c>
      <c r="I59" s="5" t="s">
        <v>49</v>
      </c>
      <c r="J59" s="8">
        <v>3</v>
      </c>
      <c r="K59" s="8">
        <v>3</v>
      </c>
      <c r="L59" s="8">
        <v>0</v>
      </c>
      <c r="M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" s="8" t="str" cm="1">
        <f t="array" ref="N59">_xlfn.IFS(HR_Analytics56[[#This Row],[PerformanceRating]]=3,"Good",HR_Analytics56[[#This Row],[PerformanceRating]]=4, "Excellent")</f>
        <v>Good</v>
      </c>
      <c r="O59" s="8" t="str">
        <f>IF(HR_Analytics56[[#This Row],[MonthlyIncome]]&lt;3000,"&lt; ₹3,000",IF(HR_Analytics56[[#This Row],[MonthlyIncome]]&lt;=7000,"₹ 3,000 - ₹ 7,000","&gt; ₹7,000"))</f>
        <v>&lt; ₹3,000</v>
      </c>
      <c r="P59" s="8" t="str" cm="1">
        <f t="array" ref="P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" spans="1:16" x14ac:dyDescent="0.8">
      <c r="A60" s="5" t="s">
        <v>121</v>
      </c>
      <c r="B60" s="8">
        <v>23</v>
      </c>
      <c r="C60" s="5" t="s">
        <v>49</v>
      </c>
      <c r="D60" s="5" t="s">
        <v>42</v>
      </c>
      <c r="E60" s="5" t="s">
        <v>44</v>
      </c>
      <c r="F60" s="5" t="s">
        <v>60</v>
      </c>
      <c r="G60" s="8">
        <v>4</v>
      </c>
      <c r="H60" s="8">
        <v>2904</v>
      </c>
      <c r="I60" s="5" t="s">
        <v>49</v>
      </c>
      <c r="J60" s="8">
        <v>3</v>
      </c>
      <c r="K60" s="8">
        <v>2</v>
      </c>
      <c r="L60" s="8">
        <v>4</v>
      </c>
      <c r="M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" s="8" t="str" cm="1">
        <f t="array" ref="N60">_xlfn.IFS(HR_Analytics56[[#This Row],[PerformanceRating]]=3,"Good",HR_Analytics56[[#This Row],[PerformanceRating]]=4, "Excellent")</f>
        <v>Good</v>
      </c>
      <c r="O60" s="8" t="str">
        <f>IF(HR_Analytics56[[#This Row],[MonthlyIncome]]&lt;3000,"&lt; ₹3,000",IF(HR_Analytics56[[#This Row],[MonthlyIncome]]&lt;=7000,"₹ 3,000 - ₹ 7,000","&gt; ₹7,000"))</f>
        <v>&lt; ₹3,000</v>
      </c>
      <c r="P60" s="8" t="str" cm="1">
        <f t="array" ref="P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" spans="1:16" x14ac:dyDescent="0.8">
      <c r="A61" s="5" t="s">
        <v>122</v>
      </c>
      <c r="B61" s="8">
        <v>23</v>
      </c>
      <c r="C61" s="5" t="s">
        <v>49</v>
      </c>
      <c r="D61" s="5" t="s">
        <v>42</v>
      </c>
      <c r="E61" s="5" t="s">
        <v>44</v>
      </c>
      <c r="F61" s="5" t="s">
        <v>60</v>
      </c>
      <c r="G61" s="8">
        <v>1</v>
      </c>
      <c r="H61" s="8">
        <v>2819</v>
      </c>
      <c r="I61" s="5" t="s">
        <v>49</v>
      </c>
      <c r="J61" s="8">
        <v>3</v>
      </c>
      <c r="K61" s="8">
        <v>3</v>
      </c>
      <c r="L61" s="8">
        <v>3</v>
      </c>
      <c r="M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" s="8" t="str" cm="1">
        <f t="array" ref="N61">_xlfn.IFS(HR_Analytics56[[#This Row],[PerformanceRating]]=3,"Good",HR_Analytics56[[#This Row],[PerformanceRating]]=4, "Excellent")</f>
        <v>Good</v>
      </c>
      <c r="O61" s="8" t="str">
        <f>IF(HR_Analytics56[[#This Row],[MonthlyIncome]]&lt;3000,"&lt; ₹3,000",IF(HR_Analytics56[[#This Row],[MonthlyIncome]]&lt;=7000,"₹ 3,000 - ₹ 7,000","&gt; ₹7,000"))</f>
        <v>&lt; ₹3,000</v>
      </c>
      <c r="P61" s="8" t="str" cm="1">
        <f t="array" ref="P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" spans="1:16" x14ac:dyDescent="0.8">
      <c r="A62" s="5" t="s">
        <v>123</v>
      </c>
      <c r="B62" s="8">
        <v>23</v>
      </c>
      <c r="C62" s="5" t="s">
        <v>49</v>
      </c>
      <c r="D62" s="5" t="s">
        <v>42</v>
      </c>
      <c r="E62" s="5" t="s">
        <v>44</v>
      </c>
      <c r="F62" s="5" t="s">
        <v>45</v>
      </c>
      <c r="G62" s="8">
        <v>1</v>
      </c>
      <c r="H62" s="8">
        <v>2500</v>
      </c>
      <c r="I62" s="5" t="s">
        <v>49</v>
      </c>
      <c r="J62" s="8">
        <v>3</v>
      </c>
      <c r="K62" s="8">
        <v>2</v>
      </c>
      <c r="L62" s="8">
        <v>4</v>
      </c>
      <c r="M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" s="8" t="str" cm="1">
        <f t="array" ref="N62">_xlfn.IFS(HR_Analytics56[[#This Row],[PerformanceRating]]=3,"Good",HR_Analytics56[[#This Row],[PerformanceRating]]=4, "Excellent")</f>
        <v>Good</v>
      </c>
      <c r="O62" s="8" t="str">
        <f>IF(HR_Analytics56[[#This Row],[MonthlyIncome]]&lt;3000,"&lt; ₹3,000",IF(HR_Analytics56[[#This Row],[MonthlyIncome]]&lt;=7000,"₹ 3,000 - ₹ 7,000","&gt; ₹7,000"))</f>
        <v>&lt; ₹3,000</v>
      </c>
      <c r="P62" s="8" t="str" cm="1">
        <f t="array" ref="P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" spans="1:16" x14ac:dyDescent="0.8">
      <c r="A63" s="5" t="s">
        <v>124</v>
      </c>
      <c r="B63" s="8">
        <v>23</v>
      </c>
      <c r="C63" s="5" t="s">
        <v>49</v>
      </c>
      <c r="D63" s="5" t="s">
        <v>42</v>
      </c>
      <c r="E63" s="5" t="s">
        <v>44</v>
      </c>
      <c r="F63" s="5" t="s">
        <v>60</v>
      </c>
      <c r="G63" s="8">
        <v>3</v>
      </c>
      <c r="H63" s="8">
        <v>3505</v>
      </c>
      <c r="I63" s="5" t="s">
        <v>49</v>
      </c>
      <c r="J63" s="8">
        <v>3</v>
      </c>
      <c r="K63" s="8">
        <v>3</v>
      </c>
      <c r="L63" s="8">
        <v>2</v>
      </c>
      <c r="M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" s="8" t="str" cm="1">
        <f t="array" ref="N63">_xlfn.IFS(HR_Analytics56[[#This Row],[PerformanceRating]]=3,"Good",HR_Analytics56[[#This Row],[PerformanceRating]]=4, "Excellent")</f>
        <v>Good</v>
      </c>
      <c r="O63" s="8" t="str">
        <f>IF(HR_Analytics56[[#This Row],[MonthlyIncome]]&lt;3000,"&lt; ₹3,000",IF(HR_Analytics56[[#This Row],[MonthlyIncome]]&lt;=7000,"₹ 3,000 - ₹ 7,000","&gt; ₹7,000"))</f>
        <v>₹ 3,000 - ₹ 7,000</v>
      </c>
      <c r="P63" s="8" t="str" cm="1">
        <f t="array" ref="P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" spans="1:16" x14ac:dyDescent="0.8">
      <c r="A64" s="5" t="s">
        <v>125</v>
      </c>
      <c r="B64" s="8">
        <v>23</v>
      </c>
      <c r="C64" s="5" t="s">
        <v>40</v>
      </c>
      <c r="D64" s="5" t="s">
        <v>42</v>
      </c>
      <c r="E64" s="5" t="s">
        <v>44</v>
      </c>
      <c r="F64" s="5" t="s">
        <v>45</v>
      </c>
      <c r="G64" s="8">
        <v>1</v>
      </c>
      <c r="H64" s="8">
        <v>1601</v>
      </c>
      <c r="I64" s="5" t="s">
        <v>40</v>
      </c>
      <c r="J64" s="8">
        <v>4</v>
      </c>
      <c r="K64" s="8">
        <v>2</v>
      </c>
      <c r="L64" s="8">
        <v>0</v>
      </c>
      <c r="M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4" s="8" t="str" cm="1">
        <f t="array" ref="N64">_xlfn.IFS(HR_Analytics56[[#This Row],[PerformanceRating]]=3,"Good",HR_Analytics56[[#This Row],[PerformanceRating]]=4, "Excellent")</f>
        <v>Excellent</v>
      </c>
      <c r="O64" s="8" t="str">
        <f>IF(HR_Analytics56[[#This Row],[MonthlyIncome]]&lt;3000,"&lt; ₹3,000",IF(HR_Analytics56[[#This Row],[MonthlyIncome]]&lt;=7000,"₹ 3,000 - ₹ 7,000","&gt; ₹7,000"))</f>
        <v>&lt; ₹3,000</v>
      </c>
      <c r="P64" s="8" t="str" cm="1">
        <f t="array" ref="P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" spans="1:16" x14ac:dyDescent="0.8">
      <c r="A65" s="5" t="s">
        <v>126</v>
      </c>
      <c r="B65" s="8">
        <v>23</v>
      </c>
      <c r="C65" s="5" t="s">
        <v>49</v>
      </c>
      <c r="D65" s="5" t="s">
        <v>42</v>
      </c>
      <c r="E65" s="5" t="s">
        <v>44</v>
      </c>
      <c r="F65" s="5" t="s">
        <v>60</v>
      </c>
      <c r="G65" s="8">
        <v>3</v>
      </c>
      <c r="H65" s="8">
        <v>1223</v>
      </c>
      <c r="I65" s="5" t="s">
        <v>49</v>
      </c>
      <c r="J65" s="8">
        <v>4</v>
      </c>
      <c r="K65" s="8">
        <v>2</v>
      </c>
      <c r="L65" s="8">
        <v>1</v>
      </c>
      <c r="M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" s="8" t="str" cm="1">
        <f t="array" ref="N65">_xlfn.IFS(HR_Analytics56[[#This Row],[PerformanceRating]]=3,"Good",HR_Analytics56[[#This Row],[PerformanceRating]]=4, "Excellent")</f>
        <v>Excellent</v>
      </c>
      <c r="O65" s="8" t="str">
        <f>IF(HR_Analytics56[[#This Row],[MonthlyIncome]]&lt;3000,"&lt; ₹3,000",IF(HR_Analytics56[[#This Row],[MonthlyIncome]]&lt;=7000,"₹ 3,000 - ₹ 7,000","&gt; ₹7,000"))</f>
        <v>&lt; ₹3,000</v>
      </c>
      <c r="P65" s="8" t="str" cm="1">
        <f t="array" ref="P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" spans="1:16" x14ac:dyDescent="0.8">
      <c r="A66" s="5" t="s">
        <v>127</v>
      </c>
      <c r="B66" s="8">
        <v>23</v>
      </c>
      <c r="C66" s="5" t="s">
        <v>49</v>
      </c>
      <c r="D66" s="5" t="s">
        <v>42</v>
      </c>
      <c r="E66" s="5" t="s">
        <v>44</v>
      </c>
      <c r="F66" s="5" t="s">
        <v>45</v>
      </c>
      <c r="G66" s="8">
        <v>3</v>
      </c>
      <c r="H66" s="8">
        <v>2272</v>
      </c>
      <c r="I66" s="5" t="s">
        <v>49</v>
      </c>
      <c r="J66" s="8">
        <v>3</v>
      </c>
      <c r="K66" s="8">
        <v>2</v>
      </c>
      <c r="L66" s="8">
        <v>4</v>
      </c>
      <c r="M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" s="8" t="str" cm="1">
        <f t="array" ref="N66">_xlfn.IFS(HR_Analytics56[[#This Row],[PerformanceRating]]=3,"Good",HR_Analytics56[[#This Row],[PerformanceRating]]=4, "Excellent")</f>
        <v>Good</v>
      </c>
      <c r="O66" s="8" t="str">
        <f>IF(HR_Analytics56[[#This Row],[MonthlyIncome]]&lt;3000,"&lt; ₹3,000",IF(HR_Analytics56[[#This Row],[MonthlyIncome]]&lt;=7000,"₹ 3,000 - ₹ 7,000","&gt; ₹7,000"))</f>
        <v>&lt; ₹3,000</v>
      </c>
      <c r="P66" s="8" t="str" cm="1">
        <f t="array" ref="P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" spans="1:16" x14ac:dyDescent="0.8">
      <c r="A67" s="5" t="s">
        <v>128</v>
      </c>
      <c r="B67" s="8">
        <v>23</v>
      </c>
      <c r="C67" s="5" t="s">
        <v>49</v>
      </c>
      <c r="D67" s="5" t="s">
        <v>42</v>
      </c>
      <c r="E67" s="5" t="s">
        <v>44</v>
      </c>
      <c r="F67" s="5" t="s">
        <v>60</v>
      </c>
      <c r="G67" s="8">
        <v>3</v>
      </c>
      <c r="H67" s="8">
        <v>2073</v>
      </c>
      <c r="I67" s="5" t="s">
        <v>49</v>
      </c>
      <c r="J67" s="8">
        <v>3</v>
      </c>
      <c r="K67" s="8">
        <v>2</v>
      </c>
      <c r="L67" s="8">
        <v>2</v>
      </c>
      <c r="M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" s="8" t="str" cm="1">
        <f t="array" ref="N67">_xlfn.IFS(HR_Analytics56[[#This Row],[PerformanceRating]]=3,"Good",HR_Analytics56[[#This Row],[PerformanceRating]]=4, "Excellent")</f>
        <v>Good</v>
      </c>
      <c r="O67" s="8" t="str">
        <f>IF(HR_Analytics56[[#This Row],[MonthlyIncome]]&lt;3000,"&lt; ₹3,000",IF(HR_Analytics56[[#This Row],[MonthlyIncome]]&lt;=7000,"₹ 3,000 - ₹ 7,000","&gt; ₹7,000"))</f>
        <v>&lt; ₹3,000</v>
      </c>
      <c r="P67" s="8" t="str" cm="1">
        <f t="array" ref="P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" spans="1:16" x14ac:dyDescent="0.8">
      <c r="A68" s="5" t="s">
        <v>129</v>
      </c>
      <c r="B68" s="8">
        <v>23</v>
      </c>
      <c r="C68" s="5" t="s">
        <v>40</v>
      </c>
      <c r="D68" s="5" t="s">
        <v>42</v>
      </c>
      <c r="E68" s="5" t="s">
        <v>44</v>
      </c>
      <c r="F68" s="5" t="s">
        <v>45</v>
      </c>
      <c r="G68" s="8">
        <v>3</v>
      </c>
      <c r="H68" s="8">
        <v>3989</v>
      </c>
      <c r="I68" s="5" t="s">
        <v>40</v>
      </c>
      <c r="J68" s="8">
        <v>3</v>
      </c>
      <c r="K68" s="8">
        <v>2</v>
      </c>
      <c r="L68" s="8">
        <v>5</v>
      </c>
      <c r="M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8" s="8" t="str" cm="1">
        <f t="array" ref="N68">_xlfn.IFS(HR_Analytics56[[#This Row],[PerformanceRating]]=3,"Good",HR_Analytics56[[#This Row],[PerformanceRating]]=4, "Excellent")</f>
        <v>Good</v>
      </c>
      <c r="O68" s="8" t="str">
        <f>IF(HR_Analytics56[[#This Row],[MonthlyIncome]]&lt;3000,"&lt; ₹3,000",IF(HR_Analytics56[[#This Row],[MonthlyIncome]]&lt;=7000,"₹ 3,000 - ₹ 7,000","&gt; ₹7,000"))</f>
        <v>₹ 3,000 - ₹ 7,000</v>
      </c>
      <c r="P68" s="8" t="str" cm="1">
        <f t="array" ref="P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" spans="1:16" x14ac:dyDescent="0.8">
      <c r="A69" s="5" t="s">
        <v>130</v>
      </c>
      <c r="B69" s="8">
        <v>23</v>
      </c>
      <c r="C69" s="5" t="s">
        <v>40</v>
      </c>
      <c r="D69" s="5" t="s">
        <v>51</v>
      </c>
      <c r="E69" s="5" t="s">
        <v>44</v>
      </c>
      <c r="F69" s="5" t="s">
        <v>54</v>
      </c>
      <c r="G69" s="8">
        <v>4</v>
      </c>
      <c r="H69" s="8">
        <v>2275</v>
      </c>
      <c r="I69" s="5" t="s">
        <v>40</v>
      </c>
      <c r="J69" s="8">
        <v>4</v>
      </c>
      <c r="K69" s="8">
        <v>2</v>
      </c>
      <c r="L69" s="8">
        <v>3</v>
      </c>
      <c r="M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9" s="8" t="str" cm="1">
        <f t="array" ref="N69">_xlfn.IFS(HR_Analytics56[[#This Row],[PerformanceRating]]=3,"Good",HR_Analytics56[[#This Row],[PerformanceRating]]=4, "Excellent")</f>
        <v>Excellent</v>
      </c>
      <c r="O69" s="8" t="str">
        <f>IF(HR_Analytics56[[#This Row],[MonthlyIncome]]&lt;3000,"&lt; ₹3,000",IF(HR_Analytics56[[#This Row],[MonthlyIncome]]&lt;=7000,"₹ 3,000 - ₹ 7,000","&gt; ₹7,000"))</f>
        <v>&lt; ₹3,000</v>
      </c>
      <c r="P69" s="8" t="str" cm="1">
        <f t="array" ref="P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" spans="1:16" x14ac:dyDescent="0.8">
      <c r="A70" s="5" t="s">
        <v>131</v>
      </c>
      <c r="B70" s="8">
        <v>23</v>
      </c>
      <c r="C70" s="5" t="s">
        <v>49</v>
      </c>
      <c r="D70" s="5" t="s">
        <v>42</v>
      </c>
      <c r="E70" s="5" t="s">
        <v>53</v>
      </c>
      <c r="F70" s="5" t="s">
        <v>45</v>
      </c>
      <c r="G70" s="8">
        <v>2</v>
      </c>
      <c r="H70" s="8">
        <v>3295</v>
      </c>
      <c r="I70" s="5" t="s">
        <v>49</v>
      </c>
      <c r="J70" s="8">
        <v>3</v>
      </c>
      <c r="K70" s="8">
        <v>3</v>
      </c>
      <c r="L70" s="8">
        <v>3</v>
      </c>
      <c r="M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" s="8" t="str" cm="1">
        <f t="array" ref="N70">_xlfn.IFS(HR_Analytics56[[#This Row],[PerformanceRating]]=3,"Good",HR_Analytics56[[#This Row],[PerformanceRating]]=4, "Excellent")</f>
        <v>Good</v>
      </c>
      <c r="O70" s="8" t="str">
        <f>IF(HR_Analytics56[[#This Row],[MonthlyIncome]]&lt;3000,"&lt; ₹3,000",IF(HR_Analytics56[[#This Row],[MonthlyIncome]]&lt;=7000,"₹ 3,000 - ₹ 7,000","&gt; ₹7,000"))</f>
        <v>₹ 3,000 - ₹ 7,000</v>
      </c>
      <c r="P70" s="8" t="str" cm="1">
        <f t="array" ref="P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" spans="1:16" x14ac:dyDescent="0.8">
      <c r="A71" s="5" t="s">
        <v>132</v>
      </c>
      <c r="B71" s="8">
        <v>23</v>
      </c>
      <c r="C71" s="5" t="s">
        <v>49</v>
      </c>
      <c r="D71" s="5" t="s">
        <v>42</v>
      </c>
      <c r="E71" s="5" t="s">
        <v>44</v>
      </c>
      <c r="F71" s="5" t="s">
        <v>45</v>
      </c>
      <c r="G71" s="8">
        <v>4</v>
      </c>
      <c r="H71" s="8">
        <v>2647</v>
      </c>
      <c r="I71" s="5" t="s">
        <v>49</v>
      </c>
      <c r="J71" s="8">
        <v>3</v>
      </c>
      <c r="K71" s="8">
        <v>6</v>
      </c>
      <c r="L71" s="8">
        <v>5</v>
      </c>
      <c r="M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" s="8" t="str" cm="1">
        <f t="array" ref="N71">_xlfn.IFS(HR_Analytics56[[#This Row],[PerformanceRating]]=3,"Good",HR_Analytics56[[#This Row],[PerformanceRating]]=4, "Excellent")</f>
        <v>Good</v>
      </c>
      <c r="O71" s="8" t="str">
        <f>IF(HR_Analytics56[[#This Row],[MonthlyIncome]]&lt;3000,"&lt; ₹3,000",IF(HR_Analytics56[[#This Row],[MonthlyIncome]]&lt;=7000,"₹ 3,000 - ₹ 7,000","&gt; ₹7,000"))</f>
        <v>&lt; ₹3,000</v>
      </c>
      <c r="P71" s="8" t="str" cm="1">
        <f t="array" ref="P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" spans="1:16" x14ac:dyDescent="0.8">
      <c r="A72" s="5" t="s">
        <v>133</v>
      </c>
      <c r="B72" s="8">
        <v>23</v>
      </c>
      <c r="C72" s="5" t="s">
        <v>40</v>
      </c>
      <c r="D72" s="5" t="s">
        <v>51</v>
      </c>
      <c r="E72" s="5" t="s">
        <v>44</v>
      </c>
      <c r="F72" s="5" t="s">
        <v>54</v>
      </c>
      <c r="G72" s="8">
        <v>1</v>
      </c>
      <c r="H72" s="8">
        <v>1790</v>
      </c>
      <c r="I72" s="5" t="s">
        <v>49</v>
      </c>
      <c r="J72" s="8">
        <v>3</v>
      </c>
      <c r="K72" s="8">
        <v>3</v>
      </c>
      <c r="L72" s="8">
        <v>1</v>
      </c>
      <c r="M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" s="8" t="str" cm="1">
        <f t="array" ref="N72">_xlfn.IFS(HR_Analytics56[[#This Row],[PerformanceRating]]=3,"Good",HR_Analytics56[[#This Row],[PerformanceRating]]=4, "Excellent")</f>
        <v>Good</v>
      </c>
      <c r="O72" s="8" t="str">
        <f>IF(HR_Analytics56[[#This Row],[MonthlyIncome]]&lt;3000,"&lt; ₹3,000",IF(HR_Analytics56[[#This Row],[MonthlyIncome]]&lt;=7000,"₹ 3,000 - ₹ 7,000","&gt; ₹7,000"))</f>
        <v>&lt; ₹3,000</v>
      </c>
      <c r="P72" s="8" t="str" cm="1">
        <f t="array" ref="P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" spans="1:16" x14ac:dyDescent="0.8">
      <c r="A73" s="5" t="s">
        <v>134</v>
      </c>
      <c r="B73" s="8">
        <v>24</v>
      </c>
      <c r="C73" s="5" t="s">
        <v>49</v>
      </c>
      <c r="D73" s="5" t="s">
        <v>42</v>
      </c>
      <c r="E73" s="5" t="s">
        <v>53</v>
      </c>
      <c r="F73" s="5" t="s">
        <v>112</v>
      </c>
      <c r="G73" s="8">
        <v>3</v>
      </c>
      <c r="H73" s="8">
        <v>4011</v>
      </c>
      <c r="I73" s="5" t="s">
        <v>49</v>
      </c>
      <c r="J73" s="8">
        <v>3</v>
      </c>
      <c r="K73" s="8">
        <v>5</v>
      </c>
      <c r="L73" s="8">
        <v>4</v>
      </c>
      <c r="M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" s="8" t="str" cm="1">
        <f t="array" ref="N73">_xlfn.IFS(HR_Analytics56[[#This Row],[PerformanceRating]]=3,"Good",HR_Analytics56[[#This Row],[PerformanceRating]]=4, "Excellent")</f>
        <v>Good</v>
      </c>
      <c r="O73" s="8" t="str">
        <f>IF(HR_Analytics56[[#This Row],[MonthlyIncome]]&lt;3000,"&lt; ₹3,000",IF(HR_Analytics56[[#This Row],[MonthlyIncome]]&lt;=7000,"₹ 3,000 - ₹ 7,000","&gt; ₹7,000"))</f>
        <v>₹ 3,000 - ₹ 7,000</v>
      </c>
      <c r="P73" s="8" t="str" cm="1">
        <f t="array" ref="P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" spans="1:16" x14ac:dyDescent="0.8">
      <c r="A74" s="5" t="s">
        <v>135</v>
      </c>
      <c r="B74" s="8">
        <v>24</v>
      </c>
      <c r="C74" s="5" t="s">
        <v>40</v>
      </c>
      <c r="D74" s="5" t="s">
        <v>42</v>
      </c>
      <c r="E74" s="5" t="s">
        <v>44</v>
      </c>
      <c r="F74" s="5" t="s">
        <v>60</v>
      </c>
      <c r="G74" s="8">
        <v>4</v>
      </c>
      <c r="H74" s="8">
        <v>2293</v>
      </c>
      <c r="I74" s="5" t="s">
        <v>40</v>
      </c>
      <c r="J74" s="8">
        <v>3</v>
      </c>
      <c r="K74" s="8">
        <v>2</v>
      </c>
      <c r="L74" s="8">
        <v>2</v>
      </c>
      <c r="M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4" s="8" t="str" cm="1">
        <f t="array" ref="N74">_xlfn.IFS(HR_Analytics56[[#This Row],[PerformanceRating]]=3,"Good",HR_Analytics56[[#This Row],[PerformanceRating]]=4, "Excellent")</f>
        <v>Good</v>
      </c>
      <c r="O74" s="8" t="str">
        <f>IF(HR_Analytics56[[#This Row],[MonthlyIncome]]&lt;3000,"&lt; ₹3,000",IF(HR_Analytics56[[#This Row],[MonthlyIncome]]&lt;=7000,"₹ 3,000 - ₹ 7,000","&gt; ₹7,000"))</f>
        <v>&lt; ₹3,000</v>
      </c>
      <c r="P74" s="8" t="str" cm="1">
        <f t="array" ref="P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" spans="1:16" x14ac:dyDescent="0.8">
      <c r="A75" s="5" t="s">
        <v>136</v>
      </c>
      <c r="B75" s="8">
        <v>24</v>
      </c>
      <c r="C75" s="5" t="s">
        <v>49</v>
      </c>
      <c r="D75" s="5" t="s">
        <v>51</v>
      </c>
      <c r="E75" s="5" t="s">
        <v>53</v>
      </c>
      <c r="F75" s="5" t="s">
        <v>137</v>
      </c>
      <c r="G75" s="8">
        <v>3</v>
      </c>
      <c r="H75" s="8">
        <v>4999</v>
      </c>
      <c r="I75" s="5" t="s">
        <v>49</v>
      </c>
      <c r="J75" s="8">
        <v>4</v>
      </c>
      <c r="K75" s="8">
        <v>2</v>
      </c>
      <c r="L75" s="8">
        <v>3</v>
      </c>
      <c r="M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" s="8" t="str" cm="1">
        <f t="array" ref="N75">_xlfn.IFS(HR_Analytics56[[#This Row],[PerformanceRating]]=3,"Good",HR_Analytics56[[#This Row],[PerformanceRating]]=4, "Excellent")</f>
        <v>Excellent</v>
      </c>
      <c r="O75" s="8" t="str">
        <f>IF(HR_Analytics56[[#This Row],[MonthlyIncome]]&lt;3000,"&lt; ₹3,000",IF(HR_Analytics56[[#This Row],[MonthlyIncome]]&lt;=7000,"₹ 3,000 - ₹ 7,000","&gt; ₹7,000"))</f>
        <v>₹ 3,000 - ₹ 7,000</v>
      </c>
      <c r="P75" s="8" t="str" cm="1">
        <f t="array" ref="P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" spans="1:16" x14ac:dyDescent="0.8">
      <c r="A76" s="5" t="s">
        <v>138</v>
      </c>
      <c r="B76" s="8">
        <v>24</v>
      </c>
      <c r="C76" s="5" t="s">
        <v>49</v>
      </c>
      <c r="D76" s="5" t="s">
        <v>42</v>
      </c>
      <c r="E76" s="5" t="s">
        <v>44</v>
      </c>
      <c r="F76" s="5" t="s">
        <v>45</v>
      </c>
      <c r="G76" s="8">
        <v>3</v>
      </c>
      <c r="H76" s="8">
        <v>2774</v>
      </c>
      <c r="I76" s="5" t="s">
        <v>49</v>
      </c>
      <c r="J76" s="8">
        <v>3</v>
      </c>
      <c r="K76" s="8">
        <v>2</v>
      </c>
      <c r="L76" s="8">
        <v>5</v>
      </c>
      <c r="M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" s="8" t="str" cm="1">
        <f t="array" ref="N76">_xlfn.IFS(HR_Analytics56[[#This Row],[PerformanceRating]]=3,"Good",HR_Analytics56[[#This Row],[PerformanceRating]]=4, "Excellent")</f>
        <v>Good</v>
      </c>
      <c r="O76" s="8" t="str">
        <f>IF(HR_Analytics56[[#This Row],[MonthlyIncome]]&lt;3000,"&lt; ₹3,000",IF(HR_Analytics56[[#This Row],[MonthlyIncome]]&lt;=7000,"₹ 3,000 - ₹ 7,000","&gt; ₹7,000"))</f>
        <v>&lt; ₹3,000</v>
      </c>
      <c r="P76" s="8" t="str" cm="1">
        <f t="array" ref="P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" spans="1:16" x14ac:dyDescent="0.8">
      <c r="A77" s="5" t="s">
        <v>139</v>
      </c>
      <c r="B77" s="8">
        <v>24</v>
      </c>
      <c r="C77" s="5" t="s">
        <v>49</v>
      </c>
      <c r="D77" s="5" t="s">
        <v>51</v>
      </c>
      <c r="E77" s="5" t="s">
        <v>53</v>
      </c>
      <c r="F77" s="5" t="s">
        <v>137</v>
      </c>
      <c r="G77" s="8">
        <v>3</v>
      </c>
      <c r="H77" s="8">
        <v>4260</v>
      </c>
      <c r="I77" s="5" t="s">
        <v>40</v>
      </c>
      <c r="J77" s="8">
        <v>3</v>
      </c>
      <c r="K77" s="8">
        <v>2</v>
      </c>
      <c r="L77" s="8">
        <v>5</v>
      </c>
      <c r="M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7" s="8" t="str" cm="1">
        <f t="array" ref="N77">_xlfn.IFS(HR_Analytics56[[#This Row],[PerformanceRating]]=3,"Good",HR_Analytics56[[#This Row],[PerformanceRating]]=4, "Excellent")</f>
        <v>Good</v>
      </c>
      <c r="O77" s="8" t="str">
        <f>IF(HR_Analytics56[[#This Row],[MonthlyIncome]]&lt;3000,"&lt; ₹3,000",IF(HR_Analytics56[[#This Row],[MonthlyIncome]]&lt;=7000,"₹ 3,000 - ₹ 7,000","&gt; ₹7,000"))</f>
        <v>₹ 3,000 - ₹ 7,000</v>
      </c>
      <c r="P77" s="8" t="str" cm="1">
        <f t="array" ref="P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" spans="1:16" x14ac:dyDescent="0.8">
      <c r="A78" s="5" t="s">
        <v>140</v>
      </c>
      <c r="B78" s="8">
        <v>24</v>
      </c>
      <c r="C78" s="5" t="s">
        <v>40</v>
      </c>
      <c r="D78" s="5" t="s">
        <v>51</v>
      </c>
      <c r="E78" s="5" t="s">
        <v>53</v>
      </c>
      <c r="F78" s="5" t="s">
        <v>54</v>
      </c>
      <c r="G78" s="8">
        <v>2</v>
      </c>
      <c r="H78" s="8">
        <v>3202</v>
      </c>
      <c r="I78" s="5" t="s">
        <v>40</v>
      </c>
      <c r="J78" s="8">
        <v>3</v>
      </c>
      <c r="K78" s="8">
        <v>4</v>
      </c>
      <c r="L78" s="8">
        <v>5</v>
      </c>
      <c r="M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8" s="8" t="str" cm="1">
        <f t="array" ref="N78">_xlfn.IFS(HR_Analytics56[[#This Row],[PerformanceRating]]=3,"Good",HR_Analytics56[[#This Row],[PerformanceRating]]=4, "Excellent")</f>
        <v>Good</v>
      </c>
      <c r="O78" s="8" t="str">
        <f>IF(HR_Analytics56[[#This Row],[MonthlyIncome]]&lt;3000,"&lt; ₹3,000",IF(HR_Analytics56[[#This Row],[MonthlyIncome]]&lt;=7000,"₹ 3,000 - ₹ 7,000","&gt; ₹7,000"))</f>
        <v>₹ 3,000 - ₹ 7,000</v>
      </c>
      <c r="P78" s="8" t="str" cm="1">
        <f t="array" ref="P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" spans="1:16" x14ac:dyDescent="0.8">
      <c r="A79" s="5" t="s">
        <v>141</v>
      </c>
      <c r="B79" s="8">
        <v>24</v>
      </c>
      <c r="C79" s="5" t="s">
        <v>49</v>
      </c>
      <c r="D79" s="5" t="s">
        <v>51</v>
      </c>
      <c r="E79" s="5" t="s">
        <v>44</v>
      </c>
      <c r="F79" s="5" t="s">
        <v>54</v>
      </c>
      <c r="G79" s="8">
        <v>4</v>
      </c>
      <c r="H79" s="8">
        <v>2400</v>
      </c>
      <c r="I79" s="5" t="s">
        <v>49</v>
      </c>
      <c r="J79" s="8">
        <v>3</v>
      </c>
      <c r="K79" s="8">
        <v>3</v>
      </c>
      <c r="L79" s="8">
        <v>2</v>
      </c>
      <c r="M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" s="8" t="str" cm="1">
        <f t="array" ref="N79">_xlfn.IFS(HR_Analytics56[[#This Row],[PerformanceRating]]=3,"Good",HR_Analytics56[[#This Row],[PerformanceRating]]=4, "Excellent")</f>
        <v>Good</v>
      </c>
      <c r="O79" s="8" t="str">
        <f>IF(HR_Analytics56[[#This Row],[MonthlyIncome]]&lt;3000,"&lt; ₹3,000",IF(HR_Analytics56[[#This Row],[MonthlyIncome]]&lt;=7000,"₹ 3,000 - ₹ 7,000","&gt; ₹7,000"))</f>
        <v>&lt; ₹3,000</v>
      </c>
      <c r="P79" s="8" t="str" cm="1">
        <f t="array" ref="P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" spans="1:16" x14ac:dyDescent="0.8">
      <c r="A80" s="5" t="s">
        <v>142</v>
      </c>
      <c r="B80" s="8">
        <v>24</v>
      </c>
      <c r="C80" s="5" t="s">
        <v>49</v>
      </c>
      <c r="D80" s="5" t="s">
        <v>42</v>
      </c>
      <c r="E80" s="5" t="s">
        <v>44</v>
      </c>
      <c r="F80" s="5" t="s">
        <v>60</v>
      </c>
      <c r="G80" s="8">
        <v>4</v>
      </c>
      <c r="H80" s="8">
        <v>2725</v>
      </c>
      <c r="I80" s="5" t="s">
        <v>40</v>
      </c>
      <c r="J80" s="8">
        <v>3</v>
      </c>
      <c r="K80" s="8">
        <v>3</v>
      </c>
      <c r="L80" s="8">
        <v>6</v>
      </c>
      <c r="M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0" s="8" t="str" cm="1">
        <f t="array" ref="N80">_xlfn.IFS(HR_Analytics56[[#This Row],[PerformanceRating]]=3,"Good",HR_Analytics56[[#This Row],[PerformanceRating]]=4, "Excellent")</f>
        <v>Good</v>
      </c>
      <c r="O80" s="8" t="str">
        <f>IF(HR_Analytics56[[#This Row],[MonthlyIncome]]&lt;3000,"&lt; ₹3,000",IF(HR_Analytics56[[#This Row],[MonthlyIncome]]&lt;=7000,"₹ 3,000 - ₹ 7,000","&gt; ₹7,000"))</f>
        <v>&lt; ₹3,000</v>
      </c>
      <c r="P80" s="8" t="str" cm="1">
        <f t="array" ref="P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" spans="1:16" x14ac:dyDescent="0.8">
      <c r="A81" s="5" t="s">
        <v>143</v>
      </c>
      <c r="B81" s="8">
        <v>24</v>
      </c>
      <c r="C81" s="5" t="s">
        <v>49</v>
      </c>
      <c r="D81" s="5" t="s">
        <v>42</v>
      </c>
      <c r="E81" s="5" t="s">
        <v>44</v>
      </c>
      <c r="F81" s="5" t="s">
        <v>45</v>
      </c>
      <c r="G81" s="8">
        <v>2</v>
      </c>
      <c r="H81" s="8">
        <v>2127</v>
      </c>
      <c r="I81" s="5" t="s">
        <v>49</v>
      </c>
      <c r="J81" s="8">
        <v>4</v>
      </c>
      <c r="K81" s="8">
        <v>2</v>
      </c>
      <c r="L81" s="8">
        <v>1</v>
      </c>
      <c r="M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" s="8" t="str" cm="1">
        <f t="array" ref="N81">_xlfn.IFS(HR_Analytics56[[#This Row],[PerformanceRating]]=3,"Good",HR_Analytics56[[#This Row],[PerformanceRating]]=4, "Excellent")</f>
        <v>Excellent</v>
      </c>
      <c r="O81" s="8" t="str">
        <f>IF(HR_Analytics56[[#This Row],[MonthlyIncome]]&lt;3000,"&lt; ₹3,000",IF(HR_Analytics56[[#This Row],[MonthlyIncome]]&lt;=7000,"₹ 3,000 - ₹ 7,000","&gt; ₹7,000"))</f>
        <v>&lt; ₹3,000</v>
      </c>
      <c r="P81" s="8" t="str" cm="1">
        <f t="array" ref="P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" spans="1:16" x14ac:dyDescent="0.8">
      <c r="A82" s="5" t="s">
        <v>144</v>
      </c>
      <c r="B82" s="8">
        <v>24</v>
      </c>
      <c r="C82" s="5" t="s">
        <v>40</v>
      </c>
      <c r="D82" s="5" t="s">
        <v>42</v>
      </c>
      <c r="E82" s="5" t="s">
        <v>53</v>
      </c>
      <c r="F82" s="5" t="s">
        <v>45</v>
      </c>
      <c r="G82" s="8">
        <v>3</v>
      </c>
      <c r="H82" s="8">
        <v>2886</v>
      </c>
      <c r="I82" s="5" t="s">
        <v>40</v>
      </c>
      <c r="J82" s="8">
        <v>3</v>
      </c>
      <c r="K82" s="8">
        <v>4</v>
      </c>
      <c r="L82" s="8">
        <v>6</v>
      </c>
      <c r="M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82" s="8" t="str" cm="1">
        <f t="array" ref="N82">_xlfn.IFS(HR_Analytics56[[#This Row],[PerformanceRating]]=3,"Good",HR_Analytics56[[#This Row],[PerformanceRating]]=4, "Excellent")</f>
        <v>Good</v>
      </c>
      <c r="O82" s="8" t="str">
        <f>IF(HR_Analytics56[[#This Row],[MonthlyIncome]]&lt;3000,"&lt; ₹3,000",IF(HR_Analytics56[[#This Row],[MonthlyIncome]]&lt;=7000,"₹ 3,000 - ₹ 7,000","&gt; ₹7,000"))</f>
        <v>&lt; ₹3,000</v>
      </c>
      <c r="P82" s="8" t="str" cm="1">
        <f t="array" ref="P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" spans="1:16" x14ac:dyDescent="0.8">
      <c r="A83" s="5" t="s">
        <v>145</v>
      </c>
      <c r="B83" s="8">
        <v>24</v>
      </c>
      <c r="C83" s="5" t="s">
        <v>40</v>
      </c>
      <c r="D83" s="5" t="s">
        <v>51</v>
      </c>
      <c r="E83" s="5" t="s">
        <v>53</v>
      </c>
      <c r="F83" s="5" t="s">
        <v>137</v>
      </c>
      <c r="G83" s="8">
        <v>3</v>
      </c>
      <c r="H83" s="8">
        <v>4577</v>
      </c>
      <c r="I83" s="5" t="s">
        <v>49</v>
      </c>
      <c r="J83" s="8">
        <v>3</v>
      </c>
      <c r="K83" s="8">
        <v>3</v>
      </c>
      <c r="L83" s="8">
        <v>2</v>
      </c>
      <c r="M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" s="8" t="str" cm="1">
        <f t="array" ref="N83">_xlfn.IFS(HR_Analytics56[[#This Row],[PerformanceRating]]=3,"Good",HR_Analytics56[[#This Row],[PerformanceRating]]=4, "Excellent")</f>
        <v>Good</v>
      </c>
      <c r="O83" s="8" t="str">
        <f>IF(HR_Analytics56[[#This Row],[MonthlyIncome]]&lt;3000,"&lt; ₹3,000",IF(HR_Analytics56[[#This Row],[MonthlyIncome]]&lt;=7000,"₹ 3,000 - ₹ 7,000","&gt; ₹7,000"))</f>
        <v>₹ 3,000 - ₹ 7,000</v>
      </c>
      <c r="P83" s="8" t="str" cm="1">
        <f t="array" ref="P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" spans="1:16" x14ac:dyDescent="0.8">
      <c r="A84" s="5" t="s">
        <v>146</v>
      </c>
      <c r="B84" s="8">
        <v>24</v>
      </c>
      <c r="C84" s="5" t="s">
        <v>49</v>
      </c>
      <c r="D84" s="5" t="s">
        <v>42</v>
      </c>
      <c r="E84" s="5" t="s">
        <v>44</v>
      </c>
      <c r="F84" s="5" t="s">
        <v>45</v>
      </c>
      <c r="G84" s="8">
        <v>2</v>
      </c>
      <c r="H84" s="8">
        <v>2694</v>
      </c>
      <c r="I84" s="5" t="s">
        <v>49</v>
      </c>
      <c r="J84" s="8">
        <v>3</v>
      </c>
      <c r="K84" s="8">
        <v>4</v>
      </c>
      <c r="L84" s="8">
        <v>1</v>
      </c>
      <c r="M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" s="8" t="str" cm="1">
        <f t="array" ref="N84">_xlfn.IFS(HR_Analytics56[[#This Row],[PerformanceRating]]=3,"Good",HR_Analytics56[[#This Row],[PerformanceRating]]=4, "Excellent")</f>
        <v>Good</v>
      </c>
      <c r="O84" s="8" t="str">
        <f>IF(HR_Analytics56[[#This Row],[MonthlyIncome]]&lt;3000,"&lt; ₹3,000",IF(HR_Analytics56[[#This Row],[MonthlyIncome]]&lt;=7000,"₹ 3,000 - ₹ 7,000","&gt; ₹7,000"))</f>
        <v>&lt; ₹3,000</v>
      </c>
      <c r="P84" s="8" t="str" cm="1">
        <f t="array" ref="P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" spans="1:16" x14ac:dyDescent="0.8">
      <c r="A85" s="5" t="s">
        <v>147</v>
      </c>
      <c r="B85" s="8">
        <v>24</v>
      </c>
      <c r="C85" s="5" t="s">
        <v>49</v>
      </c>
      <c r="D85" s="5" t="s">
        <v>42</v>
      </c>
      <c r="E85" s="5" t="s">
        <v>44</v>
      </c>
      <c r="F85" s="5" t="s">
        <v>45</v>
      </c>
      <c r="G85" s="8">
        <v>4</v>
      </c>
      <c r="H85" s="8">
        <v>3162</v>
      </c>
      <c r="I85" s="5" t="s">
        <v>49</v>
      </c>
      <c r="J85" s="8">
        <v>3</v>
      </c>
      <c r="K85" s="8">
        <v>2</v>
      </c>
      <c r="L85" s="8">
        <v>5</v>
      </c>
      <c r="M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" s="8" t="str" cm="1">
        <f t="array" ref="N85">_xlfn.IFS(HR_Analytics56[[#This Row],[PerformanceRating]]=3,"Good",HR_Analytics56[[#This Row],[PerformanceRating]]=4, "Excellent")</f>
        <v>Good</v>
      </c>
      <c r="O85" s="8" t="str">
        <f>IF(HR_Analytics56[[#This Row],[MonthlyIncome]]&lt;3000,"&lt; ₹3,000",IF(HR_Analytics56[[#This Row],[MonthlyIncome]]&lt;=7000,"₹ 3,000 - ₹ 7,000","&gt; ₹7,000"))</f>
        <v>₹ 3,000 - ₹ 7,000</v>
      </c>
      <c r="P85" s="8" t="str" cm="1">
        <f t="array" ref="P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" spans="1:16" x14ac:dyDescent="0.8">
      <c r="A86" s="5" t="s">
        <v>148</v>
      </c>
      <c r="B86" s="8">
        <v>24</v>
      </c>
      <c r="C86" s="5" t="s">
        <v>49</v>
      </c>
      <c r="D86" s="5" t="s">
        <v>42</v>
      </c>
      <c r="E86" s="5" t="s">
        <v>53</v>
      </c>
      <c r="F86" s="5" t="s">
        <v>112</v>
      </c>
      <c r="G86" s="8">
        <v>3</v>
      </c>
      <c r="H86" s="8">
        <v>4377</v>
      </c>
      <c r="I86" s="5" t="s">
        <v>49</v>
      </c>
      <c r="J86" s="8">
        <v>3</v>
      </c>
      <c r="K86" s="8">
        <v>6</v>
      </c>
      <c r="L86" s="8">
        <v>4</v>
      </c>
      <c r="M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" s="8" t="str" cm="1">
        <f t="array" ref="N86">_xlfn.IFS(HR_Analytics56[[#This Row],[PerformanceRating]]=3,"Good",HR_Analytics56[[#This Row],[PerformanceRating]]=4, "Excellent")</f>
        <v>Good</v>
      </c>
      <c r="O86" s="8" t="str">
        <f>IF(HR_Analytics56[[#This Row],[MonthlyIncome]]&lt;3000,"&lt; ₹3,000",IF(HR_Analytics56[[#This Row],[MonthlyIncome]]&lt;=7000,"₹ 3,000 - ₹ 7,000","&gt; ₹7,000"))</f>
        <v>₹ 3,000 - ₹ 7,000</v>
      </c>
      <c r="P86" s="8" t="str" cm="1">
        <f t="array" ref="P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" spans="1:16" x14ac:dyDescent="0.8">
      <c r="A87" s="5" t="s">
        <v>149</v>
      </c>
      <c r="B87" s="8">
        <v>24</v>
      </c>
      <c r="C87" s="5" t="s">
        <v>49</v>
      </c>
      <c r="D87" s="5" t="s">
        <v>42</v>
      </c>
      <c r="E87" s="5" t="s">
        <v>44</v>
      </c>
      <c r="F87" s="5" t="s">
        <v>45</v>
      </c>
      <c r="G87" s="8">
        <v>2</v>
      </c>
      <c r="H87" s="8">
        <v>3597</v>
      </c>
      <c r="I87" s="5" t="s">
        <v>49</v>
      </c>
      <c r="J87" s="8">
        <v>4</v>
      </c>
      <c r="K87" s="8">
        <v>2</v>
      </c>
      <c r="L87" s="8">
        <v>4</v>
      </c>
      <c r="M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" s="8" t="str" cm="1">
        <f t="array" ref="N87">_xlfn.IFS(HR_Analytics56[[#This Row],[PerformanceRating]]=3,"Good",HR_Analytics56[[#This Row],[PerformanceRating]]=4, "Excellent")</f>
        <v>Excellent</v>
      </c>
      <c r="O87" s="8" t="str">
        <f>IF(HR_Analytics56[[#This Row],[MonthlyIncome]]&lt;3000,"&lt; ₹3,000",IF(HR_Analytics56[[#This Row],[MonthlyIncome]]&lt;=7000,"₹ 3,000 - ₹ 7,000","&gt; ₹7,000"))</f>
        <v>₹ 3,000 - ₹ 7,000</v>
      </c>
      <c r="P87" s="8" t="str" cm="1">
        <f t="array" ref="P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" spans="1:16" x14ac:dyDescent="0.8">
      <c r="A88" s="5" t="s">
        <v>150</v>
      </c>
      <c r="B88" s="8">
        <v>24</v>
      </c>
      <c r="C88" s="5" t="s">
        <v>40</v>
      </c>
      <c r="D88" s="5" t="s">
        <v>42</v>
      </c>
      <c r="E88" s="5" t="s">
        <v>53</v>
      </c>
      <c r="F88" s="5" t="s">
        <v>45</v>
      </c>
      <c r="G88" s="8">
        <v>2</v>
      </c>
      <c r="H88" s="8">
        <v>2210</v>
      </c>
      <c r="I88" s="5" t="s">
        <v>49</v>
      </c>
      <c r="J88" s="8">
        <v>3</v>
      </c>
      <c r="K88" s="8">
        <v>3</v>
      </c>
      <c r="L88" s="8">
        <v>1</v>
      </c>
      <c r="M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8" s="8" t="str" cm="1">
        <f t="array" ref="N88">_xlfn.IFS(HR_Analytics56[[#This Row],[PerformanceRating]]=3,"Good",HR_Analytics56[[#This Row],[PerformanceRating]]=4, "Excellent")</f>
        <v>Good</v>
      </c>
      <c r="O88" s="8" t="str">
        <f>IF(HR_Analytics56[[#This Row],[MonthlyIncome]]&lt;3000,"&lt; ₹3,000",IF(HR_Analytics56[[#This Row],[MonthlyIncome]]&lt;=7000,"₹ 3,000 - ₹ 7,000","&gt; ₹7,000"))</f>
        <v>&lt; ₹3,000</v>
      </c>
      <c r="P88" s="8" t="str" cm="1">
        <f t="array" ref="P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" spans="1:16" x14ac:dyDescent="0.8">
      <c r="A89" s="5" t="s">
        <v>151</v>
      </c>
      <c r="B89" s="8">
        <v>24</v>
      </c>
      <c r="C89" s="5" t="s">
        <v>49</v>
      </c>
      <c r="D89" s="5" t="s">
        <v>51</v>
      </c>
      <c r="E89" s="5" t="s">
        <v>53</v>
      </c>
      <c r="F89" s="5" t="s">
        <v>137</v>
      </c>
      <c r="G89" s="8">
        <v>3</v>
      </c>
      <c r="H89" s="8">
        <v>4162</v>
      </c>
      <c r="I89" s="5" t="s">
        <v>40</v>
      </c>
      <c r="J89" s="8">
        <v>3</v>
      </c>
      <c r="K89" s="8">
        <v>3</v>
      </c>
      <c r="L89" s="8">
        <v>5</v>
      </c>
      <c r="M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9" s="8" t="str" cm="1">
        <f t="array" ref="N89">_xlfn.IFS(HR_Analytics56[[#This Row],[PerformanceRating]]=3,"Good",HR_Analytics56[[#This Row],[PerformanceRating]]=4, "Excellent")</f>
        <v>Good</v>
      </c>
      <c r="O89" s="8" t="str">
        <f>IF(HR_Analytics56[[#This Row],[MonthlyIncome]]&lt;3000,"&lt; ₹3,000",IF(HR_Analytics56[[#This Row],[MonthlyIncome]]&lt;=7000,"₹ 3,000 - ₹ 7,000","&gt; ₹7,000"))</f>
        <v>₹ 3,000 - ₹ 7,000</v>
      </c>
      <c r="P89" s="8" t="str" cm="1">
        <f t="array" ref="P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" spans="1:16" x14ac:dyDescent="0.8">
      <c r="A90" s="5" t="s">
        <v>152</v>
      </c>
      <c r="B90" s="8">
        <v>24</v>
      </c>
      <c r="C90" s="5" t="s">
        <v>40</v>
      </c>
      <c r="D90" s="5" t="s">
        <v>42</v>
      </c>
      <c r="E90" s="5" t="s">
        <v>44</v>
      </c>
      <c r="F90" s="5" t="s">
        <v>45</v>
      </c>
      <c r="G90" s="8">
        <v>1</v>
      </c>
      <c r="H90" s="8">
        <v>3172</v>
      </c>
      <c r="I90" s="5" t="s">
        <v>40</v>
      </c>
      <c r="J90" s="8">
        <v>3</v>
      </c>
      <c r="K90" s="8">
        <v>2</v>
      </c>
      <c r="L90" s="8">
        <v>0</v>
      </c>
      <c r="M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0" s="8" t="str" cm="1">
        <f t="array" ref="N90">_xlfn.IFS(HR_Analytics56[[#This Row],[PerformanceRating]]=3,"Good",HR_Analytics56[[#This Row],[PerformanceRating]]=4, "Excellent")</f>
        <v>Good</v>
      </c>
      <c r="O90" s="8" t="str">
        <f>IF(HR_Analytics56[[#This Row],[MonthlyIncome]]&lt;3000,"&lt; ₹3,000",IF(HR_Analytics56[[#This Row],[MonthlyIncome]]&lt;=7000,"₹ 3,000 - ₹ 7,000","&gt; ₹7,000"))</f>
        <v>₹ 3,000 - ₹ 7,000</v>
      </c>
      <c r="P90" s="8" t="str" cm="1">
        <f t="array" ref="P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" spans="1:16" x14ac:dyDescent="0.8">
      <c r="A91" s="5" t="s">
        <v>153</v>
      </c>
      <c r="B91" s="8">
        <v>24</v>
      </c>
      <c r="C91" s="5" t="s">
        <v>49</v>
      </c>
      <c r="D91" s="5" t="s">
        <v>51</v>
      </c>
      <c r="E91" s="5" t="s">
        <v>53</v>
      </c>
      <c r="F91" s="5" t="s">
        <v>54</v>
      </c>
      <c r="G91" s="8">
        <v>2</v>
      </c>
      <c r="H91" s="8">
        <v>2033</v>
      </c>
      <c r="I91" s="5" t="s">
        <v>49</v>
      </c>
      <c r="J91" s="8">
        <v>3</v>
      </c>
      <c r="K91" s="8">
        <v>2</v>
      </c>
      <c r="L91" s="8">
        <v>1</v>
      </c>
      <c r="M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" s="8" t="str" cm="1">
        <f t="array" ref="N91">_xlfn.IFS(HR_Analytics56[[#This Row],[PerformanceRating]]=3,"Good",HR_Analytics56[[#This Row],[PerformanceRating]]=4, "Excellent")</f>
        <v>Good</v>
      </c>
      <c r="O91" s="8" t="str">
        <f>IF(HR_Analytics56[[#This Row],[MonthlyIncome]]&lt;3000,"&lt; ₹3,000",IF(HR_Analytics56[[#This Row],[MonthlyIncome]]&lt;=7000,"₹ 3,000 - ₹ 7,000","&gt; ₹7,000"))</f>
        <v>&lt; ₹3,000</v>
      </c>
      <c r="P91" s="8" t="str" cm="1">
        <f t="array" ref="P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" spans="1:16" x14ac:dyDescent="0.8">
      <c r="A92" s="5" t="s">
        <v>154</v>
      </c>
      <c r="B92" s="8">
        <v>24</v>
      </c>
      <c r="C92" s="5" t="s">
        <v>49</v>
      </c>
      <c r="D92" s="5" t="s">
        <v>42</v>
      </c>
      <c r="E92" s="5" t="s">
        <v>44</v>
      </c>
      <c r="F92" s="5" t="s">
        <v>45</v>
      </c>
      <c r="G92" s="8">
        <v>1</v>
      </c>
      <c r="H92" s="8">
        <v>2296</v>
      </c>
      <c r="I92" s="5" t="s">
        <v>49</v>
      </c>
      <c r="J92" s="8">
        <v>3</v>
      </c>
      <c r="K92" s="8">
        <v>3</v>
      </c>
      <c r="L92" s="8">
        <v>1</v>
      </c>
      <c r="M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" s="8" t="str" cm="1">
        <f t="array" ref="N92">_xlfn.IFS(HR_Analytics56[[#This Row],[PerformanceRating]]=3,"Good",HR_Analytics56[[#This Row],[PerformanceRating]]=4, "Excellent")</f>
        <v>Good</v>
      </c>
      <c r="O92" s="8" t="str">
        <f>IF(HR_Analytics56[[#This Row],[MonthlyIncome]]&lt;3000,"&lt; ₹3,000",IF(HR_Analytics56[[#This Row],[MonthlyIncome]]&lt;=7000,"₹ 3,000 - ₹ 7,000","&gt; ₹7,000"))</f>
        <v>&lt; ₹3,000</v>
      </c>
      <c r="P92" s="8" t="str" cm="1">
        <f t="array" ref="P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" spans="1:16" x14ac:dyDescent="0.8">
      <c r="A93" s="5" t="s">
        <v>155</v>
      </c>
      <c r="B93" s="8">
        <v>24</v>
      </c>
      <c r="C93" s="5" t="s">
        <v>49</v>
      </c>
      <c r="D93" s="5" t="s">
        <v>42</v>
      </c>
      <c r="E93" s="5" t="s">
        <v>53</v>
      </c>
      <c r="F93" s="5" t="s">
        <v>60</v>
      </c>
      <c r="G93" s="8">
        <v>4</v>
      </c>
      <c r="H93" s="8">
        <v>3760</v>
      </c>
      <c r="I93" s="5" t="s">
        <v>40</v>
      </c>
      <c r="J93" s="8">
        <v>3</v>
      </c>
      <c r="K93" s="8">
        <v>2</v>
      </c>
      <c r="L93" s="8">
        <v>6</v>
      </c>
      <c r="M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3" s="8" t="str" cm="1">
        <f t="array" ref="N93">_xlfn.IFS(HR_Analytics56[[#This Row],[PerformanceRating]]=3,"Good",HR_Analytics56[[#This Row],[PerformanceRating]]=4, "Excellent")</f>
        <v>Good</v>
      </c>
      <c r="O93" s="8" t="str">
        <f>IF(HR_Analytics56[[#This Row],[MonthlyIncome]]&lt;3000,"&lt; ₹3,000",IF(HR_Analytics56[[#This Row],[MonthlyIncome]]&lt;=7000,"₹ 3,000 - ₹ 7,000","&gt; ₹7,000"))</f>
        <v>₹ 3,000 - ₹ 7,000</v>
      </c>
      <c r="P93" s="8" t="str" cm="1">
        <f t="array" ref="P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" spans="1:16" x14ac:dyDescent="0.8">
      <c r="A94" s="5" t="s">
        <v>156</v>
      </c>
      <c r="B94" s="8">
        <v>24</v>
      </c>
      <c r="C94" s="5" t="s">
        <v>49</v>
      </c>
      <c r="D94" s="5" t="s">
        <v>42</v>
      </c>
      <c r="E94" s="5" t="s">
        <v>44</v>
      </c>
      <c r="F94" s="5" t="s">
        <v>60</v>
      </c>
      <c r="G94" s="8">
        <v>3</v>
      </c>
      <c r="H94" s="8">
        <v>4401</v>
      </c>
      <c r="I94" s="5" t="s">
        <v>49</v>
      </c>
      <c r="J94" s="8">
        <v>3</v>
      </c>
      <c r="K94" s="8">
        <v>1</v>
      </c>
      <c r="L94" s="8">
        <v>5</v>
      </c>
      <c r="M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" s="8" t="str" cm="1">
        <f t="array" ref="N94">_xlfn.IFS(HR_Analytics56[[#This Row],[PerformanceRating]]=3,"Good",HR_Analytics56[[#This Row],[PerformanceRating]]=4, "Excellent")</f>
        <v>Good</v>
      </c>
      <c r="O94" s="8" t="str">
        <f>IF(HR_Analytics56[[#This Row],[MonthlyIncome]]&lt;3000,"&lt; ₹3,000",IF(HR_Analytics56[[#This Row],[MonthlyIncome]]&lt;=7000,"₹ 3,000 - ₹ 7,000","&gt; ₹7,000"))</f>
        <v>₹ 3,000 - ₹ 7,000</v>
      </c>
      <c r="P94" s="8" t="str" cm="1">
        <f t="array" ref="P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" spans="1:16" x14ac:dyDescent="0.8">
      <c r="A95" s="5" t="s">
        <v>157</v>
      </c>
      <c r="B95" s="8">
        <v>24</v>
      </c>
      <c r="C95" s="5" t="s">
        <v>40</v>
      </c>
      <c r="D95" s="5" t="s">
        <v>71</v>
      </c>
      <c r="E95" s="5" t="s">
        <v>44</v>
      </c>
      <c r="F95" s="5" t="s">
        <v>71</v>
      </c>
      <c r="G95" s="8">
        <v>3</v>
      </c>
      <c r="H95" s="8">
        <v>1555</v>
      </c>
      <c r="I95" s="5" t="s">
        <v>49</v>
      </c>
      <c r="J95" s="8">
        <v>3</v>
      </c>
      <c r="K95" s="8">
        <v>2</v>
      </c>
      <c r="L95" s="8">
        <v>1</v>
      </c>
      <c r="M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5" s="8" t="str" cm="1">
        <f t="array" ref="N95">_xlfn.IFS(HR_Analytics56[[#This Row],[PerformanceRating]]=3,"Good",HR_Analytics56[[#This Row],[PerformanceRating]]=4, "Excellent")</f>
        <v>Good</v>
      </c>
      <c r="O95" s="8" t="str">
        <f>IF(HR_Analytics56[[#This Row],[MonthlyIncome]]&lt;3000,"&lt; ₹3,000",IF(HR_Analytics56[[#This Row],[MonthlyIncome]]&lt;=7000,"₹ 3,000 - ₹ 7,000","&gt; ₹7,000"))</f>
        <v>&lt; ₹3,000</v>
      </c>
      <c r="P95" s="8" t="str" cm="1">
        <f t="array" ref="P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" spans="1:16" x14ac:dyDescent="0.8">
      <c r="A96" s="5" t="s">
        <v>158</v>
      </c>
      <c r="B96" s="8">
        <v>24</v>
      </c>
      <c r="C96" s="5" t="s">
        <v>49</v>
      </c>
      <c r="D96" s="5" t="s">
        <v>42</v>
      </c>
      <c r="E96" s="5" t="s">
        <v>44</v>
      </c>
      <c r="F96" s="5" t="s">
        <v>45</v>
      </c>
      <c r="G96" s="8">
        <v>1</v>
      </c>
      <c r="H96" s="8">
        <v>3907</v>
      </c>
      <c r="I96" s="5" t="s">
        <v>49</v>
      </c>
      <c r="J96" s="8">
        <v>3</v>
      </c>
      <c r="K96" s="8">
        <v>2</v>
      </c>
      <c r="L96" s="8">
        <v>6</v>
      </c>
      <c r="M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" s="8" t="str" cm="1">
        <f t="array" ref="N96">_xlfn.IFS(HR_Analytics56[[#This Row],[PerformanceRating]]=3,"Good",HR_Analytics56[[#This Row],[PerformanceRating]]=4, "Excellent")</f>
        <v>Good</v>
      </c>
      <c r="O96" s="8" t="str">
        <f>IF(HR_Analytics56[[#This Row],[MonthlyIncome]]&lt;3000,"&lt; ₹3,000",IF(HR_Analytics56[[#This Row],[MonthlyIncome]]&lt;=7000,"₹ 3,000 - ₹ 7,000","&gt; ₹7,000"))</f>
        <v>₹ 3,000 - ₹ 7,000</v>
      </c>
      <c r="P96" s="8" t="str" cm="1">
        <f t="array" ref="P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" spans="1:16" x14ac:dyDescent="0.8">
      <c r="A97" s="5" t="s">
        <v>159</v>
      </c>
      <c r="B97" s="8">
        <v>24</v>
      </c>
      <c r="C97" s="5" t="s">
        <v>49</v>
      </c>
      <c r="D97" s="5" t="s">
        <v>71</v>
      </c>
      <c r="E97" s="5" t="s">
        <v>44</v>
      </c>
      <c r="F97" s="5" t="s">
        <v>71</v>
      </c>
      <c r="G97" s="8">
        <v>4</v>
      </c>
      <c r="H97" s="8">
        <v>2145</v>
      </c>
      <c r="I97" s="5" t="s">
        <v>49</v>
      </c>
      <c r="J97" s="8">
        <v>3</v>
      </c>
      <c r="K97" s="8">
        <v>2</v>
      </c>
      <c r="L97" s="8">
        <v>2</v>
      </c>
      <c r="M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" s="8" t="str" cm="1">
        <f t="array" ref="N97">_xlfn.IFS(HR_Analytics56[[#This Row],[PerformanceRating]]=3,"Good",HR_Analytics56[[#This Row],[PerformanceRating]]=4, "Excellent")</f>
        <v>Good</v>
      </c>
      <c r="O97" s="8" t="str">
        <f>IF(HR_Analytics56[[#This Row],[MonthlyIncome]]&lt;3000,"&lt; ₹3,000",IF(HR_Analytics56[[#This Row],[MonthlyIncome]]&lt;=7000,"₹ 3,000 - ₹ 7,000","&gt; ₹7,000"))</f>
        <v>&lt; ₹3,000</v>
      </c>
      <c r="P97" s="8" t="str" cm="1">
        <f t="array" ref="P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" spans="1:16" x14ac:dyDescent="0.8">
      <c r="A98" s="5" t="s">
        <v>160</v>
      </c>
      <c r="B98" s="8">
        <v>24</v>
      </c>
      <c r="C98" s="5" t="s">
        <v>49</v>
      </c>
      <c r="D98" s="5" t="s">
        <v>42</v>
      </c>
      <c r="E98" s="5" t="s">
        <v>44</v>
      </c>
      <c r="F98" s="5" t="s">
        <v>161</v>
      </c>
      <c r="G98" s="8">
        <v>3</v>
      </c>
      <c r="H98" s="8">
        <v>4617</v>
      </c>
      <c r="I98" s="5" t="s">
        <v>49</v>
      </c>
      <c r="J98" s="8">
        <v>3</v>
      </c>
      <c r="K98" s="8">
        <v>2</v>
      </c>
      <c r="L98" s="8">
        <v>4</v>
      </c>
      <c r="M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" s="8" t="str" cm="1">
        <f t="array" ref="N98">_xlfn.IFS(HR_Analytics56[[#This Row],[PerformanceRating]]=3,"Good",HR_Analytics56[[#This Row],[PerformanceRating]]=4, "Excellent")</f>
        <v>Good</v>
      </c>
      <c r="O98" s="8" t="str">
        <f>IF(HR_Analytics56[[#This Row],[MonthlyIncome]]&lt;3000,"&lt; ₹3,000",IF(HR_Analytics56[[#This Row],[MonthlyIncome]]&lt;=7000,"₹ 3,000 - ₹ 7,000","&gt; ₹7,000"))</f>
        <v>₹ 3,000 - ₹ 7,000</v>
      </c>
      <c r="P98" s="8" t="str" cm="1">
        <f t="array" ref="P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" spans="1:16" x14ac:dyDescent="0.8">
      <c r="A99" s="5" t="s">
        <v>162</v>
      </c>
      <c r="B99" s="8">
        <v>25</v>
      </c>
      <c r="C99" s="5" t="s">
        <v>40</v>
      </c>
      <c r="D99" s="5" t="s">
        <v>51</v>
      </c>
      <c r="E99" s="5" t="s">
        <v>44</v>
      </c>
      <c r="F99" s="5" t="s">
        <v>137</v>
      </c>
      <c r="G99" s="8">
        <v>3</v>
      </c>
      <c r="H99" s="8">
        <v>5744</v>
      </c>
      <c r="I99" s="5" t="s">
        <v>40</v>
      </c>
      <c r="J99" s="8">
        <v>3</v>
      </c>
      <c r="K99" s="8">
        <v>1</v>
      </c>
      <c r="L99" s="8">
        <v>6</v>
      </c>
      <c r="M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9" s="8" t="str" cm="1">
        <f t="array" ref="N99">_xlfn.IFS(HR_Analytics56[[#This Row],[PerformanceRating]]=3,"Good",HR_Analytics56[[#This Row],[PerformanceRating]]=4, "Excellent")</f>
        <v>Good</v>
      </c>
      <c r="O99" s="8" t="str">
        <f>IF(HR_Analytics56[[#This Row],[MonthlyIncome]]&lt;3000,"&lt; ₹3,000",IF(HR_Analytics56[[#This Row],[MonthlyIncome]]&lt;=7000,"₹ 3,000 - ₹ 7,000","&gt; ₹7,000"))</f>
        <v>₹ 3,000 - ₹ 7,000</v>
      </c>
      <c r="P99" s="8" t="str" cm="1">
        <f t="array" ref="P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" spans="1:16" x14ac:dyDescent="0.8">
      <c r="A100" s="5" t="s">
        <v>164</v>
      </c>
      <c r="B100" s="8">
        <v>25</v>
      </c>
      <c r="C100" s="5" t="s">
        <v>49</v>
      </c>
      <c r="D100" s="5" t="s">
        <v>42</v>
      </c>
      <c r="E100" s="5" t="s">
        <v>44</v>
      </c>
      <c r="F100" s="5" t="s">
        <v>60</v>
      </c>
      <c r="G100" s="8">
        <v>4</v>
      </c>
      <c r="H100" s="8">
        <v>2889</v>
      </c>
      <c r="I100" s="5" t="s">
        <v>49</v>
      </c>
      <c r="J100" s="8">
        <v>3</v>
      </c>
      <c r="K100" s="8">
        <v>2</v>
      </c>
      <c r="L100" s="8">
        <v>2</v>
      </c>
      <c r="M1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" s="8" t="str" cm="1">
        <f t="array" ref="N100">_xlfn.IFS(HR_Analytics56[[#This Row],[PerformanceRating]]=3,"Good",HR_Analytics56[[#This Row],[PerformanceRating]]=4, "Excellent")</f>
        <v>Good</v>
      </c>
      <c r="O100" s="8" t="str">
        <f>IF(HR_Analytics56[[#This Row],[MonthlyIncome]]&lt;3000,"&lt; ₹3,000",IF(HR_Analytics56[[#This Row],[MonthlyIncome]]&lt;=7000,"₹ 3,000 - ₹ 7,000","&gt; ₹7,000"))</f>
        <v>&lt; ₹3,000</v>
      </c>
      <c r="P100" s="8" t="str" cm="1">
        <f t="array" ref="P1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" spans="1:16" x14ac:dyDescent="0.8">
      <c r="A101" s="5" t="s">
        <v>165</v>
      </c>
      <c r="B101" s="8">
        <v>25</v>
      </c>
      <c r="C101" s="5" t="s">
        <v>49</v>
      </c>
      <c r="D101" s="5" t="s">
        <v>51</v>
      </c>
      <c r="E101" s="5" t="s">
        <v>44</v>
      </c>
      <c r="F101" s="5" t="s">
        <v>137</v>
      </c>
      <c r="G101" s="8">
        <v>3</v>
      </c>
      <c r="H101" s="8">
        <v>8639</v>
      </c>
      <c r="I101" s="5" t="s">
        <v>49</v>
      </c>
      <c r="J101" s="8">
        <v>3</v>
      </c>
      <c r="K101" s="8">
        <v>3</v>
      </c>
      <c r="L101" s="8">
        <v>2</v>
      </c>
      <c r="M1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" s="8" t="str" cm="1">
        <f t="array" ref="N101">_xlfn.IFS(HR_Analytics56[[#This Row],[PerformanceRating]]=3,"Good",HR_Analytics56[[#This Row],[PerformanceRating]]=4, "Excellent")</f>
        <v>Good</v>
      </c>
      <c r="O101" s="8" t="str">
        <f>IF(HR_Analytics56[[#This Row],[MonthlyIncome]]&lt;3000,"&lt; ₹3,000",IF(HR_Analytics56[[#This Row],[MonthlyIncome]]&lt;=7000,"₹ 3,000 - ₹ 7,000","&gt; ₹7,000"))</f>
        <v>&gt; ₹7,000</v>
      </c>
      <c r="P101" s="8" t="str" cm="1">
        <f t="array" ref="P1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" spans="1:16" x14ac:dyDescent="0.8">
      <c r="A102" s="5" t="s">
        <v>166</v>
      </c>
      <c r="B102" s="8">
        <v>25</v>
      </c>
      <c r="C102" s="5" t="s">
        <v>49</v>
      </c>
      <c r="D102" s="5" t="s">
        <v>42</v>
      </c>
      <c r="E102" s="5" t="s">
        <v>53</v>
      </c>
      <c r="F102" s="5" t="s">
        <v>112</v>
      </c>
      <c r="G102" s="8">
        <v>3</v>
      </c>
      <c r="H102" s="8">
        <v>4898</v>
      </c>
      <c r="I102" s="5" t="s">
        <v>49</v>
      </c>
      <c r="J102" s="8">
        <v>3</v>
      </c>
      <c r="K102" s="8">
        <v>3</v>
      </c>
      <c r="L102" s="8">
        <v>4</v>
      </c>
      <c r="M1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" s="8" t="str" cm="1">
        <f t="array" ref="N102">_xlfn.IFS(HR_Analytics56[[#This Row],[PerformanceRating]]=3,"Good",HR_Analytics56[[#This Row],[PerformanceRating]]=4, "Excellent")</f>
        <v>Good</v>
      </c>
      <c r="O102" s="8" t="str">
        <f>IF(HR_Analytics56[[#This Row],[MonthlyIncome]]&lt;3000,"&lt; ₹3,000",IF(HR_Analytics56[[#This Row],[MonthlyIncome]]&lt;=7000,"₹ 3,000 - ₹ 7,000","&gt; ₹7,000"))</f>
        <v>₹ 3,000 - ₹ 7,000</v>
      </c>
      <c r="P102" s="8" t="str" cm="1">
        <f t="array" ref="P1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" spans="1:16" x14ac:dyDescent="0.8">
      <c r="A103" s="5" t="s">
        <v>167</v>
      </c>
      <c r="B103" s="8">
        <v>25</v>
      </c>
      <c r="C103" s="5" t="s">
        <v>49</v>
      </c>
      <c r="D103" s="5" t="s">
        <v>42</v>
      </c>
      <c r="E103" s="5" t="s">
        <v>44</v>
      </c>
      <c r="F103" s="5" t="s">
        <v>161</v>
      </c>
      <c r="G103" s="8">
        <v>1</v>
      </c>
      <c r="H103" s="8">
        <v>4000</v>
      </c>
      <c r="I103" s="5" t="s">
        <v>49</v>
      </c>
      <c r="J103" s="8">
        <v>3</v>
      </c>
      <c r="K103" s="8">
        <v>2</v>
      </c>
      <c r="L103" s="8">
        <v>6</v>
      </c>
      <c r="M1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" s="8" t="str" cm="1">
        <f t="array" ref="N103">_xlfn.IFS(HR_Analytics56[[#This Row],[PerformanceRating]]=3,"Good",HR_Analytics56[[#This Row],[PerformanceRating]]=4, "Excellent")</f>
        <v>Good</v>
      </c>
      <c r="O103" s="8" t="str">
        <f>IF(HR_Analytics56[[#This Row],[MonthlyIncome]]&lt;3000,"&lt; ₹3,000",IF(HR_Analytics56[[#This Row],[MonthlyIncome]]&lt;=7000,"₹ 3,000 - ₹ 7,000","&gt; ₹7,000"))</f>
        <v>₹ 3,000 - ₹ 7,000</v>
      </c>
      <c r="P103" s="8" t="str" cm="1">
        <f t="array" ref="P1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" spans="1:16" x14ac:dyDescent="0.8">
      <c r="A104" s="5" t="s">
        <v>168</v>
      </c>
      <c r="B104" s="8">
        <v>25</v>
      </c>
      <c r="C104" s="5" t="s">
        <v>49</v>
      </c>
      <c r="D104" s="5" t="s">
        <v>51</v>
      </c>
      <c r="E104" s="5" t="s">
        <v>53</v>
      </c>
      <c r="F104" s="5" t="s">
        <v>137</v>
      </c>
      <c r="G104" s="8">
        <v>4</v>
      </c>
      <c r="H104" s="8">
        <v>4487</v>
      </c>
      <c r="I104" s="5" t="s">
        <v>40</v>
      </c>
      <c r="J104" s="8">
        <v>3</v>
      </c>
      <c r="K104" s="8">
        <v>3</v>
      </c>
      <c r="L104" s="8">
        <v>5</v>
      </c>
      <c r="M1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4" s="8" t="str" cm="1">
        <f t="array" ref="N104">_xlfn.IFS(HR_Analytics56[[#This Row],[PerformanceRating]]=3,"Good",HR_Analytics56[[#This Row],[PerformanceRating]]=4, "Excellent")</f>
        <v>Good</v>
      </c>
      <c r="O104" s="8" t="str">
        <f>IF(HR_Analytics56[[#This Row],[MonthlyIncome]]&lt;3000,"&lt; ₹3,000",IF(HR_Analytics56[[#This Row],[MonthlyIncome]]&lt;=7000,"₹ 3,000 - ₹ 7,000","&gt; ₹7,000"))</f>
        <v>₹ 3,000 - ₹ 7,000</v>
      </c>
      <c r="P104" s="8" t="str" cm="1">
        <f t="array" ref="P1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" spans="1:16" x14ac:dyDescent="0.8">
      <c r="A105" s="5" t="s">
        <v>169</v>
      </c>
      <c r="B105" s="8">
        <v>25</v>
      </c>
      <c r="C105" s="5" t="s">
        <v>40</v>
      </c>
      <c r="D105" s="5" t="s">
        <v>42</v>
      </c>
      <c r="E105" s="5" t="s">
        <v>44</v>
      </c>
      <c r="F105" s="5" t="s">
        <v>45</v>
      </c>
      <c r="G105" s="8">
        <v>1</v>
      </c>
      <c r="H105" s="8">
        <v>4031</v>
      </c>
      <c r="I105" s="5" t="s">
        <v>49</v>
      </c>
      <c r="J105" s="8">
        <v>3</v>
      </c>
      <c r="K105" s="8">
        <v>5</v>
      </c>
      <c r="L105" s="8">
        <v>2</v>
      </c>
      <c r="M1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5" s="8" t="str" cm="1">
        <f t="array" ref="N105">_xlfn.IFS(HR_Analytics56[[#This Row],[PerformanceRating]]=3,"Good",HR_Analytics56[[#This Row],[PerformanceRating]]=4, "Excellent")</f>
        <v>Good</v>
      </c>
      <c r="O105" s="8" t="str">
        <f>IF(HR_Analytics56[[#This Row],[MonthlyIncome]]&lt;3000,"&lt; ₹3,000",IF(HR_Analytics56[[#This Row],[MonthlyIncome]]&lt;=7000,"₹ 3,000 - ₹ 7,000","&gt; ₹7,000"))</f>
        <v>₹ 3,000 - ₹ 7,000</v>
      </c>
      <c r="P105" s="8" t="str" cm="1">
        <f t="array" ref="P1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" spans="1:16" x14ac:dyDescent="0.8">
      <c r="A106" s="5" t="s">
        <v>170</v>
      </c>
      <c r="B106" s="8">
        <v>25</v>
      </c>
      <c r="C106" s="5" t="s">
        <v>49</v>
      </c>
      <c r="D106" s="5" t="s">
        <v>51</v>
      </c>
      <c r="E106" s="5" t="s">
        <v>44</v>
      </c>
      <c r="F106" s="5" t="s">
        <v>54</v>
      </c>
      <c r="G106" s="8">
        <v>3</v>
      </c>
      <c r="H106" s="8">
        <v>2096</v>
      </c>
      <c r="I106" s="5" t="s">
        <v>49</v>
      </c>
      <c r="J106" s="8">
        <v>3</v>
      </c>
      <c r="K106" s="8">
        <v>1</v>
      </c>
      <c r="L106" s="8">
        <v>7</v>
      </c>
      <c r="M1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" s="8" t="str" cm="1">
        <f t="array" ref="N106">_xlfn.IFS(HR_Analytics56[[#This Row],[PerformanceRating]]=3,"Good",HR_Analytics56[[#This Row],[PerformanceRating]]=4, "Excellent")</f>
        <v>Good</v>
      </c>
      <c r="O106" s="8" t="str">
        <f>IF(HR_Analytics56[[#This Row],[MonthlyIncome]]&lt;3000,"&lt; ₹3,000",IF(HR_Analytics56[[#This Row],[MonthlyIncome]]&lt;=7000,"₹ 3,000 - ₹ 7,000","&gt; ₹7,000"))</f>
        <v>&lt; ₹3,000</v>
      </c>
      <c r="P106" s="8" t="str" cm="1">
        <f t="array" ref="P1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" spans="1:16" x14ac:dyDescent="0.8">
      <c r="A107" s="5" t="s">
        <v>171</v>
      </c>
      <c r="B107" s="8">
        <v>25</v>
      </c>
      <c r="C107" s="5" t="s">
        <v>49</v>
      </c>
      <c r="D107" s="5" t="s">
        <v>51</v>
      </c>
      <c r="E107" s="5" t="s">
        <v>44</v>
      </c>
      <c r="F107" s="5" t="s">
        <v>137</v>
      </c>
      <c r="G107" s="8">
        <v>2</v>
      </c>
      <c r="H107" s="8">
        <v>4851</v>
      </c>
      <c r="I107" s="5" t="s">
        <v>49</v>
      </c>
      <c r="J107" s="8">
        <v>4</v>
      </c>
      <c r="K107" s="8">
        <v>4</v>
      </c>
      <c r="L107" s="8">
        <v>3</v>
      </c>
      <c r="M1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" s="8" t="str" cm="1">
        <f t="array" ref="N107">_xlfn.IFS(HR_Analytics56[[#This Row],[PerformanceRating]]=3,"Good",HR_Analytics56[[#This Row],[PerformanceRating]]=4, "Excellent")</f>
        <v>Excellent</v>
      </c>
      <c r="O107" s="8" t="str">
        <f>IF(HR_Analytics56[[#This Row],[MonthlyIncome]]&lt;3000,"&lt; ₹3,000",IF(HR_Analytics56[[#This Row],[MonthlyIncome]]&lt;=7000,"₹ 3,000 - ₹ 7,000","&gt; ₹7,000"))</f>
        <v>₹ 3,000 - ₹ 7,000</v>
      </c>
      <c r="P107" s="8" t="str" cm="1">
        <f t="array" ref="P10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8" spans="1:16" x14ac:dyDescent="0.8">
      <c r="A108" s="5" t="s">
        <v>172</v>
      </c>
      <c r="B108" s="8">
        <v>25</v>
      </c>
      <c r="C108" s="5" t="s">
        <v>49</v>
      </c>
      <c r="D108" s="5" t="s">
        <v>51</v>
      </c>
      <c r="E108" s="5" t="s">
        <v>53</v>
      </c>
      <c r="F108" s="5" t="s">
        <v>137</v>
      </c>
      <c r="G108" s="8">
        <v>4</v>
      </c>
      <c r="H108" s="8">
        <v>6180</v>
      </c>
      <c r="I108" s="5" t="s">
        <v>49</v>
      </c>
      <c r="J108" s="8">
        <v>4</v>
      </c>
      <c r="K108" s="8">
        <v>5</v>
      </c>
      <c r="L108" s="8">
        <v>6</v>
      </c>
      <c r="M1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" s="8" t="str" cm="1">
        <f t="array" ref="N108">_xlfn.IFS(HR_Analytics56[[#This Row],[PerformanceRating]]=3,"Good",HR_Analytics56[[#This Row],[PerformanceRating]]=4, "Excellent")</f>
        <v>Excellent</v>
      </c>
      <c r="O108" s="8" t="str">
        <f>IF(HR_Analytics56[[#This Row],[MonthlyIncome]]&lt;3000,"&lt; ₹3,000",IF(HR_Analytics56[[#This Row],[MonthlyIncome]]&lt;=7000,"₹ 3,000 - ₹ 7,000","&gt; ₹7,000"))</f>
        <v>₹ 3,000 - ₹ 7,000</v>
      </c>
      <c r="P108" s="8" t="str" cm="1">
        <f t="array" ref="P10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9" spans="1:16" x14ac:dyDescent="0.8">
      <c r="A109" s="5" t="s">
        <v>173</v>
      </c>
      <c r="B109" s="8">
        <v>25</v>
      </c>
      <c r="C109" s="5" t="s">
        <v>49</v>
      </c>
      <c r="D109" s="5" t="s">
        <v>42</v>
      </c>
      <c r="E109" s="5" t="s">
        <v>44</v>
      </c>
      <c r="F109" s="5" t="s">
        <v>60</v>
      </c>
      <c r="G109" s="8">
        <v>1</v>
      </c>
      <c r="H109" s="8">
        <v>3424</v>
      </c>
      <c r="I109" s="5" t="s">
        <v>49</v>
      </c>
      <c r="J109" s="8">
        <v>3</v>
      </c>
      <c r="K109" s="8">
        <v>3</v>
      </c>
      <c r="L109" s="8">
        <v>4</v>
      </c>
      <c r="M1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" s="8" t="str" cm="1">
        <f t="array" ref="N109">_xlfn.IFS(HR_Analytics56[[#This Row],[PerformanceRating]]=3,"Good",HR_Analytics56[[#This Row],[PerformanceRating]]=4, "Excellent")</f>
        <v>Good</v>
      </c>
      <c r="O109" s="8" t="str">
        <f>IF(HR_Analytics56[[#This Row],[MonthlyIncome]]&lt;3000,"&lt; ₹3,000",IF(HR_Analytics56[[#This Row],[MonthlyIncome]]&lt;=7000,"₹ 3,000 - ₹ 7,000","&gt; ₹7,000"))</f>
        <v>₹ 3,000 - ₹ 7,000</v>
      </c>
      <c r="P109" s="8" t="str" cm="1">
        <f t="array" ref="P1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" spans="1:16" x14ac:dyDescent="0.8">
      <c r="A110" s="5" t="s">
        <v>174</v>
      </c>
      <c r="B110" s="8">
        <v>25</v>
      </c>
      <c r="C110" s="5" t="s">
        <v>49</v>
      </c>
      <c r="D110" s="5" t="s">
        <v>51</v>
      </c>
      <c r="E110" s="5" t="s">
        <v>44</v>
      </c>
      <c r="F110" s="5" t="s">
        <v>137</v>
      </c>
      <c r="G110" s="8">
        <v>1</v>
      </c>
      <c r="H110" s="8">
        <v>4194</v>
      </c>
      <c r="I110" s="5" t="s">
        <v>40</v>
      </c>
      <c r="J110" s="8">
        <v>3</v>
      </c>
      <c r="K110" s="8">
        <v>3</v>
      </c>
      <c r="L110" s="8">
        <v>5</v>
      </c>
      <c r="M1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0" s="8" t="str" cm="1">
        <f t="array" ref="N110">_xlfn.IFS(HR_Analytics56[[#This Row],[PerformanceRating]]=3,"Good",HR_Analytics56[[#This Row],[PerformanceRating]]=4, "Excellent")</f>
        <v>Good</v>
      </c>
      <c r="O110" s="8" t="str">
        <f>IF(HR_Analytics56[[#This Row],[MonthlyIncome]]&lt;3000,"&lt; ₹3,000",IF(HR_Analytics56[[#This Row],[MonthlyIncome]]&lt;=7000,"₹ 3,000 - ₹ 7,000","&gt; ₹7,000"))</f>
        <v>₹ 3,000 - ₹ 7,000</v>
      </c>
      <c r="P110" s="8" t="str" cm="1">
        <f t="array" ref="P1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" spans="1:16" x14ac:dyDescent="0.8">
      <c r="A111" s="5" t="s">
        <v>175</v>
      </c>
      <c r="B111" s="8">
        <v>25</v>
      </c>
      <c r="C111" s="5" t="s">
        <v>49</v>
      </c>
      <c r="D111" s="5" t="s">
        <v>51</v>
      </c>
      <c r="E111" s="5" t="s">
        <v>44</v>
      </c>
      <c r="F111" s="5" t="s">
        <v>137</v>
      </c>
      <c r="G111" s="8">
        <v>1</v>
      </c>
      <c r="H111" s="8">
        <v>4256</v>
      </c>
      <c r="I111" s="5" t="s">
        <v>49</v>
      </c>
      <c r="J111" s="8">
        <v>3</v>
      </c>
      <c r="K111" s="8">
        <v>1</v>
      </c>
      <c r="L111" s="8">
        <v>5</v>
      </c>
      <c r="M1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" s="8" t="str" cm="1">
        <f t="array" ref="N111">_xlfn.IFS(HR_Analytics56[[#This Row],[PerformanceRating]]=3,"Good",HR_Analytics56[[#This Row],[PerformanceRating]]=4, "Excellent")</f>
        <v>Good</v>
      </c>
      <c r="O111" s="8" t="str">
        <f>IF(HR_Analytics56[[#This Row],[MonthlyIncome]]&lt;3000,"&lt; ₹3,000",IF(HR_Analytics56[[#This Row],[MonthlyIncome]]&lt;=7000,"₹ 3,000 - ₹ 7,000","&gt; ₹7,000"))</f>
        <v>₹ 3,000 - ₹ 7,000</v>
      </c>
      <c r="P111" s="8" t="str" cm="1">
        <f t="array" ref="P1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" spans="1:16" x14ac:dyDescent="0.8">
      <c r="A112" s="5" t="s">
        <v>176</v>
      </c>
      <c r="B112" s="8">
        <v>25</v>
      </c>
      <c r="C112" s="5" t="s">
        <v>40</v>
      </c>
      <c r="D112" s="5" t="s">
        <v>51</v>
      </c>
      <c r="E112" s="5" t="s">
        <v>44</v>
      </c>
      <c r="F112" s="5" t="s">
        <v>54</v>
      </c>
      <c r="G112" s="8">
        <v>2</v>
      </c>
      <c r="H112" s="8">
        <v>2413</v>
      </c>
      <c r="I112" s="5" t="s">
        <v>40</v>
      </c>
      <c r="J112" s="8">
        <v>3</v>
      </c>
      <c r="K112" s="8">
        <v>2</v>
      </c>
      <c r="L112" s="8">
        <v>1</v>
      </c>
      <c r="M1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2" s="8" t="str" cm="1">
        <f t="array" ref="N112">_xlfn.IFS(HR_Analytics56[[#This Row],[PerformanceRating]]=3,"Good",HR_Analytics56[[#This Row],[PerformanceRating]]=4, "Excellent")</f>
        <v>Good</v>
      </c>
      <c r="O112" s="8" t="str">
        <f>IF(HR_Analytics56[[#This Row],[MonthlyIncome]]&lt;3000,"&lt; ₹3,000",IF(HR_Analytics56[[#This Row],[MonthlyIncome]]&lt;=7000,"₹ 3,000 - ₹ 7,000","&gt; ₹7,000"))</f>
        <v>&lt; ₹3,000</v>
      </c>
      <c r="P112" s="8" t="str" cm="1">
        <f t="array" ref="P1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" spans="1:16" x14ac:dyDescent="0.8">
      <c r="A113" s="5" t="s">
        <v>177</v>
      </c>
      <c r="B113" s="8">
        <v>25</v>
      </c>
      <c r="C113" s="5" t="s">
        <v>40</v>
      </c>
      <c r="D113" s="5" t="s">
        <v>42</v>
      </c>
      <c r="E113" s="5" t="s">
        <v>44</v>
      </c>
      <c r="F113" s="5" t="s">
        <v>45</v>
      </c>
      <c r="G113" s="8">
        <v>4</v>
      </c>
      <c r="H113" s="8">
        <v>3691</v>
      </c>
      <c r="I113" s="5" t="s">
        <v>40</v>
      </c>
      <c r="J113" s="8">
        <v>3</v>
      </c>
      <c r="K113" s="8">
        <v>3</v>
      </c>
      <c r="L113" s="8">
        <v>7</v>
      </c>
      <c r="M1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3" s="8" t="str" cm="1">
        <f t="array" ref="N113">_xlfn.IFS(HR_Analytics56[[#This Row],[PerformanceRating]]=3,"Good",HR_Analytics56[[#This Row],[PerformanceRating]]=4, "Excellent")</f>
        <v>Good</v>
      </c>
      <c r="O113" s="8" t="str">
        <f>IF(HR_Analytics56[[#This Row],[MonthlyIncome]]&lt;3000,"&lt; ₹3,000",IF(HR_Analytics56[[#This Row],[MonthlyIncome]]&lt;=7000,"₹ 3,000 - ₹ 7,000","&gt; ₹7,000"))</f>
        <v>₹ 3,000 - ₹ 7,000</v>
      </c>
      <c r="P113" s="8" t="str" cm="1">
        <f t="array" ref="P1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" spans="1:16" x14ac:dyDescent="0.8">
      <c r="A114" s="5" t="s">
        <v>178</v>
      </c>
      <c r="B114" s="8">
        <v>25</v>
      </c>
      <c r="C114" s="5" t="s">
        <v>49</v>
      </c>
      <c r="D114" s="5" t="s">
        <v>51</v>
      </c>
      <c r="E114" s="5" t="s">
        <v>44</v>
      </c>
      <c r="F114" s="5" t="s">
        <v>137</v>
      </c>
      <c r="G114" s="8">
        <v>4</v>
      </c>
      <c r="H114" s="8">
        <v>4950</v>
      </c>
      <c r="I114" s="5" t="s">
        <v>49</v>
      </c>
      <c r="J114" s="8">
        <v>3</v>
      </c>
      <c r="K114" s="8">
        <v>4</v>
      </c>
      <c r="L114" s="8">
        <v>4</v>
      </c>
      <c r="M1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" s="8" t="str" cm="1">
        <f t="array" ref="N114">_xlfn.IFS(HR_Analytics56[[#This Row],[PerformanceRating]]=3,"Good",HR_Analytics56[[#This Row],[PerformanceRating]]=4, "Excellent")</f>
        <v>Good</v>
      </c>
      <c r="O114" s="8" t="str">
        <f>IF(HR_Analytics56[[#This Row],[MonthlyIncome]]&lt;3000,"&lt; ₹3,000",IF(HR_Analytics56[[#This Row],[MonthlyIncome]]&lt;=7000,"₹ 3,000 - ₹ 7,000","&gt; ₹7,000"))</f>
        <v>₹ 3,000 - ₹ 7,000</v>
      </c>
      <c r="P114" s="8" t="str" cm="1">
        <f t="array" ref="P1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" spans="1:16" x14ac:dyDescent="0.8">
      <c r="A115" s="5" t="s">
        <v>179</v>
      </c>
      <c r="B115" s="8">
        <v>25</v>
      </c>
      <c r="C115" s="5" t="s">
        <v>40</v>
      </c>
      <c r="D115" s="5" t="s">
        <v>51</v>
      </c>
      <c r="E115" s="5" t="s">
        <v>44</v>
      </c>
      <c r="F115" s="5" t="s">
        <v>54</v>
      </c>
      <c r="G115" s="8">
        <v>4</v>
      </c>
      <c r="H115" s="8">
        <v>1118</v>
      </c>
      <c r="I115" s="5" t="s">
        <v>40</v>
      </c>
      <c r="J115" s="8">
        <v>3</v>
      </c>
      <c r="K115" s="8">
        <v>4</v>
      </c>
      <c r="L115" s="8">
        <v>1</v>
      </c>
      <c r="M1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5" s="8" t="str" cm="1">
        <f t="array" ref="N115">_xlfn.IFS(HR_Analytics56[[#This Row],[PerformanceRating]]=3,"Good",HR_Analytics56[[#This Row],[PerformanceRating]]=4, "Excellent")</f>
        <v>Good</v>
      </c>
      <c r="O115" s="8" t="str">
        <f>IF(HR_Analytics56[[#This Row],[MonthlyIncome]]&lt;3000,"&lt; ₹3,000",IF(HR_Analytics56[[#This Row],[MonthlyIncome]]&lt;=7000,"₹ 3,000 - ₹ 7,000","&gt; ₹7,000"))</f>
        <v>&lt; ₹3,000</v>
      </c>
      <c r="P115" s="8" t="str" cm="1">
        <f t="array" ref="P1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" spans="1:16" x14ac:dyDescent="0.8">
      <c r="A116" s="5" t="s">
        <v>180</v>
      </c>
      <c r="B116" s="8">
        <v>25</v>
      </c>
      <c r="C116" s="5" t="s">
        <v>49</v>
      </c>
      <c r="D116" s="5" t="s">
        <v>42</v>
      </c>
      <c r="E116" s="5" t="s">
        <v>53</v>
      </c>
      <c r="F116" s="5" t="s">
        <v>60</v>
      </c>
      <c r="G116" s="8">
        <v>2</v>
      </c>
      <c r="H116" s="8">
        <v>2096</v>
      </c>
      <c r="I116" s="5" t="s">
        <v>49</v>
      </c>
      <c r="J116" s="8">
        <v>3</v>
      </c>
      <c r="K116" s="8">
        <v>3</v>
      </c>
      <c r="L116" s="8">
        <v>2</v>
      </c>
      <c r="M1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" s="8" t="str" cm="1">
        <f t="array" ref="N116">_xlfn.IFS(HR_Analytics56[[#This Row],[PerformanceRating]]=3,"Good",HR_Analytics56[[#This Row],[PerformanceRating]]=4, "Excellent")</f>
        <v>Good</v>
      </c>
      <c r="O116" s="8" t="str">
        <f>IF(HR_Analytics56[[#This Row],[MonthlyIncome]]&lt;3000,"&lt; ₹3,000",IF(HR_Analytics56[[#This Row],[MonthlyIncome]]&lt;=7000,"₹ 3,000 - ₹ 7,000","&gt; ₹7,000"))</f>
        <v>&lt; ₹3,000</v>
      </c>
      <c r="P116" s="8" t="str" cm="1">
        <f t="array" ref="P1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" spans="1:16" x14ac:dyDescent="0.8">
      <c r="A117" s="5" t="s">
        <v>181</v>
      </c>
      <c r="B117" s="8">
        <v>25</v>
      </c>
      <c r="C117" s="5" t="s">
        <v>49</v>
      </c>
      <c r="D117" s="5" t="s">
        <v>42</v>
      </c>
      <c r="E117" s="5" t="s">
        <v>44</v>
      </c>
      <c r="F117" s="5" t="s">
        <v>45</v>
      </c>
      <c r="G117" s="8">
        <v>4</v>
      </c>
      <c r="H117" s="8">
        <v>3669</v>
      </c>
      <c r="I117" s="5" t="s">
        <v>49</v>
      </c>
      <c r="J117" s="8">
        <v>3</v>
      </c>
      <c r="K117" s="8">
        <v>6</v>
      </c>
      <c r="L117" s="8">
        <v>3</v>
      </c>
      <c r="M1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" s="8" t="str" cm="1">
        <f t="array" ref="N117">_xlfn.IFS(HR_Analytics56[[#This Row],[PerformanceRating]]=3,"Good",HR_Analytics56[[#This Row],[PerformanceRating]]=4, "Excellent")</f>
        <v>Good</v>
      </c>
      <c r="O117" s="8" t="str">
        <f>IF(HR_Analytics56[[#This Row],[MonthlyIncome]]&lt;3000,"&lt; ₹3,000",IF(HR_Analytics56[[#This Row],[MonthlyIncome]]&lt;=7000,"₹ 3,000 - ₹ 7,000","&gt; ₹7,000"))</f>
        <v>₹ 3,000 - ₹ 7,000</v>
      </c>
      <c r="P117" s="8" t="str" cm="1">
        <f t="array" ref="P1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" spans="1:16" x14ac:dyDescent="0.8">
      <c r="A118" s="5" t="s">
        <v>182</v>
      </c>
      <c r="B118" s="8">
        <v>25</v>
      </c>
      <c r="C118" s="5" t="s">
        <v>49</v>
      </c>
      <c r="D118" s="5" t="s">
        <v>51</v>
      </c>
      <c r="E118" s="5" t="s">
        <v>44</v>
      </c>
      <c r="F118" s="5" t="s">
        <v>137</v>
      </c>
      <c r="G118" s="8">
        <v>3</v>
      </c>
      <c r="H118" s="8">
        <v>6232</v>
      </c>
      <c r="I118" s="5" t="s">
        <v>49</v>
      </c>
      <c r="J118" s="8">
        <v>3</v>
      </c>
      <c r="K118" s="8">
        <v>3</v>
      </c>
      <c r="L118" s="8">
        <v>3</v>
      </c>
      <c r="M1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" s="8" t="str" cm="1">
        <f t="array" ref="N118">_xlfn.IFS(HR_Analytics56[[#This Row],[PerformanceRating]]=3,"Good",HR_Analytics56[[#This Row],[PerformanceRating]]=4, "Excellent")</f>
        <v>Good</v>
      </c>
      <c r="O118" s="8" t="str">
        <f>IF(HR_Analytics56[[#This Row],[MonthlyIncome]]&lt;3000,"&lt; ₹3,000",IF(HR_Analytics56[[#This Row],[MonthlyIncome]]&lt;=7000,"₹ 3,000 - ₹ 7,000","&gt; ₹7,000"))</f>
        <v>₹ 3,000 - ₹ 7,000</v>
      </c>
      <c r="P118" s="8" t="str" cm="1">
        <f t="array" ref="P1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" spans="1:16" x14ac:dyDescent="0.8">
      <c r="A119" s="5" t="s">
        <v>183</v>
      </c>
      <c r="B119" s="8">
        <v>25</v>
      </c>
      <c r="C119" s="5" t="s">
        <v>49</v>
      </c>
      <c r="D119" s="5" t="s">
        <v>42</v>
      </c>
      <c r="E119" s="5" t="s">
        <v>44</v>
      </c>
      <c r="F119" s="5" t="s">
        <v>45</v>
      </c>
      <c r="G119" s="8">
        <v>4</v>
      </c>
      <c r="H119" s="8">
        <v>3229</v>
      </c>
      <c r="I119" s="5" t="s">
        <v>49</v>
      </c>
      <c r="J119" s="8">
        <v>3</v>
      </c>
      <c r="K119" s="8">
        <v>2</v>
      </c>
      <c r="L119" s="8">
        <v>3</v>
      </c>
      <c r="M1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" s="8" t="str" cm="1">
        <f t="array" ref="N119">_xlfn.IFS(HR_Analytics56[[#This Row],[PerformanceRating]]=3,"Good",HR_Analytics56[[#This Row],[PerformanceRating]]=4, "Excellent")</f>
        <v>Good</v>
      </c>
      <c r="O119" s="8" t="str">
        <f>IF(HR_Analytics56[[#This Row],[MonthlyIncome]]&lt;3000,"&lt; ₹3,000",IF(HR_Analytics56[[#This Row],[MonthlyIncome]]&lt;=7000,"₹ 3,000 - ₹ 7,000","&gt; ₹7,000"))</f>
        <v>₹ 3,000 - ₹ 7,000</v>
      </c>
      <c r="P119" s="8" t="str" cm="1">
        <f t="array" ref="P1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" spans="1:16" x14ac:dyDescent="0.8">
      <c r="A120" s="5" t="s">
        <v>184</v>
      </c>
      <c r="B120" s="8">
        <v>25</v>
      </c>
      <c r="C120" s="5" t="s">
        <v>40</v>
      </c>
      <c r="D120" s="5" t="s">
        <v>51</v>
      </c>
      <c r="E120" s="5" t="s">
        <v>44</v>
      </c>
      <c r="F120" s="5" t="s">
        <v>54</v>
      </c>
      <c r="G120" s="8">
        <v>1</v>
      </c>
      <c r="H120" s="8">
        <v>4400</v>
      </c>
      <c r="I120" s="5" t="s">
        <v>49</v>
      </c>
      <c r="J120" s="8">
        <v>3</v>
      </c>
      <c r="K120" s="8">
        <v>2</v>
      </c>
      <c r="L120" s="8">
        <v>3</v>
      </c>
      <c r="M1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" s="8" t="str" cm="1">
        <f t="array" ref="N120">_xlfn.IFS(HR_Analytics56[[#This Row],[PerformanceRating]]=3,"Good",HR_Analytics56[[#This Row],[PerformanceRating]]=4, "Excellent")</f>
        <v>Good</v>
      </c>
      <c r="O120" s="8" t="str">
        <f>IF(HR_Analytics56[[#This Row],[MonthlyIncome]]&lt;3000,"&lt; ₹3,000",IF(HR_Analytics56[[#This Row],[MonthlyIncome]]&lt;=7000,"₹ 3,000 - ₹ 7,000","&gt; ₹7,000"))</f>
        <v>₹ 3,000 - ₹ 7,000</v>
      </c>
      <c r="P120" s="8" t="str" cm="1">
        <f t="array" ref="P1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" spans="1:16" x14ac:dyDescent="0.8">
      <c r="A121" s="5" t="s">
        <v>185</v>
      </c>
      <c r="B121" s="8">
        <v>25</v>
      </c>
      <c r="C121" s="5" t="s">
        <v>49</v>
      </c>
      <c r="D121" s="5" t="s">
        <v>42</v>
      </c>
      <c r="E121" s="5" t="s">
        <v>44</v>
      </c>
      <c r="F121" s="5" t="s">
        <v>112</v>
      </c>
      <c r="G121" s="8">
        <v>3</v>
      </c>
      <c r="H121" s="8">
        <v>5206</v>
      </c>
      <c r="I121" s="5" t="s">
        <v>49</v>
      </c>
      <c r="J121" s="8">
        <v>3</v>
      </c>
      <c r="K121" s="8">
        <v>6</v>
      </c>
      <c r="L121" s="8">
        <v>7</v>
      </c>
      <c r="M1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" s="8" t="str" cm="1">
        <f t="array" ref="N121">_xlfn.IFS(HR_Analytics56[[#This Row],[PerformanceRating]]=3,"Good",HR_Analytics56[[#This Row],[PerformanceRating]]=4, "Excellent")</f>
        <v>Good</v>
      </c>
      <c r="O121" s="8" t="str">
        <f>IF(HR_Analytics56[[#This Row],[MonthlyIncome]]&lt;3000,"&lt; ₹3,000",IF(HR_Analytics56[[#This Row],[MonthlyIncome]]&lt;=7000,"₹ 3,000 - ₹ 7,000","&gt; ₹7,000"))</f>
        <v>₹ 3,000 - ₹ 7,000</v>
      </c>
      <c r="P121" s="8" t="str" cm="1">
        <f t="array" ref="P1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" spans="1:16" x14ac:dyDescent="0.8">
      <c r="A122" s="5" t="s">
        <v>186</v>
      </c>
      <c r="B122" s="8">
        <v>25</v>
      </c>
      <c r="C122" s="5" t="s">
        <v>49</v>
      </c>
      <c r="D122" s="5" t="s">
        <v>71</v>
      </c>
      <c r="E122" s="5" t="s">
        <v>53</v>
      </c>
      <c r="F122" s="5" t="s">
        <v>71</v>
      </c>
      <c r="G122" s="8">
        <v>2</v>
      </c>
      <c r="H122" s="8">
        <v>2187</v>
      </c>
      <c r="I122" s="5" t="s">
        <v>49</v>
      </c>
      <c r="J122" s="8">
        <v>3</v>
      </c>
      <c r="K122" s="8">
        <v>3</v>
      </c>
      <c r="L122" s="8">
        <v>2</v>
      </c>
      <c r="M1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" s="8" t="str" cm="1">
        <f t="array" ref="N122">_xlfn.IFS(HR_Analytics56[[#This Row],[PerformanceRating]]=3,"Good",HR_Analytics56[[#This Row],[PerformanceRating]]=4, "Excellent")</f>
        <v>Good</v>
      </c>
      <c r="O122" s="8" t="str">
        <f>IF(HR_Analytics56[[#This Row],[MonthlyIncome]]&lt;3000,"&lt; ₹3,000",IF(HR_Analytics56[[#This Row],[MonthlyIncome]]&lt;=7000,"₹ 3,000 - ₹ 7,000","&gt; ₹7,000"))</f>
        <v>&lt; ₹3,000</v>
      </c>
      <c r="P122" s="8" t="str" cm="1">
        <f t="array" ref="P1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" spans="1:16" x14ac:dyDescent="0.8">
      <c r="A123" s="5" t="s">
        <v>187</v>
      </c>
      <c r="B123" s="8">
        <v>25</v>
      </c>
      <c r="C123" s="5" t="s">
        <v>49</v>
      </c>
      <c r="D123" s="5" t="s">
        <v>42</v>
      </c>
      <c r="E123" s="5" t="s">
        <v>44</v>
      </c>
      <c r="F123" s="5" t="s">
        <v>45</v>
      </c>
      <c r="G123" s="8">
        <v>3</v>
      </c>
      <c r="H123" s="8">
        <v>3977</v>
      </c>
      <c r="I123" s="5" t="s">
        <v>40</v>
      </c>
      <c r="J123" s="8">
        <v>3</v>
      </c>
      <c r="K123" s="8">
        <v>2</v>
      </c>
      <c r="L123" s="8">
        <v>2</v>
      </c>
      <c r="M1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3" s="8" t="str" cm="1">
        <f t="array" ref="N123">_xlfn.IFS(HR_Analytics56[[#This Row],[PerformanceRating]]=3,"Good",HR_Analytics56[[#This Row],[PerformanceRating]]=4, "Excellent")</f>
        <v>Good</v>
      </c>
      <c r="O123" s="8" t="str">
        <f>IF(HR_Analytics56[[#This Row],[MonthlyIncome]]&lt;3000,"&lt; ₹3,000",IF(HR_Analytics56[[#This Row],[MonthlyIncome]]&lt;=7000,"₹ 3,000 - ₹ 7,000","&gt; ₹7,000"))</f>
        <v>₹ 3,000 - ₹ 7,000</v>
      </c>
      <c r="P123" s="8" t="str" cm="1">
        <f t="array" ref="P1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" spans="1:16" x14ac:dyDescent="0.8">
      <c r="A124" s="5" t="s">
        <v>188</v>
      </c>
      <c r="B124" s="8">
        <v>25</v>
      </c>
      <c r="C124" s="5" t="s">
        <v>49</v>
      </c>
      <c r="D124" s="5" t="s">
        <v>51</v>
      </c>
      <c r="E124" s="5" t="s">
        <v>53</v>
      </c>
      <c r="F124" s="5" t="s">
        <v>137</v>
      </c>
      <c r="G124" s="8">
        <v>3</v>
      </c>
      <c r="H124" s="8">
        <v>4907</v>
      </c>
      <c r="I124" s="5" t="s">
        <v>40</v>
      </c>
      <c r="J124" s="8">
        <v>4</v>
      </c>
      <c r="K124" s="8">
        <v>3</v>
      </c>
      <c r="L124" s="8">
        <v>5</v>
      </c>
      <c r="M1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" s="8" t="str" cm="1">
        <f t="array" ref="N124">_xlfn.IFS(HR_Analytics56[[#This Row],[PerformanceRating]]=3,"Good",HR_Analytics56[[#This Row],[PerformanceRating]]=4, "Excellent")</f>
        <v>Excellent</v>
      </c>
      <c r="O124" s="8" t="str">
        <f>IF(HR_Analytics56[[#This Row],[MonthlyIncome]]&lt;3000,"&lt; ₹3,000",IF(HR_Analytics56[[#This Row],[MonthlyIncome]]&lt;=7000,"₹ 3,000 - ₹ 7,000","&gt; ₹7,000"))</f>
        <v>₹ 3,000 - ₹ 7,000</v>
      </c>
      <c r="P124" s="8" t="str" cm="1">
        <f t="array" ref="P12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5" spans="1:16" x14ac:dyDescent="0.8">
      <c r="A125" s="5" t="s">
        <v>189</v>
      </c>
      <c r="B125" s="8">
        <v>26</v>
      </c>
      <c r="C125" s="5" t="s">
        <v>40</v>
      </c>
      <c r="D125" s="5" t="s">
        <v>42</v>
      </c>
      <c r="E125" s="5" t="s">
        <v>44</v>
      </c>
      <c r="F125" s="5" t="s">
        <v>45</v>
      </c>
      <c r="G125" s="8">
        <v>3</v>
      </c>
      <c r="H125" s="8">
        <v>2293</v>
      </c>
      <c r="I125" s="5" t="s">
        <v>49</v>
      </c>
      <c r="J125" s="8">
        <v>3</v>
      </c>
      <c r="K125" s="8">
        <v>2</v>
      </c>
      <c r="L125" s="8">
        <v>1</v>
      </c>
      <c r="M1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5" s="8" t="str" cm="1">
        <f t="array" ref="N125">_xlfn.IFS(HR_Analytics56[[#This Row],[PerformanceRating]]=3,"Good",HR_Analytics56[[#This Row],[PerformanceRating]]=4, "Excellent")</f>
        <v>Good</v>
      </c>
      <c r="O125" s="8" t="str">
        <f>IF(HR_Analytics56[[#This Row],[MonthlyIncome]]&lt;3000,"&lt; ₹3,000",IF(HR_Analytics56[[#This Row],[MonthlyIncome]]&lt;=7000,"₹ 3,000 - ₹ 7,000","&gt; ₹7,000"))</f>
        <v>&lt; ₹3,000</v>
      </c>
      <c r="P125" s="8" t="str" cm="1">
        <f t="array" ref="P1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" spans="1:16" x14ac:dyDescent="0.8">
      <c r="A126" s="5" t="s">
        <v>191</v>
      </c>
      <c r="B126" s="8">
        <v>26</v>
      </c>
      <c r="C126" s="5" t="s">
        <v>49</v>
      </c>
      <c r="D126" s="5" t="s">
        <v>51</v>
      </c>
      <c r="E126" s="5" t="s">
        <v>53</v>
      </c>
      <c r="F126" s="5" t="s">
        <v>137</v>
      </c>
      <c r="G126" s="8">
        <v>4</v>
      </c>
      <c r="H126" s="8">
        <v>4157</v>
      </c>
      <c r="I126" s="5" t="s">
        <v>40</v>
      </c>
      <c r="J126" s="8">
        <v>3</v>
      </c>
      <c r="K126" s="8">
        <v>2</v>
      </c>
      <c r="L126" s="8">
        <v>2</v>
      </c>
      <c r="M1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6" s="8" t="str" cm="1">
        <f t="array" ref="N126">_xlfn.IFS(HR_Analytics56[[#This Row],[PerformanceRating]]=3,"Good",HR_Analytics56[[#This Row],[PerformanceRating]]=4, "Excellent")</f>
        <v>Good</v>
      </c>
      <c r="O126" s="8" t="str">
        <f>IF(HR_Analytics56[[#This Row],[MonthlyIncome]]&lt;3000,"&lt; ₹3,000",IF(HR_Analytics56[[#This Row],[MonthlyIncome]]&lt;=7000,"₹ 3,000 - ₹ 7,000","&gt; ₹7,000"))</f>
        <v>₹ 3,000 - ₹ 7,000</v>
      </c>
      <c r="P126" s="8" t="str" cm="1">
        <f t="array" ref="P1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" spans="1:16" x14ac:dyDescent="0.8">
      <c r="A127" s="5" t="s">
        <v>192</v>
      </c>
      <c r="B127" s="8">
        <v>26</v>
      </c>
      <c r="C127" s="5" t="s">
        <v>49</v>
      </c>
      <c r="D127" s="5" t="s">
        <v>42</v>
      </c>
      <c r="E127" s="5" t="s">
        <v>53</v>
      </c>
      <c r="F127" s="5" t="s">
        <v>60</v>
      </c>
      <c r="G127" s="8">
        <v>2</v>
      </c>
      <c r="H127" s="8">
        <v>2368</v>
      </c>
      <c r="I127" s="5" t="s">
        <v>49</v>
      </c>
      <c r="J127" s="8">
        <v>3</v>
      </c>
      <c r="K127" s="8">
        <v>3</v>
      </c>
      <c r="L127" s="8">
        <v>5</v>
      </c>
      <c r="M1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" s="8" t="str" cm="1">
        <f t="array" ref="N127">_xlfn.IFS(HR_Analytics56[[#This Row],[PerformanceRating]]=3,"Good",HR_Analytics56[[#This Row],[PerformanceRating]]=4, "Excellent")</f>
        <v>Good</v>
      </c>
      <c r="O127" s="8" t="str">
        <f>IF(HR_Analytics56[[#This Row],[MonthlyIncome]]&lt;3000,"&lt; ₹3,000",IF(HR_Analytics56[[#This Row],[MonthlyIncome]]&lt;=7000,"₹ 3,000 - ₹ 7,000","&gt; ₹7,000"))</f>
        <v>&lt; ₹3,000</v>
      </c>
      <c r="P127" s="8" t="str" cm="1">
        <f t="array" ref="P1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" spans="1:16" x14ac:dyDescent="0.8">
      <c r="A128" s="5" t="s">
        <v>193</v>
      </c>
      <c r="B128" s="8">
        <v>26</v>
      </c>
      <c r="C128" s="5" t="s">
        <v>49</v>
      </c>
      <c r="D128" s="5" t="s">
        <v>71</v>
      </c>
      <c r="E128" s="5" t="s">
        <v>53</v>
      </c>
      <c r="F128" s="5" t="s">
        <v>71</v>
      </c>
      <c r="G128" s="8">
        <v>3</v>
      </c>
      <c r="H128" s="8">
        <v>2942</v>
      </c>
      <c r="I128" s="5" t="s">
        <v>49</v>
      </c>
      <c r="J128" s="8">
        <v>4</v>
      </c>
      <c r="K128" s="8">
        <v>3</v>
      </c>
      <c r="L128" s="8">
        <v>8</v>
      </c>
      <c r="M1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" s="8" t="str" cm="1">
        <f t="array" ref="N128">_xlfn.IFS(HR_Analytics56[[#This Row],[PerformanceRating]]=3,"Good",HR_Analytics56[[#This Row],[PerformanceRating]]=4, "Excellent")</f>
        <v>Excellent</v>
      </c>
      <c r="O128" s="8" t="str">
        <f>IF(HR_Analytics56[[#This Row],[MonthlyIncome]]&lt;3000,"&lt; ₹3,000",IF(HR_Analytics56[[#This Row],[MonthlyIncome]]&lt;=7000,"₹ 3,000 - ₹ 7,000","&gt; ₹7,000"))</f>
        <v>&lt; ₹3,000</v>
      </c>
      <c r="P128" s="8" t="str" cm="1">
        <f t="array" ref="P12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9" spans="1:16" x14ac:dyDescent="0.8">
      <c r="A129" s="5" t="s">
        <v>194</v>
      </c>
      <c r="B129" s="8">
        <v>26</v>
      </c>
      <c r="C129" s="5" t="s">
        <v>49</v>
      </c>
      <c r="D129" s="5" t="s">
        <v>42</v>
      </c>
      <c r="E129" s="5" t="s">
        <v>53</v>
      </c>
      <c r="F129" s="5" t="s">
        <v>112</v>
      </c>
      <c r="G129" s="8">
        <v>2</v>
      </c>
      <c r="H129" s="8">
        <v>6397</v>
      </c>
      <c r="I129" s="5" t="s">
        <v>49</v>
      </c>
      <c r="J129" s="8">
        <v>4</v>
      </c>
      <c r="K129" s="8">
        <v>6</v>
      </c>
      <c r="L129" s="8">
        <v>6</v>
      </c>
      <c r="M1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" s="8" t="str" cm="1">
        <f t="array" ref="N129">_xlfn.IFS(HR_Analytics56[[#This Row],[PerformanceRating]]=3,"Good",HR_Analytics56[[#This Row],[PerformanceRating]]=4, "Excellent")</f>
        <v>Excellent</v>
      </c>
      <c r="O129" s="8" t="str">
        <f>IF(HR_Analytics56[[#This Row],[MonthlyIncome]]&lt;3000,"&lt; ₹3,000",IF(HR_Analytics56[[#This Row],[MonthlyIncome]]&lt;=7000,"₹ 3,000 - ₹ 7,000","&gt; ₹7,000"))</f>
        <v>₹ 3,000 - ₹ 7,000</v>
      </c>
      <c r="P129" s="8" t="str" cm="1">
        <f t="array" ref="P12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0" spans="1:16" x14ac:dyDescent="0.8">
      <c r="A130" s="5" t="s">
        <v>195</v>
      </c>
      <c r="B130" s="8">
        <v>26</v>
      </c>
      <c r="C130" s="5" t="s">
        <v>49</v>
      </c>
      <c r="D130" s="5" t="s">
        <v>42</v>
      </c>
      <c r="E130" s="5" t="s">
        <v>44</v>
      </c>
      <c r="F130" s="5" t="s">
        <v>161</v>
      </c>
      <c r="G130" s="8">
        <v>1</v>
      </c>
      <c r="H130" s="8">
        <v>4741</v>
      </c>
      <c r="I130" s="5" t="s">
        <v>40</v>
      </c>
      <c r="J130" s="8">
        <v>3</v>
      </c>
      <c r="K130" s="8">
        <v>3</v>
      </c>
      <c r="L130" s="8">
        <v>5</v>
      </c>
      <c r="M1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0" s="8" t="str" cm="1">
        <f t="array" ref="N130">_xlfn.IFS(HR_Analytics56[[#This Row],[PerformanceRating]]=3,"Good",HR_Analytics56[[#This Row],[PerformanceRating]]=4, "Excellent")</f>
        <v>Good</v>
      </c>
      <c r="O130" s="8" t="str">
        <f>IF(HR_Analytics56[[#This Row],[MonthlyIncome]]&lt;3000,"&lt; ₹3,000",IF(HR_Analytics56[[#This Row],[MonthlyIncome]]&lt;=7000,"₹ 3,000 - ₹ 7,000","&gt; ₹7,000"))</f>
        <v>₹ 3,000 - ₹ 7,000</v>
      </c>
      <c r="P130" s="8" t="str" cm="1">
        <f t="array" ref="P1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" spans="1:16" x14ac:dyDescent="0.8">
      <c r="A131" s="5" t="s">
        <v>196</v>
      </c>
      <c r="B131" s="8">
        <v>26</v>
      </c>
      <c r="C131" s="5" t="s">
        <v>40</v>
      </c>
      <c r="D131" s="5" t="s">
        <v>42</v>
      </c>
      <c r="E131" s="5" t="s">
        <v>44</v>
      </c>
      <c r="F131" s="5" t="s">
        <v>45</v>
      </c>
      <c r="G131" s="8">
        <v>2</v>
      </c>
      <c r="H131" s="8">
        <v>2373</v>
      </c>
      <c r="I131" s="5" t="s">
        <v>40</v>
      </c>
      <c r="J131" s="8">
        <v>3</v>
      </c>
      <c r="K131" s="8">
        <v>2</v>
      </c>
      <c r="L131" s="8">
        <v>3</v>
      </c>
      <c r="M1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1" s="8" t="str" cm="1">
        <f t="array" ref="N131">_xlfn.IFS(HR_Analytics56[[#This Row],[PerformanceRating]]=3,"Good",HR_Analytics56[[#This Row],[PerformanceRating]]=4, "Excellent")</f>
        <v>Good</v>
      </c>
      <c r="O131" s="8" t="str">
        <f>IF(HR_Analytics56[[#This Row],[MonthlyIncome]]&lt;3000,"&lt; ₹3,000",IF(HR_Analytics56[[#This Row],[MonthlyIncome]]&lt;=7000,"₹ 3,000 - ₹ 7,000","&gt; ₹7,000"))</f>
        <v>&lt; ₹3,000</v>
      </c>
      <c r="P131" s="8" t="str" cm="1">
        <f t="array" ref="P1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" spans="1:16" x14ac:dyDescent="0.8">
      <c r="A132" s="5" t="s">
        <v>197</v>
      </c>
      <c r="B132" s="8">
        <v>26</v>
      </c>
      <c r="C132" s="5" t="s">
        <v>40</v>
      </c>
      <c r="D132" s="5" t="s">
        <v>51</v>
      </c>
      <c r="E132" s="5" t="s">
        <v>44</v>
      </c>
      <c r="F132" s="5" t="s">
        <v>137</v>
      </c>
      <c r="G132" s="8">
        <v>4</v>
      </c>
      <c r="H132" s="8">
        <v>5828</v>
      </c>
      <c r="I132" s="5" t="s">
        <v>40</v>
      </c>
      <c r="J132" s="8">
        <v>3</v>
      </c>
      <c r="K132" s="8">
        <v>0</v>
      </c>
      <c r="L132" s="8">
        <v>8</v>
      </c>
      <c r="M1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2" s="8" t="str" cm="1">
        <f t="array" ref="N132">_xlfn.IFS(HR_Analytics56[[#This Row],[PerformanceRating]]=3,"Good",HR_Analytics56[[#This Row],[PerformanceRating]]=4, "Excellent")</f>
        <v>Good</v>
      </c>
      <c r="O132" s="8" t="str">
        <f>IF(HR_Analytics56[[#This Row],[MonthlyIncome]]&lt;3000,"&lt; ₹3,000",IF(HR_Analytics56[[#This Row],[MonthlyIncome]]&lt;=7000,"₹ 3,000 - ₹ 7,000","&gt; ₹7,000"))</f>
        <v>₹ 3,000 - ₹ 7,000</v>
      </c>
      <c r="P132" s="8" t="str" cm="1">
        <f t="array" ref="P1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" spans="1:16" x14ac:dyDescent="0.8">
      <c r="A133" s="5" t="s">
        <v>198</v>
      </c>
      <c r="B133" s="8">
        <v>26</v>
      </c>
      <c r="C133" s="5" t="s">
        <v>49</v>
      </c>
      <c r="D133" s="5" t="s">
        <v>51</v>
      </c>
      <c r="E133" s="5" t="s">
        <v>44</v>
      </c>
      <c r="F133" s="5" t="s">
        <v>137</v>
      </c>
      <c r="G133" s="8">
        <v>3</v>
      </c>
      <c r="H133" s="8">
        <v>5296</v>
      </c>
      <c r="I133" s="5" t="s">
        <v>49</v>
      </c>
      <c r="J133" s="8">
        <v>3</v>
      </c>
      <c r="K133" s="8">
        <v>3</v>
      </c>
      <c r="L133" s="8">
        <v>8</v>
      </c>
      <c r="M1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" s="8" t="str" cm="1">
        <f t="array" ref="N133">_xlfn.IFS(HR_Analytics56[[#This Row],[PerformanceRating]]=3,"Good",HR_Analytics56[[#This Row],[PerformanceRating]]=4, "Excellent")</f>
        <v>Good</v>
      </c>
      <c r="O133" s="8" t="str">
        <f>IF(HR_Analytics56[[#This Row],[MonthlyIncome]]&lt;3000,"&lt; ₹3,000",IF(HR_Analytics56[[#This Row],[MonthlyIncome]]&lt;=7000,"₹ 3,000 - ₹ 7,000","&gt; ₹7,000"))</f>
        <v>₹ 3,000 - ₹ 7,000</v>
      </c>
      <c r="P133" s="8" t="str" cm="1">
        <f t="array" ref="P1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" spans="1:16" x14ac:dyDescent="0.8">
      <c r="A134" s="5" t="s">
        <v>199</v>
      </c>
      <c r="B134" s="8">
        <v>26</v>
      </c>
      <c r="C134" s="5" t="s">
        <v>40</v>
      </c>
      <c r="D134" s="5" t="s">
        <v>42</v>
      </c>
      <c r="E134" s="5" t="s">
        <v>44</v>
      </c>
      <c r="F134" s="5" t="s">
        <v>60</v>
      </c>
      <c r="G134" s="8">
        <v>1</v>
      </c>
      <c r="H134" s="8">
        <v>3102</v>
      </c>
      <c r="I134" s="5" t="s">
        <v>49</v>
      </c>
      <c r="J134" s="8">
        <v>4</v>
      </c>
      <c r="K134" s="8">
        <v>2</v>
      </c>
      <c r="L134" s="8">
        <v>6</v>
      </c>
      <c r="M1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4" s="8" t="str" cm="1">
        <f t="array" ref="N134">_xlfn.IFS(HR_Analytics56[[#This Row],[PerformanceRating]]=3,"Good",HR_Analytics56[[#This Row],[PerformanceRating]]=4, "Excellent")</f>
        <v>Excellent</v>
      </c>
      <c r="O134" s="8" t="str">
        <f>IF(HR_Analytics56[[#This Row],[MonthlyIncome]]&lt;3000,"&lt; ₹3,000",IF(HR_Analytics56[[#This Row],[MonthlyIncome]]&lt;=7000,"₹ 3,000 - ₹ 7,000","&gt; ₹7,000"))</f>
        <v>₹ 3,000 - ₹ 7,000</v>
      </c>
      <c r="P134" s="8" t="str" cm="1">
        <f t="array" ref="P1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" spans="1:16" x14ac:dyDescent="0.8">
      <c r="A135" s="5" t="s">
        <v>200</v>
      </c>
      <c r="B135" s="8">
        <v>26</v>
      </c>
      <c r="C135" s="5" t="s">
        <v>49</v>
      </c>
      <c r="D135" s="5" t="s">
        <v>42</v>
      </c>
      <c r="E135" s="5" t="s">
        <v>53</v>
      </c>
      <c r="F135" s="5" t="s">
        <v>60</v>
      </c>
      <c r="G135" s="8">
        <v>4</v>
      </c>
      <c r="H135" s="8">
        <v>2886</v>
      </c>
      <c r="I135" s="5" t="s">
        <v>49</v>
      </c>
      <c r="J135" s="8">
        <v>4</v>
      </c>
      <c r="K135" s="8">
        <v>3</v>
      </c>
      <c r="L135" s="8">
        <v>3</v>
      </c>
      <c r="M1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" s="8" t="str" cm="1">
        <f t="array" ref="N135">_xlfn.IFS(HR_Analytics56[[#This Row],[PerformanceRating]]=3,"Good",HR_Analytics56[[#This Row],[PerformanceRating]]=4, "Excellent")</f>
        <v>Excellent</v>
      </c>
      <c r="O135" s="8" t="str">
        <f>IF(HR_Analytics56[[#This Row],[MonthlyIncome]]&lt;3000,"&lt; ₹3,000",IF(HR_Analytics56[[#This Row],[MonthlyIncome]]&lt;=7000,"₹ 3,000 - ₹ 7,000","&gt; ₹7,000"))</f>
        <v>&lt; ₹3,000</v>
      </c>
      <c r="P135" s="8" t="str" cm="1">
        <f t="array" ref="P13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6" spans="1:16" x14ac:dyDescent="0.8">
      <c r="A136" s="5" t="s">
        <v>201</v>
      </c>
      <c r="B136" s="8">
        <v>26</v>
      </c>
      <c r="C136" s="5" t="s">
        <v>40</v>
      </c>
      <c r="D136" s="5" t="s">
        <v>71</v>
      </c>
      <c r="E136" s="5" t="s">
        <v>53</v>
      </c>
      <c r="F136" s="5" t="s">
        <v>71</v>
      </c>
      <c r="G136" s="8">
        <v>3</v>
      </c>
      <c r="H136" s="8">
        <v>2741</v>
      </c>
      <c r="I136" s="5" t="s">
        <v>40</v>
      </c>
      <c r="J136" s="8">
        <v>3</v>
      </c>
      <c r="K136" s="8">
        <v>2</v>
      </c>
      <c r="L136" s="8">
        <v>7</v>
      </c>
      <c r="M1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6" s="8" t="str" cm="1">
        <f t="array" ref="N136">_xlfn.IFS(HR_Analytics56[[#This Row],[PerformanceRating]]=3,"Good",HR_Analytics56[[#This Row],[PerformanceRating]]=4, "Excellent")</f>
        <v>Good</v>
      </c>
      <c r="O136" s="8" t="str">
        <f>IF(HR_Analytics56[[#This Row],[MonthlyIncome]]&lt;3000,"&lt; ₹3,000",IF(HR_Analytics56[[#This Row],[MonthlyIncome]]&lt;=7000,"₹ 3,000 - ₹ 7,000","&gt; ₹7,000"))</f>
        <v>&lt; ₹3,000</v>
      </c>
      <c r="P136" s="8" t="str" cm="1">
        <f t="array" ref="P1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" spans="1:16" x14ac:dyDescent="0.8">
      <c r="A137" s="5" t="s">
        <v>202</v>
      </c>
      <c r="B137" s="8">
        <v>26</v>
      </c>
      <c r="C137" s="5" t="s">
        <v>49</v>
      </c>
      <c r="D137" s="5" t="s">
        <v>51</v>
      </c>
      <c r="E137" s="5" t="s">
        <v>44</v>
      </c>
      <c r="F137" s="5" t="s">
        <v>137</v>
      </c>
      <c r="G137" s="8">
        <v>3</v>
      </c>
      <c r="H137" s="8">
        <v>4306</v>
      </c>
      <c r="I137" s="5" t="s">
        <v>49</v>
      </c>
      <c r="J137" s="8">
        <v>3</v>
      </c>
      <c r="K137" s="8">
        <v>5</v>
      </c>
      <c r="L137" s="8">
        <v>0</v>
      </c>
      <c r="M1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" s="8" t="str" cm="1">
        <f t="array" ref="N137">_xlfn.IFS(HR_Analytics56[[#This Row],[PerformanceRating]]=3,"Good",HR_Analytics56[[#This Row],[PerformanceRating]]=4, "Excellent")</f>
        <v>Good</v>
      </c>
      <c r="O137" s="8" t="str">
        <f>IF(HR_Analytics56[[#This Row],[MonthlyIncome]]&lt;3000,"&lt; ₹3,000",IF(HR_Analytics56[[#This Row],[MonthlyIncome]]&lt;=7000,"₹ 3,000 - ₹ 7,000","&gt; ₹7,000"))</f>
        <v>₹ 3,000 - ₹ 7,000</v>
      </c>
      <c r="P137" s="8" t="str" cm="1">
        <f t="array" ref="P1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" spans="1:16" x14ac:dyDescent="0.8">
      <c r="A138" s="5" t="s">
        <v>203</v>
      </c>
      <c r="B138" s="8">
        <v>26</v>
      </c>
      <c r="C138" s="5" t="s">
        <v>40</v>
      </c>
      <c r="D138" s="5" t="s">
        <v>42</v>
      </c>
      <c r="E138" s="5" t="s">
        <v>44</v>
      </c>
      <c r="F138" s="5" t="s">
        <v>45</v>
      </c>
      <c r="G138" s="8">
        <v>4</v>
      </c>
      <c r="H138" s="8">
        <v>2340</v>
      </c>
      <c r="I138" s="5" t="s">
        <v>40</v>
      </c>
      <c r="J138" s="8">
        <v>3</v>
      </c>
      <c r="K138" s="8">
        <v>3</v>
      </c>
      <c r="L138" s="8">
        <v>1</v>
      </c>
      <c r="M1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8" s="8" t="str" cm="1">
        <f t="array" ref="N138">_xlfn.IFS(HR_Analytics56[[#This Row],[PerformanceRating]]=3,"Good",HR_Analytics56[[#This Row],[PerformanceRating]]=4, "Excellent")</f>
        <v>Good</v>
      </c>
      <c r="O138" s="8" t="str">
        <f>IF(HR_Analytics56[[#This Row],[MonthlyIncome]]&lt;3000,"&lt; ₹3,000",IF(HR_Analytics56[[#This Row],[MonthlyIncome]]&lt;=7000,"₹ 3,000 - ₹ 7,000","&gt; ₹7,000"))</f>
        <v>&lt; ₹3,000</v>
      </c>
      <c r="P138" s="8" t="str" cm="1">
        <f t="array" ref="P1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" spans="1:16" x14ac:dyDescent="0.8">
      <c r="A139" s="5" t="s">
        <v>204</v>
      </c>
      <c r="B139" s="8">
        <v>26</v>
      </c>
      <c r="C139" s="5" t="s">
        <v>49</v>
      </c>
      <c r="D139" s="5" t="s">
        <v>51</v>
      </c>
      <c r="E139" s="5" t="s">
        <v>44</v>
      </c>
      <c r="F139" s="5" t="s">
        <v>137</v>
      </c>
      <c r="G139" s="8">
        <v>2</v>
      </c>
      <c r="H139" s="8">
        <v>6272</v>
      </c>
      <c r="I139" s="5" t="s">
        <v>49</v>
      </c>
      <c r="J139" s="8">
        <v>4</v>
      </c>
      <c r="K139" s="8">
        <v>5</v>
      </c>
      <c r="L139" s="8">
        <v>5</v>
      </c>
      <c r="M1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" s="8" t="str" cm="1">
        <f t="array" ref="N139">_xlfn.IFS(HR_Analytics56[[#This Row],[PerformanceRating]]=3,"Good",HR_Analytics56[[#This Row],[PerformanceRating]]=4, "Excellent")</f>
        <v>Excellent</v>
      </c>
      <c r="O139" s="8" t="str">
        <f>IF(HR_Analytics56[[#This Row],[MonthlyIncome]]&lt;3000,"&lt; ₹3,000",IF(HR_Analytics56[[#This Row],[MonthlyIncome]]&lt;=7000,"₹ 3,000 - ₹ 7,000","&gt; ₹7,000"))</f>
        <v>₹ 3,000 - ₹ 7,000</v>
      </c>
      <c r="P139" s="8" t="str" cm="1">
        <f t="array" ref="P13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0" spans="1:16" x14ac:dyDescent="0.8">
      <c r="A140" s="5" t="s">
        <v>205</v>
      </c>
      <c r="B140" s="8">
        <v>26</v>
      </c>
      <c r="C140" s="5" t="s">
        <v>49</v>
      </c>
      <c r="D140" s="5" t="s">
        <v>42</v>
      </c>
      <c r="E140" s="5" t="s">
        <v>53</v>
      </c>
      <c r="F140" s="5" t="s">
        <v>45</v>
      </c>
      <c r="G140" s="8">
        <v>4</v>
      </c>
      <c r="H140" s="8">
        <v>2659</v>
      </c>
      <c r="I140" s="5" t="s">
        <v>40</v>
      </c>
      <c r="J140" s="8">
        <v>3</v>
      </c>
      <c r="K140" s="8">
        <v>2</v>
      </c>
      <c r="L140" s="8">
        <v>3</v>
      </c>
      <c r="M1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" s="8" t="str" cm="1">
        <f t="array" ref="N140">_xlfn.IFS(HR_Analytics56[[#This Row],[PerformanceRating]]=3,"Good",HR_Analytics56[[#This Row],[PerformanceRating]]=4, "Excellent")</f>
        <v>Good</v>
      </c>
      <c r="O140" s="8" t="str">
        <f>IF(HR_Analytics56[[#This Row],[MonthlyIncome]]&lt;3000,"&lt; ₹3,000",IF(HR_Analytics56[[#This Row],[MonthlyIncome]]&lt;=7000,"₹ 3,000 - ₹ 7,000","&gt; ₹7,000"))</f>
        <v>&lt; ₹3,000</v>
      </c>
      <c r="P140" s="8" t="str" cm="1">
        <f t="array" ref="P1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" spans="1:16" x14ac:dyDescent="0.8">
      <c r="A141" s="5" t="s">
        <v>206</v>
      </c>
      <c r="B141" s="8">
        <v>26</v>
      </c>
      <c r="C141" s="5" t="s">
        <v>49</v>
      </c>
      <c r="D141" s="5" t="s">
        <v>42</v>
      </c>
      <c r="E141" s="5" t="s">
        <v>53</v>
      </c>
      <c r="F141" s="5" t="s">
        <v>45</v>
      </c>
      <c r="G141" s="8">
        <v>4</v>
      </c>
      <c r="H141" s="8">
        <v>4364</v>
      </c>
      <c r="I141" s="5" t="s">
        <v>49</v>
      </c>
      <c r="J141" s="8">
        <v>3</v>
      </c>
      <c r="K141" s="8">
        <v>2</v>
      </c>
      <c r="L141" s="8">
        <v>2</v>
      </c>
      <c r="M1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1" s="8" t="str" cm="1">
        <f t="array" ref="N141">_xlfn.IFS(HR_Analytics56[[#This Row],[PerformanceRating]]=3,"Good",HR_Analytics56[[#This Row],[PerformanceRating]]=4, "Excellent")</f>
        <v>Good</v>
      </c>
      <c r="O141" s="8" t="str">
        <f>IF(HR_Analytics56[[#This Row],[MonthlyIncome]]&lt;3000,"&lt; ₹3,000",IF(HR_Analytics56[[#This Row],[MonthlyIncome]]&lt;=7000,"₹ 3,000 - ₹ 7,000","&gt; ₹7,000"))</f>
        <v>₹ 3,000 - ₹ 7,000</v>
      </c>
      <c r="P141" s="8" t="str" cm="1">
        <f t="array" ref="P1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" spans="1:16" x14ac:dyDescent="0.8">
      <c r="A142" s="5" t="s">
        <v>207</v>
      </c>
      <c r="B142" s="8">
        <v>26</v>
      </c>
      <c r="C142" s="5" t="s">
        <v>40</v>
      </c>
      <c r="D142" s="5" t="s">
        <v>51</v>
      </c>
      <c r="E142" s="5" t="s">
        <v>44</v>
      </c>
      <c r="F142" s="5" t="s">
        <v>137</v>
      </c>
      <c r="G142" s="8">
        <v>1</v>
      </c>
      <c r="H142" s="8">
        <v>5326</v>
      </c>
      <c r="I142" s="5" t="s">
        <v>49</v>
      </c>
      <c r="J142" s="8">
        <v>3</v>
      </c>
      <c r="K142" s="8">
        <v>2</v>
      </c>
      <c r="L142" s="8">
        <v>4</v>
      </c>
      <c r="M1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2" s="8" t="str" cm="1">
        <f t="array" ref="N142">_xlfn.IFS(HR_Analytics56[[#This Row],[PerformanceRating]]=3,"Good",HR_Analytics56[[#This Row],[PerformanceRating]]=4, "Excellent")</f>
        <v>Good</v>
      </c>
      <c r="O142" s="8" t="str">
        <f>IF(HR_Analytics56[[#This Row],[MonthlyIncome]]&lt;3000,"&lt; ₹3,000",IF(HR_Analytics56[[#This Row],[MonthlyIncome]]&lt;=7000,"₹ 3,000 - ₹ 7,000","&gt; ₹7,000"))</f>
        <v>₹ 3,000 - ₹ 7,000</v>
      </c>
      <c r="P142" s="8" t="str" cm="1">
        <f t="array" ref="P1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" spans="1:16" x14ac:dyDescent="0.8">
      <c r="A143" s="5" t="s">
        <v>208</v>
      </c>
      <c r="B143" s="8">
        <v>26</v>
      </c>
      <c r="C143" s="5" t="s">
        <v>40</v>
      </c>
      <c r="D143" s="5" t="s">
        <v>42</v>
      </c>
      <c r="E143" s="5" t="s">
        <v>53</v>
      </c>
      <c r="F143" s="5" t="s">
        <v>60</v>
      </c>
      <c r="G143" s="8">
        <v>3</v>
      </c>
      <c r="H143" s="8">
        <v>2366</v>
      </c>
      <c r="I143" s="5" t="s">
        <v>40</v>
      </c>
      <c r="J143" s="8">
        <v>3</v>
      </c>
      <c r="K143" s="8">
        <v>2</v>
      </c>
      <c r="L143" s="8">
        <v>8</v>
      </c>
      <c r="M1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3" s="8" t="str" cm="1">
        <f t="array" ref="N143">_xlfn.IFS(HR_Analytics56[[#This Row],[PerformanceRating]]=3,"Good",HR_Analytics56[[#This Row],[PerformanceRating]]=4, "Excellent")</f>
        <v>Good</v>
      </c>
      <c r="O143" s="8" t="str">
        <f>IF(HR_Analytics56[[#This Row],[MonthlyIncome]]&lt;3000,"&lt; ₹3,000",IF(HR_Analytics56[[#This Row],[MonthlyIncome]]&lt;=7000,"₹ 3,000 - ₹ 7,000","&gt; ₹7,000"))</f>
        <v>&lt; ₹3,000</v>
      </c>
      <c r="P143" s="8" t="str" cm="1">
        <f t="array" ref="P1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" spans="1:16" x14ac:dyDescent="0.8">
      <c r="A144" s="5" t="s">
        <v>209</v>
      </c>
      <c r="B144" s="8">
        <v>26</v>
      </c>
      <c r="C144" s="5" t="s">
        <v>49</v>
      </c>
      <c r="D144" s="5" t="s">
        <v>51</v>
      </c>
      <c r="E144" s="5" t="s">
        <v>44</v>
      </c>
      <c r="F144" s="5" t="s">
        <v>137</v>
      </c>
      <c r="G144" s="8">
        <v>1</v>
      </c>
      <c r="H144" s="8">
        <v>4294</v>
      </c>
      <c r="I144" s="5" t="s">
        <v>49</v>
      </c>
      <c r="J144" s="8">
        <v>3</v>
      </c>
      <c r="K144" s="8">
        <v>2</v>
      </c>
      <c r="L144" s="8">
        <v>7</v>
      </c>
      <c r="M1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4" s="8" t="str" cm="1">
        <f t="array" ref="N144">_xlfn.IFS(HR_Analytics56[[#This Row],[PerformanceRating]]=3,"Good",HR_Analytics56[[#This Row],[PerformanceRating]]=4, "Excellent")</f>
        <v>Good</v>
      </c>
      <c r="O144" s="8" t="str">
        <f>IF(HR_Analytics56[[#This Row],[MonthlyIncome]]&lt;3000,"&lt; ₹3,000",IF(HR_Analytics56[[#This Row],[MonthlyIncome]]&lt;=7000,"₹ 3,000 - ₹ 7,000","&gt; ₹7,000"))</f>
        <v>₹ 3,000 - ₹ 7,000</v>
      </c>
      <c r="P144" s="8" t="str" cm="1">
        <f t="array" ref="P1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" spans="1:16" x14ac:dyDescent="0.8">
      <c r="A145" s="5" t="s">
        <v>210</v>
      </c>
      <c r="B145" s="8">
        <v>26</v>
      </c>
      <c r="C145" s="5" t="s">
        <v>49</v>
      </c>
      <c r="D145" s="5" t="s">
        <v>42</v>
      </c>
      <c r="E145" s="5" t="s">
        <v>44</v>
      </c>
      <c r="F145" s="5" t="s">
        <v>112</v>
      </c>
      <c r="G145" s="8">
        <v>4</v>
      </c>
      <c r="H145" s="8">
        <v>5472</v>
      </c>
      <c r="I145" s="5" t="s">
        <v>49</v>
      </c>
      <c r="J145" s="8">
        <v>3</v>
      </c>
      <c r="K145" s="8">
        <v>2</v>
      </c>
      <c r="L145" s="8">
        <v>8</v>
      </c>
      <c r="M1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5" s="8" t="str" cm="1">
        <f t="array" ref="N145">_xlfn.IFS(HR_Analytics56[[#This Row],[PerformanceRating]]=3,"Good",HR_Analytics56[[#This Row],[PerformanceRating]]=4, "Excellent")</f>
        <v>Good</v>
      </c>
      <c r="O145" s="8" t="str">
        <f>IF(HR_Analytics56[[#This Row],[MonthlyIncome]]&lt;3000,"&lt; ₹3,000",IF(HR_Analytics56[[#This Row],[MonthlyIncome]]&lt;=7000,"₹ 3,000 - ₹ 7,000","&gt; ₹7,000"))</f>
        <v>₹ 3,000 - ₹ 7,000</v>
      </c>
      <c r="P145" s="8" t="str" cm="1">
        <f t="array" ref="P1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" spans="1:16" x14ac:dyDescent="0.8">
      <c r="A146" s="5" t="s">
        <v>211</v>
      </c>
      <c r="B146" s="8">
        <v>26</v>
      </c>
      <c r="C146" s="5" t="s">
        <v>40</v>
      </c>
      <c r="D146" s="5" t="s">
        <v>51</v>
      </c>
      <c r="E146" s="5" t="s">
        <v>44</v>
      </c>
      <c r="F146" s="5" t="s">
        <v>137</v>
      </c>
      <c r="G146" s="8">
        <v>1</v>
      </c>
      <c r="H146" s="8">
        <v>4969</v>
      </c>
      <c r="I146" s="5" t="s">
        <v>49</v>
      </c>
      <c r="J146" s="8">
        <v>3</v>
      </c>
      <c r="K146" s="8">
        <v>6</v>
      </c>
      <c r="L146" s="8">
        <v>2</v>
      </c>
      <c r="M1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6" s="8" t="str" cm="1">
        <f t="array" ref="N146">_xlfn.IFS(HR_Analytics56[[#This Row],[PerformanceRating]]=3,"Good",HR_Analytics56[[#This Row],[PerformanceRating]]=4, "Excellent")</f>
        <v>Good</v>
      </c>
      <c r="O146" s="8" t="str">
        <f>IF(HR_Analytics56[[#This Row],[MonthlyIncome]]&lt;3000,"&lt; ₹3,000",IF(HR_Analytics56[[#This Row],[MonthlyIncome]]&lt;=7000,"₹ 3,000 - ₹ 7,000","&gt; ₹7,000"))</f>
        <v>₹ 3,000 - ₹ 7,000</v>
      </c>
      <c r="P146" s="8" t="str" cm="1">
        <f t="array" ref="P1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7" spans="1:16" x14ac:dyDescent="0.8">
      <c r="A147" s="5" t="s">
        <v>212</v>
      </c>
      <c r="B147" s="8">
        <v>26</v>
      </c>
      <c r="C147" s="5" t="s">
        <v>40</v>
      </c>
      <c r="D147" s="5" t="s">
        <v>42</v>
      </c>
      <c r="E147" s="5" t="s">
        <v>44</v>
      </c>
      <c r="F147" s="5" t="s">
        <v>60</v>
      </c>
      <c r="G147" s="8">
        <v>1</v>
      </c>
      <c r="H147" s="8">
        <v>2042</v>
      </c>
      <c r="I147" s="5" t="s">
        <v>40</v>
      </c>
      <c r="J147" s="8">
        <v>3</v>
      </c>
      <c r="K147" s="8">
        <v>2</v>
      </c>
      <c r="L147" s="8">
        <v>3</v>
      </c>
      <c r="M1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7" s="8" t="str" cm="1">
        <f t="array" ref="N147">_xlfn.IFS(HR_Analytics56[[#This Row],[PerformanceRating]]=3,"Good",HR_Analytics56[[#This Row],[PerformanceRating]]=4, "Excellent")</f>
        <v>Good</v>
      </c>
      <c r="O147" s="8" t="str">
        <f>IF(HR_Analytics56[[#This Row],[MonthlyIncome]]&lt;3000,"&lt; ₹3,000",IF(HR_Analytics56[[#This Row],[MonthlyIncome]]&lt;=7000,"₹ 3,000 - ₹ 7,000","&gt; ₹7,000"))</f>
        <v>&lt; ₹3,000</v>
      </c>
      <c r="P147" s="8" t="str" cm="1">
        <f t="array" ref="P1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8" spans="1:16" x14ac:dyDescent="0.8">
      <c r="A148" s="5" t="s">
        <v>213</v>
      </c>
      <c r="B148" s="8">
        <v>26</v>
      </c>
      <c r="C148" s="5" t="s">
        <v>49</v>
      </c>
      <c r="D148" s="5" t="s">
        <v>42</v>
      </c>
      <c r="E148" s="5" t="s">
        <v>53</v>
      </c>
      <c r="F148" s="5" t="s">
        <v>60</v>
      </c>
      <c r="G148" s="8">
        <v>3</v>
      </c>
      <c r="H148" s="8">
        <v>2007</v>
      </c>
      <c r="I148" s="5" t="s">
        <v>49</v>
      </c>
      <c r="J148" s="8">
        <v>3</v>
      </c>
      <c r="K148" s="8">
        <v>5</v>
      </c>
      <c r="L148" s="8">
        <v>5</v>
      </c>
      <c r="M1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8" s="8" t="str" cm="1">
        <f t="array" ref="N148">_xlfn.IFS(HR_Analytics56[[#This Row],[PerformanceRating]]=3,"Good",HR_Analytics56[[#This Row],[PerformanceRating]]=4, "Excellent")</f>
        <v>Good</v>
      </c>
      <c r="O148" s="8" t="str">
        <f>IF(HR_Analytics56[[#This Row],[MonthlyIncome]]&lt;3000,"&lt; ₹3,000",IF(HR_Analytics56[[#This Row],[MonthlyIncome]]&lt;=7000,"₹ 3,000 - ₹ 7,000","&gt; ₹7,000"))</f>
        <v>&lt; ₹3,000</v>
      </c>
      <c r="P148" s="8" t="str" cm="1">
        <f t="array" ref="P1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9" spans="1:16" x14ac:dyDescent="0.8">
      <c r="A149" s="5" t="s">
        <v>214</v>
      </c>
      <c r="B149" s="8">
        <v>26</v>
      </c>
      <c r="C149" s="5" t="s">
        <v>49</v>
      </c>
      <c r="D149" s="5" t="s">
        <v>42</v>
      </c>
      <c r="E149" s="5" t="s">
        <v>44</v>
      </c>
      <c r="F149" s="5" t="s">
        <v>45</v>
      </c>
      <c r="G149" s="8">
        <v>1</v>
      </c>
      <c r="H149" s="8">
        <v>3955</v>
      </c>
      <c r="I149" s="5" t="s">
        <v>49</v>
      </c>
      <c r="J149" s="8">
        <v>3</v>
      </c>
      <c r="K149" s="8">
        <v>2</v>
      </c>
      <c r="L149" s="8">
        <v>5</v>
      </c>
      <c r="M1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9" s="8" t="str" cm="1">
        <f t="array" ref="N149">_xlfn.IFS(HR_Analytics56[[#This Row],[PerformanceRating]]=3,"Good",HR_Analytics56[[#This Row],[PerformanceRating]]=4, "Excellent")</f>
        <v>Good</v>
      </c>
      <c r="O149" s="8" t="str">
        <f>IF(HR_Analytics56[[#This Row],[MonthlyIncome]]&lt;3000,"&lt; ₹3,000",IF(HR_Analytics56[[#This Row],[MonthlyIncome]]&lt;=7000,"₹ 3,000 - ₹ 7,000","&gt; ₹7,000"))</f>
        <v>₹ 3,000 - ₹ 7,000</v>
      </c>
      <c r="P149" s="8" t="str" cm="1">
        <f t="array" ref="P1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0" spans="1:16" x14ac:dyDescent="0.8">
      <c r="A150" s="5" t="s">
        <v>215</v>
      </c>
      <c r="B150" s="8">
        <v>26</v>
      </c>
      <c r="C150" s="5" t="s">
        <v>40</v>
      </c>
      <c r="D150" s="5" t="s">
        <v>42</v>
      </c>
      <c r="E150" s="5" t="s">
        <v>44</v>
      </c>
      <c r="F150" s="5" t="s">
        <v>45</v>
      </c>
      <c r="G150" s="8">
        <v>3</v>
      </c>
      <c r="H150" s="8">
        <v>2377</v>
      </c>
      <c r="I150" s="5" t="s">
        <v>49</v>
      </c>
      <c r="J150" s="8">
        <v>4</v>
      </c>
      <c r="K150" s="8">
        <v>0</v>
      </c>
      <c r="L150" s="8">
        <v>1</v>
      </c>
      <c r="M1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50" s="8" t="str" cm="1">
        <f t="array" ref="N150">_xlfn.IFS(HR_Analytics56[[#This Row],[PerformanceRating]]=3,"Good",HR_Analytics56[[#This Row],[PerformanceRating]]=4, "Excellent")</f>
        <v>Excellent</v>
      </c>
      <c r="O150" s="8" t="str">
        <f>IF(HR_Analytics56[[#This Row],[MonthlyIncome]]&lt;3000,"&lt; ₹3,000",IF(HR_Analytics56[[#This Row],[MonthlyIncome]]&lt;=7000,"₹ 3,000 - ₹ 7,000","&gt; ₹7,000"))</f>
        <v>&lt; ₹3,000</v>
      </c>
      <c r="P150" s="8" t="str" cm="1">
        <f t="array" ref="P1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1" spans="1:16" x14ac:dyDescent="0.8">
      <c r="A151" s="5" t="s">
        <v>216</v>
      </c>
      <c r="B151" s="8">
        <v>26</v>
      </c>
      <c r="C151" s="5" t="s">
        <v>49</v>
      </c>
      <c r="D151" s="5" t="s">
        <v>42</v>
      </c>
      <c r="E151" s="5" t="s">
        <v>44</v>
      </c>
      <c r="F151" s="5" t="s">
        <v>45</v>
      </c>
      <c r="G151" s="8">
        <v>4</v>
      </c>
      <c r="H151" s="8">
        <v>4420</v>
      </c>
      <c r="I151" s="5" t="s">
        <v>49</v>
      </c>
      <c r="J151" s="8">
        <v>4</v>
      </c>
      <c r="K151" s="8">
        <v>2</v>
      </c>
      <c r="L151" s="8">
        <v>8</v>
      </c>
      <c r="M1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1" s="8" t="str" cm="1">
        <f t="array" ref="N151">_xlfn.IFS(HR_Analytics56[[#This Row],[PerformanceRating]]=3,"Good",HR_Analytics56[[#This Row],[PerformanceRating]]=4, "Excellent")</f>
        <v>Excellent</v>
      </c>
      <c r="O151" s="8" t="str">
        <f>IF(HR_Analytics56[[#This Row],[MonthlyIncome]]&lt;3000,"&lt; ₹3,000",IF(HR_Analytics56[[#This Row],[MonthlyIncome]]&lt;=7000,"₹ 3,000 - ₹ 7,000","&gt; ₹7,000"))</f>
        <v>₹ 3,000 - ₹ 7,000</v>
      </c>
      <c r="P151" s="8" t="str" cm="1">
        <f t="array" ref="P1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2" spans="1:16" x14ac:dyDescent="0.8">
      <c r="A152" s="5" t="s">
        <v>217</v>
      </c>
      <c r="B152" s="8">
        <v>26</v>
      </c>
      <c r="C152" s="5" t="s">
        <v>49</v>
      </c>
      <c r="D152" s="5" t="s">
        <v>42</v>
      </c>
      <c r="E152" s="5" t="s">
        <v>44</v>
      </c>
      <c r="F152" s="5" t="s">
        <v>60</v>
      </c>
      <c r="G152" s="8">
        <v>4</v>
      </c>
      <c r="H152" s="8">
        <v>2875</v>
      </c>
      <c r="I152" s="5" t="s">
        <v>40</v>
      </c>
      <c r="J152" s="8">
        <v>4</v>
      </c>
      <c r="K152" s="8">
        <v>2</v>
      </c>
      <c r="L152" s="8">
        <v>8</v>
      </c>
      <c r="M1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52" s="8" t="str" cm="1">
        <f t="array" ref="N152">_xlfn.IFS(HR_Analytics56[[#This Row],[PerformanceRating]]=3,"Good",HR_Analytics56[[#This Row],[PerformanceRating]]=4, "Excellent")</f>
        <v>Excellent</v>
      </c>
      <c r="O152" s="8" t="str">
        <f>IF(HR_Analytics56[[#This Row],[MonthlyIncome]]&lt;3000,"&lt; ₹3,000",IF(HR_Analytics56[[#This Row],[MonthlyIncome]]&lt;=7000,"₹ 3,000 - ₹ 7,000","&gt; ₹7,000"))</f>
        <v>&lt; ₹3,000</v>
      </c>
      <c r="P152" s="8" t="str" cm="1">
        <f t="array" ref="P1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3" spans="1:16" x14ac:dyDescent="0.8">
      <c r="A153" s="5" t="s">
        <v>218</v>
      </c>
      <c r="B153" s="8">
        <v>26</v>
      </c>
      <c r="C153" s="5" t="s">
        <v>49</v>
      </c>
      <c r="D153" s="5" t="s">
        <v>42</v>
      </c>
      <c r="E153" s="5" t="s">
        <v>44</v>
      </c>
      <c r="F153" s="5" t="s">
        <v>60</v>
      </c>
      <c r="G153" s="8">
        <v>4</v>
      </c>
      <c r="H153" s="8">
        <v>3904</v>
      </c>
      <c r="I153" s="5" t="s">
        <v>49</v>
      </c>
      <c r="J153" s="8">
        <v>3</v>
      </c>
      <c r="K153" s="8">
        <v>2</v>
      </c>
      <c r="L153" s="8">
        <v>4</v>
      </c>
      <c r="M1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3" s="8" t="str" cm="1">
        <f t="array" ref="N153">_xlfn.IFS(HR_Analytics56[[#This Row],[PerformanceRating]]=3,"Good",HR_Analytics56[[#This Row],[PerformanceRating]]=4, "Excellent")</f>
        <v>Good</v>
      </c>
      <c r="O153" s="8" t="str">
        <f>IF(HR_Analytics56[[#This Row],[MonthlyIncome]]&lt;3000,"&lt; ₹3,000",IF(HR_Analytics56[[#This Row],[MonthlyIncome]]&lt;=7000,"₹ 3,000 - ₹ 7,000","&gt; ₹7,000"))</f>
        <v>₹ 3,000 - ₹ 7,000</v>
      </c>
      <c r="P153" s="8" t="str" cm="1">
        <f t="array" ref="P1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4" spans="1:16" x14ac:dyDescent="0.8">
      <c r="A154" s="5" t="s">
        <v>219</v>
      </c>
      <c r="B154" s="8">
        <v>26</v>
      </c>
      <c r="C154" s="5" t="s">
        <v>49</v>
      </c>
      <c r="D154" s="5" t="s">
        <v>42</v>
      </c>
      <c r="E154" s="5" t="s">
        <v>44</v>
      </c>
      <c r="F154" s="5" t="s">
        <v>45</v>
      </c>
      <c r="G154" s="8">
        <v>1</v>
      </c>
      <c r="H154" s="8">
        <v>3578</v>
      </c>
      <c r="I154" s="5" t="s">
        <v>49</v>
      </c>
      <c r="J154" s="8">
        <v>3</v>
      </c>
      <c r="K154" s="8">
        <v>2</v>
      </c>
      <c r="L154" s="8">
        <v>7</v>
      </c>
      <c r="M1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4" s="8" t="str" cm="1">
        <f t="array" ref="N154">_xlfn.IFS(HR_Analytics56[[#This Row],[PerformanceRating]]=3,"Good",HR_Analytics56[[#This Row],[PerformanceRating]]=4, "Excellent")</f>
        <v>Good</v>
      </c>
      <c r="O154" s="8" t="str">
        <f>IF(HR_Analytics56[[#This Row],[MonthlyIncome]]&lt;3000,"&lt; ₹3,000",IF(HR_Analytics56[[#This Row],[MonthlyIncome]]&lt;=7000,"₹ 3,000 - ₹ 7,000","&gt; ₹7,000"))</f>
        <v>₹ 3,000 - ₹ 7,000</v>
      </c>
      <c r="P154" s="8" t="str" cm="1">
        <f t="array" ref="P1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5" spans="1:16" x14ac:dyDescent="0.8">
      <c r="A155" s="5" t="s">
        <v>220</v>
      </c>
      <c r="B155" s="8">
        <v>26</v>
      </c>
      <c r="C155" s="5" t="s">
        <v>49</v>
      </c>
      <c r="D155" s="5" t="s">
        <v>42</v>
      </c>
      <c r="E155" s="5" t="s">
        <v>53</v>
      </c>
      <c r="F155" s="5" t="s">
        <v>60</v>
      </c>
      <c r="G155" s="8">
        <v>4</v>
      </c>
      <c r="H155" s="8">
        <v>2061</v>
      </c>
      <c r="I155" s="5" t="s">
        <v>49</v>
      </c>
      <c r="J155" s="8">
        <v>4</v>
      </c>
      <c r="K155" s="8">
        <v>5</v>
      </c>
      <c r="L155" s="8">
        <v>1</v>
      </c>
      <c r="M1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5" s="8" t="str" cm="1">
        <f t="array" ref="N155">_xlfn.IFS(HR_Analytics56[[#This Row],[PerformanceRating]]=3,"Good",HR_Analytics56[[#This Row],[PerformanceRating]]=4, "Excellent")</f>
        <v>Excellent</v>
      </c>
      <c r="O155" s="8" t="str">
        <f>IF(HR_Analytics56[[#This Row],[MonthlyIncome]]&lt;3000,"&lt; ₹3,000",IF(HR_Analytics56[[#This Row],[MonthlyIncome]]&lt;=7000,"₹ 3,000 - ₹ 7,000","&gt; ₹7,000"))</f>
        <v>&lt; ₹3,000</v>
      </c>
      <c r="P155" s="8" t="str" cm="1">
        <f t="array" ref="P1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6" spans="1:16" x14ac:dyDescent="0.8">
      <c r="A156" s="5" t="s">
        <v>221</v>
      </c>
      <c r="B156" s="8">
        <v>26</v>
      </c>
      <c r="C156" s="5" t="s">
        <v>49</v>
      </c>
      <c r="D156" s="5" t="s">
        <v>42</v>
      </c>
      <c r="E156" s="5" t="s">
        <v>44</v>
      </c>
      <c r="F156" s="5" t="s">
        <v>45</v>
      </c>
      <c r="G156" s="8">
        <v>4</v>
      </c>
      <c r="H156" s="8">
        <v>2570</v>
      </c>
      <c r="I156" s="5" t="s">
        <v>49</v>
      </c>
      <c r="J156" s="8">
        <v>4</v>
      </c>
      <c r="K156" s="8">
        <v>5</v>
      </c>
      <c r="L156" s="8">
        <v>7</v>
      </c>
      <c r="M1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6" s="8" t="str" cm="1">
        <f t="array" ref="N156">_xlfn.IFS(HR_Analytics56[[#This Row],[PerformanceRating]]=3,"Good",HR_Analytics56[[#This Row],[PerformanceRating]]=4, "Excellent")</f>
        <v>Excellent</v>
      </c>
      <c r="O156" s="8" t="str">
        <f>IF(HR_Analytics56[[#This Row],[MonthlyIncome]]&lt;3000,"&lt; ₹3,000",IF(HR_Analytics56[[#This Row],[MonthlyIncome]]&lt;=7000,"₹ 3,000 - ₹ 7,000","&gt; ₹7,000"))</f>
        <v>&lt; ₹3,000</v>
      </c>
      <c r="P156" s="8" t="str" cm="1">
        <f t="array" ref="P15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57" spans="1:16" x14ac:dyDescent="0.8">
      <c r="A157" s="5" t="s">
        <v>222</v>
      </c>
      <c r="B157" s="8">
        <v>26</v>
      </c>
      <c r="C157" s="5" t="s">
        <v>49</v>
      </c>
      <c r="D157" s="5" t="s">
        <v>42</v>
      </c>
      <c r="E157" s="5" t="s">
        <v>44</v>
      </c>
      <c r="F157" s="5" t="s">
        <v>45</v>
      </c>
      <c r="G157" s="8">
        <v>3</v>
      </c>
      <c r="H157" s="8">
        <v>2305</v>
      </c>
      <c r="I157" s="5" t="s">
        <v>49</v>
      </c>
      <c r="J157" s="8">
        <v>3</v>
      </c>
      <c r="K157" s="8">
        <v>3</v>
      </c>
      <c r="L157" s="8">
        <v>3</v>
      </c>
      <c r="M1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7" s="8" t="str" cm="1">
        <f t="array" ref="N157">_xlfn.IFS(HR_Analytics56[[#This Row],[PerformanceRating]]=3,"Good",HR_Analytics56[[#This Row],[PerformanceRating]]=4, "Excellent")</f>
        <v>Good</v>
      </c>
      <c r="O157" s="8" t="str">
        <f>IF(HR_Analytics56[[#This Row],[MonthlyIncome]]&lt;3000,"&lt; ₹3,000",IF(HR_Analytics56[[#This Row],[MonthlyIncome]]&lt;=7000,"₹ 3,000 - ₹ 7,000","&gt; ₹7,000"))</f>
        <v>&lt; ₹3,000</v>
      </c>
      <c r="P157" s="8" t="str" cm="1">
        <f t="array" ref="P1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8" spans="1:16" x14ac:dyDescent="0.8">
      <c r="A158" s="5" t="s">
        <v>223</v>
      </c>
      <c r="B158" s="8">
        <v>26</v>
      </c>
      <c r="C158" s="5" t="s">
        <v>40</v>
      </c>
      <c r="D158" s="5" t="s">
        <v>71</v>
      </c>
      <c r="E158" s="5" t="s">
        <v>53</v>
      </c>
      <c r="F158" s="5" t="s">
        <v>71</v>
      </c>
      <c r="G158" s="8">
        <v>2</v>
      </c>
      <c r="H158" s="8">
        <v>2148</v>
      </c>
      <c r="I158" s="5" t="s">
        <v>40</v>
      </c>
      <c r="J158" s="8">
        <v>3</v>
      </c>
      <c r="K158" s="8">
        <v>3</v>
      </c>
      <c r="L158" s="8">
        <v>5</v>
      </c>
      <c r="M1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58" s="8" t="str" cm="1">
        <f t="array" ref="N158">_xlfn.IFS(HR_Analytics56[[#This Row],[PerformanceRating]]=3,"Good",HR_Analytics56[[#This Row],[PerformanceRating]]=4, "Excellent")</f>
        <v>Good</v>
      </c>
      <c r="O158" s="8" t="str">
        <f>IF(HR_Analytics56[[#This Row],[MonthlyIncome]]&lt;3000,"&lt; ₹3,000",IF(HR_Analytics56[[#This Row],[MonthlyIncome]]&lt;=7000,"₹ 3,000 - ₹ 7,000","&gt; ₹7,000"))</f>
        <v>&lt; ₹3,000</v>
      </c>
      <c r="P158" s="8" t="str" cm="1">
        <f t="array" ref="P1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59" spans="1:16" x14ac:dyDescent="0.8">
      <c r="A159" s="5" t="s">
        <v>224</v>
      </c>
      <c r="B159" s="8">
        <v>26</v>
      </c>
      <c r="C159" s="5" t="s">
        <v>49</v>
      </c>
      <c r="D159" s="5" t="s">
        <v>51</v>
      </c>
      <c r="E159" s="5" t="s">
        <v>44</v>
      </c>
      <c r="F159" s="5" t="s">
        <v>137</v>
      </c>
      <c r="G159" s="8">
        <v>4</v>
      </c>
      <c r="H159" s="8">
        <v>4684</v>
      </c>
      <c r="I159" s="5" t="s">
        <v>49</v>
      </c>
      <c r="J159" s="8">
        <v>3</v>
      </c>
      <c r="K159" s="8">
        <v>4</v>
      </c>
      <c r="L159" s="8">
        <v>5</v>
      </c>
      <c r="M1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59" s="8" t="str" cm="1">
        <f t="array" ref="N159">_xlfn.IFS(HR_Analytics56[[#This Row],[PerformanceRating]]=3,"Good",HR_Analytics56[[#This Row],[PerformanceRating]]=4, "Excellent")</f>
        <v>Good</v>
      </c>
      <c r="O159" s="8" t="str">
        <f>IF(HR_Analytics56[[#This Row],[MonthlyIncome]]&lt;3000,"&lt; ₹3,000",IF(HR_Analytics56[[#This Row],[MonthlyIncome]]&lt;=7000,"₹ 3,000 - ₹ 7,000","&gt; ₹7,000"))</f>
        <v>₹ 3,000 - ₹ 7,000</v>
      </c>
      <c r="P159" s="8" t="str" cm="1">
        <f t="array" ref="P1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0" spans="1:16" x14ac:dyDescent="0.8">
      <c r="A160" s="5" t="s">
        <v>225</v>
      </c>
      <c r="B160" s="8">
        <v>26</v>
      </c>
      <c r="C160" s="5" t="s">
        <v>49</v>
      </c>
      <c r="D160" s="5" t="s">
        <v>42</v>
      </c>
      <c r="E160" s="5" t="s">
        <v>53</v>
      </c>
      <c r="F160" s="5" t="s">
        <v>60</v>
      </c>
      <c r="G160" s="8">
        <v>3</v>
      </c>
      <c r="H160" s="8">
        <v>2933</v>
      </c>
      <c r="I160" s="5" t="s">
        <v>40</v>
      </c>
      <c r="J160" s="8">
        <v>3</v>
      </c>
      <c r="K160" s="8">
        <v>3</v>
      </c>
      <c r="L160" s="8">
        <v>1</v>
      </c>
      <c r="M1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60" s="8" t="str" cm="1">
        <f t="array" ref="N160">_xlfn.IFS(HR_Analytics56[[#This Row],[PerformanceRating]]=3,"Good",HR_Analytics56[[#This Row],[PerformanceRating]]=4, "Excellent")</f>
        <v>Good</v>
      </c>
      <c r="O160" s="8" t="str">
        <f>IF(HR_Analytics56[[#This Row],[MonthlyIncome]]&lt;3000,"&lt; ₹3,000",IF(HR_Analytics56[[#This Row],[MonthlyIncome]]&lt;=7000,"₹ 3,000 - ₹ 7,000","&gt; ₹7,000"))</f>
        <v>&lt; ₹3,000</v>
      </c>
      <c r="P160" s="8" t="str" cm="1">
        <f t="array" ref="P1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1" spans="1:16" x14ac:dyDescent="0.8">
      <c r="A161" s="5" t="s">
        <v>226</v>
      </c>
      <c r="B161" s="8">
        <v>26</v>
      </c>
      <c r="C161" s="5" t="s">
        <v>49</v>
      </c>
      <c r="D161" s="5" t="s">
        <v>42</v>
      </c>
      <c r="E161" s="5" t="s">
        <v>44</v>
      </c>
      <c r="F161" s="5" t="s">
        <v>45</v>
      </c>
      <c r="G161" s="8">
        <v>4</v>
      </c>
      <c r="H161" s="8">
        <v>2544</v>
      </c>
      <c r="I161" s="5" t="s">
        <v>49</v>
      </c>
      <c r="J161" s="8">
        <v>3</v>
      </c>
      <c r="K161" s="8">
        <v>3</v>
      </c>
      <c r="L161" s="8">
        <v>7</v>
      </c>
      <c r="M1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1" s="8" t="str" cm="1">
        <f t="array" ref="N161">_xlfn.IFS(HR_Analytics56[[#This Row],[PerformanceRating]]=3,"Good",HR_Analytics56[[#This Row],[PerformanceRating]]=4, "Excellent")</f>
        <v>Good</v>
      </c>
      <c r="O161" s="8" t="str">
        <f>IF(HR_Analytics56[[#This Row],[MonthlyIncome]]&lt;3000,"&lt; ₹3,000",IF(HR_Analytics56[[#This Row],[MonthlyIncome]]&lt;=7000,"₹ 3,000 - ₹ 7,000","&gt; ₹7,000"))</f>
        <v>&lt; ₹3,000</v>
      </c>
      <c r="P161" s="8" t="str" cm="1">
        <f t="array" ref="P1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2" spans="1:16" x14ac:dyDescent="0.8">
      <c r="A162" s="5" t="s">
        <v>227</v>
      </c>
      <c r="B162" s="8">
        <v>26</v>
      </c>
      <c r="C162" s="5" t="s">
        <v>49</v>
      </c>
      <c r="D162" s="5" t="s">
        <v>42</v>
      </c>
      <c r="E162" s="5" t="s">
        <v>44</v>
      </c>
      <c r="F162" s="5" t="s">
        <v>45</v>
      </c>
      <c r="G162" s="8">
        <v>1</v>
      </c>
      <c r="H162" s="8">
        <v>2867</v>
      </c>
      <c r="I162" s="5" t="s">
        <v>49</v>
      </c>
      <c r="J162" s="8">
        <v>3</v>
      </c>
      <c r="K162" s="8">
        <v>6</v>
      </c>
      <c r="L162" s="8">
        <v>7</v>
      </c>
      <c r="M1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2" s="8" t="str" cm="1">
        <f t="array" ref="N162">_xlfn.IFS(HR_Analytics56[[#This Row],[PerformanceRating]]=3,"Good",HR_Analytics56[[#This Row],[PerformanceRating]]=4, "Excellent")</f>
        <v>Good</v>
      </c>
      <c r="O162" s="8" t="str">
        <f>IF(HR_Analytics56[[#This Row],[MonthlyIncome]]&lt;3000,"&lt; ₹3,000",IF(HR_Analytics56[[#This Row],[MonthlyIncome]]&lt;=7000,"₹ 3,000 - ₹ 7,000","&gt; ₹7,000"))</f>
        <v>&lt; ₹3,000</v>
      </c>
      <c r="P162" s="8" t="str" cm="1">
        <f t="array" ref="P1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3" spans="1:16" x14ac:dyDescent="0.8">
      <c r="A163" s="5" t="s">
        <v>228</v>
      </c>
      <c r="B163" s="8">
        <v>26</v>
      </c>
      <c r="C163" s="5" t="s">
        <v>49</v>
      </c>
      <c r="D163" s="5" t="s">
        <v>51</v>
      </c>
      <c r="E163" s="5" t="s">
        <v>53</v>
      </c>
      <c r="F163" s="5" t="s">
        <v>54</v>
      </c>
      <c r="G163" s="8">
        <v>3</v>
      </c>
      <c r="H163" s="8">
        <v>2966</v>
      </c>
      <c r="I163" s="5" t="s">
        <v>49</v>
      </c>
      <c r="J163" s="8">
        <v>3</v>
      </c>
      <c r="K163" s="8">
        <v>2</v>
      </c>
      <c r="L163" s="8">
        <v>4</v>
      </c>
      <c r="M1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3" s="8" t="str" cm="1">
        <f t="array" ref="N163">_xlfn.IFS(HR_Analytics56[[#This Row],[PerformanceRating]]=3,"Good",HR_Analytics56[[#This Row],[PerformanceRating]]=4, "Excellent")</f>
        <v>Good</v>
      </c>
      <c r="O163" s="8" t="str">
        <f>IF(HR_Analytics56[[#This Row],[MonthlyIncome]]&lt;3000,"&lt; ₹3,000",IF(HR_Analytics56[[#This Row],[MonthlyIncome]]&lt;=7000,"₹ 3,000 - ₹ 7,000","&gt; ₹7,000"))</f>
        <v>&lt; ₹3,000</v>
      </c>
      <c r="P163" s="8" t="str" cm="1">
        <f t="array" ref="P1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4" spans="1:16" x14ac:dyDescent="0.8">
      <c r="A164" s="5" t="s">
        <v>229</v>
      </c>
      <c r="B164" s="8">
        <v>27</v>
      </c>
      <c r="C164" s="5" t="s">
        <v>49</v>
      </c>
      <c r="D164" s="5" t="s">
        <v>42</v>
      </c>
      <c r="E164" s="5" t="s">
        <v>44</v>
      </c>
      <c r="F164" s="5" t="s">
        <v>45</v>
      </c>
      <c r="G164" s="8">
        <v>2</v>
      </c>
      <c r="H164" s="8">
        <v>3468</v>
      </c>
      <c r="I164" s="5" t="s">
        <v>49</v>
      </c>
      <c r="J164" s="8">
        <v>3</v>
      </c>
      <c r="K164" s="8">
        <v>3</v>
      </c>
      <c r="L164" s="8">
        <v>2</v>
      </c>
      <c r="M1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4" s="8" t="str" cm="1">
        <f t="array" ref="N164">_xlfn.IFS(HR_Analytics56[[#This Row],[PerformanceRating]]=3,"Good",HR_Analytics56[[#This Row],[PerformanceRating]]=4, "Excellent")</f>
        <v>Good</v>
      </c>
      <c r="O164" s="8" t="str">
        <f>IF(HR_Analytics56[[#This Row],[MonthlyIncome]]&lt;3000,"&lt; ₹3,000",IF(HR_Analytics56[[#This Row],[MonthlyIncome]]&lt;=7000,"₹ 3,000 - ₹ 7,000","&gt; ₹7,000"))</f>
        <v>₹ 3,000 - ₹ 7,000</v>
      </c>
      <c r="P164" s="8" t="str" cm="1">
        <f t="array" ref="P1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5" spans="1:16" x14ac:dyDescent="0.8">
      <c r="A165" s="5" t="s">
        <v>230</v>
      </c>
      <c r="B165" s="8">
        <v>27</v>
      </c>
      <c r="C165" s="5" t="s">
        <v>49</v>
      </c>
      <c r="D165" s="5" t="s">
        <v>42</v>
      </c>
      <c r="E165" s="5" t="s">
        <v>53</v>
      </c>
      <c r="F165" s="5" t="s">
        <v>45</v>
      </c>
      <c r="G165" s="8">
        <v>1</v>
      </c>
      <c r="H165" s="8">
        <v>2341</v>
      </c>
      <c r="I165" s="5" t="s">
        <v>49</v>
      </c>
      <c r="J165" s="8">
        <v>3</v>
      </c>
      <c r="K165" s="8">
        <v>6</v>
      </c>
      <c r="L165" s="8">
        <v>1</v>
      </c>
      <c r="M1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5" s="8" t="str" cm="1">
        <f t="array" ref="N165">_xlfn.IFS(HR_Analytics56[[#This Row],[PerformanceRating]]=3,"Good",HR_Analytics56[[#This Row],[PerformanceRating]]=4, "Excellent")</f>
        <v>Good</v>
      </c>
      <c r="O165" s="8" t="str">
        <f>IF(HR_Analytics56[[#This Row],[MonthlyIncome]]&lt;3000,"&lt; ₹3,000",IF(HR_Analytics56[[#This Row],[MonthlyIncome]]&lt;=7000,"₹ 3,000 - ₹ 7,000","&gt; ₹7,000"))</f>
        <v>&lt; ₹3,000</v>
      </c>
      <c r="P165" s="8" t="str" cm="1">
        <f t="array" ref="P1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6" spans="1:16" x14ac:dyDescent="0.8">
      <c r="A166" s="5" t="s">
        <v>231</v>
      </c>
      <c r="B166" s="8">
        <v>27</v>
      </c>
      <c r="C166" s="5" t="s">
        <v>49</v>
      </c>
      <c r="D166" s="5" t="s">
        <v>51</v>
      </c>
      <c r="E166" s="5" t="s">
        <v>44</v>
      </c>
      <c r="F166" s="5" t="s">
        <v>137</v>
      </c>
      <c r="G166" s="8">
        <v>3</v>
      </c>
      <c r="H166" s="8">
        <v>8726</v>
      </c>
      <c r="I166" s="5" t="s">
        <v>49</v>
      </c>
      <c r="J166" s="8">
        <v>3</v>
      </c>
      <c r="K166" s="8">
        <v>0</v>
      </c>
      <c r="L166" s="8">
        <v>9</v>
      </c>
      <c r="M1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6" s="8" t="str" cm="1">
        <f t="array" ref="N166">_xlfn.IFS(HR_Analytics56[[#This Row],[PerformanceRating]]=3,"Good",HR_Analytics56[[#This Row],[PerformanceRating]]=4, "Excellent")</f>
        <v>Good</v>
      </c>
      <c r="O166" s="8" t="str">
        <f>IF(HR_Analytics56[[#This Row],[MonthlyIncome]]&lt;3000,"&lt; ₹3,000",IF(HR_Analytics56[[#This Row],[MonthlyIncome]]&lt;=7000,"₹ 3,000 - ₹ 7,000","&gt; ₹7,000"))</f>
        <v>&gt; ₹7,000</v>
      </c>
      <c r="P166" s="8" t="str" cm="1">
        <f t="array" ref="P1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7" spans="1:16" x14ac:dyDescent="0.8">
      <c r="A167" s="5" t="s">
        <v>232</v>
      </c>
      <c r="B167" s="8">
        <v>27</v>
      </c>
      <c r="C167" s="5" t="s">
        <v>49</v>
      </c>
      <c r="D167" s="5" t="s">
        <v>42</v>
      </c>
      <c r="E167" s="5" t="s">
        <v>44</v>
      </c>
      <c r="F167" s="5" t="s">
        <v>60</v>
      </c>
      <c r="G167" s="8">
        <v>2</v>
      </c>
      <c r="H167" s="8">
        <v>2024</v>
      </c>
      <c r="I167" s="5" t="s">
        <v>49</v>
      </c>
      <c r="J167" s="8">
        <v>3</v>
      </c>
      <c r="K167" s="8">
        <v>1</v>
      </c>
      <c r="L167" s="8">
        <v>2</v>
      </c>
      <c r="M1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67" s="8" t="str" cm="1">
        <f t="array" ref="N167">_xlfn.IFS(HR_Analytics56[[#This Row],[PerformanceRating]]=3,"Good",HR_Analytics56[[#This Row],[PerformanceRating]]=4, "Excellent")</f>
        <v>Good</v>
      </c>
      <c r="O167" s="8" t="str">
        <f>IF(HR_Analytics56[[#This Row],[MonthlyIncome]]&lt;3000,"&lt; ₹3,000",IF(HR_Analytics56[[#This Row],[MonthlyIncome]]&lt;=7000,"₹ 3,000 - ₹ 7,000","&gt; ₹7,000"))</f>
        <v>&lt; ₹3,000</v>
      </c>
      <c r="P167" s="8" t="str" cm="1">
        <f t="array" ref="P1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8" spans="1:16" x14ac:dyDescent="0.8">
      <c r="A168" s="5" t="s">
        <v>233</v>
      </c>
      <c r="B168" s="8">
        <v>27</v>
      </c>
      <c r="C168" s="5" t="s">
        <v>49</v>
      </c>
      <c r="D168" s="5" t="s">
        <v>42</v>
      </c>
      <c r="E168" s="5" t="s">
        <v>44</v>
      </c>
      <c r="F168" s="5" t="s">
        <v>60</v>
      </c>
      <c r="G168" s="8">
        <v>3</v>
      </c>
      <c r="H168" s="8">
        <v>2566</v>
      </c>
      <c r="I168" s="5" t="s">
        <v>40</v>
      </c>
      <c r="J168" s="8">
        <v>3</v>
      </c>
      <c r="K168" s="8">
        <v>2</v>
      </c>
      <c r="L168" s="8">
        <v>1</v>
      </c>
      <c r="M1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68" s="8" t="str" cm="1">
        <f t="array" ref="N168">_xlfn.IFS(HR_Analytics56[[#This Row],[PerformanceRating]]=3,"Good",HR_Analytics56[[#This Row],[PerformanceRating]]=4, "Excellent")</f>
        <v>Good</v>
      </c>
      <c r="O168" s="8" t="str">
        <f>IF(HR_Analytics56[[#This Row],[MonthlyIncome]]&lt;3000,"&lt; ₹3,000",IF(HR_Analytics56[[#This Row],[MonthlyIncome]]&lt;=7000,"₹ 3,000 - ₹ 7,000","&gt; ₹7,000"))</f>
        <v>&lt; ₹3,000</v>
      </c>
      <c r="P168" s="8" t="str" cm="1">
        <f t="array" ref="P1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69" spans="1:16" x14ac:dyDescent="0.8">
      <c r="A169" s="5" t="s">
        <v>234</v>
      </c>
      <c r="B169" s="8">
        <v>27</v>
      </c>
      <c r="C169" s="5" t="s">
        <v>49</v>
      </c>
      <c r="D169" s="5" t="s">
        <v>42</v>
      </c>
      <c r="E169" s="5" t="s">
        <v>44</v>
      </c>
      <c r="F169" s="5" t="s">
        <v>60</v>
      </c>
      <c r="G169" s="8">
        <v>2</v>
      </c>
      <c r="H169" s="8">
        <v>3058</v>
      </c>
      <c r="I169" s="5" t="s">
        <v>40</v>
      </c>
      <c r="J169" s="8">
        <v>3</v>
      </c>
      <c r="K169" s="8">
        <v>3</v>
      </c>
      <c r="L169" s="8">
        <v>5</v>
      </c>
      <c r="M1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69" s="8" t="str" cm="1">
        <f t="array" ref="N169">_xlfn.IFS(HR_Analytics56[[#This Row],[PerformanceRating]]=3,"Good",HR_Analytics56[[#This Row],[PerformanceRating]]=4, "Excellent")</f>
        <v>Good</v>
      </c>
      <c r="O169" s="8" t="str">
        <f>IF(HR_Analytics56[[#This Row],[MonthlyIncome]]&lt;3000,"&lt; ₹3,000",IF(HR_Analytics56[[#This Row],[MonthlyIncome]]&lt;=7000,"₹ 3,000 - ₹ 7,000","&gt; ₹7,000"))</f>
        <v>₹ 3,000 - ₹ 7,000</v>
      </c>
      <c r="P169" s="8" t="str" cm="1">
        <f t="array" ref="P1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0" spans="1:16" x14ac:dyDescent="0.8">
      <c r="A170" s="5" t="s">
        <v>235</v>
      </c>
      <c r="B170" s="8">
        <v>27</v>
      </c>
      <c r="C170" s="5" t="s">
        <v>49</v>
      </c>
      <c r="D170" s="5" t="s">
        <v>42</v>
      </c>
      <c r="E170" s="5" t="s">
        <v>53</v>
      </c>
      <c r="F170" s="5" t="s">
        <v>60</v>
      </c>
      <c r="G170" s="8">
        <v>2</v>
      </c>
      <c r="H170" s="8">
        <v>2279</v>
      </c>
      <c r="I170" s="5" t="s">
        <v>49</v>
      </c>
      <c r="J170" s="8">
        <v>3</v>
      </c>
      <c r="K170" s="8">
        <v>2</v>
      </c>
      <c r="L170" s="8">
        <v>7</v>
      </c>
      <c r="M1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0" s="8" t="str" cm="1">
        <f t="array" ref="N170">_xlfn.IFS(HR_Analytics56[[#This Row],[PerformanceRating]]=3,"Good",HR_Analytics56[[#This Row],[PerformanceRating]]=4, "Excellent")</f>
        <v>Good</v>
      </c>
      <c r="O170" s="8" t="str">
        <f>IF(HR_Analytics56[[#This Row],[MonthlyIncome]]&lt;3000,"&lt; ₹3,000",IF(HR_Analytics56[[#This Row],[MonthlyIncome]]&lt;=7000,"₹ 3,000 - ₹ 7,000","&gt; ₹7,000"))</f>
        <v>&lt; ₹3,000</v>
      </c>
      <c r="P170" s="8" t="str" cm="1">
        <f t="array" ref="P1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1" spans="1:16" x14ac:dyDescent="0.8">
      <c r="A171" s="5" t="s">
        <v>236</v>
      </c>
      <c r="B171" s="8">
        <v>27</v>
      </c>
      <c r="C171" s="5" t="s">
        <v>49</v>
      </c>
      <c r="D171" s="5" t="s">
        <v>42</v>
      </c>
      <c r="E171" s="5" t="s">
        <v>44</v>
      </c>
      <c r="F171" s="5" t="s">
        <v>112</v>
      </c>
      <c r="G171" s="8">
        <v>1</v>
      </c>
      <c r="H171" s="8">
        <v>4298</v>
      </c>
      <c r="I171" s="5" t="s">
        <v>49</v>
      </c>
      <c r="J171" s="8">
        <v>3</v>
      </c>
      <c r="K171" s="8">
        <v>1</v>
      </c>
      <c r="L171" s="8">
        <v>2</v>
      </c>
      <c r="M1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1" s="8" t="str" cm="1">
        <f t="array" ref="N171">_xlfn.IFS(HR_Analytics56[[#This Row],[PerformanceRating]]=3,"Good",HR_Analytics56[[#This Row],[PerformanceRating]]=4, "Excellent")</f>
        <v>Good</v>
      </c>
      <c r="O171" s="8" t="str">
        <f>IF(HR_Analytics56[[#This Row],[MonthlyIncome]]&lt;3000,"&lt; ₹3,000",IF(HR_Analytics56[[#This Row],[MonthlyIncome]]&lt;=7000,"₹ 3,000 - ₹ 7,000","&gt; ₹7,000"))</f>
        <v>₹ 3,000 - ₹ 7,000</v>
      </c>
      <c r="P171" s="8" t="str" cm="1">
        <f t="array" ref="P1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2" spans="1:16" x14ac:dyDescent="0.8">
      <c r="A172" s="5" t="s">
        <v>237</v>
      </c>
      <c r="B172" s="8">
        <v>27</v>
      </c>
      <c r="C172" s="5" t="s">
        <v>49</v>
      </c>
      <c r="D172" s="5" t="s">
        <v>51</v>
      </c>
      <c r="E172" s="5" t="s">
        <v>53</v>
      </c>
      <c r="F172" s="5" t="s">
        <v>137</v>
      </c>
      <c r="G172" s="8">
        <v>3</v>
      </c>
      <c r="H172" s="8">
        <v>9981</v>
      </c>
      <c r="I172" s="5" t="s">
        <v>49</v>
      </c>
      <c r="J172" s="8">
        <v>3</v>
      </c>
      <c r="K172" s="8">
        <v>2</v>
      </c>
      <c r="L172" s="8">
        <v>7</v>
      </c>
      <c r="M1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2" s="8" t="str" cm="1">
        <f t="array" ref="N172">_xlfn.IFS(HR_Analytics56[[#This Row],[PerformanceRating]]=3,"Good",HR_Analytics56[[#This Row],[PerformanceRating]]=4, "Excellent")</f>
        <v>Good</v>
      </c>
      <c r="O172" s="8" t="str">
        <f>IF(HR_Analytics56[[#This Row],[MonthlyIncome]]&lt;3000,"&lt; ₹3,000",IF(HR_Analytics56[[#This Row],[MonthlyIncome]]&lt;=7000,"₹ 3,000 - ₹ 7,000","&gt; ₹7,000"))</f>
        <v>&gt; ₹7,000</v>
      </c>
      <c r="P172" s="8" t="str" cm="1">
        <f t="array" ref="P1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3" spans="1:16" x14ac:dyDescent="0.8">
      <c r="A173" s="5" t="s">
        <v>238</v>
      </c>
      <c r="B173" s="8">
        <v>27</v>
      </c>
      <c r="C173" s="5" t="s">
        <v>49</v>
      </c>
      <c r="D173" s="5" t="s">
        <v>42</v>
      </c>
      <c r="E173" s="5" t="s">
        <v>53</v>
      </c>
      <c r="F173" s="5" t="s">
        <v>60</v>
      </c>
      <c r="G173" s="8">
        <v>2</v>
      </c>
      <c r="H173" s="8">
        <v>2478</v>
      </c>
      <c r="I173" s="5" t="s">
        <v>40</v>
      </c>
      <c r="J173" s="8">
        <v>3</v>
      </c>
      <c r="K173" s="8">
        <v>2</v>
      </c>
      <c r="L173" s="8">
        <v>4</v>
      </c>
      <c r="M1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73" s="8" t="str" cm="1">
        <f t="array" ref="N173">_xlfn.IFS(HR_Analytics56[[#This Row],[PerformanceRating]]=3,"Good",HR_Analytics56[[#This Row],[PerformanceRating]]=4, "Excellent")</f>
        <v>Good</v>
      </c>
      <c r="O173" s="8" t="str">
        <f>IF(HR_Analytics56[[#This Row],[MonthlyIncome]]&lt;3000,"&lt; ₹3,000",IF(HR_Analytics56[[#This Row],[MonthlyIncome]]&lt;=7000,"₹ 3,000 - ₹ 7,000","&gt; ₹7,000"))</f>
        <v>&lt; ₹3,000</v>
      </c>
      <c r="P173" s="8" t="str" cm="1">
        <f t="array" ref="P1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4" spans="1:16" x14ac:dyDescent="0.8">
      <c r="A174" s="5" t="s">
        <v>239</v>
      </c>
      <c r="B174" s="8">
        <v>27</v>
      </c>
      <c r="C174" s="5" t="s">
        <v>49</v>
      </c>
      <c r="D174" s="5" t="s">
        <v>51</v>
      </c>
      <c r="E174" s="5" t="s">
        <v>44</v>
      </c>
      <c r="F174" s="5" t="s">
        <v>137</v>
      </c>
      <c r="G174" s="8">
        <v>3</v>
      </c>
      <c r="H174" s="8">
        <v>4478</v>
      </c>
      <c r="I174" s="5" t="s">
        <v>40</v>
      </c>
      <c r="J174" s="8">
        <v>3</v>
      </c>
      <c r="K174" s="8">
        <v>3</v>
      </c>
      <c r="L174" s="8">
        <v>5</v>
      </c>
      <c r="M1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74" s="8" t="str" cm="1">
        <f t="array" ref="N174">_xlfn.IFS(HR_Analytics56[[#This Row],[PerformanceRating]]=3,"Good",HR_Analytics56[[#This Row],[PerformanceRating]]=4, "Excellent")</f>
        <v>Good</v>
      </c>
      <c r="O174" s="8" t="str">
        <f>IF(HR_Analytics56[[#This Row],[MonthlyIncome]]&lt;3000,"&lt; ₹3,000",IF(HR_Analytics56[[#This Row],[MonthlyIncome]]&lt;=7000,"₹ 3,000 - ₹ 7,000","&gt; ₹7,000"))</f>
        <v>₹ 3,000 - ₹ 7,000</v>
      </c>
      <c r="P174" s="8" t="str" cm="1">
        <f t="array" ref="P1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5" spans="1:16" x14ac:dyDescent="0.8">
      <c r="A175" s="5" t="s">
        <v>240</v>
      </c>
      <c r="B175" s="8">
        <v>27</v>
      </c>
      <c r="C175" s="5" t="s">
        <v>49</v>
      </c>
      <c r="D175" s="5" t="s">
        <v>51</v>
      </c>
      <c r="E175" s="5" t="s">
        <v>44</v>
      </c>
      <c r="F175" s="5" t="s">
        <v>137</v>
      </c>
      <c r="G175" s="8">
        <v>2</v>
      </c>
      <c r="H175" s="8">
        <v>6349</v>
      </c>
      <c r="I175" s="5" t="s">
        <v>40</v>
      </c>
      <c r="J175" s="8">
        <v>3</v>
      </c>
      <c r="K175" s="8">
        <v>0</v>
      </c>
      <c r="L175" s="8">
        <v>5</v>
      </c>
      <c r="M1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75" s="8" t="str" cm="1">
        <f t="array" ref="N175">_xlfn.IFS(HR_Analytics56[[#This Row],[PerformanceRating]]=3,"Good",HR_Analytics56[[#This Row],[PerformanceRating]]=4, "Excellent")</f>
        <v>Good</v>
      </c>
      <c r="O175" s="8" t="str">
        <f>IF(HR_Analytics56[[#This Row],[MonthlyIncome]]&lt;3000,"&lt; ₹3,000",IF(HR_Analytics56[[#This Row],[MonthlyIncome]]&lt;=7000,"₹ 3,000 - ₹ 7,000","&gt; ₹7,000"))</f>
        <v>₹ 3,000 - ₹ 7,000</v>
      </c>
      <c r="P175" s="8" t="str" cm="1">
        <f t="array" ref="P1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6" spans="1:16" x14ac:dyDescent="0.8">
      <c r="A176" s="5" t="s">
        <v>241</v>
      </c>
      <c r="B176" s="8">
        <v>27</v>
      </c>
      <c r="C176" s="5" t="s">
        <v>49</v>
      </c>
      <c r="D176" s="5" t="s">
        <v>51</v>
      </c>
      <c r="E176" s="5" t="s">
        <v>53</v>
      </c>
      <c r="F176" s="5" t="s">
        <v>137</v>
      </c>
      <c r="G176" s="8">
        <v>2</v>
      </c>
      <c r="H176" s="8">
        <v>6214</v>
      </c>
      <c r="I176" s="5" t="s">
        <v>49</v>
      </c>
      <c r="J176" s="8">
        <v>3</v>
      </c>
      <c r="K176" s="8">
        <v>3</v>
      </c>
      <c r="L176" s="8">
        <v>8</v>
      </c>
      <c r="M1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6" s="8" t="str" cm="1">
        <f t="array" ref="N176">_xlfn.IFS(HR_Analytics56[[#This Row],[PerformanceRating]]=3,"Good",HR_Analytics56[[#This Row],[PerformanceRating]]=4, "Excellent")</f>
        <v>Good</v>
      </c>
      <c r="O176" s="8" t="str">
        <f>IF(HR_Analytics56[[#This Row],[MonthlyIncome]]&lt;3000,"&lt; ₹3,000",IF(HR_Analytics56[[#This Row],[MonthlyIncome]]&lt;=7000,"₹ 3,000 - ₹ 7,000","&gt; ₹7,000"))</f>
        <v>₹ 3,000 - ₹ 7,000</v>
      </c>
      <c r="P176" s="8" t="str" cm="1">
        <f t="array" ref="P1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7" spans="1:16" x14ac:dyDescent="0.8">
      <c r="A177" s="5" t="s">
        <v>242</v>
      </c>
      <c r="B177" s="8">
        <v>27</v>
      </c>
      <c r="C177" s="5" t="s">
        <v>49</v>
      </c>
      <c r="D177" s="5" t="s">
        <v>42</v>
      </c>
      <c r="E177" s="5" t="s">
        <v>44</v>
      </c>
      <c r="F177" s="5" t="s">
        <v>45</v>
      </c>
      <c r="G177" s="8">
        <v>2</v>
      </c>
      <c r="H177" s="8">
        <v>3816</v>
      </c>
      <c r="I177" s="5" t="s">
        <v>49</v>
      </c>
      <c r="J177" s="8">
        <v>3</v>
      </c>
      <c r="K177" s="8">
        <v>2</v>
      </c>
      <c r="L177" s="8">
        <v>5</v>
      </c>
      <c r="M1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7" s="8" t="str" cm="1">
        <f t="array" ref="N177">_xlfn.IFS(HR_Analytics56[[#This Row],[PerformanceRating]]=3,"Good",HR_Analytics56[[#This Row],[PerformanceRating]]=4, "Excellent")</f>
        <v>Good</v>
      </c>
      <c r="O177" s="8" t="str">
        <f>IF(HR_Analytics56[[#This Row],[MonthlyIncome]]&lt;3000,"&lt; ₹3,000",IF(HR_Analytics56[[#This Row],[MonthlyIncome]]&lt;=7000,"₹ 3,000 - ₹ 7,000","&gt; ₹7,000"))</f>
        <v>₹ 3,000 - ₹ 7,000</v>
      </c>
      <c r="P177" s="8" t="str" cm="1">
        <f t="array" ref="P1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8" spans="1:16" x14ac:dyDescent="0.8">
      <c r="A178" s="5" t="s">
        <v>243</v>
      </c>
      <c r="B178" s="8">
        <v>27</v>
      </c>
      <c r="C178" s="5" t="s">
        <v>49</v>
      </c>
      <c r="D178" s="5" t="s">
        <v>42</v>
      </c>
      <c r="E178" s="5" t="s">
        <v>53</v>
      </c>
      <c r="F178" s="5" t="s">
        <v>60</v>
      </c>
      <c r="G178" s="8">
        <v>3</v>
      </c>
      <c r="H178" s="8">
        <v>2187</v>
      </c>
      <c r="I178" s="5" t="s">
        <v>49</v>
      </c>
      <c r="J178" s="8">
        <v>3</v>
      </c>
      <c r="K178" s="8">
        <v>5</v>
      </c>
      <c r="L178" s="8">
        <v>5</v>
      </c>
      <c r="M1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78" s="8" t="str" cm="1">
        <f t="array" ref="N178">_xlfn.IFS(HR_Analytics56[[#This Row],[PerformanceRating]]=3,"Good",HR_Analytics56[[#This Row],[PerformanceRating]]=4, "Excellent")</f>
        <v>Good</v>
      </c>
      <c r="O178" s="8" t="str">
        <f>IF(HR_Analytics56[[#This Row],[MonthlyIncome]]&lt;3000,"&lt; ₹3,000",IF(HR_Analytics56[[#This Row],[MonthlyIncome]]&lt;=7000,"₹ 3,000 - ₹ 7,000","&gt; ₹7,000"))</f>
        <v>&lt; ₹3,000</v>
      </c>
      <c r="P178" s="8" t="str" cm="1">
        <f t="array" ref="P1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79" spans="1:16" x14ac:dyDescent="0.8">
      <c r="A179" s="5" t="s">
        <v>244</v>
      </c>
      <c r="B179" s="8">
        <v>27</v>
      </c>
      <c r="C179" s="5" t="s">
        <v>40</v>
      </c>
      <c r="D179" s="5" t="s">
        <v>51</v>
      </c>
      <c r="E179" s="5" t="s">
        <v>44</v>
      </c>
      <c r="F179" s="5" t="s">
        <v>54</v>
      </c>
      <c r="G179" s="8">
        <v>1</v>
      </c>
      <c r="H179" s="8">
        <v>3041</v>
      </c>
      <c r="I179" s="5" t="s">
        <v>49</v>
      </c>
      <c r="J179" s="8">
        <v>3</v>
      </c>
      <c r="K179" s="8">
        <v>3</v>
      </c>
      <c r="L179" s="8">
        <v>4</v>
      </c>
      <c r="M1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79" s="8" t="str" cm="1">
        <f t="array" ref="N179">_xlfn.IFS(HR_Analytics56[[#This Row],[PerformanceRating]]=3,"Good",HR_Analytics56[[#This Row],[PerformanceRating]]=4, "Excellent")</f>
        <v>Good</v>
      </c>
      <c r="O179" s="8" t="str">
        <f>IF(HR_Analytics56[[#This Row],[MonthlyIncome]]&lt;3000,"&lt; ₹3,000",IF(HR_Analytics56[[#This Row],[MonthlyIncome]]&lt;=7000,"₹ 3,000 - ₹ 7,000","&gt; ₹7,000"))</f>
        <v>₹ 3,000 - ₹ 7,000</v>
      </c>
      <c r="P179" s="8" t="str" cm="1">
        <f t="array" ref="P1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0" spans="1:16" x14ac:dyDescent="0.8">
      <c r="A180" s="5" t="s">
        <v>245</v>
      </c>
      <c r="B180" s="8">
        <v>27</v>
      </c>
      <c r="C180" s="5" t="s">
        <v>49</v>
      </c>
      <c r="D180" s="5" t="s">
        <v>42</v>
      </c>
      <c r="E180" s="5" t="s">
        <v>44</v>
      </c>
      <c r="F180" s="5" t="s">
        <v>60</v>
      </c>
      <c r="G180" s="8">
        <v>4</v>
      </c>
      <c r="H180" s="8">
        <v>2045</v>
      </c>
      <c r="I180" s="5" t="s">
        <v>49</v>
      </c>
      <c r="J180" s="8">
        <v>3</v>
      </c>
      <c r="K180" s="8">
        <v>0</v>
      </c>
      <c r="L180" s="8">
        <v>4</v>
      </c>
      <c r="M1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0" s="8" t="str" cm="1">
        <f t="array" ref="N180">_xlfn.IFS(HR_Analytics56[[#This Row],[PerformanceRating]]=3,"Good",HR_Analytics56[[#This Row],[PerformanceRating]]=4, "Excellent")</f>
        <v>Good</v>
      </c>
      <c r="O180" s="8" t="str">
        <f>IF(HR_Analytics56[[#This Row],[MonthlyIncome]]&lt;3000,"&lt; ₹3,000",IF(HR_Analytics56[[#This Row],[MonthlyIncome]]&lt;=7000,"₹ 3,000 - ₹ 7,000","&gt; ₹7,000"))</f>
        <v>&lt; ₹3,000</v>
      </c>
      <c r="P180" s="8" t="str" cm="1">
        <f t="array" ref="P1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1" spans="1:16" x14ac:dyDescent="0.8">
      <c r="A181" s="5" t="s">
        <v>246</v>
      </c>
      <c r="B181" s="8">
        <v>27</v>
      </c>
      <c r="C181" s="5" t="s">
        <v>49</v>
      </c>
      <c r="D181" s="5" t="s">
        <v>51</v>
      </c>
      <c r="E181" s="5" t="s">
        <v>53</v>
      </c>
      <c r="F181" s="5" t="s">
        <v>137</v>
      </c>
      <c r="G181" s="8">
        <v>4</v>
      </c>
      <c r="H181" s="8">
        <v>4647</v>
      </c>
      <c r="I181" s="5" t="s">
        <v>40</v>
      </c>
      <c r="J181" s="8">
        <v>4</v>
      </c>
      <c r="K181" s="8">
        <v>3</v>
      </c>
      <c r="L181" s="8">
        <v>6</v>
      </c>
      <c r="M1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81" s="8" t="str" cm="1">
        <f t="array" ref="N181">_xlfn.IFS(HR_Analytics56[[#This Row],[PerformanceRating]]=3,"Good",HR_Analytics56[[#This Row],[PerformanceRating]]=4, "Excellent")</f>
        <v>Excellent</v>
      </c>
      <c r="O181" s="8" t="str">
        <f>IF(HR_Analytics56[[#This Row],[MonthlyIncome]]&lt;3000,"&lt; ₹3,000",IF(HR_Analytics56[[#This Row],[MonthlyIncome]]&lt;=7000,"₹ 3,000 - ₹ 7,000","&gt; ₹7,000"))</f>
        <v>₹ 3,000 - ₹ 7,000</v>
      </c>
      <c r="P181" s="8" t="str" cm="1">
        <f t="array" ref="P18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82" spans="1:16" x14ac:dyDescent="0.8">
      <c r="A182" s="5" t="s">
        <v>247</v>
      </c>
      <c r="B182" s="8">
        <v>27</v>
      </c>
      <c r="C182" s="5" t="s">
        <v>49</v>
      </c>
      <c r="D182" s="5" t="s">
        <v>42</v>
      </c>
      <c r="E182" s="5" t="s">
        <v>53</v>
      </c>
      <c r="F182" s="5" t="s">
        <v>112</v>
      </c>
      <c r="G182" s="8">
        <v>1</v>
      </c>
      <c r="H182" s="8">
        <v>7412</v>
      </c>
      <c r="I182" s="5" t="s">
        <v>49</v>
      </c>
      <c r="J182" s="8">
        <v>3</v>
      </c>
      <c r="K182" s="8">
        <v>3</v>
      </c>
      <c r="L182" s="8">
        <v>9</v>
      </c>
      <c r="M1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2" s="8" t="str" cm="1">
        <f t="array" ref="N182">_xlfn.IFS(HR_Analytics56[[#This Row],[PerformanceRating]]=3,"Good",HR_Analytics56[[#This Row],[PerformanceRating]]=4, "Excellent")</f>
        <v>Good</v>
      </c>
      <c r="O182" s="8" t="str">
        <f>IF(HR_Analytics56[[#This Row],[MonthlyIncome]]&lt;3000,"&lt; ₹3,000",IF(HR_Analytics56[[#This Row],[MonthlyIncome]]&lt;=7000,"₹ 3,000 - ₹ 7,000","&gt; ₹7,000"))</f>
        <v>&gt; ₹7,000</v>
      </c>
      <c r="P182" s="8" t="str" cm="1">
        <f t="array" ref="P1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3" spans="1:16" x14ac:dyDescent="0.8">
      <c r="A183" s="5" t="s">
        <v>248</v>
      </c>
      <c r="B183" s="8">
        <v>27</v>
      </c>
      <c r="C183" s="5" t="s">
        <v>49</v>
      </c>
      <c r="D183" s="5" t="s">
        <v>42</v>
      </c>
      <c r="E183" s="5" t="s">
        <v>44</v>
      </c>
      <c r="F183" s="5" t="s">
        <v>112</v>
      </c>
      <c r="G183" s="8">
        <v>1</v>
      </c>
      <c r="H183" s="8">
        <v>8793</v>
      </c>
      <c r="I183" s="5" t="s">
        <v>49</v>
      </c>
      <c r="J183" s="8">
        <v>4</v>
      </c>
      <c r="K183" s="8">
        <v>4</v>
      </c>
      <c r="L183" s="8">
        <v>9</v>
      </c>
      <c r="M1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3" s="8" t="str" cm="1">
        <f t="array" ref="N183">_xlfn.IFS(HR_Analytics56[[#This Row],[PerformanceRating]]=3,"Good",HR_Analytics56[[#This Row],[PerformanceRating]]=4, "Excellent")</f>
        <v>Excellent</v>
      </c>
      <c r="O183" s="8" t="str">
        <f>IF(HR_Analytics56[[#This Row],[MonthlyIncome]]&lt;3000,"&lt; ₹3,000",IF(HR_Analytics56[[#This Row],[MonthlyIncome]]&lt;=7000,"₹ 3,000 - ₹ 7,000","&gt; ₹7,000"))</f>
        <v>&gt; ₹7,000</v>
      </c>
      <c r="P183" s="8" t="str" cm="1">
        <f t="array" ref="P18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84" spans="1:16" x14ac:dyDescent="0.8">
      <c r="A184" s="5" t="s">
        <v>249</v>
      </c>
      <c r="B184" s="8">
        <v>27</v>
      </c>
      <c r="C184" s="5" t="s">
        <v>49</v>
      </c>
      <c r="D184" s="5" t="s">
        <v>42</v>
      </c>
      <c r="E184" s="5" t="s">
        <v>53</v>
      </c>
      <c r="F184" s="5" t="s">
        <v>161</v>
      </c>
      <c r="G184" s="8">
        <v>1</v>
      </c>
      <c r="H184" s="8">
        <v>6811</v>
      </c>
      <c r="I184" s="5" t="s">
        <v>49</v>
      </c>
      <c r="J184" s="8">
        <v>3</v>
      </c>
      <c r="K184" s="8">
        <v>2</v>
      </c>
      <c r="L184" s="8">
        <v>7</v>
      </c>
      <c r="M1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4" s="8" t="str" cm="1">
        <f t="array" ref="N184">_xlfn.IFS(HR_Analytics56[[#This Row],[PerformanceRating]]=3,"Good",HR_Analytics56[[#This Row],[PerformanceRating]]=4, "Excellent")</f>
        <v>Good</v>
      </c>
      <c r="O184" s="8" t="str">
        <f>IF(HR_Analytics56[[#This Row],[MonthlyIncome]]&lt;3000,"&lt; ₹3,000",IF(HR_Analytics56[[#This Row],[MonthlyIncome]]&lt;=7000,"₹ 3,000 - ₹ 7,000","&gt; ₹7,000"))</f>
        <v>₹ 3,000 - ₹ 7,000</v>
      </c>
      <c r="P184" s="8" t="str" cm="1">
        <f t="array" ref="P1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5" spans="1:16" x14ac:dyDescent="0.8">
      <c r="A185" s="5" t="s">
        <v>250</v>
      </c>
      <c r="B185" s="8">
        <v>27</v>
      </c>
      <c r="C185" s="5" t="s">
        <v>49</v>
      </c>
      <c r="D185" s="5" t="s">
        <v>51</v>
      </c>
      <c r="E185" s="5" t="s">
        <v>44</v>
      </c>
      <c r="F185" s="5" t="s">
        <v>137</v>
      </c>
      <c r="G185" s="8">
        <v>4</v>
      </c>
      <c r="H185" s="8">
        <v>4342</v>
      </c>
      <c r="I185" s="5" t="s">
        <v>49</v>
      </c>
      <c r="J185" s="8">
        <v>3</v>
      </c>
      <c r="K185" s="8">
        <v>3</v>
      </c>
      <c r="L185" s="8">
        <v>4</v>
      </c>
      <c r="M1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5" s="8" t="str" cm="1">
        <f t="array" ref="N185">_xlfn.IFS(HR_Analytics56[[#This Row],[PerformanceRating]]=3,"Good",HR_Analytics56[[#This Row],[PerformanceRating]]=4, "Excellent")</f>
        <v>Good</v>
      </c>
      <c r="O185" s="8" t="str">
        <f>IF(HR_Analytics56[[#This Row],[MonthlyIncome]]&lt;3000,"&lt; ₹3,000",IF(HR_Analytics56[[#This Row],[MonthlyIncome]]&lt;=7000,"₹ 3,000 - ₹ 7,000","&gt; ₹7,000"))</f>
        <v>₹ 3,000 - ₹ 7,000</v>
      </c>
      <c r="P185" s="8" t="str" cm="1">
        <f t="array" ref="P1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6" spans="1:16" x14ac:dyDescent="0.8">
      <c r="A186" s="5" t="s">
        <v>251</v>
      </c>
      <c r="B186" s="8">
        <v>27</v>
      </c>
      <c r="C186" s="5" t="s">
        <v>49</v>
      </c>
      <c r="D186" s="5" t="s">
        <v>42</v>
      </c>
      <c r="E186" s="5" t="s">
        <v>44</v>
      </c>
      <c r="F186" s="5" t="s">
        <v>252</v>
      </c>
      <c r="G186" s="8">
        <v>4</v>
      </c>
      <c r="H186" s="8">
        <v>12808</v>
      </c>
      <c r="I186" s="5" t="s">
        <v>40</v>
      </c>
      <c r="J186" s="8">
        <v>3</v>
      </c>
      <c r="K186" s="8">
        <v>3</v>
      </c>
      <c r="L186" s="8">
        <v>9</v>
      </c>
      <c r="M1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86" s="8" t="str" cm="1">
        <f t="array" ref="N186">_xlfn.IFS(HR_Analytics56[[#This Row],[PerformanceRating]]=3,"Good",HR_Analytics56[[#This Row],[PerformanceRating]]=4, "Excellent")</f>
        <v>Good</v>
      </c>
      <c r="O186" s="8" t="str">
        <f>IF(HR_Analytics56[[#This Row],[MonthlyIncome]]&lt;3000,"&lt; ₹3,000",IF(HR_Analytics56[[#This Row],[MonthlyIncome]]&lt;=7000,"₹ 3,000 - ₹ 7,000","&gt; ₹7,000"))</f>
        <v>&gt; ₹7,000</v>
      </c>
      <c r="P186" s="8" t="str" cm="1">
        <f t="array" ref="P1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7" spans="1:16" x14ac:dyDescent="0.8">
      <c r="A187" s="5" t="s">
        <v>254</v>
      </c>
      <c r="B187" s="8">
        <v>27</v>
      </c>
      <c r="C187" s="5" t="s">
        <v>49</v>
      </c>
      <c r="D187" s="5" t="s">
        <v>42</v>
      </c>
      <c r="E187" s="5" t="s">
        <v>44</v>
      </c>
      <c r="F187" s="5" t="s">
        <v>60</v>
      </c>
      <c r="G187" s="8">
        <v>4</v>
      </c>
      <c r="H187" s="8">
        <v>1706</v>
      </c>
      <c r="I187" s="5" t="s">
        <v>49</v>
      </c>
      <c r="J187" s="8">
        <v>3</v>
      </c>
      <c r="K187" s="8">
        <v>6</v>
      </c>
      <c r="L187" s="8">
        <v>0</v>
      </c>
      <c r="M1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7" s="8" t="str" cm="1">
        <f t="array" ref="N187">_xlfn.IFS(HR_Analytics56[[#This Row],[PerformanceRating]]=3,"Good",HR_Analytics56[[#This Row],[PerformanceRating]]=4, "Excellent")</f>
        <v>Good</v>
      </c>
      <c r="O187" s="8" t="str">
        <f>IF(HR_Analytics56[[#This Row],[MonthlyIncome]]&lt;3000,"&lt; ₹3,000",IF(HR_Analytics56[[#This Row],[MonthlyIncome]]&lt;=7000,"₹ 3,000 - ₹ 7,000","&gt; ₹7,000"))</f>
        <v>&lt; ₹3,000</v>
      </c>
      <c r="P187" s="8" t="str" cm="1">
        <f t="array" ref="P1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8" spans="1:16" x14ac:dyDescent="0.8">
      <c r="A188" s="5" t="s">
        <v>255</v>
      </c>
      <c r="B188" s="8">
        <v>27</v>
      </c>
      <c r="C188" s="5" t="s">
        <v>49</v>
      </c>
      <c r="D188" s="5" t="s">
        <v>42</v>
      </c>
      <c r="E188" s="5" t="s">
        <v>53</v>
      </c>
      <c r="F188" s="5" t="s">
        <v>60</v>
      </c>
      <c r="G188" s="8">
        <v>3</v>
      </c>
      <c r="H188" s="8">
        <v>2318</v>
      </c>
      <c r="I188" s="5" t="s">
        <v>49</v>
      </c>
      <c r="J188" s="8">
        <v>3</v>
      </c>
      <c r="K188" s="8">
        <v>2</v>
      </c>
      <c r="L188" s="8">
        <v>1</v>
      </c>
      <c r="M1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8" s="8" t="str" cm="1">
        <f t="array" ref="N188">_xlfn.IFS(HR_Analytics56[[#This Row],[PerformanceRating]]=3,"Good",HR_Analytics56[[#This Row],[PerformanceRating]]=4, "Excellent")</f>
        <v>Good</v>
      </c>
      <c r="O188" s="8" t="str">
        <f>IF(HR_Analytics56[[#This Row],[MonthlyIncome]]&lt;3000,"&lt; ₹3,000",IF(HR_Analytics56[[#This Row],[MonthlyIncome]]&lt;=7000,"₹ 3,000 - ₹ 7,000","&gt; ₹7,000"))</f>
        <v>&lt; ₹3,000</v>
      </c>
      <c r="P188" s="8" t="str" cm="1">
        <f t="array" ref="P1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89" spans="1:16" x14ac:dyDescent="0.8">
      <c r="A189" s="5" t="s">
        <v>256</v>
      </c>
      <c r="B189" s="8">
        <v>27</v>
      </c>
      <c r="C189" s="5" t="s">
        <v>49</v>
      </c>
      <c r="D189" s="5" t="s">
        <v>42</v>
      </c>
      <c r="E189" s="5" t="s">
        <v>53</v>
      </c>
      <c r="F189" s="5" t="s">
        <v>45</v>
      </c>
      <c r="G189" s="8">
        <v>2</v>
      </c>
      <c r="H189" s="8">
        <v>2811</v>
      </c>
      <c r="I189" s="5" t="s">
        <v>49</v>
      </c>
      <c r="J189" s="8">
        <v>3</v>
      </c>
      <c r="K189" s="8">
        <v>2</v>
      </c>
      <c r="L189" s="8">
        <v>2</v>
      </c>
      <c r="M1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89" s="8" t="str" cm="1">
        <f t="array" ref="N189">_xlfn.IFS(HR_Analytics56[[#This Row],[PerformanceRating]]=3,"Good",HR_Analytics56[[#This Row],[PerformanceRating]]=4, "Excellent")</f>
        <v>Good</v>
      </c>
      <c r="O189" s="8" t="str">
        <f>IF(HR_Analytics56[[#This Row],[MonthlyIncome]]&lt;3000,"&lt; ₹3,000",IF(HR_Analytics56[[#This Row],[MonthlyIncome]]&lt;=7000,"₹ 3,000 - ₹ 7,000","&gt; ₹7,000"))</f>
        <v>&lt; ₹3,000</v>
      </c>
      <c r="P189" s="8" t="str" cm="1">
        <f t="array" ref="P1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0" spans="1:16" x14ac:dyDescent="0.8">
      <c r="A190" s="5" t="s">
        <v>257</v>
      </c>
      <c r="B190" s="8">
        <v>27</v>
      </c>
      <c r="C190" s="5" t="s">
        <v>49</v>
      </c>
      <c r="D190" s="5" t="s">
        <v>42</v>
      </c>
      <c r="E190" s="5" t="s">
        <v>53</v>
      </c>
      <c r="F190" s="5" t="s">
        <v>112</v>
      </c>
      <c r="G190" s="8">
        <v>4</v>
      </c>
      <c r="H190" s="8">
        <v>4227</v>
      </c>
      <c r="I190" s="5" t="s">
        <v>49</v>
      </c>
      <c r="J190" s="8">
        <v>3</v>
      </c>
      <c r="K190" s="8">
        <v>2</v>
      </c>
      <c r="L190" s="8">
        <v>3</v>
      </c>
      <c r="M1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0" s="8" t="str" cm="1">
        <f t="array" ref="N190">_xlfn.IFS(HR_Analytics56[[#This Row],[PerformanceRating]]=3,"Good",HR_Analytics56[[#This Row],[PerformanceRating]]=4, "Excellent")</f>
        <v>Good</v>
      </c>
      <c r="O190" s="8" t="str">
        <f>IF(HR_Analytics56[[#This Row],[MonthlyIncome]]&lt;3000,"&lt; ₹3,000",IF(HR_Analytics56[[#This Row],[MonthlyIncome]]&lt;=7000,"₹ 3,000 - ₹ 7,000","&gt; ₹7,000"))</f>
        <v>₹ 3,000 - ₹ 7,000</v>
      </c>
      <c r="P190" s="8" t="str" cm="1">
        <f t="array" ref="P1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1" spans="1:16" x14ac:dyDescent="0.8">
      <c r="A191" s="5" t="s">
        <v>258</v>
      </c>
      <c r="B191" s="8">
        <v>27</v>
      </c>
      <c r="C191" s="5" t="s">
        <v>49</v>
      </c>
      <c r="D191" s="5" t="s">
        <v>42</v>
      </c>
      <c r="E191" s="5" t="s">
        <v>44</v>
      </c>
      <c r="F191" s="5" t="s">
        <v>45</v>
      </c>
      <c r="G191" s="8">
        <v>3</v>
      </c>
      <c r="H191" s="8">
        <v>4621</v>
      </c>
      <c r="I191" s="5" t="s">
        <v>49</v>
      </c>
      <c r="J191" s="8">
        <v>3</v>
      </c>
      <c r="K191" s="8">
        <v>4</v>
      </c>
      <c r="L191" s="8">
        <v>3</v>
      </c>
      <c r="M1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1" s="8" t="str" cm="1">
        <f t="array" ref="N191">_xlfn.IFS(HR_Analytics56[[#This Row],[PerformanceRating]]=3,"Good",HR_Analytics56[[#This Row],[PerformanceRating]]=4, "Excellent")</f>
        <v>Good</v>
      </c>
      <c r="O191" s="8" t="str">
        <f>IF(HR_Analytics56[[#This Row],[MonthlyIncome]]&lt;3000,"&lt; ₹3,000",IF(HR_Analytics56[[#This Row],[MonthlyIncome]]&lt;=7000,"₹ 3,000 - ₹ 7,000","&gt; ₹7,000"))</f>
        <v>₹ 3,000 - ₹ 7,000</v>
      </c>
      <c r="P191" s="8" t="str" cm="1">
        <f t="array" ref="P1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2" spans="1:16" x14ac:dyDescent="0.8">
      <c r="A192" s="5" t="s">
        <v>259</v>
      </c>
      <c r="B192" s="8">
        <v>27</v>
      </c>
      <c r="C192" s="5" t="s">
        <v>49</v>
      </c>
      <c r="D192" s="5" t="s">
        <v>42</v>
      </c>
      <c r="E192" s="5" t="s">
        <v>44</v>
      </c>
      <c r="F192" s="5" t="s">
        <v>60</v>
      </c>
      <c r="G192" s="8">
        <v>3</v>
      </c>
      <c r="H192" s="8">
        <v>2539</v>
      </c>
      <c r="I192" s="5" t="s">
        <v>49</v>
      </c>
      <c r="J192" s="8">
        <v>3</v>
      </c>
      <c r="K192" s="8">
        <v>0</v>
      </c>
      <c r="L192" s="8">
        <v>4</v>
      </c>
      <c r="M1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2" s="8" t="str" cm="1">
        <f t="array" ref="N192">_xlfn.IFS(HR_Analytics56[[#This Row],[PerformanceRating]]=3,"Good",HR_Analytics56[[#This Row],[PerformanceRating]]=4, "Excellent")</f>
        <v>Good</v>
      </c>
      <c r="O192" s="8" t="str">
        <f>IF(HR_Analytics56[[#This Row],[MonthlyIncome]]&lt;3000,"&lt; ₹3,000",IF(HR_Analytics56[[#This Row],[MonthlyIncome]]&lt;=7000,"₹ 3,000 - ₹ 7,000","&gt; ₹7,000"))</f>
        <v>&lt; ₹3,000</v>
      </c>
      <c r="P192" s="8" t="str" cm="1">
        <f t="array" ref="P1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3" spans="1:16" x14ac:dyDescent="0.8">
      <c r="A193" s="5" t="s">
        <v>260</v>
      </c>
      <c r="B193" s="8">
        <v>27</v>
      </c>
      <c r="C193" s="5" t="s">
        <v>49</v>
      </c>
      <c r="D193" s="5" t="s">
        <v>42</v>
      </c>
      <c r="E193" s="5" t="s">
        <v>44</v>
      </c>
      <c r="F193" s="5" t="s">
        <v>60</v>
      </c>
      <c r="G193" s="8">
        <v>1</v>
      </c>
      <c r="H193" s="8">
        <v>2235</v>
      </c>
      <c r="I193" s="5" t="s">
        <v>40</v>
      </c>
      <c r="J193" s="8">
        <v>3</v>
      </c>
      <c r="K193" s="8">
        <v>3</v>
      </c>
      <c r="L193" s="8">
        <v>9</v>
      </c>
      <c r="M1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93" s="8" t="str" cm="1">
        <f t="array" ref="N193">_xlfn.IFS(HR_Analytics56[[#This Row],[PerformanceRating]]=3,"Good",HR_Analytics56[[#This Row],[PerformanceRating]]=4, "Excellent")</f>
        <v>Good</v>
      </c>
      <c r="O193" s="8" t="str">
        <f>IF(HR_Analytics56[[#This Row],[MonthlyIncome]]&lt;3000,"&lt; ₹3,000",IF(HR_Analytics56[[#This Row],[MonthlyIncome]]&lt;=7000,"₹ 3,000 - ₹ 7,000","&gt; ₹7,000"))</f>
        <v>&lt; ₹3,000</v>
      </c>
      <c r="P193" s="8" t="str" cm="1">
        <f t="array" ref="P1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4" spans="1:16" x14ac:dyDescent="0.8">
      <c r="A194" s="5" t="s">
        <v>261</v>
      </c>
      <c r="B194" s="8">
        <v>27</v>
      </c>
      <c r="C194" s="5" t="s">
        <v>49</v>
      </c>
      <c r="D194" s="5" t="s">
        <v>42</v>
      </c>
      <c r="E194" s="5" t="s">
        <v>44</v>
      </c>
      <c r="F194" s="5" t="s">
        <v>60</v>
      </c>
      <c r="G194" s="8">
        <v>3</v>
      </c>
      <c r="H194" s="8">
        <v>2517</v>
      </c>
      <c r="I194" s="5" t="s">
        <v>49</v>
      </c>
      <c r="J194" s="8">
        <v>3</v>
      </c>
      <c r="K194" s="8">
        <v>2</v>
      </c>
      <c r="L194" s="8">
        <v>5</v>
      </c>
      <c r="M1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4" s="8" t="str" cm="1">
        <f t="array" ref="N194">_xlfn.IFS(HR_Analytics56[[#This Row],[PerformanceRating]]=3,"Good",HR_Analytics56[[#This Row],[PerformanceRating]]=4, "Excellent")</f>
        <v>Good</v>
      </c>
      <c r="O194" s="8" t="str">
        <f>IF(HR_Analytics56[[#This Row],[MonthlyIncome]]&lt;3000,"&lt; ₹3,000",IF(HR_Analytics56[[#This Row],[MonthlyIncome]]&lt;=7000,"₹ 3,000 - ₹ 7,000","&gt; ₹7,000"))</f>
        <v>&lt; ₹3,000</v>
      </c>
      <c r="P194" s="8" t="str" cm="1">
        <f t="array" ref="P1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5" spans="1:16" x14ac:dyDescent="0.8">
      <c r="A195" s="5" t="s">
        <v>262</v>
      </c>
      <c r="B195" s="8">
        <v>27</v>
      </c>
      <c r="C195" s="5" t="s">
        <v>49</v>
      </c>
      <c r="D195" s="5" t="s">
        <v>51</v>
      </c>
      <c r="E195" s="5" t="s">
        <v>53</v>
      </c>
      <c r="F195" s="5" t="s">
        <v>54</v>
      </c>
      <c r="G195" s="8">
        <v>4</v>
      </c>
      <c r="H195" s="8">
        <v>2534</v>
      </c>
      <c r="I195" s="5" t="s">
        <v>49</v>
      </c>
      <c r="J195" s="8">
        <v>3</v>
      </c>
      <c r="K195" s="8">
        <v>4</v>
      </c>
      <c r="L195" s="8">
        <v>1</v>
      </c>
      <c r="M1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5" s="8" t="str" cm="1">
        <f t="array" ref="N195">_xlfn.IFS(HR_Analytics56[[#This Row],[PerformanceRating]]=3,"Good",HR_Analytics56[[#This Row],[PerformanceRating]]=4, "Excellent")</f>
        <v>Good</v>
      </c>
      <c r="O195" s="8" t="str">
        <f>IF(HR_Analytics56[[#This Row],[MonthlyIncome]]&lt;3000,"&lt; ₹3,000",IF(HR_Analytics56[[#This Row],[MonthlyIncome]]&lt;=7000,"₹ 3,000 - ₹ 7,000","&gt; ₹7,000"))</f>
        <v>&lt; ₹3,000</v>
      </c>
      <c r="P195" s="8" t="str" cm="1">
        <f t="array" ref="P1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6" spans="1:16" x14ac:dyDescent="0.8">
      <c r="A196" s="5" t="s">
        <v>263</v>
      </c>
      <c r="B196" s="8">
        <v>27</v>
      </c>
      <c r="C196" s="5" t="s">
        <v>49</v>
      </c>
      <c r="D196" s="5" t="s">
        <v>51</v>
      </c>
      <c r="E196" s="5" t="s">
        <v>44</v>
      </c>
      <c r="F196" s="5" t="s">
        <v>137</v>
      </c>
      <c r="G196" s="8">
        <v>4</v>
      </c>
      <c r="H196" s="8">
        <v>5071</v>
      </c>
      <c r="I196" s="5" t="s">
        <v>49</v>
      </c>
      <c r="J196" s="8">
        <v>4</v>
      </c>
      <c r="K196" s="8">
        <v>3</v>
      </c>
      <c r="L196" s="8">
        <v>6</v>
      </c>
      <c r="M1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6" s="8" t="str" cm="1">
        <f t="array" ref="N196">_xlfn.IFS(HR_Analytics56[[#This Row],[PerformanceRating]]=3,"Good",HR_Analytics56[[#This Row],[PerformanceRating]]=4, "Excellent")</f>
        <v>Excellent</v>
      </c>
      <c r="O196" s="8" t="str">
        <f>IF(HR_Analytics56[[#This Row],[MonthlyIncome]]&lt;3000,"&lt; ₹3,000",IF(HR_Analytics56[[#This Row],[MonthlyIncome]]&lt;=7000,"₹ 3,000 - ₹ 7,000","&gt; ₹7,000"))</f>
        <v>₹ 3,000 - ₹ 7,000</v>
      </c>
      <c r="P196" s="8" t="str" cm="1">
        <f t="array" ref="P19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97" spans="1:16" x14ac:dyDescent="0.8">
      <c r="A197" s="5" t="s">
        <v>264</v>
      </c>
      <c r="B197" s="8">
        <v>27</v>
      </c>
      <c r="C197" s="5" t="s">
        <v>49</v>
      </c>
      <c r="D197" s="5" t="s">
        <v>51</v>
      </c>
      <c r="E197" s="5" t="s">
        <v>53</v>
      </c>
      <c r="F197" s="5" t="s">
        <v>137</v>
      </c>
      <c r="G197" s="8">
        <v>4</v>
      </c>
      <c r="H197" s="8">
        <v>5769</v>
      </c>
      <c r="I197" s="5" t="s">
        <v>40</v>
      </c>
      <c r="J197" s="8">
        <v>3</v>
      </c>
      <c r="K197" s="8">
        <v>3</v>
      </c>
      <c r="L197" s="8">
        <v>6</v>
      </c>
      <c r="M1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97" s="8" t="str" cm="1">
        <f t="array" ref="N197">_xlfn.IFS(HR_Analytics56[[#This Row],[PerformanceRating]]=3,"Good",HR_Analytics56[[#This Row],[PerformanceRating]]=4, "Excellent")</f>
        <v>Good</v>
      </c>
      <c r="O197" s="8" t="str">
        <f>IF(HR_Analytics56[[#This Row],[MonthlyIncome]]&lt;3000,"&lt; ₹3,000",IF(HR_Analytics56[[#This Row],[MonthlyIncome]]&lt;=7000,"₹ 3,000 - ₹ 7,000","&gt; ₹7,000"))</f>
        <v>₹ 3,000 - ₹ 7,000</v>
      </c>
      <c r="P197" s="8" t="str" cm="1">
        <f t="array" ref="P1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8" spans="1:16" x14ac:dyDescent="0.8">
      <c r="A198" s="5" t="s">
        <v>265</v>
      </c>
      <c r="B198" s="8">
        <v>27</v>
      </c>
      <c r="C198" s="5" t="s">
        <v>40</v>
      </c>
      <c r="D198" s="5" t="s">
        <v>42</v>
      </c>
      <c r="E198" s="5" t="s">
        <v>53</v>
      </c>
      <c r="F198" s="5" t="s">
        <v>60</v>
      </c>
      <c r="G198" s="8">
        <v>3</v>
      </c>
      <c r="H198" s="8">
        <v>2394</v>
      </c>
      <c r="I198" s="5" t="s">
        <v>40</v>
      </c>
      <c r="J198" s="8">
        <v>3</v>
      </c>
      <c r="K198" s="8">
        <v>2</v>
      </c>
      <c r="L198" s="8">
        <v>8</v>
      </c>
      <c r="M1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98" s="8" t="str" cm="1">
        <f t="array" ref="N198">_xlfn.IFS(HR_Analytics56[[#This Row],[PerformanceRating]]=3,"Good",HR_Analytics56[[#This Row],[PerformanceRating]]=4, "Excellent")</f>
        <v>Good</v>
      </c>
      <c r="O198" s="8" t="str">
        <f>IF(HR_Analytics56[[#This Row],[MonthlyIncome]]&lt;3000,"&lt; ₹3,000",IF(HR_Analytics56[[#This Row],[MonthlyIncome]]&lt;=7000,"₹ 3,000 - ₹ 7,000","&gt; ₹7,000"))</f>
        <v>&lt; ₹3,000</v>
      </c>
      <c r="P198" s="8" t="str" cm="1">
        <f t="array" ref="P1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99" spans="1:16" x14ac:dyDescent="0.8">
      <c r="A199" s="5" t="s">
        <v>266</v>
      </c>
      <c r="B199" s="8">
        <v>27</v>
      </c>
      <c r="C199" s="5" t="s">
        <v>49</v>
      </c>
      <c r="D199" s="5" t="s">
        <v>42</v>
      </c>
      <c r="E199" s="5" t="s">
        <v>44</v>
      </c>
      <c r="F199" s="5" t="s">
        <v>45</v>
      </c>
      <c r="G199" s="8">
        <v>1</v>
      </c>
      <c r="H199" s="8">
        <v>2099</v>
      </c>
      <c r="I199" s="5" t="s">
        <v>49</v>
      </c>
      <c r="J199" s="8">
        <v>3</v>
      </c>
      <c r="K199" s="8">
        <v>3</v>
      </c>
      <c r="L199" s="8">
        <v>5</v>
      </c>
      <c r="M1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99" s="8" t="str" cm="1">
        <f t="array" ref="N199">_xlfn.IFS(HR_Analytics56[[#This Row],[PerformanceRating]]=3,"Good",HR_Analytics56[[#This Row],[PerformanceRating]]=4, "Excellent")</f>
        <v>Good</v>
      </c>
      <c r="O199" s="8" t="str">
        <f>IF(HR_Analytics56[[#This Row],[MonthlyIncome]]&lt;3000,"&lt; ₹3,000",IF(HR_Analytics56[[#This Row],[MonthlyIncome]]&lt;=7000,"₹ 3,000 - ₹ 7,000","&gt; ₹7,000"))</f>
        <v>&lt; ₹3,000</v>
      </c>
      <c r="P199" s="8" t="str" cm="1">
        <f t="array" ref="P1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0" spans="1:16" x14ac:dyDescent="0.8">
      <c r="A200" s="5" t="s">
        <v>267</v>
      </c>
      <c r="B200" s="8">
        <v>27</v>
      </c>
      <c r="C200" s="5" t="s">
        <v>49</v>
      </c>
      <c r="D200" s="5" t="s">
        <v>42</v>
      </c>
      <c r="E200" s="5" t="s">
        <v>44</v>
      </c>
      <c r="F200" s="5" t="s">
        <v>45</v>
      </c>
      <c r="G200" s="8">
        <v>1</v>
      </c>
      <c r="H200" s="8">
        <v>4066</v>
      </c>
      <c r="I200" s="5" t="s">
        <v>49</v>
      </c>
      <c r="J200" s="8">
        <v>3</v>
      </c>
      <c r="K200" s="8">
        <v>3</v>
      </c>
      <c r="L200" s="8">
        <v>7</v>
      </c>
      <c r="M2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0" s="8" t="str" cm="1">
        <f t="array" ref="N200">_xlfn.IFS(HR_Analytics56[[#This Row],[PerformanceRating]]=3,"Good",HR_Analytics56[[#This Row],[PerformanceRating]]=4, "Excellent")</f>
        <v>Good</v>
      </c>
      <c r="O200" s="8" t="str">
        <f>IF(HR_Analytics56[[#This Row],[MonthlyIncome]]&lt;3000,"&lt; ₹3,000",IF(HR_Analytics56[[#This Row],[MonthlyIncome]]&lt;=7000,"₹ 3,000 - ₹ 7,000","&gt; ₹7,000"))</f>
        <v>₹ 3,000 - ₹ 7,000</v>
      </c>
      <c r="P200" s="8" t="str" cm="1">
        <f t="array" ref="P2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1" spans="1:16" x14ac:dyDescent="0.8">
      <c r="A201" s="5" t="s">
        <v>268</v>
      </c>
      <c r="B201" s="8">
        <v>27</v>
      </c>
      <c r="C201" s="5" t="s">
        <v>49</v>
      </c>
      <c r="D201" s="5" t="s">
        <v>42</v>
      </c>
      <c r="E201" s="5" t="s">
        <v>53</v>
      </c>
      <c r="F201" s="5" t="s">
        <v>60</v>
      </c>
      <c r="G201" s="8">
        <v>3</v>
      </c>
      <c r="H201" s="8">
        <v>3517</v>
      </c>
      <c r="I201" s="5" t="s">
        <v>49</v>
      </c>
      <c r="J201" s="8">
        <v>3</v>
      </c>
      <c r="K201" s="8">
        <v>0</v>
      </c>
      <c r="L201" s="8">
        <v>3</v>
      </c>
      <c r="M2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1" s="8" t="str" cm="1">
        <f t="array" ref="N201">_xlfn.IFS(HR_Analytics56[[#This Row],[PerformanceRating]]=3,"Good",HR_Analytics56[[#This Row],[PerformanceRating]]=4, "Excellent")</f>
        <v>Good</v>
      </c>
      <c r="O201" s="8" t="str">
        <f>IF(HR_Analytics56[[#This Row],[MonthlyIncome]]&lt;3000,"&lt; ₹3,000",IF(HR_Analytics56[[#This Row],[MonthlyIncome]]&lt;=7000,"₹ 3,000 - ₹ 7,000","&gt; ₹7,000"))</f>
        <v>₹ 3,000 - ₹ 7,000</v>
      </c>
      <c r="P201" s="8" t="str" cm="1">
        <f t="array" ref="P2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2" spans="1:16" x14ac:dyDescent="0.8">
      <c r="A202" s="5" t="s">
        <v>269</v>
      </c>
      <c r="B202" s="8">
        <v>27</v>
      </c>
      <c r="C202" s="5" t="s">
        <v>49</v>
      </c>
      <c r="D202" s="5" t="s">
        <v>42</v>
      </c>
      <c r="E202" s="5" t="s">
        <v>44</v>
      </c>
      <c r="F202" s="5" t="s">
        <v>60</v>
      </c>
      <c r="G202" s="8">
        <v>4</v>
      </c>
      <c r="H202" s="8">
        <v>2580</v>
      </c>
      <c r="I202" s="5" t="s">
        <v>49</v>
      </c>
      <c r="J202" s="8">
        <v>3</v>
      </c>
      <c r="K202" s="8">
        <v>0</v>
      </c>
      <c r="L202" s="8">
        <v>4</v>
      </c>
      <c r="M2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2" s="8" t="str" cm="1">
        <f t="array" ref="N202">_xlfn.IFS(HR_Analytics56[[#This Row],[PerformanceRating]]=3,"Good",HR_Analytics56[[#This Row],[PerformanceRating]]=4, "Excellent")</f>
        <v>Good</v>
      </c>
      <c r="O202" s="8" t="str">
        <f>IF(HR_Analytics56[[#This Row],[MonthlyIncome]]&lt;3000,"&lt; ₹3,000",IF(HR_Analytics56[[#This Row],[MonthlyIncome]]&lt;=7000,"₹ 3,000 - ₹ 7,000","&gt; ₹7,000"))</f>
        <v>&lt; ₹3,000</v>
      </c>
      <c r="P202" s="8" t="str" cm="1">
        <f t="array" ref="P2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3" spans="1:16" x14ac:dyDescent="0.8">
      <c r="A203" s="5" t="s">
        <v>270</v>
      </c>
      <c r="B203" s="8">
        <v>27</v>
      </c>
      <c r="C203" s="5" t="s">
        <v>49</v>
      </c>
      <c r="D203" s="5" t="s">
        <v>42</v>
      </c>
      <c r="E203" s="5" t="s">
        <v>53</v>
      </c>
      <c r="F203" s="5" t="s">
        <v>60</v>
      </c>
      <c r="G203" s="8">
        <v>4</v>
      </c>
      <c r="H203" s="8">
        <v>3445</v>
      </c>
      <c r="I203" s="5" t="s">
        <v>49</v>
      </c>
      <c r="J203" s="8">
        <v>3</v>
      </c>
      <c r="K203" s="8">
        <v>5</v>
      </c>
      <c r="L203" s="8">
        <v>6</v>
      </c>
      <c r="M2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3" s="8" t="str" cm="1">
        <f t="array" ref="N203">_xlfn.IFS(HR_Analytics56[[#This Row],[PerformanceRating]]=3,"Good",HR_Analytics56[[#This Row],[PerformanceRating]]=4, "Excellent")</f>
        <v>Good</v>
      </c>
      <c r="O203" s="8" t="str">
        <f>IF(HR_Analytics56[[#This Row],[MonthlyIncome]]&lt;3000,"&lt; ₹3,000",IF(HR_Analytics56[[#This Row],[MonthlyIncome]]&lt;=7000,"₹ 3,000 - ₹ 7,000","&gt; ₹7,000"))</f>
        <v>₹ 3,000 - ₹ 7,000</v>
      </c>
      <c r="P203" s="8" t="str" cm="1">
        <f t="array" ref="P2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4" spans="1:16" x14ac:dyDescent="0.8">
      <c r="A204" s="5" t="s">
        <v>271</v>
      </c>
      <c r="B204" s="8">
        <v>27</v>
      </c>
      <c r="C204" s="5" t="s">
        <v>49</v>
      </c>
      <c r="D204" s="5" t="s">
        <v>42</v>
      </c>
      <c r="E204" s="5" t="s">
        <v>53</v>
      </c>
      <c r="F204" s="5" t="s">
        <v>45</v>
      </c>
      <c r="G204" s="8">
        <v>4</v>
      </c>
      <c r="H204" s="8">
        <v>2379</v>
      </c>
      <c r="I204" s="5" t="s">
        <v>40</v>
      </c>
      <c r="J204" s="8">
        <v>3</v>
      </c>
      <c r="K204" s="8">
        <v>3</v>
      </c>
      <c r="L204" s="8">
        <v>5</v>
      </c>
      <c r="M2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04" s="8" t="str" cm="1">
        <f t="array" ref="N204">_xlfn.IFS(HR_Analytics56[[#This Row],[PerformanceRating]]=3,"Good",HR_Analytics56[[#This Row],[PerformanceRating]]=4, "Excellent")</f>
        <v>Good</v>
      </c>
      <c r="O204" s="8" t="str">
        <f>IF(HR_Analytics56[[#This Row],[MonthlyIncome]]&lt;3000,"&lt; ₹3,000",IF(HR_Analytics56[[#This Row],[MonthlyIncome]]&lt;=7000,"₹ 3,000 - ₹ 7,000","&gt; ₹7,000"))</f>
        <v>&lt; ₹3,000</v>
      </c>
      <c r="P204" s="8" t="str" cm="1">
        <f t="array" ref="P2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5" spans="1:16" x14ac:dyDescent="0.8">
      <c r="A205" s="5" t="s">
        <v>272</v>
      </c>
      <c r="B205" s="8">
        <v>27</v>
      </c>
      <c r="C205" s="5" t="s">
        <v>49</v>
      </c>
      <c r="D205" s="5" t="s">
        <v>51</v>
      </c>
      <c r="E205" s="5" t="s">
        <v>53</v>
      </c>
      <c r="F205" s="5" t="s">
        <v>54</v>
      </c>
      <c r="G205" s="8">
        <v>3</v>
      </c>
      <c r="H205" s="8">
        <v>3540</v>
      </c>
      <c r="I205" s="5" t="s">
        <v>49</v>
      </c>
      <c r="J205" s="8">
        <v>4</v>
      </c>
      <c r="K205" s="8">
        <v>5</v>
      </c>
      <c r="L205" s="8">
        <v>9</v>
      </c>
      <c r="M2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5" s="8" t="str" cm="1">
        <f t="array" ref="N205">_xlfn.IFS(HR_Analytics56[[#This Row],[PerformanceRating]]=3,"Good",HR_Analytics56[[#This Row],[PerformanceRating]]=4, "Excellent")</f>
        <v>Excellent</v>
      </c>
      <c r="O205" s="8" t="str">
        <f>IF(HR_Analytics56[[#This Row],[MonthlyIncome]]&lt;3000,"&lt; ₹3,000",IF(HR_Analytics56[[#This Row],[MonthlyIncome]]&lt;=7000,"₹ 3,000 - ₹ 7,000","&gt; ₹7,000"))</f>
        <v>₹ 3,000 - ₹ 7,000</v>
      </c>
      <c r="P205" s="8" t="str" cm="1">
        <f t="array" ref="P20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06" spans="1:16" x14ac:dyDescent="0.8">
      <c r="A206" s="5" t="s">
        <v>273</v>
      </c>
      <c r="B206" s="8">
        <v>27</v>
      </c>
      <c r="C206" s="5" t="s">
        <v>49</v>
      </c>
      <c r="D206" s="5" t="s">
        <v>42</v>
      </c>
      <c r="E206" s="5" t="s">
        <v>53</v>
      </c>
      <c r="F206" s="5" t="s">
        <v>60</v>
      </c>
      <c r="G206" s="8">
        <v>1</v>
      </c>
      <c r="H206" s="8">
        <v>4774</v>
      </c>
      <c r="I206" s="5" t="s">
        <v>49</v>
      </c>
      <c r="J206" s="8">
        <v>3</v>
      </c>
      <c r="K206" s="8">
        <v>2</v>
      </c>
      <c r="L206" s="8">
        <v>7</v>
      </c>
      <c r="M2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6" s="8" t="str" cm="1">
        <f t="array" ref="N206">_xlfn.IFS(HR_Analytics56[[#This Row],[PerformanceRating]]=3,"Good",HR_Analytics56[[#This Row],[PerformanceRating]]=4, "Excellent")</f>
        <v>Good</v>
      </c>
      <c r="O206" s="8" t="str">
        <f>IF(HR_Analytics56[[#This Row],[MonthlyIncome]]&lt;3000,"&lt; ₹3,000",IF(HR_Analytics56[[#This Row],[MonthlyIncome]]&lt;=7000,"₹ 3,000 - ₹ 7,000","&gt; ₹7,000"))</f>
        <v>₹ 3,000 - ₹ 7,000</v>
      </c>
      <c r="P206" s="8" t="str" cm="1">
        <f t="array" ref="P2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7" spans="1:16" x14ac:dyDescent="0.8">
      <c r="A207" s="5" t="s">
        <v>274</v>
      </c>
      <c r="B207" s="8">
        <v>27</v>
      </c>
      <c r="C207" s="5" t="s">
        <v>49</v>
      </c>
      <c r="D207" s="5" t="s">
        <v>51</v>
      </c>
      <c r="E207" s="5" t="s">
        <v>53</v>
      </c>
      <c r="F207" s="5" t="s">
        <v>137</v>
      </c>
      <c r="G207" s="8">
        <v>3</v>
      </c>
      <c r="H207" s="8">
        <v>6500</v>
      </c>
      <c r="I207" s="5" t="s">
        <v>49</v>
      </c>
      <c r="J207" s="8">
        <v>3</v>
      </c>
      <c r="K207" s="8">
        <v>5</v>
      </c>
      <c r="L207" s="8">
        <v>8</v>
      </c>
      <c r="M2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7" s="8" t="str" cm="1">
        <f t="array" ref="N207">_xlfn.IFS(HR_Analytics56[[#This Row],[PerformanceRating]]=3,"Good",HR_Analytics56[[#This Row],[PerformanceRating]]=4, "Excellent")</f>
        <v>Good</v>
      </c>
      <c r="O207" s="8" t="str">
        <f>IF(HR_Analytics56[[#This Row],[MonthlyIncome]]&lt;3000,"&lt; ₹3,000",IF(HR_Analytics56[[#This Row],[MonthlyIncome]]&lt;=7000,"₹ 3,000 - ₹ 7,000","&gt; ₹7,000"))</f>
        <v>₹ 3,000 - ₹ 7,000</v>
      </c>
      <c r="P207" s="8" t="str" cm="1">
        <f t="array" ref="P2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8" spans="1:16" x14ac:dyDescent="0.8">
      <c r="A208" s="5" t="s">
        <v>275</v>
      </c>
      <c r="B208" s="8">
        <v>27</v>
      </c>
      <c r="C208" s="5" t="s">
        <v>49</v>
      </c>
      <c r="D208" s="5" t="s">
        <v>42</v>
      </c>
      <c r="E208" s="5" t="s">
        <v>44</v>
      </c>
      <c r="F208" s="5" t="s">
        <v>60</v>
      </c>
      <c r="G208" s="8">
        <v>2</v>
      </c>
      <c r="H208" s="8">
        <v>2226</v>
      </c>
      <c r="I208" s="5" t="s">
        <v>49</v>
      </c>
      <c r="J208" s="8">
        <v>3</v>
      </c>
      <c r="K208" s="8">
        <v>3</v>
      </c>
      <c r="L208" s="8">
        <v>5</v>
      </c>
      <c r="M2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08" s="8" t="str" cm="1">
        <f t="array" ref="N208">_xlfn.IFS(HR_Analytics56[[#This Row],[PerformanceRating]]=3,"Good",HR_Analytics56[[#This Row],[PerformanceRating]]=4, "Excellent")</f>
        <v>Good</v>
      </c>
      <c r="O208" s="8" t="str">
        <f>IF(HR_Analytics56[[#This Row],[MonthlyIncome]]&lt;3000,"&lt; ₹3,000",IF(HR_Analytics56[[#This Row],[MonthlyIncome]]&lt;=7000,"₹ 3,000 - ₹ 7,000","&gt; ₹7,000"))</f>
        <v>&lt; ₹3,000</v>
      </c>
      <c r="P208" s="8" t="str" cm="1">
        <f t="array" ref="P2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09" spans="1:16" x14ac:dyDescent="0.8">
      <c r="A209" s="5" t="s">
        <v>277</v>
      </c>
      <c r="B209" s="8">
        <v>27</v>
      </c>
      <c r="C209" s="5" t="s">
        <v>40</v>
      </c>
      <c r="D209" s="5" t="s">
        <v>71</v>
      </c>
      <c r="E209" s="5" t="s">
        <v>53</v>
      </c>
      <c r="F209" s="5" t="s">
        <v>71</v>
      </c>
      <c r="G209" s="8">
        <v>2</v>
      </c>
      <c r="H209" s="8">
        <v>2863</v>
      </c>
      <c r="I209" s="5" t="s">
        <v>49</v>
      </c>
      <c r="J209" s="8">
        <v>3</v>
      </c>
      <c r="K209" s="8">
        <v>2</v>
      </c>
      <c r="L209" s="8">
        <v>1</v>
      </c>
      <c r="M2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09" s="8" t="str" cm="1">
        <f t="array" ref="N209">_xlfn.IFS(HR_Analytics56[[#This Row],[PerformanceRating]]=3,"Good",HR_Analytics56[[#This Row],[PerformanceRating]]=4, "Excellent")</f>
        <v>Good</v>
      </c>
      <c r="O209" s="8" t="str">
        <f>IF(HR_Analytics56[[#This Row],[MonthlyIncome]]&lt;3000,"&lt; ₹3,000",IF(HR_Analytics56[[#This Row],[MonthlyIncome]]&lt;=7000,"₹ 3,000 - ₹ 7,000","&gt; ₹7,000"))</f>
        <v>&lt; ₹3,000</v>
      </c>
      <c r="P209" s="8" t="str" cm="1">
        <f t="array" ref="P2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0" spans="1:16" x14ac:dyDescent="0.8">
      <c r="A210" s="5" t="s">
        <v>278</v>
      </c>
      <c r="B210" s="8">
        <v>27</v>
      </c>
      <c r="C210" s="5" t="s">
        <v>49</v>
      </c>
      <c r="D210" s="5" t="s">
        <v>51</v>
      </c>
      <c r="E210" s="5" t="s">
        <v>44</v>
      </c>
      <c r="F210" s="5" t="s">
        <v>137</v>
      </c>
      <c r="G210" s="8">
        <v>4</v>
      </c>
      <c r="H210" s="8">
        <v>4105</v>
      </c>
      <c r="I210" s="5" t="s">
        <v>49</v>
      </c>
      <c r="J210" s="8">
        <v>3</v>
      </c>
      <c r="K210" s="8">
        <v>5</v>
      </c>
      <c r="L210" s="8">
        <v>7</v>
      </c>
      <c r="M2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0" s="8" t="str" cm="1">
        <f t="array" ref="N210">_xlfn.IFS(HR_Analytics56[[#This Row],[PerformanceRating]]=3,"Good",HR_Analytics56[[#This Row],[PerformanceRating]]=4, "Excellent")</f>
        <v>Good</v>
      </c>
      <c r="O210" s="8" t="str">
        <f>IF(HR_Analytics56[[#This Row],[MonthlyIncome]]&lt;3000,"&lt; ₹3,000",IF(HR_Analytics56[[#This Row],[MonthlyIncome]]&lt;=7000,"₹ 3,000 - ₹ 7,000","&gt; ₹7,000"))</f>
        <v>₹ 3,000 - ₹ 7,000</v>
      </c>
      <c r="P210" s="8" t="str" cm="1">
        <f t="array" ref="P2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1" spans="1:16" x14ac:dyDescent="0.8">
      <c r="A211" s="5" t="s">
        <v>279</v>
      </c>
      <c r="B211" s="8">
        <v>27</v>
      </c>
      <c r="C211" s="5" t="s">
        <v>49</v>
      </c>
      <c r="D211" s="5" t="s">
        <v>42</v>
      </c>
      <c r="E211" s="5" t="s">
        <v>44</v>
      </c>
      <c r="F211" s="5" t="s">
        <v>112</v>
      </c>
      <c r="G211" s="8">
        <v>2</v>
      </c>
      <c r="H211" s="8">
        <v>6142</v>
      </c>
      <c r="I211" s="5" t="s">
        <v>40</v>
      </c>
      <c r="J211" s="8">
        <v>4</v>
      </c>
      <c r="K211" s="8">
        <v>0</v>
      </c>
      <c r="L211" s="8">
        <v>6</v>
      </c>
      <c r="M2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11" s="8" t="str" cm="1">
        <f t="array" ref="N211">_xlfn.IFS(HR_Analytics56[[#This Row],[PerformanceRating]]=3,"Good",HR_Analytics56[[#This Row],[PerformanceRating]]=4, "Excellent")</f>
        <v>Excellent</v>
      </c>
      <c r="O211" s="8" t="str">
        <f>IF(HR_Analytics56[[#This Row],[MonthlyIncome]]&lt;3000,"&lt; ₹3,000",IF(HR_Analytics56[[#This Row],[MonthlyIncome]]&lt;=7000,"₹ 3,000 - ₹ 7,000","&gt; ₹7,000"))</f>
        <v>₹ 3,000 - ₹ 7,000</v>
      </c>
      <c r="P211" s="8" t="str" cm="1">
        <f t="array" ref="P2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2" spans="1:16" x14ac:dyDescent="0.8">
      <c r="A212" s="5" t="s">
        <v>280</v>
      </c>
      <c r="B212" s="8">
        <v>28</v>
      </c>
      <c r="C212" s="5" t="s">
        <v>40</v>
      </c>
      <c r="D212" s="5" t="s">
        <v>42</v>
      </c>
      <c r="E212" s="5" t="s">
        <v>44</v>
      </c>
      <c r="F212" s="5" t="s">
        <v>45</v>
      </c>
      <c r="G212" s="8">
        <v>3</v>
      </c>
      <c r="H212" s="8">
        <v>2028</v>
      </c>
      <c r="I212" s="5" t="s">
        <v>40</v>
      </c>
      <c r="J212" s="8">
        <v>3</v>
      </c>
      <c r="K212" s="8">
        <v>4</v>
      </c>
      <c r="L212" s="8">
        <v>4</v>
      </c>
      <c r="M2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12" s="8" t="str" cm="1">
        <f t="array" ref="N212">_xlfn.IFS(HR_Analytics56[[#This Row],[PerformanceRating]]=3,"Good",HR_Analytics56[[#This Row],[PerformanceRating]]=4, "Excellent")</f>
        <v>Good</v>
      </c>
      <c r="O212" s="8" t="str">
        <f>IF(HR_Analytics56[[#This Row],[MonthlyIncome]]&lt;3000,"&lt; ₹3,000",IF(HR_Analytics56[[#This Row],[MonthlyIncome]]&lt;=7000,"₹ 3,000 - ₹ 7,000","&gt; ₹7,000"))</f>
        <v>&lt; ₹3,000</v>
      </c>
      <c r="P212" s="8" t="str" cm="1">
        <f t="array" ref="P2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3" spans="1:16" x14ac:dyDescent="0.8">
      <c r="A213" s="5" t="s">
        <v>281</v>
      </c>
      <c r="B213" s="8">
        <v>28</v>
      </c>
      <c r="C213" s="5" t="s">
        <v>40</v>
      </c>
      <c r="D213" s="5" t="s">
        <v>42</v>
      </c>
      <c r="E213" s="5" t="s">
        <v>44</v>
      </c>
      <c r="F213" s="5" t="s">
        <v>45</v>
      </c>
      <c r="G213" s="8">
        <v>3</v>
      </c>
      <c r="H213" s="8">
        <v>3441</v>
      </c>
      <c r="I213" s="5" t="s">
        <v>40</v>
      </c>
      <c r="J213" s="8">
        <v>3</v>
      </c>
      <c r="K213" s="8">
        <v>3</v>
      </c>
      <c r="L213" s="8">
        <v>2</v>
      </c>
      <c r="M2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13" s="8" t="str" cm="1">
        <f t="array" ref="N213">_xlfn.IFS(HR_Analytics56[[#This Row],[PerformanceRating]]=3,"Good",HR_Analytics56[[#This Row],[PerformanceRating]]=4, "Excellent")</f>
        <v>Good</v>
      </c>
      <c r="O213" s="8" t="str">
        <f>IF(HR_Analytics56[[#This Row],[MonthlyIncome]]&lt;3000,"&lt; ₹3,000",IF(HR_Analytics56[[#This Row],[MonthlyIncome]]&lt;=7000,"₹ 3,000 - ₹ 7,000","&gt; ₹7,000"))</f>
        <v>₹ 3,000 - ₹ 7,000</v>
      </c>
      <c r="P213" s="8" t="str" cm="1">
        <f t="array" ref="P2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4" spans="1:16" x14ac:dyDescent="0.8">
      <c r="A214" s="5" t="s">
        <v>282</v>
      </c>
      <c r="B214" s="8">
        <v>28</v>
      </c>
      <c r="C214" s="5" t="s">
        <v>49</v>
      </c>
      <c r="D214" s="5" t="s">
        <v>51</v>
      </c>
      <c r="E214" s="5" t="s">
        <v>44</v>
      </c>
      <c r="F214" s="5" t="s">
        <v>137</v>
      </c>
      <c r="G214" s="8">
        <v>3</v>
      </c>
      <c r="H214" s="8">
        <v>4221</v>
      </c>
      <c r="I214" s="5" t="s">
        <v>49</v>
      </c>
      <c r="J214" s="8">
        <v>3</v>
      </c>
      <c r="K214" s="8">
        <v>3</v>
      </c>
      <c r="L214" s="8">
        <v>5</v>
      </c>
      <c r="M2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4" s="8" t="str" cm="1">
        <f t="array" ref="N214">_xlfn.IFS(HR_Analytics56[[#This Row],[PerformanceRating]]=3,"Good",HR_Analytics56[[#This Row],[PerformanceRating]]=4, "Excellent")</f>
        <v>Good</v>
      </c>
      <c r="O214" s="8" t="str">
        <f>IF(HR_Analytics56[[#This Row],[MonthlyIncome]]&lt;3000,"&lt; ₹3,000",IF(HR_Analytics56[[#This Row],[MonthlyIncome]]&lt;=7000,"₹ 3,000 - ₹ 7,000","&gt; ₹7,000"))</f>
        <v>₹ 3,000 - ₹ 7,000</v>
      </c>
      <c r="P214" s="8" t="str" cm="1">
        <f t="array" ref="P2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5" spans="1:16" x14ac:dyDescent="0.8">
      <c r="A215" s="5" t="s">
        <v>283</v>
      </c>
      <c r="B215" s="8">
        <v>28</v>
      </c>
      <c r="C215" s="5" t="s">
        <v>49</v>
      </c>
      <c r="D215" s="5" t="s">
        <v>42</v>
      </c>
      <c r="E215" s="5" t="s">
        <v>44</v>
      </c>
      <c r="F215" s="5" t="s">
        <v>60</v>
      </c>
      <c r="G215" s="8">
        <v>4</v>
      </c>
      <c r="H215" s="8">
        <v>2713</v>
      </c>
      <c r="I215" s="5" t="s">
        <v>49</v>
      </c>
      <c r="J215" s="8">
        <v>3</v>
      </c>
      <c r="K215" s="8">
        <v>2</v>
      </c>
      <c r="L215" s="8">
        <v>5</v>
      </c>
      <c r="M2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5" s="8" t="str" cm="1">
        <f t="array" ref="N215">_xlfn.IFS(HR_Analytics56[[#This Row],[PerformanceRating]]=3,"Good",HR_Analytics56[[#This Row],[PerformanceRating]]=4, "Excellent")</f>
        <v>Good</v>
      </c>
      <c r="O215" s="8" t="str">
        <f>IF(HR_Analytics56[[#This Row],[MonthlyIncome]]&lt;3000,"&lt; ₹3,000",IF(HR_Analytics56[[#This Row],[MonthlyIncome]]&lt;=7000,"₹ 3,000 - ₹ 7,000","&gt; ₹7,000"))</f>
        <v>&lt; ₹3,000</v>
      </c>
      <c r="P215" s="8" t="str" cm="1">
        <f t="array" ref="P2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6" spans="1:16" x14ac:dyDescent="0.8">
      <c r="A216" s="5" t="s">
        <v>284</v>
      </c>
      <c r="B216" s="8">
        <v>28</v>
      </c>
      <c r="C216" s="5" t="s">
        <v>40</v>
      </c>
      <c r="D216" s="5" t="s">
        <v>42</v>
      </c>
      <c r="E216" s="5" t="s">
        <v>44</v>
      </c>
      <c r="F216" s="5" t="s">
        <v>45</v>
      </c>
      <c r="G216" s="8">
        <v>3</v>
      </c>
      <c r="H216" s="8">
        <v>3485</v>
      </c>
      <c r="I216" s="5" t="s">
        <v>49</v>
      </c>
      <c r="J216" s="8">
        <v>3</v>
      </c>
      <c r="K216" s="8">
        <v>5</v>
      </c>
      <c r="L216" s="8">
        <v>0</v>
      </c>
      <c r="M2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16" s="8" t="str" cm="1">
        <f t="array" ref="N216">_xlfn.IFS(HR_Analytics56[[#This Row],[PerformanceRating]]=3,"Good",HR_Analytics56[[#This Row],[PerformanceRating]]=4, "Excellent")</f>
        <v>Good</v>
      </c>
      <c r="O216" s="8" t="str">
        <f>IF(HR_Analytics56[[#This Row],[MonthlyIncome]]&lt;3000,"&lt; ₹3,000",IF(HR_Analytics56[[#This Row],[MonthlyIncome]]&lt;=7000,"₹ 3,000 - ₹ 7,000","&gt; ₹7,000"))</f>
        <v>₹ 3,000 - ₹ 7,000</v>
      </c>
      <c r="P216" s="8" t="str" cm="1">
        <f t="array" ref="P2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17" spans="1:16" x14ac:dyDescent="0.8">
      <c r="A217" s="5" t="s">
        <v>285</v>
      </c>
      <c r="B217" s="8">
        <v>28</v>
      </c>
      <c r="C217" s="5" t="s">
        <v>49</v>
      </c>
      <c r="D217" s="5" t="s">
        <v>42</v>
      </c>
      <c r="E217" s="5" t="s">
        <v>44</v>
      </c>
      <c r="F217" s="5" t="s">
        <v>60</v>
      </c>
      <c r="G217" s="8">
        <v>4</v>
      </c>
      <c r="H217" s="8">
        <v>2070</v>
      </c>
      <c r="I217" s="5" t="s">
        <v>49</v>
      </c>
      <c r="J217" s="8">
        <v>4</v>
      </c>
      <c r="K217" s="8">
        <v>3</v>
      </c>
      <c r="L217" s="8">
        <v>5</v>
      </c>
      <c r="M2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7" s="8" t="str" cm="1">
        <f t="array" ref="N217">_xlfn.IFS(HR_Analytics56[[#This Row],[PerformanceRating]]=3,"Good",HR_Analytics56[[#This Row],[PerformanceRating]]=4, "Excellent")</f>
        <v>Excellent</v>
      </c>
      <c r="O217" s="8" t="str">
        <f>IF(HR_Analytics56[[#This Row],[MonthlyIncome]]&lt;3000,"&lt; ₹3,000",IF(HR_Analytics56[[#This Row],[MonthlyIncome]]&lt;=7000,"₹ 3,000 - ₹ 7,000","&gt; ₹7,000"))</f>
        <v>&lt; ₹3,000</v>
      </c>
      <c r="P217" s="8" t="str" cm="1">
        <f t="array" ref="P21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18" spans="1:16" x14ac:dyDescent="0.8">
      <c r="A218" s="5" t="s">
        <v>286</v>
      </c>
      <c r="B218" s="8">
        <v>28</v>
      </c>
      <c r="C218" s="5" t="s">
        <v>49</v>
      </c>
      <c r="D218" s="5" t="s">
        <v>42</v>
      </c>
      <c r="E218" s="5" t="s">
        <v>53</v>
      </c>
      <c r="F218" s="5" t="s">
        <v>60</v>
      </c>
      <c r="G218" s="8">
        <v>4</v>
      </c>
      <c r="H218" s="8">
        <v>3310</v>
      </c>
      <c r="I218" s="5" t="s">
        <v>49</v>
      </c>
      <c r="J218" s="8">
        <v>4</v>
      </c>
      <c r="K218" s="8">
        <v>3</v>
      </c>
      <c r="L218" s="8">
        <v>5</v>
      </c>
      <c r="M2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8" s="8" t="str" cm="1">
        <f t="array" ref="N218">_xlfn.IFS(HR_Analytics56[[#This Row],[PerformanceRating]]=3,"Good",HR_Analytics56[[#This Row],[PerformanceRating]]=4, "Excellent")</f>
        <v>Excellent</v>
      </c>
      <c r="O218" s="8" t="str">
        <f>IF(HR_Analytics56[[#This Row],[MonthlyIncome]]&lt;3000,"&lt; ₹3,000",IF(HR_Analytics56[[#This Row],[MonthlyIncome]]&lt;=7000,"₹ 3,000 - ₹ 7,000","&gt; ₹7,000"))</f>
        <v>₹ 3,000 - ₹ 7,000</v>
      </c>
      <c r="P218" s="8" t="str" cm="1">
        <f t="array" ref="P21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19" spans="1:16" x14ac:dyDescent="0.8">
      <c r="A219" s="5" t="s">
        <v>287</v>
      </c>
      <c r="B219" s="8">
        <v>28</v>
      </c>
      <c r="C219" s="5" t="s">
        <v>49</v>
      </c>
      <c r="D219" s="5" t="s">
        <v>42</v>
      </c>
      <c r="E219" s="5" t="s">
        <v>44</v>
      </c>
      <c r="F219" s="5" t="s">
        <v>161</v>
      </c>
      <c r="G219" s="8">
        <v>1</v>
      </c>
      <c r="H219" s="8">
        <v>5661</v>
      </c>
      <c r="I219" s="5" t="s">
        <v>49</v>
      </c>
      <c r="J219" s="8">
        <v>3</v>
      </c>
      <c r="K219" s="8">
        <v>2</v>
      </c>
      <c r="L219" s="8">
        <v>8</v>
      </c>
      <c r="M2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19" s="8" t="str" cm="1">
        <f t="array" ref="N219">_xlfn.IFS(HR_Analytics56[[#This Row],[PerformanceRating]]=3,"Good",HR_Analytics56[[#This Row],[PerformanceRating]]=4, "Excellent")</f>
        <v>Good</v>
      </c>
      <c r="O219" s="8" t="str">
        <f>IF(HR_Analytics56[[#This Row],[MonthlyIncome]]&lt;3000,"&lt; ₹3,000",IF(HR_Analytics56[[#This Row],[MonthlyIncome]]&lt;=7000,"₹ 3,000 - ₹ 7,000","&gt; ₹7,000"))</f>
        <v>₹ 3,000 - ₹ 7,000</v>
      </c>
      <c r="P219" s="8" t="str" cm="1">
        <f t="array" ref="P2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0" spans="1:16" x14ac:dyDescent="0.8">
      <c r="A220" s="5" t="s">
        <v>288</v>
      </c>
      <c r="B220" s="8">
        <v>28</v>
      </c>
      <c r="C220" s="5" t="s">
        <v>40</v>
      </c>
      <c r="D220" s="5" t="s">
        <v>42</v>
      </c>
      <c r="E220" s="5" t="s">
        <v>44</v>
      </c>
      <c r="F220" s="5" t="s">
        <v>60</v>
      </c>
      <c r="G220" s="8">
        <v>4</v>
      </c>
      <c r="H220" s="8">
        <v>3464</v>
      </c>
      <c r="I220" s="5" t="s">
        <v>40</v>
      </c>
      <c r="J220" s="8">
        <v>3</v>
      </c>
      <c r="K220" s="8">
        <v>4</v>
      </c>
      <c r="L220" s="8">
        <v>3</v>
      </c>
      <c r="M2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20" s="8" t="str" cm="1">
        <f t="array" ref="N220">_xlfn.IFS(HR_Analytics56[[#This Row],[PerformanceRating]]=3,"Good",HR_Analytics56[[#This Row],[PerformanceRating]]=4, "Excellent")</f>
        <v>Good</v>
      </c>
      <c r="O220" s="8" t="str">
        <f>IF(HR_Analytics56[[#This Row],[MonthlyIncome]]&lt;3000,"&lt; ₹3,000",IF(HR_Analytics56[[#This Row],[MonthlyIncome]]&lt;=7000,"₹ 3,000 - ₹ 7,000","&gt; ₹7,000"))</f>
        <v>₹ 3,000 - ₹ 7,000</v>
      </c>
      <c r="P220" s="8" t="str" cm="1">
        <f t="array" ref="P2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1" spans="1:16" x14ac:dyDescent="0.8">
      <c r="A221" s="5" t="s">
        <v>289</v>
      </c>
      <c r="B221" s="8">
        <v>28</v>
      </c>
      <c r="C221" s="5" t="s">
        <v>49</v>
      </c>
      <c r="D221" s="5" t="s">
        <v>51</v>
      </c>
      <c r="E221" s="5" t="s">
        <v>44</v>
      </c>
      <c r="F221" s="5" t="s">
        <v>137</v>
      </c>
      <c r="G221" s="8">
        <v>4</v>
      </c>
      <c r="H221" s="8">
        <v>5253</v>
      </c>
      <c r="I221" s="5" t="s">
        <v>49</v>
      </c>
      <c r="J221" s="8">
        <v>3</v>
      </c>
      <c r="K221" s="8">
        <v>1</v>
      </c>
      <c r="L221" s="8">
        <v>7</v>
      </c>
      <c r="M2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1" s="8" t="str" cm="1">
        <f t="array" ref="N221">_xlfn.IFS(HR_Analytics56[[#This Row],[PerformanceRating]]=3,"Good",HR_Analytics56[[#This Row],[PerformanceRating]]=4, "Excellent")</f>
        <v>Good</v>
      </c>
      <c r="O221" s="8" t="str">
        <f>IF(HR_Analytics56[[#This Row],[MonthlyIncome]]&lt;3000,"&lt; ₹3,000",IF(HR_Analytics56[[#This Row],[MonthlyIncome]]&lt;=7000,"₹ 3,000 - ₹ 7,000","&gt; ₹7,000"))</f>
        <v>₹ 3,000 - ₹ 7,000</v>
      </c>
      <c r="P221" s="8" t="str" cm="1">
        <f t="array" ref="P2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2" spans="1:16" x14ac:dyDescent="0.8">
      <c r="A222" s="5" t="s">
        <v>290</v>
      </c>
      <c r="B222" s="8">
        <v>28</v>
      </c>
      <c r="C222" s="5" t="s">
        <v>49</v>
      </c>
      <c r="D222" s="5" t="s">
        <v>42</v>
      </c>
      <c r="E222" s="5" t="s">
        <v>44</v>
      </c>
      <c r="F222" s="5" t="s">
        <v>45</v>
      </c>
      <c r="G222" s="8">
        <v>1</v>
      </c>
      <c r="H222" s="8">
        <v>4558</v>
      </c>
      <c r="I222" s="5" t="s">
        <v>49</v>
      </c>
      <c r="J222" s="8">
        <v>3</v>
      </c>
      <c r="K222" s="8">
        <v>2</v>
      </c>
      <c r="L222" s="8">
        <v>10</v>
      </c>
      <c r="M2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2" s="8" t="str" cm="1">
        <f t="array" ref="N222">_xlfn.IFS(HR_Analytics56[[#This Row],[PerformanceRating]]=3,"Good",HR_Analytics56[[#This Row],[PerformanceRating]]=4, "Excellent")</f>
        <v>Good</v>
      </c>
      <c r="O222" s="8" t="str">
        <f>IF(HR_Analytics56[[#This Row],[MonthlyIncome]]&lt;3000,"&lt; ₹3,000",IF(HR_Analytics56[[#This Row],[MonthlyIncome]]&lt;=7000,"₹ 3,000 - ₹ 7,000","&gt; ₹7,000"))</f>
        <v>₹ 3,000 - ₹ 7,000</v>
      </c>
      <c r="P222" s="8" t="str" cm="1">
        <f t="array" ref="P2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3" spans="1:16" x14ac:dyDescent="0.8">
      <c r="A223" s="5" t="s">
        <v>291</v>
      </c>
      <c r="B223" s="8">
        <v>28</v>
      </c>
      <c r="C223" s="5" t="s">
        <v>40</v>
      </c>
      <c r="D223" s="5" t="s">
        <v>42</v>
      </c>
      <c r="E223" s="5" t="s">
        <v>53</v>
      </c>
      <c r="F223" s="5" t="s">
        <v>60</v>
      </c>
      <c r="G223" s="8">
        <v>2</v>
      </c>
      <c r="H223" s="8">
        <v>2216</v>
      </c>
      <c r="I223" s="5" t="s">
        <v>40</v>
      </c>
      <c r="J223" s="8">
        <v>3</v>
      </c>
      <c r="K223" s="8">
        <v>4</v>
      </c>
      <c r="L223" s="8">
        <v>7</v>
      </c>
      <c r="M2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23" s="8" t="str" cm="1">
        <f t="array" ref="N223">_xlfn.IFS(HR_Analytics56[[#This Row],[PerformanceRating]]=3,"Good",HR_Analytics56[[#This Row],[PerformanceRating]]=4, "Excellent")</f>
        <v>Good</v>
      </c>
      <c r="O223" s="8" t="str">
        <f>IF(HR_Analytics56[[#This Row],[MonthlyIncome]]&lt;3000,"&lt; ₹3,000",IF(HR_Analytics56[[#This Row],[MonthlyIncome]]&lt;=7000,"₹ 3,000 - ₹ 7,000","&gt; ₹7,000"))</f>
        <v>&lt; ₹3,000</v>
      </c>
      <c r="P223" s="8" t="str" cm="1">
        <f t="array" ref="P2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4" spans="1:16" x14ac:dyDescent="0.8">
      <c r="A224" s="5" t="s">
        <v>292</v>
      </c>
      <c r="B224" s="8">
        <v>28</v>
      </c>
      <c r="C224" s="5" t="s">
        <v>40</v>
      </c>
      <c r="D224" s="5" t="s">
        <v>42</v>
      </c>
      <c r="E224" s="5" t="s">
        <v>44</v>
      </c>
      <c r="F224" s="5" t="s">
        <v>60</v>
      </c>
      <c r="G224" s="8">
        <v>3</v>
      </c>
      <c r="H224" s="8">
        <v>4382</v>
      </c>
      <c r="I224" s="5" t="s">
        <v>49</v>
      </c>
      <c r="J224" s="8">
        <v>3</v>
      </c>
      <c r="K224" s="8">
        <v>3</v>
      </c>
      <c r="L224" s="8">
        <v>2</v>
      </c>
      <c r="M2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24" s="8" t="str" cm="1">
        <f t="array" ref="N224">_xlfn.IFS(HR_Analytics56[[#This Row],[PerformanceRating]]=3,"Good",HR_Analytics56[[#This Row],[PerformanceRating]]=4, "Excellent")</f>
        <v>Good</v>
      </c>
      <c r="O224" s="8" t="str">
        <f>IF(HR_Analytics56[[#This Row],[MonthlyIncome]]&lt;3000,"&lt; ₹3,000",IF(HR_Analytics56[[#This Row],[MonthlyIncome]]&lt;=7000,"₹ 3,000 - ₹ 7,000","&gt; ₹7,000"))</f>
        <v>₹ 3,000 - ₹ 7,000</v>
      </c>
      <c r="P224" s="8" t="str" cm="1">
        <f t="array" ref="P2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5" spans="1:16" x14ac:dyDescent="0.8">
      <c r="A225" s="5" t="s">
        <v>293</v>
      </c>
      <c r="B225" s="8">
        <v>28</v>
      </c>
      <c r="C225" s="5" t="s">
        <v>49</v>
      </c>
      <c r="D225" s="5" t="s">
        <v>51</v>
      </c>
      <c r="E225" s="5" t="s">
        <v>53</v>
      </c>
      <c r="F225" s="5" t="s">
        <v>137</v>
      </c>
      <c r="G225" s="8">
        <v>2</v>
      </c>
      <c r="H225" s="8">
        <v>4779</v>
      </c>
      <c r="I225" s="5" t="s">
        <v>40</v>
      </c>
      <c r="J225" s="8">
        <v>4</v>
      </c>
      <c r="K225" s="8">
        <v>2</v>
      </c>
      <c r="L225" s="8">
        <v>8</v>
      </c>
      <c r="M2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25" s="8" t="str" cm="1">
        <f t="array" ref="N225">_xlfn.IFS(HR_Analytics56[[#This Row],[PerformanceRating]]=3,"Good",HR_Analytics56[[#This Row],[PerformanceRating]]=4, "Excellent")</f>
        <v>Excellent</v>
      </c>
      <c r="O225" s="8" t="str">
        <f>IF(HR_Analytics56[[#This Row],[MonthlyIncome]]&lt;3000,"&lt; ₹3,000",IF(HR_Analytics56[[#This Row],[MonthlyIncome]]&lt;=7000,"₹ 3,000 - ₹ 7,000","&gt; ₹7,000"))</f>
        <v>₹ 3,000 - ₹ 7,000</v>
      </c>
      <c r="P225" s="8" t="str" cm="1">
        <f t="array" ref="P2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6" spans="1:16" x14ac:dyDescent="0.8">
      <c r="A226" s="5" t="s">
        <v>294</v>
      </c>
      <c r="B226" s="8">
        <v>28</v>
      </c>
      <c r="C226" s="5" t="s">
        <v>49</v>
      </c>
      <c r="D226" s="5" t="s">
        <v>71</v>
      </c>
      <c r="E226" s="5" t="s">
        <v>44</v>
      </c>
      <c r="F226" s="5" t="s">
        <v>71</v>
      </c>
      <c r="G226" s="8">
        <v>4</v>
      </c>
      <c r="H226" s="8">
        <v>4936</v>
      </c>
      <c r="I226" s="5" t="s">
        <v>49</v>
      </c>
      <c r="J226" s="8">
        <v>3</v>
      </c>
      <c r="K226" s="8">
        <v>6</v>
      </c>
      <c r="L226" s="8">
        <v>5</v>
      </c>
      <c r="M2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6" s="8" t="str" cm="1">
        <f t="array" ref="N226">_xlfn.IFS(HR_Analytics56[[#This Row],[PerformanceRating]]=3,"Good",HR_Analytics56[[#This Row],[PerformanceRating]]=4, "Excellent")</f>
        <v>Good</v>
      </c>
      <c r="O226" s="8" t="str">
        <f>IF(HR_Analytics56[[#This Row],[MonthlyIncome]]&lt;3000,"&lt; ₹3,000",IF(HR_Analytics56[[#This Row],[MonthlyIncome]]&lt;=7000,"₹ 3,000 - ₹ 7,000","&gt; ₹7,000"))</f>
        <v>₹ 3,000 - ₹ 7,000</v>
      </c>
      <c r="P226" s="8" t="str" cm="1">
        <f t="array" ref="P2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7" spans="1:16" x14ac:dyDescent="0.8">
      <c r="A227" s="5" t="s">
        <v>295</v>
      </c>
      <c r="B227" s="8">
        <v>28</v>
      </c>
      <c r="C227" s="5" t="s">
        <v>49</v>
      </c>
      <c r="D227" s="5" t="s">
        <v>51</v>
      </c>
      <c r="E227" s="5" t="s">
        <v>44</v>
      </c>
      <c r="F227" s="5" t="s">
        <v>137</v>
      </c>
      <c r="G227" s="8">
        <v>4</v>
      </c>
      <c r="H227" s="8">
        <v>4908</v>
      </c>
      <c r="I227" s="5" t="s">
        <v>49</v>
      </c>
      <c r="J227" s="8">
        <v>3</v>
      </c>
      <c r="K227" s="8">
        <v>3</v>
      </c>
      <c r="L227" s="8">
        <v>4</v>
      </c>
      <c r="M2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7" s="8" t="str" cm="1">
        <f t="array" ref="N227">_xlfn.IFS(HR_Analytics56[[#This Row],[PerformanceRating]]=3,"Good",HR_Analytics56[[#This Row],[PerformanceRating]]=4, "Excellent")</f>
        <v>Good</v>
      </c>
      <c r="O227" s="8" t="str">
        <f>IF(HR_Analytics56[[#This Row],[MonthlyIncome]]&lt;3000,"&lt; ₹3,000",IF(HR_Analytics56[[#This Row],[MonthlyIncome]]&lt;=7000,"₹ 3,000 - ₹ 7,000","&gt; ₹7,000"))</f>
        <v>₹ 3,000 - ₹ 7,000</v>
      </c>
      <c r="P227" s="8" t="str" cm="1">
        <f t="array" ref="P2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8" spans="1:16" x14ac:dyDescent="0.8">
      <c r="A228" s="5" t="s">
        <v>296</v>
      </c>
      <c r="B228" s="8">
        <v>28</v>
      </c>
      <c r="C228" s="5" t="s">
        <v>49</v>
      </c>
      <c r="D228" s="5" t="s">
        <v>42</v>
      </c>
      <c r="E228" s="5" t="s">
        <v>53</v>
      </c>
      <c r="F228" s="5" t="s">
        <v>60</v>
      </c>
      <c r="G228" s="8">
        <v>3</v>
      </c>
      <c r="H228" s="8">
        <v>2377</v>
      </c>
      <c r="I228" s="5" t="s">
        <v>49</v>
      </c>
      <c r="J228" s="8">
        <v>3</v>
      </c>
      <c r="K228" s="8">
        <v>2</v>
      </c>
      <c r="L228" s="8">
        <v>2</v>
      </c>
      <c r="M2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8" s="8" t="str" cm="1">
        <f t="array" ref="N228">_xlfn.IFS(HR_Analytics56[[#This Row],[PerformanceRating]]=3,"Good",HR_Analytics56[[#This Row],[PerformanceRating]]=4, "Excellent")</f>
        <v>Good</v>
      </c>
      <c r="O228" s="8" t="str">
        <f>IF(HR_Analytics56[[#This Row],[MonthlyIncome]]&lt;3000,"&lt; ₹3,000",IF(HR_Analytics56[[#This Row],[MonthlyIncome]]&lt;=7000,"₹ 3,000 - ₹ 7,000","&gt; ₹7,000"))</f>
        <v>&lt; ₹3,000</v>
      </c>
      <c r="P228" s="8" t="str" cm="1">
        <f t="array" ref="P2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29" spans="1:16" x14ac:dyDescent="0.8">
      <c r="A229" s="5" t="s">
        <v>297</v>
      </c>
      <c r="B229" s="8">
        <v>28</v>
      </c>
      <c r="C229" s="5" t="s">
        <v>49</v>
      </c>
      <c r="D229" s="5" t="s">
        <v>51</v>
      </c>
      <c r="E229" s="5" t="s">
        <v>44</v>
      </c>
      <c r="F229" s="5" t="s">
        <v>54</v>
      </c>
      <c r="G229" s="8">
        <v>2</v>
      </c>
      <c r="H229" s="8">
        <v>1052</v>
      </c>
      <c r="I229" s="5" t="s">
        <v>49</v>
      </c>
      <c r="J229" s="8">
        <v>4</v>
      </c>
      <c r="K229" s="8">
        <v>5</v>
      </c>
      <c r="L229" s="8">
        <v>1</v>
      </c>
      <c r="M2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29" s="8" t="str" cm="1">
        <f t="array" ref="N229">_xlfn.IFS(HR_Analytics56[[#This Row],[PerformanceRating]]=3,"Good",HR_Analytics56[[#This Row],[PerformanceRating]]=4, "Excellent")</f>
        <v>Excellent</v>
      </c>
      <c r="O229" s="8" t="str">
        <f>IF(HR_Analytics56[[#This Row],[MonthlyIncome]]&lt;3000,"&lt; ₹3,000",IF(HR_Analytics56[[#This Row],[MonthlyIncome]]&lt;=7000,"₹ 3,000 - ₹ 7,000","&gt; ₹7,000"))</f>
        <v>&lt; ₹3,000</v>
      </c>
      <c r="P229" s="8" t="str" cm="1">
        <f t="array" ref="P2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0" spans="1:16" x14ac:dyDescent="0.8">
      <c r="A230" s="5" t="s">
        <v>298</v>
      </c>
      <c r="B230" s="8">
        <v>28</v>
      </c>
      <c r="C230" s="5" t="s">
        <v>40</v>
      </c>
      <c r="D230" s="5" t="s">
        <v>42</v>
      </c>
      <c r="E230" s="5" t="s">
        <v>44</v>
      </c>
      <c r="F230" s="5" t="s">
        <v>161</v>
      </c>
      <c r="G230" s="8">
        <v>1</v>
      </c>
      <c r="H230" s="8">
        <v>8722</v>
      </c>
      <c r="I230" s="5" t="s">
        <v>49</v>
      </c>
      <c r="J230" s="8">
        <v>3</v>
      </c>
      <c r="K230" s="8">
        <v>2</v>
      </c>
      <c r="L230" s="8">
        <v>10</v>
      </c>
      <c r="M2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30" s="8" t="str" cm="1">
        <f t="array" ref="N230">_xlfn.IFS(HR_Analytics56[[#This Row],[PerformanceRating]]=3,"Good",HR_Analytics56[[#This Row],[PerformanceRating]]=4, "Excellent")</f>
        <v>Good</v>
      </c>
      <c r="O230" s="8" t="str">
        <f>IF(HR_Analytics56[[#This Row],[MonthlyIncome]]&lt;3000,"&lt; ₹3,000",IF(HR_Analytics56[[#This Row],[MonthlyIncome]]&lt;=7000,"₹ 3,000 - ₹ 7,000","&gt; ₹7,000"))</f>
        <v>&gt; ₹7,000</v>
      </c>
      <c r="P230" s="8" t="str" cm="1">
        <f t="array" ref="P2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1" spans="1:16" x14ac:dyDescent="0.8">
      <c r="A231" s="5" t="s">
        <v>299</v>
      </c>
      <c r="B231" s="8">
        <v>28</v>
      </c>
      <c r="C231" s="5" t="s">
        <v>49</v>
      </c>
      <c r="D231" s="5" t="s">
        <v>42</v>
      </c>
      <c r="E231" s="5" t="s">
        <v>53</v>
      </c>
      <c r="F231" s="5" t="s">
        <v>60</v>
      </c>
      <c r="G231" s="8">
        <v>3</v>
      </c>
      <c r="H231" s="8">
        <v>3660</v>
      </c>
      <c r="I231" s="5" t="s">
        <v>49</v>
      </c>
      <c r="J231" s="8">
        <v>3</v>
      </c>
      <c r="K231" s="8">
        <v>4</v>
      </c>
      <c r="L231" s="8">
        <v>8</v>
      </c>
      <c r="M2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31" s="8" t="str" cm="1">
        <f t="array" ref="N231">_xlfn.IFS(HR_Analytics56[[#This Row],[PerformanceRating]]=3,"Good",HR_Analytics56[[#This Row],[PerformanceRating]]=4, "Excellent")</f>
        <v>Good</v>
      </c>
      <c r="O231" s="8" t="str">
        <f>IF(HR_Analytics56[[#This Row],[MonthlyIncome]]&lt;3000,"&lt; ₹3,000",IF(HR_Analytics56[[#This Row],[MonthlyIncome]]&lt;=7000,"₹ 3,000 - ₹ 7,000","&gt; ₹7,000"))</f>
        <v>₹ 3,000 - ₹ 7,000</v>
      </c>
      <c r="P231" s="8" t="str" cm="1">
        <f t="array" ref="P2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2" spans="1:16" x14ac:dyDescent="0.8">
      <c r="A232" s="5" t="s">
        <v>300</v>
      </c>
      <c r="B232" s="8">
        <v>28</v>
      </c>
      <c r="C232" s="5" t="s">
        <v>49</v>
      </c>
      <c r="D232" s="5" t="s">
        <v>42</v>
      </c>
      <c r="E232" s="5" t="s">
        <v>44</v>
      </c>
      <c r="F232" s="5" t="s">
        <v>45</v>
      </c>
      <c r="G232" s="8">
        <v>3</v>
      </c>
      <c r="H232" s="8">
        <v>2207</v>
      </c>
      <c r="I232" s="5" t="s">
        <v>49</v>
      </c>
      <c r="J232" s="8">
        <v>3</v>
      </c>
      <c r="K232" s="8">
        <v>5</v>
      </c>
      <c r="L232" s="8">
        <v>4</v>
      </c>
      <c r="M2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32" s="8" t="str" cm="1">
        <f t="array" ref="N232">_xlfn.IFS(HR_Analytics56[[#This Row],[PerformanceRating]]=3,"Good",HR_Analytics56[[#This Row],[PerformanceRating]]=4, "Excellent")</f>
        <v>Good</v>
      </c>
      <c r="O232" s="8" t="str">
        <f>IF(HR_Analytics56[[#This Row],[MonthlyIncome]]&lt;3000,"&lt; ₹3,000",IF(HR_Analytics56[[#This Row],[MonthlyIncome]]&lt;=7000,"₹ 3,000 - ₹ 7,000","&gt; ₹7,000"))</f>
        <v>&lt; ₹3,000</v>
      </c>
      <c r="P232" s="8" t="str" cm="1">
        <f t="array" ref="P2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3" spans="1:16" x14ac:dyDescent="0.8">
      <c r="A233" s="5" t="s">
        <v>301</v>
      </c>
      <c r="B233" s="8">
        <v>28</v>
      </c>
      <c r="C233" s="5" t="s">
        <v>40</v>
      </c>
      <c r="D233" s="5" t="s">
        <v>42</v>
      </c>
      <c r="E233" s="5" t="s">
        <v>44</v>
      </c>
      <c r="F233" s="5" t="s">
        <v>45</v>
      </c>
      <c r="G233" s="8">
        <v>2</v>
      </c>
      <c r="H233" s="8">
        <v>2596</v>
      </c>
      <c r="I233" s="5" t="s">
        <v>49</v>
      </c>
      <c r="J233" s="8">
        <v>3</v>
      </c>
      <c r="K233" s="8">
        <v>2</v>
      </c>
      <c r="L233" s="8">
        <v>1</v>
      </c>
      <c r="M2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33" s="8" t="str" cm="1">
        <f t="array" ref="N233">_xlfn.IFS(HR_Analytics56[[#This Row],[PerformanceRating]]=3,"Good",HR_Analytics56[[#This Row],[PerformanceRating]]=4, "Excellent")</f>
        <v>Good</v>
      </c>
      <c r="O233" s="8" t="str">
        <f>IF(HR_Analytics56[[#This Row],[MonthlyIncome]]&lt;3000,"&lt; ₹3,000",IF(HR_Analytics56[[#This Row],[MonthlyIncome]]&lt;=7000,"₹ 3,000 - ₹ 7,000","&gt; ₹7,000"))</f>
        <v>&lt; ₹3,000</v>
      </c>
      <c r="P233" s="8" t="str" cm="1">
        <f t="array" ref="P2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4" spans="1:16" x14ac:dyDescent="0.8">
      <c r="A234" s="5" t="s">
        <v>302</v>
      </c>
      <c r="B234" s="8">
        <v>28</v>
      </c>
      <c r="C234" s="5" t="s">
        <v>49</v>
      </c>
      <c r="D234" s="5" t="s">
        <v>42</v>
      </c>
      <c r="E234" s="5" t="s">
        <v>53</v>
      </c>
      <c r="F234" s="5" t="s">
        <v>112</v>
      </c>
      <c r="G234" s="8">
        <v>2</v>
      </c>
      <c r="H234" s="8">
        <v>7655</v>
      </c>
      <c r="I234" s="5" t="s">
        <v>49</v>
      </c>
      <c r="J234" s="8">
        <v>3</v>
      </c>
      <c r="K234" s="8">
        <v>3</v>
      </c>
      <c r="L234" s="8">
        <v>9</v>
      </c>
      <c r="M2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34" s="8" t="str" cm="1">
        <f t="array" ref="N234">_xlfn.IFS(HR_Analytics56[[#This Row],[PerformanceRating]]=3,"Good",HR_Analytics56[[#This Row],[PerformanceRating]]=4, "Excellent")</f>
        <v>Good</v>
      </c>
      <c r="O234" s="8" t="str">
        <f>IF(HR_Analytics56[[#This Row],[MonthlyIncome]]&lt;3000,"&lt; ₹3,000",IF(HR_Analytics56[[#This Row],[MonthlyIncome]]&lt;=7000,"₹ 3,000 - ₹ 7,000","&gt; ₹7,000"))</f>
        <v>&gt; ₹7,000</v>
      </c>
      <c r="P234" s="8" t="str" cm="1">
        <f t="array" ref="P2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5" spans="1:16" x14ac:dyDescent="0.8">
      <c r="A235" s="5" t="s">
        <v>303</v>
      </c>
      <c r="B235" s="8">
        <v>28</v>
      </c>
      <c r="C235" s="5" t="s">
        <v>49</v>
      </c>
      <c r="D235" s="5" t="s">
        <v>42</v>
      </c>
      <c r="E235" s="5" t="s">
        <v>44</v>
      </c>
      <c r="F235" s="5" t="s">
        <v>60</v>
      </c>
      <c r="G235" s="8">
        <v>2</v>
      </c>
      <c r="H235" s="8">
        <v>3201</v>
      </c>
      <c r="I235" s="5" t="s">
        <v>49</v>
      </c>
      <c r="J235" s="8">
        <v>3</v>
      </c>
      <c r="K235" s="8">
        <v>2</v>
      </c>
      <c r="L235" s="8">
        <v>5</v>
      </c>
      <c r="M2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35" s="8" t="str" cm="1">
        <f t="array" ref="N235">_xlfn.IFS(HR_Analytics56[[#This Row],[PerformanceRating]]=3,"Good",HR_Analytics56[[#This Row],[PerformanceRating]]=4, "Excellent")</f>
        <v>Good</v>
      </c>
      <c r="O235" s="8" t="str">
        <f>IF(HR_Analytics56[[#This Row],[MonthlyIncome]]&lt;3000,"&lt; ₹3,000",IF(HR_Analytics56[[#This Row],[MonthlyIncome]]&lt;=7000,"₹ 3,000 - ₹ 7,000","&gt; ₹7,000"))</f>
        <v>₹ 3,000 - ₹ 7,000</v>
      </c>
      <c r="P235" s="8" t="str" cm="1">
        <f t="array" ref="P2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6" spans="1:16" x14ac:dyDescent="0.8">
      <c r="A236" s="5" t="s">
        <v>304</v>
      </c>
      <c r="B236" s="8">
        <v>28</v>
      </c>
      <c r="C236" s="5" t="s">
        <v>49</v>
      </c>
      <c r="D236" s="5" t="s">
        <v>42</v>
      </c>
      <c r="E236" s="5" t="s">
        <v>44</v>
      </c>
      <c r="F236" s="5" t="s">
        <v>60</v>
      </c>
      <c r="G236" s="8">
        <v>3</v>
      </c>
      <c r="H236" s="8">
        <v>2703</v>
      </c>
      <c r="I236" s="5" t="s">
        <v>40</v>
      </c>
      <c r="J236" s="8">
        <v>3</v>
      </c>
      <c r="K236" s="8">
        <v>2</v>
      </c>
      <c r="L236" s="8">
        <v>3</v>
      </c>
      <c r="M2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36" s="8" t="str" cm="1">
        <f t="array" ref="N236">_xlfn.IFS(HR_Analytics56[[#This Row],[PerformanceRating]]=3,"Good",HR_Analytics56[[#This Row],[PerformanceRating]]=4, "Excellent")</f>
        <v>Good</v>
      </c>
      <c r="O236" s="8" t="str">
        <f>IF(HR_Analytics56[[#This Row],[MonthlyIncome]]&lt;3000,"&lt; ₹3,000",IF(HR_Analytics56[[#This Row],[MonthlyIncome]]&lt;=7000,"₹ 3,000 - ₹ 7,000","&gt; ₹7,000"))</f>
        <v>&lt; ₹3,000</v>
      </c>
      <c r="P236" s="8" t="str" cm="1">
        <f t="array" ref="P2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7" spans="1:16" x14ac:dyDescent="0.8">
      <c r="A237" s="5" t="s">
        <v>305</v>
      </c>
      <c r="B237" s="8">
        <v>28</v>
      </c>
      <c r="C237" s="5" t="s">
        <v>40</v>
      </c>
      <c r="D237" s="5" t="s">
        <v>42</v>
      </c>
      <c r="E237" s="5" t="s">
        <v>53</v>
      </c>
      <c r="F237" s="5" t="s">
        <v>45</v>
      </c>
      <c r="G237" s="8">
        <v>4</v>
      </c>
      <c r="H237" s="8">
        <v>2515</v>
      </c>
      <c r="I237" s="5" t="s">
        <v>40</v>
      </c>
      <c r="J237" s="8">
        <v>3</v>
      </c>
      <c r="K237" s="8">
        <v>4</v>
      </c>
      <c r="L237" s="8">
        <v>1</v>
      </c>
      <c r="M2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37" s="8" t="str" cm="1">
        <f t="array" ref="N237">_xlfn.IFS(HR_Analytics56[[#This Row],[PerformanceRating]]=3,"Good",HR_Analytics56[[#This Row],[PerformanceRating]]=4, "Excellent")</f>
        <v>Good</v>
      </c>
      <c r="O237" s="8" t="str">
        <f>IF(HR_Analytics56[[#This Row],[MonthlyIncome]]&lt;3000,"&lt; ₹3,000",IF(HR_Analytics56[[#This Row],[MonthlyIncome]]&lt;=7000,"₹ 3,000 - ₹ 7,000","&gt; ₹7,000"))</f>
        <v>&lt; ₹3,000</v>
      </c>
      <c r="P237" s="8" t="str" cm="1">
        <f t="array" ref="P2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8" spans="1:16" x14ac:dyDescent="0.8">
      <c r="A238" s="5" t="s">
        <v>306</v>
      </c>
      <c r="B238" s="8">
        <v>28</v>
      </c>
      <c r="C238" s="5" t="s">
        <v>49</v>
      </c>
      <c r="D238" s="5" t="s">
        <v>42</v>
      </c>
      <c r="E238" s="5" t="s">
        <v>44</v>
      </c>
      <c r="F238" s="5" t="s">
        <v>45</v>
      </c>
      <c r="G238" s="8">
        <v>1</v>
      </c>
      <c r="H238" s="8">
        <v>3196</v>
      </c>
      <c r="I238" s="5" t="s">
        <v>49</v>
      </c>
      <c r="J238" s="8">
        <v>3</v>
      </c>
      <c r="K238" s="8">
        <v>2</v>
      </c>
      <c r="L238" s="8">
        <v>6</v>
      </c>
      <c r="M2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38" s="8" t="str" cm="1">
        <f t="array" ref="N238">_xlfn.IFS(HR_Analytics56[[#This Row],[PerformanceRating]]=3,"Good",HR_Analytics56[[#This Row],[PerformanceRating]]=4, "Excellent")</f>
        <v>Good</v>
      </c>
      <c r="O238" s="8" t="str">
        <f>IF(HR_Analytics56[[#This Row],[MonthlyIncome]]&lt;3000,"&lt; ₹3,000",IF(HR_Analytics56[[#This Row],[MonthlyIncome]]&lt;=7000,"₹ 3,000 - ₹ 7,000","&gt; ₹7,000"))</f>
        <v>₹ 3,000 - ₹ 7,000</v>
      </c>
      <c r="P238" s="8" t="str" cm="1">
        <f t="array" ref="P2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39" spans="1:16" x14ac:dyDescent="0.8">
      <c r="A239" s="5" t="s">
        <v>307</v>
      </c>
      <c r="B239" s="8">
        <v>28</v>
      </c>
      <c r="C239" s="5" t="s">
        <v>49</v>
      </c>
      <c r="D239" s="5" t="s">
        <v>42</v>
      </c>
      <c r="E239" s="5" t="s">
        <v>44</v>
      </c>
      <c r="F239" s="5" t="s">
        <v>45</v>
      </c>
      <c r="G239" s="8">
        <v>3</v>
      </c>
      <c r="H239" s="8">
        <v>2154</v>
      </c>
      <c r="I239" s="5" t="s">
        <v>40</v>
      </c>
      <c r="J239" s="8">
        <v>3</v>
      </c>
      <c r="K239" s="8">
        <v>2</v>
      </c>
      <c r="L239" s="8">
        <v>4</v>
      </c>
      <c r="M2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39" s="8" t="str" cm="1">
        <f t="array" ref="N239">_xlfn.IFS(HR_Analytics56[[#This Row],[PerformanceRating]]=3,"Good",HR_Analytics56[[#This Row],[PerformanceRating]]=4, "Excellent")</f>
        <v>Good</v>
      </c>
      <c r="O239" s="8" t="str">
        <f>IF(HR_Analytics56[[#This Row],[MonthlyIncome]]&lt;3000,"&lt; ₹3,000",IF(HR_Analytics56[[#This Row],[MonthlyIncome]]&lt;=7000,"₹ 3,000 - ₹ 7,000","&gt; ₹7,000"))</f>
        <v>&lt; ₹3,000</v>
      </c>
      <c r="P239" s="8" t="str" cm="1">
        <f t="array" ref="P2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0" spans="1:16" x14ac:dyDescent="0.8">
      <c r="A240" s="5" t="s">
        <v>308</v>
      </c>
      <c r="B240" s="8">
        <v>28</v>
      </c>
      <c r="C240" s="5" t="s">
        <v>49</v>
      </c>
      <c r="D240" s="5" t="s">
        <v>42</v>
      </c>
      <c r="E240" s="5" t="s">
        <v>44</v>
      </c>
      <c r="F240" s="5" t="s">
        <v>45</v>
      </c>
      <c r="G240" s="8">
        <v>4</v>
      </c>
      <c r="H240" s="8">
        <v>3867</v>
      </c>
      <c r="I240" s="5" t="s">
        <v>40</v>
      </c>
      <c r="J240" s="8">
        <v>3</v>
      </c>
      <c r="K240" s="8">
        <v>2</v>
      </c>
      <c r="L240" s="8">
        <v>2</v>
      </c>
      <c r="M2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40" s="8" t="str" cm="1">
        <f t="array" ref="N240">_xlfn.IFS(HR_Analytics56[[#This Row],[PerformanceRating]]=3,"Good",HR_Analytics56[[#This Row],[PerformanceRating]]=4, "Excellent")</f>
        <v>Good</v>
      </c>
      <c r="O240" s="8" t="str">
        <f>IF(HR_Analytics56[[#This Row],[MonthlyIncome]]&lt;3000,"&lt; ₹3,000",IF(HR_Analytics56[[#This Row],[MonthlyIncome]]&lt;=7000,"₹ 3,000 - ₹ 7,000","&gt; ₹7,000"))</f>
        <v>₹ 3,000 - ₹ 7,000</v>
      </c>
      <c r="P240" s="8" t="str" cm="1">
        <f t="array" ref="P2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1" spans="1:16" x14ac:dyDescent="0.8">
      <c r="A241" s="5" t="s">
        <v>309</v>
      </c>
      <c r="B241" s="8">
        <v>28</v>
      </c>
      <c r="C241" s="5" t="s">
        <v>49</v>
      </c>
      <c r="D241" s="5" t="s">
        <v>42</v>
      </c>
      <c r="E241" s="5" t="s">
        <v>44</v>
      </c>
      <c r="F241" s="5" t="s">
        <v>60</v>
      </c>
      <c r="G241" s="8">
        <v>1</v>
      </c>
      <c r="H241" s="8">
        <v>2080</v>
      </c>
      <c r="I241" s="5" t="s">
        <v>49</v>
      </c>
      <c r="J241" s="8">
        <v>3</v>
      </c>
      <c r="K241" s="8">
        <v>2</v>
      </c>
      <c r="L241" s="8">
        <v>3</v>
      </c>
      <c r="M2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1" s="8" t="str" cm="1">
        <f t="array" ref="N241">_xlfn.IFS(HR_Analytics56[[#This Row],[PerformanceRating]]=3,"Good",HR_Analytics56[[#This Row],[PerformanceRating]]=4, "Excellent")</f>
        <v>Good</v>
      </c>
      <c r="O241" s="8" t="str">
        <f>IF(HR_Analytics56[[#This Row],[MonthlyIncome]]&lt;3000,"&lt; ₹3,000",IF(HR_Analytics56[[#This Row],[MonthlyIncome]]&lt;=7000,"₹ 3,000 - ₹ 7,000","&gt; ₹7,000"))</f>
        <v>&lt; ₹3,000</v>
      </c>
      <c r="P241" s="8" t="str" cm="1">
        <f t="array" ref="P2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2" spans="1:16" x14ac:dyDescent="0.8">
      <c r="A242" s="5" t="s">
        <v>310</v>
      </c>
      <c r="B242" s="8">
        <v>28</v>
      </c>
      <c r="C242" s="5" t="s">
        <v>49</v>
      </c>
      <c r="D242" s="5" t="s">
        <v>42</v>
      </c>
      <c r="E242" s="5" t="s">
        <v>53</v>
      </c>
      <c r="F242" s="5" t="s">
        <v>45</v>
      </c>
      <c r="G242" s="8">
        <v>4</v>
      </c>
      <c r="H242" s="8">
        <v>6674</v>
      </c>
      <c r="I242" s="5" t="s">
        <v>49</v>
      </c>
      <c r="J242" s="8">
        <v>3</v>
      </c>
      <c r="K242" s="8">
        <v>6</v>
      </c>
      <c r="L242" s="8">
        <v>9</v>
      </c>
      <c r="M2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2" s="8" t="str" cm="1">
        <f t="array" ref="N242">_xlfn.IFS(HR_Analytics56[[#This Row],[PerformanceRating]]=3,"Good",HR_Analytics56[[#This Row],[PerformanceRating]]=4, "Excellent")</f>
        <v>Good</v>
      </c>
      <c r="O242" s="8" t="str">
        <f>IF(HR_Analytics56[[#This Row],[MonthlyIncome]]&lt;3000,"&lt; ₹3,000",IF(HR_Analytics56[[#This Row],[MonthlyIncome]]&lt;=7000,"₹ 3,000 - ₹ 7,000","&gt; ₹7,000"))</f>
        <v>₹ 3,000 - ₹ 7,000</v>
      </c>
      <c r="P242" s="8" t="str" cm="1">
        <f t="array" ref="P2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3" spans="1:16" x14ac:dyDescent="0.8">
      <c r="A243" s="5" t="s">
        <v>311</v>
      </c>
      <c r="B243" s="8">
        <v>28</v>
      </c>
      <c r="C243" s="5" t="s">
        <v>49</v>
      </c>
      <c r="D243" s="5" t="s">
        <v>51</v>
      </c>
      <c r="E243" s="5" t="s">
        <v>44</v>
      </c>
      <c r="F243" s="5" t="s">
        <v>137</v>
      </c>
      <c r="G243" s="8">
        <v>1</v>
      </c>
      <c r="H243" s="8">
        <v>4724</v>
      </c>
      <c r="I243" s="5" t="s">
        <v>49</v>
      </c>
      <c r="J243" s="8">
        <v>3</v>
      </c>
      <c r="K243" s="8">
        <v>0</v>
      </c>
      <c r="L243" s="8">
        <v>5</v>
      </c>
      <c r="M2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3" s="8" t="str" cm="1">
        <f t="array" ref="N243">_xlfn.IFS(HR_Analytics56[[#This Row],[PerformanceRating]]=3,"Good",HR_Analytics56[[#This Row],[PerformanceRating]]=4, "Excellent")</f>
        <v>Good</v>
      </c>
      <c r="O243" s="8" t="str">
        <f>IF(HR_Analytics56[[#This Row],[MonthlyIncome]]&lt;3000,"&lt; ₹3,000",IF(HR_Analytics56[[#This Row],[MonthlyIncome]]&lt;=7000,"₹ 3,000 - ₹ 7,000","&gt; ₹7,000"))</f>
        <v>₹ 3,000 - ₹ 7,000</v>
      </c>
      <c r="P243" s="8" t="str" cm="1">
        <f t="array" ref="P2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4" spans="1:16" x14ac:dyDescent="0.8">
      <c r="A244" s="5" t="s">
        <v>312</v>
      </c>
      <c r="B244" s="8">
        <v>28</v>
      </c>
      <c r="C244" s="5" t="s">
        <v>49</v>
      </c>
      <c r="D244" s="5" t="s">
        <v>51</v>
      </c>
      <c r="E244" s="5" t="s">
        <v>44</v>
      </c>
      <c r="F244" s="5" t="s">
        <v>137</v>
      </c>
      <c r="G244" s="8">
        <v>1</v>
      </c>
      <c r="H244" s="8">
        <v>8463</v>
      </c>
      <c r="I244" s="5" t="s">
        <v>49</v>
      </c>
      <c r="J244" s="8">
        <v>3</v>
      </c>
      <c r="K244" s="8">
        <v>4</v>
      </c>
      <c r="L244" s="8">
        <v>5</v>
      </c>
      <c r="M2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4" s="8" t="str" cm="1">
        <f t="array" ref="N244">_xlfn.IFS(HR_Analytics56[[#This Row],[PerformanceRating]]=3,"Good",HR_Analytics56[[#This Row],[PerformanceRating]]=4, "Excellent")</f>
        <v>Good</v>
      </c>
      <c r="O244" s="8" t="str">
        <f>IF(HR_Analytics56[[#This Row],[MonthlyIncome]]&lt;3000,"&lt; ₹3,000",IF(HR_Analytics56[[#This Row],[MonthlyIncome]]&lt;=7000,"₹ 3,000 - ₹ 7,000","&gt; ₹7,000"))</f>
        <v>&gt; ₹7,000</v>
      </c>
      <c r="P244" s="8" t="str" cm="1">
        <f t="array" ref="P2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5" spans="1:16" x14ac:dyDescent="0.8">
      <c r="A245" s="5" t="s">
        <v>313</v>
      </c>
      <c r="B245" s="8">
        <v>28</v>
      </c>
      <c r="C245" s="5" t="s">
        <v>40</v>
      </c>
      <c r="D245" s="5" t="s">
        <v>51</v>
      </c>
      <c r="E245" s="5" t="s">
        <v>44</v>
      </c>
      <c r="F245" s="5" t="s">
        <v>54</v>
      </c>
      <c r="G245" s="8">
        <v>3</v>
      </c>
      <c r="H245" s="8">
        <v>2909</v>
      </c>
      <c r="I245" s="5" t="s">
        <v>49</v>
      </c>
      <c r="J245" s="8">
        <v>3</v>
      </c>
      <c r="K245" s="8">
        <v>3</v>
      </c>
      <c r="L245" s="8">
        <v>3</v>
      </c>
      <c r="M2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45" s="8" t="str" cm="1">
        <f t="array" ref="N245">_xlfn.IFS(HR_Analytics56[[#This Row],[PerformanceRating]]=3,"Good",HR_Analytics56[[#This Row],[PerformanceRating]]=4, "Excellent")</f>
        <v>Good</v>
      </c>
      <c r="O245" s="8" t="str">
        <f>IF(HR_Analytics56[[#This Row],[MonthlyIncome]]&lt;3000,"&lt; ₹3,000",IF(HR_Analytics56[[#This Row],[MonthlyIncome]]&lt;=7000,"₹ 3,000 - ₹ 7,000","&gt; ₹7,000"))</f>
        <v>&lt; ₹3,000</v>
      </c>
      <c r="P245" s="8" t="str" cm="1">
        <f t="array" ref="P2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6" spans="1:16" x14ac:dyDescent="0.8">
      <c r="A246" s="5" t="s">
        <v>314</v>
      </c>
      <c r="B246" s="8">
        <v>28</v>
      </c>
      <c r="C246" s="5" t="s">
        <v>40</v>
      </c>
      <c r="D246" s="5" t="s">
        <v>42</v>
      </c>
      <c r="E246" s="5" t="s">
        <v>44</v>
      </c>
      <c r="F246" s="5" t="s">
        <v>45</v>
      </c>
      <c r="G246" s="8">
        <v>1</v>
      </c>
      <c r="H246" s="8">
        <v>2561</v>
      </c>
      <c r="I246" s="5" t="s">
        <v>49</v>
      </c>
      <c r="J246" s="8">
        <v>3</v>
      </c>
      <c r="K246" s="8">
        <v>2</v>
      </c>
      <c r="L246" s="8">
        <v>0</v>
      </c>
      <c r="M2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46" s="8" t="str" cm="1">
        <f t="array" ref="N246">_xlfn.IFS(HR_Analytics56[[#This Row],[PerformanceRating]]=3,"Good",HR_Analytics56[[#This Row],[PerformanceRating]]=4, "Excellent")</f>
        <v>Good</v>
      </c>
      <c r="O246" s="8" t="str">
        <f>IF(HR_Analytics56[[#This Row],[MonthlyIncome]]&lt;3000,"&lt; ₹3,000",IF(HR_Analytics56[[#This Row],[MonthlyIncome]]&lt;=7000,"₹ 3,000 - ₹ 7,000","&gt; ₹7,000"))</f>
        <v>&lt; ₹3,000</v>
      </c>
      <c r="P246" s="8" t="str" cm="1">
        <f t="array" ref="P2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7" spans="1:16" x14ac:dyDescent="0.8">
      <c r="A247" s="5" t="s">
        <v>315</v>
      </c>
      <c r="B247" s="8">
        <v>28</v>
      </c>
      <c r="C247" s="5" t="s">
        <v>49</v>
      </c>
      <c r="D247" s="5" t="s">
        <v>42</v>
      </c>
      <c r="E247" s="5" t="s">
        <v>44</v>
      </c>
      <c r="F247" s="5" t="s">
        <v>60</v>
      </c>
      <c r="G247" s="8">
        <v>3</v>
      </c>
      <c r="H247" s="8">
        <v>1563</v>
      </c>
      <c r="I247" s="5" t="s">
        <v>49</v>
      </c>
      <c r="J247" s="8">
        <v>3</v>
      </c>
      <c r="K247" s="8">
        <v>2</v>
      </c>
      <c r="L247" s="8">
        <v>1</v>
      </c>
      <c r="M2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7" s="8" t="str" cm="1">
        <f t="array" ref="N247">_xlfn.IFS(HR_Analytics56[[#This Row],[PerformanceRating]]=3,"Good",HR_Analytics56[[#This Row],[PerformanceRating]]=4, "Excellent")</f>
        <v>Good</v>
      </c>
      <c r="O247" s="8" t="str">
        <f>IF(HR_Analytics56[[#This Row],[MonthlyIncome]]&lt;3000,"&lt; ₹3,000",IF(HR_Analytics56[[#This Row],[MonthlyIncome]]&lt;=7000,"₹ 3,000 - ₹ 7,000","&gt; ₹7,000"))</f>
        <v>&lt; ₹3,000</v>
      </c>
      <c r="P247" s="8" t="str" cm="1">
        <f t="array" ref="P2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8" spans="1:16" x14ac:dyDescent="0.8">
      <c r="A248" s="5" t="s">
        <v>316</v>
      </c>
      <c r="B248" s="8">
        <v>28</v>
      </c>
      <c r="C248" s="5" t="s">
        <v>49</v>
      </c>
      <c r="D248" s="5" t="s">
        <v>51</v>
      </c>
      <c r="E248" s="5" t="s">
        <v>44</v>
      </c>
      <c r="F248" s="5" t="s">
        <v>137</v>
      </c>
      <c r="G248" s="8">
        <v>1</v>
      </c>
      <c r="H248" s="8">
        <v>4898</v>
      </c>
      <c r="I248" s="5" t="s">
        <v>49</v>
      </c>
      <c r="J248" s="8">
        <v>3</v>
      </c>
      <c r="K248" s="8">
        <v>5</v>
      </c>
      <c r="L248" s="8">
        <v>4</v>
      </c>
      <c r="M2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8" s="8" t="str" cm="1">
        <f t="array" ref="N248">_xlfn.IFS(HR_Analytics56[[#This Row],[PerformanceRating]]=3,"Good",HR_Analytics56[[#This Row],[PerformanceRating]]=4, "Excellent")</f>
        <v>Good</v>
      </c>
      <c r="O248" s="8" t="str">
        <f>IF(HR_Analytics56[[#This Row],[MonthlyIncome]]&lt;3000,"&lt; ₹3,000",IF(HR_Analytics56[[#This Row],[MonthlyIncome]]&lt;=7000,"₹ 3,000 - ₹ 7,000","&gt; ₹7,000"))</f>
        <v>₹ 3,000 - ₹ 7,000</v>
      </c>
      <c r="P248" s="8" t="str" cm="1">
        <f t="array" ref="P2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49" spans="1:16" x14ac:dyDescent="0.8">
      <c r="A249" s="5" t="s">
        <v>317</v>
      </c>
      <c r="B249" s="8">
        <v>28</v>
      </c>
      <c r="C249" s="5" t="s">
        <v>49</v>
      </c>
      <c r="D249" s="5" t="s">
        <v>42</v>
      </c>
      <c r="E249" s="5" t="s">
        <v>44</v>
      </c>
      <c r="F249" s="5" t="s">
        <v>112</v>
      </c>
      <c r="G249" s="8">
        <v>2</v>
      </c>
      <c r="H249" s="8">
        <v>6549</v>
      </c>
      <c r="I249" s="5" t="s">
        <v>49</v>
      </c>
      <c r="J249" s="8">
        <v>3</v>
      </c>
      <c r="K249" s="8">
        <v>2</v>
      </c>
      <c r="L249" s="8">
        <v>8</v>
      </c>
      <c r="M2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49" s="8" t="str" cm="1">
        <f t="array" ref="N249">_xlfn.IFS(HR_Analytics56[[#This Row],[PerformanceRating]]=3,"Good",HR_Analytics56[[#This Row],[PerformanceRating]]=4, "Excellent")</f>
        <v>Good</v>
      </c>
      <c r="O249" s="8" t="str">
        <f>IF(HR_Analytics56[[#This Row],[MonthlyIncome]]&lt;3000,"&lt; ₹3,000",IF(HR_Analytics56[[#This Row],[MonthlyIncome]]&lt;=7000,"₹ 3,000 - ₹ 7,000","&gt; ₹7,000"))</f>
        <v>₹ 3,000 - ₹ 7,000</v>
      </c>
      <c r="P249" s="8" t="str" cm="1">
        <f t="array" ref="P2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0" spans="1:16" x14ac:dyDescent="0.8">
      <c r="A250" s="5" t="s">
        <v>318</v>
      </c>
      <c r="B250" s="8">
        <v>28</v>
      </c>
      <c r="C250" s="5" t="s">
        <v>40</v>
      </c>
      <c r="D250" s="5" t="s">
        <v>42</v>
      </c>
      <c r="E250" s="5" t="s">
        <v>44</v>
      </c>
      <c r="F250" s="5" t="s">
        <v>45</v>
      </c>
      <c r="G250" s="8">
        <v>2</v>
      </c>
      <c r="H250" s="8">
        <v>2408</v>
      </c>
      <c r="I250" s="5" t="s">
        <v>40</v>
      </c>
      <c r="J250" s="8">
        <v>3</v>
      </c>
      <c r="K250" s="8">
        <v>3</v>
      </c>
      <c r="L250" s="8">
        <v>1</v>
      </c>
      <c r="M2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50" s="8" t="str" cm="1">
        <f t="array" ref="N250">_xlfn.IFS(HR_Analytics56[[#This Row],[PerformanceRating]]=3,"Good",HR_Analytics56[[#This Row],[PerformanceRating]]=4, "Excellent")</f>
        <v>Good</v>
      </c>
      <c r="O250" s="8" t="str">
        <f>IF(HR_Analytics56[[#This Row],[MonthlyIncome]]&lt;3000,"&lt; ₹3,000",IF(HR_Analytics56[[#This Row],[MonthlyIncome]]&lt;=7000,"₹ 3,000 - ₹ 7,000","&gt; ₹7,000"))</f>
        <v>&lt; ₹3,000</v>
      </c>
      <c r="P250" s="8" t="str" cm="1">
        <f t="array" ref="P2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1" spans="1:16" x14ac:dyDescent="0.8">
      <c r="A251" s="5" t="s">
        <v>319</v>
      </c>
      <c r="B251" s="8">
        <v>28</v>
      </c>
      <c r="C251" s="5" t="s">
        <v>49</v>
      </c>
      <c r="D251" s="5" t="s">
        <v>42</v>
      </c>
      <c r="E251" s="5" t="s">
        <v>53</v>
      </c>
      <c r="F251" s="5" t="s">
        <v>112</v>
      </c>
      <c r="G251" s="8">
        <v>1</v>
      </c>
      <c r="H251" s="8">
        <v>4877</v>
      </c>
      <c r="I251" s="5" t="s">
        <v>49</v>
      </c>
      <c r="J251" s="8">
        <v>4</v>
      </c>
      <c r="K251" s="8">
        <v>5</v>
      </c>
      <c r="L251" s="8">
        <v>5</v>
      </c>
      <c r="M2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1" s="8" t="str" cm="1">
        <f t="array" ref="N251">_xlfn.IFS(HR_Analytics56[[#This Row],[PerformanceRating]]=3,"Good",HR_Analytics56[[#This Row],[PerformanceRating]]=4, "Excellent")</f>
        <v>Excellent</v>
      </c>
      <c r="O251" s="8" t="str">
        <f>IF(HR_Analytics56[[#This Row],[MonthlyIncome]]&lt;3000,"&lt; ₹3,000",IF(HR_Analytics56[[#This Row],[MonthlyIncome]]&lt;=7000,"₹ 3,000 - ₹ 7,000","&gt; ₹7,000"))</f>
        <v>₹ 3,000 - ₹ 7,000</v>
      </c>
      <c r="P251" s="8" t="str" cm="1">
        <f t="array" ref="P25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52" spans="1:16" x14ac:dyDescent="0.8">
      <c r="A252" s="5" t="s">
        <v>320</v>
      </c>
      <c r="B252" s="8">
        <v>28</v>
      </c>
      <c r="C252" s="5" t="s">
        <v>49</v>
      </c>
      <c r="D252" s="5" t="s">
        <v>42</v>
      </c>
      <c r="E252" s="5" t="s">
        <v>44</v>
      </c>
      <c r="F252" s="5" t="s">
        <v>60</v>
      </c>
      <c r="G252" s="8">
        <v>4</v>
      </c>
      <c r="H252" s="8">
        <v>2044</v>
      </c>
      <c r="I252" s="5" t="s">
        <v>49</v>
      </c>
      <c r="J252" s="8">
        <v>3</v>
      </c>
      <c r="K252" s="8">
        <v>6</v>
      </c>
      <c r="L252" s="8">
        <v>5</v>
      </c>
      <c r="M2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2" s="8" t="str" cm="1">
        <f t="array" ref="N252">_xlfn.IFS(HR_Analytics56[[#This Row],[PerformanceRating]]=3,"Good",HR_Analytics56[[#This Row],[PerformanceRating]]=4, "Excellent")</f>
        <v>Good</v>
      </c>
      <c r="O252" s="8" t="str">
        <f>IF(HR_Analytics56[[#This Row],[MonthlyIncome]]&lt;3000,"&lt; ₹3,000",IF(HR_Analytics56[[#This Row],[MonthlyIncome]]&lt;=7000,"₹ 3,000 - ₹ 7,000","&gt; ₹7,000"))</f>
        <v>&lt; ₹3,000</v>
      </c>
      <c r="P252" s="8" t="str" cm="1">
        <f t="array" ref="P2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3" spans="1:16" x14ac:dyDescent="0.8">
      <c r="A253" s="5" t="s">
        <v>321</v>
      </c>
      <c r="B253" s="8">
        <v>28</v>
      </c>
      <c r="C253" s="5" t="s">
        <v>49</v>
      </c>
      <c r="D253" s="5" t="s">
        <v>42</v>
      </c>
      <c r="E253" s="5" t="s">
        <v>53</v>
      </c>
      <c r="F253" s="5" t="s">
        <v>60</v>
      </c>
      <c r="G253" s="8">
        <v>1</v>
      </c>
      <c r="H253" s="8">
        <v>3591</v>
      </c>
      <c r="I253" s="5" t="s">
        <v>49</v>
      </c>
      <c r="J253" s="8">
        <v>4</v>
      </c>
      <c r="K253" s="8">
        <v>3</v>
      </c>
      <c r="L253" s="8">
        <v>3</v>
      </c>
      <c r="M2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3" s="8" t="str" cm="1">
        <f t="array" ref="N253">_xlfn.IFS(HR_Analytics56[[#This Row],[PerformanceRating]]=3,"Good",HR_Analytics56[[#This Row],[PerformanceRating]]=4, "Excellent")</f>
        <v>Excellent</v>
      </c>
      <c r="O253" s="8" t="str">
        <f>IF(HR_Analytics56[[#This Row],[MonthlyIncome]]&lt;3000,"&lt; ₹3,000",IF(HR_Analytics56[[#This Row],[MonthlyIncome]]&lt;=7000,"₹ 3,000 - ₹ 7,000","&gt; ₹7,000"))</f>
        <v>₹ 3,000 - ₹ 7,000</v>
      </c>
      <c r="P253" s="8" t="str" cm="1">
        <f t="array" ref="P25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54" spans="1:16" x14ac:dyDescent="0.8">
      <c r="A254" s="5" t="s">
        <v>322</v>
      </c>
      <c r="B254" s="8">
        <v>28</v>
      </c>
      <c r="C254" s="5" t="s">
        <v>49</v>
      </c>
      <c r="D254" s="5" t="s">
        <v>71</v>
      </c>
      <c r="E254" s="5" t="s">
        <v>44</v>
      </c>
      <c r="F254" s="5" t="s">
        <v>71</v>
      </c>
      <c r="G254" s="8">
        <v>4</v>
      </c>
      <c r="H254" s="8">
        <v>2706</v>
      </c>
      <c r="I254" s="5" t="s">
        <v>49</v>
      </c>
      <c r="J254" s="8">
        <v>3</v>
      </c>
      <c r="K254" s="8">
        <v>2</v>
      </c>
      <c r="L254" s="8">
        <v>3</v>
      </c>
      <c r="M2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4" s="8" t="str" cm="1">
        <f t="array" ref="N254">_xlfn.IFS(HR_Analytics56[[#This Row],[PerformanceRating]]=3,"Good",HR_Analytics56[[#This Row],[PerformanceRating]]=4, "Excellent")</f>
        <v>Good</v>
      </c>
      <c r="O254" s="8" t="str">
        <f>IF(HR_Analytics56[[#This Row],[MonthlyIncome]]&lt;3000,"&lt; ₹3,000",IF(HR_Analytics56[[#This Row],[MonthlyIncome]]&lt;=7000,"₹ 3,000 - ₹ 7,000","&gt; ₹7,000"))</f>
        <v>&lt; ₹3,000</v>
      </c>
      <c r="P254" s="8" t="str" cm="1">
        <f t="array" ref="P2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5" spans="1:16" x14ac:dyDescent="0.8">
      <c r="A255" s="5" t="s">
        <v>323</v>
      </c>
      <c r="B255" s="8">
        <v>28</v>
      </c>
      <c r="C255" s="5" t="s">
        <v>49</v>
      </c>
      <c r="D255" s="5" t="s">
        <v>51</v>
      </c>
      <c r="E255" s="5" t="s">
        <v>53</v>
      </c>
      <c r="F255" s="5" t="s">
        <v>54</v>
      </c>
      <c r="G255" s="8">
        <v>2</v>
      </c>
      <c r="H255" s="8">
        <v>2856</v>
      </c>
      <c r="I255" s="5" t="s">
        <v>49</v>
      </c>
      <c r="J255" s="8">
        <v>3</v>
      </c>
      <c r="K255" s="8">
        <v>3</v>
      </c>
      <c r="L255" s="8">
        <v>1</v>
      </c>
      <c r="M2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5" s="8" t="str" cm="1">
        <f t="array" ref="N255">_xlfn.IFS(HR_Analytics56[[#This Row],[PerformanceRating]]=3,"Good",HR_Analytics56[[#This Row],[PerformanceRating]]=4, "Excellent")</f>
        <v>Good</v>
      </c>
      <c r="O255" s="8" t="str">
        <f>IF(HR_Analytics56[[#This Row],[MonthlyIncome]]&lt;3000,"&lt; ₹3,000",IF(HR_Analytics56[[#This Row],[MonthlyIncome]]&lt;=7000,"₹ 3,000 - ₹ 7,000","&gt; ₹7,000"))</f>
        <v>&lt; ₹3,000</v>
      </c>
      <c r="P255" s="8" t="str" cm="1">
        <f t="array" ref="P2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6" spans="1:16" x14ac:dyDescent="0.8">
      <c r="A256" s="5" t="s">
        <v>324</v>
      </c>
      <c r="B256" s="8">
        <v>28</v>
      </c>
      <c r="C256" s="5" t="s">
        <v>49</v>
      </c>
      <c r="D256" s="5" t="s">
        <v>51</v>
      </c>
      <c r="E256" s="5" t="s">
        <v>44</v>
      </c>
      <c r="F256" s="5" t="s">
        <v>137</v>
      </c>
      <c r="G256" s="8">
        <v>4</v>
      </c>
      <c r="H256" s="8">
        <v>6834</v>
      </c>
      <c r="I256" s="5" t="s">
        <v>40</v>
      </c>
      <c r="J256" s="8">
        <v>3</v>
      </c>
      <c r="K256" s="8">
        <v>2</v>
      </c>
      <c r="L256" s="8">
        <v>7</v>
      </c>
      <c r="M2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56" s="8" t="str" cm="1">
        <f t="array" ref="N256">_xlfn.IFS(HR_Analytics56[[#This Row],[PerformanceRating]]=3,"Good",HR_Analytics56[[#This Row],[PerformanceRating]]=4, "Excellent")</f>
        <v>Good</v>
      </c>
      <c r="O256" s="8" t="str">
        <f>IF(HR_Analytics56[[#This Row],[MonthlyIncome]]&lt;3000,"&lt; ₹3,000",IF(HR_Analytics56[[#This Row],[MonthlyIncome]]&lt;=7000,"₹ 3,000 - ₹ 7,000","&gt; ₹7,000"))</f>
        <v>₹ 3,000 - ₹ 7,000</v>
      </c>
      <c r="P256" s="8" t="str" cm="1">
        <f t="array" ref="P2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7" spans="1:16" x14ac:dyDescent="0.8">
      <c r="A257" s="5" t="s">
        <v>325</v>
      </c>
      <c r="B257" s="8">
        <v>28</v>
      </c>
      <c r="C257" s="5" t="s">
        <v>40</v>
      </c>
      <c r="D257" s="5" t="s">
        <v>51</v>
      </c>
      <c r="E257" s="5" t="s">
        <v>53</v>
      </c>
      <c r="F257" s="5" t="s">
        <v>137</v>
      </c>
      <c r="G257" s="8">
        <v>3</v>
      </c>
      <c r="H257" s="8">
        <v>9854</v>
      </c>
      <c r="I257" s="5" t="s">
        <v>40</v>
      </c>
      <c r="J257" s="8">
        <v>3</v>
      </c>
      <c r="K257" s="8">
        <v>0</v>
      </c>
      <c r="L257" s="8">
        <v>2</v>
      </c>
      <c r="M2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57" s="8" t="str" cm="1">
        <f t="array" ref="N257">_xlfn.IFS(HR_Analytics56[[#This Row],[PerformanceRating]]=3,"Good",HR_Analytics56[[#This Row],[PerformanceRating]]=4, "Excellent")</f>
        <v>Good</v>
      </c>
      <c r="O257" s="8" t="str">
        <f>IF(HR_Analytics56[[#This Row],[MonthlyIncome]]&lt;3000,"&lt; ₹3,000",IF(HR_Analytics56[[#This Row],[MonthlyIncome]]&lt;=7000,"₹ 3,000 - ₹ 7,000","&gt; ₹7,000"))</f>
        <v>&gt; ₹7,000</v>
      </c>
      <c r="P257" s="8" t="str" cm="1">
        <f t="array" ref="P2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8" spans="1:16" x14ac:dyDescent="0.8">
      <c r="A258" s="5" t="s">
        <v>326</v>
      </c>
      <c r="B258" s="8">
        <v>28</v>
      </c>
      <c r="C258" s="5" t="s">
        <v>49</v>
      </c>
      <c r="D258" s="5" t="s">
        <v>42</v>
      </c>
      <c r="E258" s="5" t="s">
        <v>44</v>
      </c>
      <c r="F258" s="5" t="s">
        <v>60</v>
      </c>
      <c r="G258" s="8">
        <v>3</v>
      </c>
      <c r="H258" s="8">
        <v>2144</v>
      </c>
      <c r="I258" s="5" t="s">
        <v>49</v>
      </c>
      <c r="J258" s="8">
        <v>3</v>
      </c>
      <c r="K258" s="8">
        <v>3</v>
      </c>
      <c r="L258" s="8">
        <v>5</v>
      </c>
      <c r="M2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58" s="8" t="str" cm="1">
        <f t="array" ref="N258">_xlfn.IFS(HR_Analytics56[[#This Row],[PerformanceRating]]=3,"Good",HR_Analytics56[[#This Row],[PerformanceRating]]=4, "Excellent")</f>
        <v>Good</v>
      </c>
      <c r="O258" s="8" t="str">
        <f>IF(HR_Analytics56[[#This Row],[MonthlyIncome]]&lt;3000,"&lt; ₹3,000",IF(HR_Analytics56[[#This Row],[MonthlyIncome]]&lt;=7000,"₹ 3,000 - ₹ 7,000","&gt; ₹7,000"))</f>
        <v>&lt; ₹3,000</v>
      </c>
      <c r="P258" s="8" t="str" cm="1">
        <f t="array" ref="P2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59" spans="1:16" x14ac:dyDescent="0.8">
      <c r="A259" s="5" t="s">
        <v>327</v>
      </c>
      <c r="B259" s="8">
        <v>28</v>
      </c>
      <c r="C259" s="5" t="s">
        <v>40</v>
      </c>
      <c r="D259" s="5" t="s">
        <v>42</v>
      </c>
      <c r="E259" s="5" t="s">
        <v>44</v>
      </c>
      <c r="F259" s="5" t="s">
        <v>45</v>
      </c>
      <c r="G259" s="8">
        <v>4</v>
      </c>
      <c r="H259" s="8">
        <v>2367</v>
      </c>
      <c r="I259" s="5" t="s">
        <v>49</v>
      </c>
      <c r="J259" s="8">
        <v>3</v>
      </c>
      <c r="K259" s="8">
        <v>2</v>
      </c>
      <c r="L259" s="8">
        <v>4</v>
      </c>
      <c r="M2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59" s="8" t="str" cm="1">
        <f t="array" ref="N259">_xlfn.IFS(HR_Analytics56[[#This Row],[PerformanceRating]]=3,"Good",HR_Analytics56[[#This Row],[PerformanceRating]]=4, "Excellent")</f>
        <v>Good</v>
      </c>
      <c r="O259" s="8" t="str">
        <f>IF(HR_Analytics56[[#This Row],[MonthlyIncome]]&lt;3000,"&lt; ₹3,000",IF(HR_Analytics56[[#This Row],[MonthlyIncome]]&lt;=7000,"₹ 3,000 - ₹ 7,000","&gt; ₹7,000"))</f>
        <v>&lt; ₹3,000</v>
      </c>
      <c r="P259" s="8" t="str" cm="1">
        <f t="array" ref="P2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0" spans="1:16" x14ac:dyDescent="0.8">
      <c r="A260" s="5" t="s">
        <v>328</v>
      </c>
      <c r="B260" s="8">
        <v>29</v>
      </c>
      <c r="C260" s="5" t="s">
        <v>49</v>
      </c>
      <c r="D260" s="5" t="s">
        <v>42</v>
      </c>
      <c r="E260" s="5" t="s">
        <v>53</v>
      </c>
      <c r="F260" s="5" t="s">
        <v>45</v>
      </c>
      <c r="G260" s="8">
        <v>3</v>
      </c>
      <c r="H260" s="8">
        <v>4193</v>
      </c>
      <c r="I260" s="5" t="s">
        <v>40</v>
      </c>
      <c r="J260" s="8">
        <v>3</v>
      </c>
      <c r="K260" s="8">
        <v>3</v>
      </c>
      <c r="L260" s="8">
        <v>9</v>
      </c>
      <c r="M2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60" s="8" t="str" cm="1">
        <f t="array" ref="N260">_xlfn.IFS(HR_Analytics56[[#This Row],[PerformanceRating]]=3,"Good",HR_Analytics56[[#This Row],[PerformanceRating]]=4, "Excellent")</f>
        <v>Good</v>
      </c>
      <c r="O260" s="8" t="str">
        <f>IF(HR_Analytics56[[#This Row],[MonthlyIncome]]&lt;3000,"&lt; ₹3,000",IF(HR_Analytics56[[#This Row],[MonthlyIncome]]&lt;=7000,"₹ 3,000 - ₹ 7,000","&gt; ₹7,000"))</f>
        <v>₹ 3,000 - ₹ 7,000</v>
      </c>
      <c r="P260" s="8" t="str" cm="1">
        <f t="array" ref="P2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1" spans="1:16" x14ac:dyDescent="0.8">
      <c r="A261" s="5" t="s">
        <v>329</v>
      </c>
      <c r="B261" s="8">
        <v>29</v>
      </c>
      <c r="C261" s="5" t="s">
        <v>49</v>
      </c>
      <c r="D261" s="5" t="s">
        <v>42</v>
      </c>
      <c r="E261" s="5" t="s">
        <v>53</v>
      </c>
      <c r="F261" s="5" t="s">
        <v>112</v>
      </c>
      <c r="G261" s="8">
        <v>1</v>
      </c>
      <c r="H261" s="8">
        <v>9980</v>
      </c>
      <c r="I261" s="5" t="s">
        <v>49</v>
      </c>
      <c r="J261" s="8">
        <v>3</v>
      </c>
      <c r="K261" s="8">
        <v>1</v>
      </c>
      <c r="L261" s="8">
        <v>10</v>
      </c>
      <c r="M2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1" s="8" t="str" cm="1">
        <f t="array" ref="N261">_xlfn.IFS(HR_Analytics56[[#This Row],[PerformanceRating]]=3,"Good",HR_Analytics56[[#This Row],[PerformanceRating]]=4, "Excellent")</f>
        <v>Good</v>
      </c>
      <c r="O261" s="8" t="str">
        <f>IF(HR_Analytics56[[#This Row],[MonthlyIncome]]&lt;3000,"&lt; ₹3,000",IF(HR_Analytics56[[#This Row],[MonthlyIncome]]&lt;=7000,"₹ 3,000 - ₹ 7,000","&gt; ₹7,000"))</f>
        <v>&gt; ₹7,000</v>
      </c>
      <c r="P261" s="8" t="str" cm="1">
        <f t="array" ref="P2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2" spans="1:16" x14ac:dyDescent="0.8">
      <c r="A262" s="5" t="s">
        <v>330</v>
      </c>
      <c r="B262" s="8">
        <v>29</v>
      </c>
      <c r="C262" s="5" t="s">
        <v>49</v>
      </c>
      <c r="D262" s="5" t="s">
        <v>42</v>
      </c>
      <c r="E262" s="5" t="s">
        <v>44</v>
      </c>
      <c r="F262" s="5" t="s">
        <v>60</v>
      </c>
      <c r="G262" s="8">
        <v>2</v>
      </c>
      <c r="H262" s="8">
        <v>2703</v>
      </c>
      <c r="I262" s="5" t="s">
        <v>49</v>
      </c>
      <c r="J262" s="8">
        <v>4</v>
      </c>
      <c r="K262" s="8">
        <v>3</v>
      </c>
      <c r="L262" s="8">
        <v>5</v>
      </c>
      <c r="M2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2" s="8" t="str" cm="1">
        <f t="array" ref="N262">_xlfn.IFS(HR_Analytics56[[#This Row],[PerformanceRating]]=3,"Good",HR_Analytics56[[#This Row],[PerformanceRating]]=4, "Excellent")</f>
        <v>Excellent</v>
      </c>
      <c r="O262" s="8" t="str">
        <f>IF(HR_Analytics56[[#This Row],[MonthlyIncome]]&lt;3000,"&lt; ₹3,000",IF(HR_Analytics56[[#This Row],[MonthlyIncome]]&lt;=7000,"₹ 3,000 - ₹ 7,000","&gt; ₹7,000"))</f>
        <v>&lt; ₹3,000</v>
      </c>
      <c r="P262" s="8" t="str" cm="1">
        <f t="array" ref="P26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63" spans="1:16" x14ac:dyDescent="0.8">
      <c r="A263" s="5" t="s">
        <v>331</v>
      </c>
      <c r="B263" s="8">
        <v>29</v>
      </c>
      <c r="C263" s="5" t="s">
        <v>49</v>
      </c>
      <c r="D263" s="5" t="s">
        <v>42</v>
      </c>
      <c r="E263" s="5" t="s">
        <v>44</v>
      </c>
      <c r="F263" s="5" t="s">
        <v>112</v>
      </c>
      <c r="G263" s="8">
        <v>3</v>
      </c>
      <c r="H263" s="8">
        <v>4319</v>
      </c>
      <c r="I263" s="5" t="s">
        <v>49</v>
      </c>
      <c r="J263" s="8">
        <v>3</v>
      </c>
      <c r="K263" s="8">
        <v>1</v>
      </c>
      <c r="L263" s="8">
        <v>10</v>
      </c>
      <c r="M2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3" s="8" t="str" cm="1">
        <f t="array" ref="N263">_xlfn.IFS(HR_Analytics56[[#This Row],[PerformanceRating]]=3,"Good",HR_Analytics56[[#This Row],[PerformanceRating]]=4, "Excellent")</f>
        <v>Good</v>
      </c>
      <c r="O263" s="8" t="str">
        <f>IF(HR_Analytics56[[#This Row],[MonthlyIncome]]&lt;3000,"&lt; ₹3,000",IF(HR_Analytics56[[#This Row],[MonthlyIncome]]&lt;=7000,"₹ 3,000 - ₹ 7,000","&gt; ₹7,000"))</f>
        <v>₹ 3,000 - ₹ 7,000</v>
      </c>
      <c r="P263" s="8" t="str" cm="1">
        <f t="array" ref="P2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4" spans="1:16" x14ac:dyDescent="0.8">
      <c r="A264" s="5" t="s">
        <v>332</v>
      </c>
      <c r="B264" s="8">
        <v>29</v>
      </c>
      <c r="C264" s="5" t="s">
        <v>40</v>
      </c>
      <c r="D264" s="5" t="s">
        <v>51</v>
      </c>
      <c r="E264" s="5" t="s">
        <v>53</v>
      </c>
      <c r="F264" s="5" t="s">
        <v>137</v>
      </c>
      <c r="G264" s="8">
        <v>4</v>
      </c>
      <c r="H264" s="8">
        <v>7639</v>
      </c>
      <c r="I264" s="5" t="s">
        <v>49</v>
      </c>
      <c r="J264" s="8">
        <v>4</v>
      </c>
      <c r="K264" s="8">
        <v>3</v>
      </c>
      <c r="L264" s="8">
        <v>10</v>
      </c>
      <c r="M2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64" s="8" t="str" cm="1">
        <f t="array" ref="N264">_xlfn.IFS(HR_Analytics56[[#This Row],[PerformanceRating]]=3,"Good",HR_Analytics56[[#This Row],[PerformanceRating]]=4, "Excellent")</f>
        <v>Excellent</v>
      </c>
      <c r="O264" s="8" t="str">
        <f>IF(HR_Analytics56[[#This Row],[MonthlyIncome]]&lt;3000,"&lt; ₹3,000",IF(HR_Analytics56[[#This Row],[MonthlyIncome]]&lt;=7000,"₹ 3,000 - ₹ 7,000","&gt; ₹7,000"))</f>
        <v>&gt; ₹7,000</v>
      </c>
      <c r="P264" s="8" t="str" cm="1">
        <f t="array" ref="P26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65" spans="1:16" x14ac:dyDescent="0.8">
      <c r="A265" s="5" t="s">
        <v>333</v>
      </c>
      <c r="B265" s="8">
        <v>29</v>
      </c>
      <c r="C265" s="5" t="s">
        <v>40</v>
      </c>
      <c r="D265" s="5" t="s">
        <v>42</v>
      </c>
      <c r="E265" s="5" t="s">
        <v>44</v>
      </c>
      <c r="F265" s="5" t="s">
        <v>60</v>
      </c>
      <c r="G265" s="8">
        <v>3</v>
      </c>
      <c r="H265" s="8">
        <v>2058</v>
      </c>
      <c r="I265" s="5" t="s">
        <v>49</v>
      </c>
      <c r="J265" s="8">
        <v>3</v>
      </c>
      <c r="K265" s="8">
        <v>1</v>
      </c>
      <c r="L265" s="8">
        <v>6</v>
      </c>
      <c r="M2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65" s="8" t="str" cm="1">
        <f t="array" ref="N265">_xlfn.IFS(HR_Analytics56[[#This Row],[PerformanceRating]]=3,"Good",HR_Analytics56[[#This Row],[PerformanceRating]]=4, "Excellent")</f>
        <v>Good</v>
      </c>
      <c r="O265" s="8" t="str">
        <f>IF(HR_Analytics56[[#This Row],[MonthlyIncome]]&lt;3000,"&lt; ₹3,000",IF(HR_Analytics56[[#This Row],[MonthlyIncome]]&lt;=7000,"₹ 3,000 - ₹ 7,000","&gt; ₹7,000"))</f>
        <v>&lt; ₹3,000</v>
      </c>
      <c r="P265" s="8" t="str" cm="1">
        <f t="array" ref="P2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6" spans="1:16" x14ac:dyDescent="0.8">
      <c r="A266" s="5" t="s">
        <v>334</v>
      </c>
      <c r="B266" s="8">
        <v>29</v>
      </c>
      <c r="C266" s="5" t="s">
        <v>49</v>
      </c>
      <c r="D266" s="5" t="s">
        <v>51</v>
      </c>
      <c r="E266" s="5" t="s">
        <v>53</v>
      </c>
      <c r="F266" s="5" t="s">
        <v>137</v>
      </c>
      <c r="G266" s="8">
        <v>4</v>
      </c>
      <c r="H266" s="8">
        <v>7918</v>
      </c>
      <c r="I266" s="5" t="s">
        <v>49</v>
      </c>
      <c r="J266" s="8">
        <v>3</v>
      </c>
      <c r="K266" s="8">
        <v>5</v>
      </c>
      <c r="L266" s="8">
        <v>11</v>
      </c>
      <c r="M2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6" s="8" t="str" cm="1">
        <f t="array" ref="N266">_xlfn.IFS(HR_Analytics56[[#This Row],[PerformanceRating]]=3,"Good",HR_Analytics56[[#This Row],[PerformanceRating]]=4, "Excellent")</f>
        <v>Good</v>
      </c>
      <c r="O266" s="8" t="str">
        <f>IF(HR_Analytics56[[#This Row],[MonthlyIncome]]&lt;3000,"&lt; ₹3,000",IF(HR_Analytics56[[#This Row],[MonthlyIncome]]&lt;=7000,"₹ 3,000 - ₹ 7,000","&gt; ₹7,000"))</f>
        <v>&gt; ₹7,000</v>
      </c>
      <c r="P266" s="8" t="str" cm="1">
        <f t="array" ref="P2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7" spans="1:16" x14ac:dyDescent="0.8">
      <c r="A267" s="5" t="s">
        <v>335</v>
      </c>
      <c r="B267" s="8">
        <v>29</v>
      </c>
      <c r="C267" s="5" t="s">
        <v>40</v>
      </c>
      <c r="D267" s="5" t="s">
        <v>42</v>
      </c>
      <c r="E267" s="5" t="s">
        <v>44</v>
      </c>
      <c r="F267" s="5" t="s">
        <v>60</v>
      </c>
      <c r="G267" s="8">
        <v>4</v>
      </c>
      <c r="H267" s="8">
        <v>2389</v>
      </c>
      <c r="I267" s="5" t="s">
        <v>40</v>
      </c>
      <c r="J267" s="8">
        <v>3</v>
      </c>
      <c r="K267" s="8">
        <v>3</v>
      </c>
      <c r="L267" s="8">
        <v>4</v>
      </c>
      <c r="M2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67" s="8" t="str" cm="1">
        <f t="array" ref="N267">_xlfn.IFS(HR_Analytics56[[#This Row],[PerformanceRating]]=3,"Good",HR_Analytics56[[#This Row],[PerformanceRating]]=4, "Excellent")</f>
        <v>Good</v>
      </c>
      <c r="O267" s="8" t="str">
        <f>IF(HR_Analytics56[[#This Row],[MonthlyIncome]]&lt;3000,"&lt; ₹3,000",IF(HR_Analytics56[[#This Row],[MonthlyIncome]]&lt;=7000,"₹ 3,000 - ₹ 7,000","&gt; ₹7,000"))</f>
        <v>&lt; ₹3,000</v>
      </c>
      <c r="P267" s="8" t="str" cm="1">
        <f t="array" ref="P2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8" spans="1:16" x14ac:dyDescent="0.8">
      <c r="A268" s="5" t="s">
        <v>336</v>
      </c>
      <c r="B268" s="8">
        <v>29</v>
      </c>
      <c r="C268" s="5" t="s">
        <v>49</v>
      </c>
      <c r="D268" s="5" t="s">
        <v>42</v>
      </c>
      <c r="E268" s="5" t="s">
        <v>44</v>
      </c>
      <c r="F268" s="5" t="s">
        <v>60</v>
      </c>
      <c r="G268" s="8">
        <v>4</v>
      </c>
      <c r="H268" s="8">
        <v>2340</v>
      </c>
      <c r="I268" s="5" t="s">
        <v>49</v>
      </c>
      <c r="J268" s="8">
        <v>3</v>
      </c>
      <c r="K268" s="8">
        <v>1</v>
      </c>
      <c r="L268" s="8">
        <v>6</v>
      </c>
      <c r="M2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8" s="8" t="str" cm="1">
        <f t="array" ref="N268">_xlfn.IFS(HR_Analytics56[[#This Row],[PerformanceRating]]=3,"Good",HR_Analytics56[[#This Row],[PerformanceRating]]=4, "Excellent")</f>
        <v>Good</v>
      </c>
      <c r="O268" s="8" t="str">
        <f>IF(HR_Analytics56[[#This Row],[MonthlyIncome]]&lt;3000,"&lt; ₹3,000",IF(HR_Analytics56[[#This Row],[MonthlyIncome]]&lt;=7000,"₹ 3,000 - ₹ 7,000","&gt; ₹7,000"))</f>
        <v>&lt; ₹3,000</v>
      </c>
      <c r="P268" s="8" t="str" cm="1">
        <f t="array" ref="P2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69" spans="1:16" x14ac:dyDescent="0.8">
      <c r="A269" s="5" t="s">
        <v>337</v>
      </c>
      <c r="B269" s="8">
        <v>29</v>
      </c>
      <c r="C269" s="5" t="s">
        <v>49</v>
      </c>
      <c r="D269" s="5" t="s">
        <v>51</v>
      </c>
      <c r="E269" s="5" t="s">
        <v>44</v>
      </c>
      <c r="F269" s="5" t="s">
        <v>137</v>
      </c>
      <c r="G269" s="8">
        <v>4</v>
      </c>
      <c r="H269" s="8">
        <v>6931</v>
      </c>
      <c r="I269" s="5" t="s">
        <v>49</v>
      </c>
      <c r="J269" s="8">
        <v>3</v>
      </c>
      <c r="K269" s="8">
        <v>2</v>
      </c>
      <c r="L269" s="8">
        <v>3</v>
      </c>
      <c r="M2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69" s="8" t="str" cm="1">
        <f t="array" ref="N269">_xlfn.IFS(HR_Analytics56[[#This Row],[PerformanceRating]]=3,"Good",HR_Analytics56[[#This Row],[PerformanceRating]]=4, "Excellent")</f>
        <v>Good</v>
      </c>
      <c r="O269" s="8" t="str">
        <f>IF(HR_Analytics56[[#This Row],[MonthlyIncome]]&lt;3000,"&lt; ₹3,000",IF(HR_Analytics56[[#This Row],[MonthlyIncome]]&lt;=7000,"₹ 3,000 - ₹ 7,000","&gt; ₹7,000"))</f>
        <v>₹ 3,000 - ₹ 7,000</v>
      </c>
      <c r="P269" s="8" t="str" cm="1">
        <f t="array" ref="P2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0" spans="1:16" x14ac:dyDescent="0.8">
      <c r="A270" s="5" t="s">
        <v>338</v>
      </c>
      <c r="B270" s="8">
        <v>29</v>
      </c>
      <c r="C270" s="5" t="s">
        <v>49</v>
      </c>
      <c r="D270" s="5" t="s">
        <v>51</v>
      </c>
      <c r="E270" s="5" t="s">
        <v>44</v>
      </c>
      <c r="F270" s="5" t="s">
        <v>137</v>
      </c>
      <c r="G270" s="8">
        <v>2</v>
      </c>
      <c r="H270" s="8">
        <v>6644</v>
      </c>
      <c r="I270" s="5" t="s">
        <v>49</v>
      </c>
      <c r="J270" s="8">
        <v>3</v>
      </c>
      <c r="K270" s="8">
        <v>2</v>
      </c>
      <c r="L270" s="8">
        <v>0</v>
      </c>
      <c r="M2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0" s="8" t="str" cm="1">
        <f t="array" ref="N270">_xlfn.IFS(HR_Analytics56[[#This Row],[PerformanceRating]]=3,"Good",HR_Analytics56[[#This Row],[PerformanceRating]]=4, "Excellent")</f>
        <v>Good</v>
      </c>
      <c r="O270" s="8" t="str">
        <f>IF(HR_Analytics56[[#This Row],[MonthlyIncome]]&lt;3000,"&lt; ₹3,000",IF(HR_Analytics56[[#This Row],[MonthlyIncome]]&lt;=7000,"₹ 3,000 - ₹ 7,000","&gt; ₹7,000"))</f>
        <v>₹ 3,000 - ₹ 7,000</v>
      </c>
      <c r="P270" s="8" t="str" cm="1">
        <f t="array" ref="P2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1" spans="1:16" x14ac:dyDescent="0.8">
      <c r="A271" s="5" t="s">
        <v>339</v>
      </c>
      <c r="B271" s="8">
        <v>29</v>
      </c>
      <c r="C271" s="5" t="s">
        <v>49</v>
      </c>
      <c r="D271" s="5" t="s">
        <v>51</v>
      </c>
      <c r="E271" s="5" t="s">
        <v>44</v>
      </c>
      <c r="F271" s="5" t="s">
        <v>137</v>
      </c>
      <c r="G271" s="8">
        <v>4</v>
      </c>
      <c r="H271" s="8">
        <v>4554</v>
      </c>
      <c r="I271" s="5" t="s">
        <v>49</v>
      </c>
      <c r="J271" s="8">
        <v>3</v>
      </c>
      <c r="K271" s="8">
        <v>3</v>
      </c>
      <c r="L271" s="8">
        <v>10</v>
      </c>
      <c r="M2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1" s="8" t="str" cm="1">
        <f t="array" ref="N271">_xlfn.IFS(HR_Analytics56[[#This Row],[PerformanceRating]]=3,"Good",HR_Analytics56[[#This Row],[PerformanceRating]]=4, "Excellent")</f>
        <v>Good</v>
      </c>
      <c r="O271" s="8" t="str">
        <f>IF(HR_Analytics56[[#This Row],[MonthlyIncome]]&lt;3000,"&lt; ₹3,000",IF(HR_Analytics56[[#This Row],[MonthlyIncome]]&lt;=7000,"₹ 3,000 - ₹ 7,000","&gt; ₹7,000"))</f>
        <v>₹ 3,000 - ₹ 7,000</v>
      </c>
      <c r="P271" s="8" t="str" cm="1">
        <f t="array" ref="P2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2" spans="1:16" x14ac:dyDescent="0.8">
      <c r="A272" s="5" t="s">
        <v>340</v>
      </c>
      <c r="B272" s="8">
        <v>29</v>
      </c>
      <c r="C272" s="5" t="s">
        <v>40</v>
      </c>
      <c r="D272" s="5" t="s">
        <v>42</v>
      </c>
      <c r="E272" s="5" t="s">
        <v>44</v>
      </c>
      <c r="F272" s="5" t="s">
        <v>45</v>
      </c>
      <c r="G272" s="8">
        <v>1</v>
      </c>
      <c r="H272" s="8">
        <v>2119</v>
      </c>
      <c r="I272" s="5" t="s">
        <v>40</v>
      </c>
      <c r="J272" s="8">
        <v>3</v>
      </c>
      <c r="K272" s="8">
        <v>4</v>
      </c>
      <c r="L272" s="8">
        <v>7</v>
      </c>
      <c r="M2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72" s="8" t="str" cm="1">
        <f t="array" ref="N272">_xlfn.IFS(HR_Analytics56[[#This Row],[PerformanceRating]]=3,"Good",HR_Analytics56[[#This Row],[PerformanceRating]]=4, "Excellent")</f>
        <v>Good</v>
      </c>
      <c r="O272" s="8" t="str">
        <f>IF(HR_Analytics56[[#This Row],[MonthlyIncome]]&lt;3000,"&lt; ₹3,000",IF(HR_Analytics56[[#This Row],[MonthlyIncome]]&lt;=7000,"₹ 3,000 - ₹ 7,000","&gt; ₹7,000"))</f>
        <v>&lt; ₹3,000</v>
      </c>
      <c r="P272" s="8" t="str" cm="1">
        <f t="array" ref="P2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3" spans="1:16" x14ac:dyDescent="0.8">
      <c r="A273" s="5" t="s">
        <v>341</v>
      </c>
      <c r="B273" s="8">
        <v>29</v>
      </c>
      <c r="C273" s="5" t="s">
        <v>49</v>
      </c>
      <c r="D273" s="5" t="s">
        <v>42</v>
      </c>
      <c r="E273" s="5" t="s">
        <v>44</v>
      </c>
      <c r="F273" s="5" t="s">
        <v>45</v>
      </c>
      <c r="G273" s="8">
        <v>4</v>
      </c>
      <c r="H273" s="8">
        <v>3983</v>
      </c>
      <c r="I273" s="5" t="s">
        <v>49</v>
      </c>
      <c r="J273" s="8">
        <v>3</v>
      </c>
      <c r="K273" s="8">
        <v>2</v>
      </c>
      <c r="L273" s="8">
        <v>3</v>
      </c>
      <c r="M2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3" s="8" t="str" cm="1">
        <f t="array" ref="N273">_xlfn.IFS(HR_Analytics56[[#This Row],[PerformanceRating]]=3,"Good",HR_Analytics56[[#This Row],[PerformanceRating]]=4, "Excellent")</f>
        <v>Good</v>
      </c>
      <c r="O273" s="8" t="str">
        <f>IF(HR_Analytics56[[#This Row],[MonthlyIncome]]&lt;3000,"&lt; ₹3,000",IF(HR_Analytics56[[#This Row],[MonthlyIncome]]&lt;=7000,"₹ 3,000 - ₹ 7,000","&gt; ₹7,000"))</f>
        <v>₹ 3,000 - ₹ 7,000</v>
      </c>
      <c r="P273" s="8" t="str" cm="1">
        <f t="array" ref="P2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4" spans="1:16" x14ac:dyDescent="0.8">
      <c r="A274" s="5" t="s">
        <v>342</v>
      </c>
      <c r="B274" s="8">
        <v>29</v>
      </c>
      <c r="C274" s="5" t="s">
        <v>49</v>
      </c>
      <c r="D274" s="5" t="s">
        <v>51</v>
      </c>
      <c r="E274" s="5" t="s">
        <v>53</v>
      </c>
      <c r="F274" s="5" t="s">
        <v>137</v>
      </c>
      <c r="G274" s="8">
        <v>2</v>
      </c>
      <c r="H274" s="8">
        <v>8268</v>
      </c>
      <c r="I274" s="5" t="s">
        <v>40</v>
      </c>
      <c r="J274" s="8">
        <v>3</v>
      </c>
      <c r="K274" s="8">
        <v>2</v>
      </c>
      <c r="L274" s="8">
        <v>7</v>
      </c>
      <c r="M2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74" s="8" t="str" cm="1">
        <f t="array" ref="N274">_xlfn.IFS(HR_Analytics56[[#This Row],[PerformanceRating]]=3,"Good",HR_Analytics56[[#This Row],[PerformanceRating]]=4, "Excellent")</f>
        <v>Good</v>
      </c>
      <c r="O274" s="8" t="str">
        <f>IF(HR_Analytics56[[#This Row],[MonthlyIncome]]&lt;3000,"&lt; ₹3,000",IF(HR_Analytics56[[#This Row],[MonthlyIncome]]&lt;=7000,"₹ 3,000 - ₹ 7,000","&gt; ₹7,000"))</f>
        <v>&gt; ₹7,000</v>
      </c>
      <c r="P274" s="8" t="str" cm="1">
        <f t="array" ref="P2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5" spans="1:16" x14ac:dyDescent="0.8">
      <c r="A275" s="5" t="s">
        <v>343</v>
      </c>
      <c r="B275" s="8">
        <v>29</v>
      </c>
      <c r="C275" s="5" t="s">
        <v>49</v>
      </c>
      <c r="D275" s="5" t="s">
        <v>51</v>
      </c>
      <c r="E275" s="5" t="s">
        <v>44</v>
      </c>
      <c r="F275" s="5" t="s">
        <v>137</v>
      </c>
      <c r="G275" s="8">
        <v>3</v>
      </c>
      <c r="H275" s="8">
        <v>4649</v>
      </c>
      <c r="I275" s="5" t="s">
        <v>49</v>
      </c>
      <c r="J275" s="8">
        <v>3</v>
      </c>
      <c r="K275" s="8">
        <v>3</v>
      </c>
      <c r="L275" s="8">
        <v>4</v>
      </c>
      <c r="M2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5" s="8" t="str" cm="1">
        <f t="array" ref="N275">_xlfn.IFS(HR_Analytics56[[#This Row],[PerformanceRating]]=3,"Good",HR_Analytics56[[#This Row],[PerformanceRating]]=4, "Excellent")</f>
        <v>Good</v>
      </c>
      <c r="O275" s="8" t="str">
        <f>IF(HR_Analytics56[[#This Row],[MonthlyIncome]]&lt;3000,"&lt; ₹3,000",IF(HR_Analytics56[[#This Row],[MonthlyIncome]]&lt;=7000,"₹ 3,000 - ₹ 7,000","&gt; ₹7,000"))</f>
        <v>₹ 3,000 - ₹ 7,000</v>
      </c>
      <c r="P275" s="8" t="str" cm="1">
        <f t="array" ref="P2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6" spans="1:16" x14ac:dyDescent="0.8">
      <c r="A276" s="5" t="s">
        <v>344</v>
      </c>
      <c r="B276" s="8">
        <v>29</v>
      </c>
      <c r="C276" s="5" t="s">
        <v>49</v>
      </c>
      <c r="D276" s="5" t="s">
        <v>42</v>
      </c>
      <c r="E276" s="5" t="s">
        <v>44</v>
      </c>
      <c r="F276" s="5" t="s">
        <v>60</v>
      </c>
      <c r="G276" s="8">
        <v>4</v>
      </c>
      <c r="H276" s="8">
        <v>2201</v>
      </c>
      <c r="I276" s="5" t="s">
        <v>49</v>
      </c>
      <c r="J276" s="8">
        <v>3</v>
      </c>
      <c r="K276" s="8">
        <v>4</v>
      </c>
      <c r="L276" s="8">
        <v>3</v>
      </c>
      <c r="M2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6" s="8" t="str" cm="1">
        <f t="array" ref="N276">_xlfn.IFS(HR_Analytics56[[#This Row],[PerformanceRating]]=3,"Good",HR_Analytics56[[#This Row],[PerformanceRating]]=4, "Excellent")</f>
        <v>Good</v>
      </c>
      <c r="O276" s="8" t="str">
        <f>IF(HR_Analytics56[[#This Row],[MonthlyIncome]]&lt;3000,"&lt; ₹3,000",IF(HR_Analytics56[[#This Row],[MonthlyIncome]]&lt;=7000,"₹ 3,000 - ₹ 7,000","&gt; ₹7,000"))</f>
        <v>&lt; ₹3,000</v>
      </c>
      <c r="P276" s="8" t="str" cm="1">
        <f t="array" ref="P2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7" spans="1:16" x14ac:dyDescent="0.8">
      <c r="A277" s="5" t="s">
        <v>345</v>
      </c>
      <c r="B277" s="8">
        <v>29</v>
      </c>
      <c r="C277" s="5" t="s">
        <v>49</v>
      </c>
      <c r="D277" s="5" t="s">
        <v>42</v>
      </c>
      <c r="E277" s="5" t="s">
        <v>44</v>
      </c>
      <c r="F277" s="5" t="s">
        <v>252</v>
      </c>
      <c r="G277" s="8">
        <v>3</v>
      </c>
      <c r="H277" s="8">
        <v>11935</v>
      </c>
      <c r="I277" s="5" t="s">
        <v>49</v>
      </c>
      <c r="J277" s="8">
        <v>3</v>
      </c>
      <c r="K277" s="8">
        <v>2</v>
      </c>
      <c r="L277" s="8">
        <v>10</v>
      </c>
      <c r="M2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7" s="8" t="str" cm="1">
        <f t="array" ref="N277">_xlfn.IFS(HR_Analytics56[[#This Row],[PerformanceRating]]=3,"Good",HR_Analytics56[[#This Row],[PerformanceRating]]=4, "Excellent")</f>
        <v>Good</v>
      </c>
      <c r="O277" s="8" t="str">
        <f>IF(HR_Analytics56[[#This Row],[MonthlyIncome]]&lt;3000,"&lt; ₹3,000",IF(HR_Analytics56[[#This Row],[MonthlyIncome]]&lt;=7000,"₹ 3,000 - ₹ 7,000","&gt; ₹7,000"))</f>
        <v>&gt; ₹7,000</v>
      </c>
      <c r="P277" s="8" t="str" cm="1">
        <f t="array" ref="P2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8" spans="1:16" x14ac:dyDescent="0.8">
      <c r="A278" s="5" t="s">
        <v>346</v>
      </c>
      <c r="B278" s="8">
        <v>29</v>
      </c>
      <c r="C278" s="5" t="s">
        <v>40</v>
      </c>
      <c r="D278" s="5" t="s">
        <v>42</v>
      </c>
      <c r="E278" s="5" t="s">
        <v>53</v>
      </c>
      <c r="F278" s="5" t="s">
        <v>60</v>
      </c>
      <c r="G278" s="8">
        <v>2</v>
      </c>
      <c r="H278" s="8">
        <v>2546</v>
      </c>
      <c r="I278" s="5" t="s">
        <v>49</v>
      </c>
      <c r="J278" s="8">
        <v>3</v>
      </c>
      <c r="K278" s="8">
        <v>2</v>
      </c>
      <c r="L278" s="8">
        <v>2</v>
      </c>
      <c r="M2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78" s="8" t="str" cm="1">
        <f t="array" ref="N278">_xlfn.IFS(HR_Analytics56[[#This Row],[PerformanceRating]]=3,"Good",HR_Analytics56[[#This Row],[PerformanceRating]]=4, "Excellent")</f>
        <v>Good</v>
      </c>
      <c r="O278" s="8" t="str">
        <f>IF(HR_Analytics56[[#This Row],[MonthlyIncome]]&lt;3000,"&lt; ₹3,000",IF(HR_Analytics56[[#This Row],[MonthlyIncome]]&lt;=7000,"₹ 3,000 - ₹ 7,000","&gt; ₹7,000"))</f>
        <v>&lt; ₹3,000</v>
      </c>
      <c r="P278" s="8" t="str" cm="1">
        <f t="array" ref="P2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79" spans="1:16" x14ac:dyDescent="0.8">
      <c r="A279" s="5" t="s">
        <v>347</v>
      </c>
      <c r="B279" s="8">
        <v>29</v>
      </c>
      <c r="C279" s="5" t="s">
        <v>49</v>
      </c>
      <c r="D279" s="5" t="s">
        <v>42</v>
      </c>
      <c r="E279" s="5" t="s">
        <v>44</v>
      </c>
      <c r="F279" s="5" t="s">
        <v>112</v>
      </c>
      <c r="G279" s="8">
        <v>4</v>
      </c>
      <c r="H279" s="8">
        <v>4262</v>
      </c>
      <c r="I279" s="5" t="s">
        <v>49</v>
      </c>
      <c r="J279" s="8">
        <v>3</v>
      </c>
      <c r="K279" s="8">
        <v>2</v>
      </c>
      <c r="L279" s="8">
        <v>3</v>
      </c>
      <c r="M2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79" s="8" t="str" cm="1">
        <f t="array" ref="N279">_xlfn.IFS(HR_Analytics56[[#This Row],[PerformanceRating]]=3,"Good",HR_Analytics56[[#This Row],[PerformanceRating]]=4, "Excellent")</f>
        <v>Good</v>
      </c>
      <c r="O279" s="8" t="str">
        <f>IF(HR_Analytics56[[#This Row],[MonthlyIncome]]&lt;3000,"&lt; ₹3,000",IF(HR_Analytics56[[#This Row],[MonthlyIncome]]&lt;=7000,"₹ 3,000 - ₹ 7,000","&gt; ₹7,000"))</f>
        <v>₹ 3,000 - ₹ 7,000</v>
      </c>
      <c r="P279" s="8" t="str" cm="1">
        <f t="array" ref="P2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0" spans="1:16" x14ac:dyDescent="0.8">
      <c r="A280" s="5" t="s">
        <v>348</v>
      </c>
      <c r="B280" s="8">
        <v>29</v>
      </c>
      <c r="C280" s="5" t="s">
        <v>49</v>
      </c>
      <c r="D280" s="5" t="s">
        <v>51</v>
      </c>
      <c r="E280" s="5" t="s">
        <v>53</v>
      </c>
      <c r="F280" s="5" t="s">
        <v>137</v>
      </c>
      <c r="G280" s="8">
        <v>3</v>
      </c>
      <c r="H280" s="8">
        <v>5561</v>
      </c>
      <c r="I280" s="5" t="s">
        <v>49</v>
      </c>
      <c r="J280" s="8">
        <v>3</v>
      </c>
      <c r="K280" s="8">
        <v>5</v>
      </c>
      <c r="L280" s="8">
        <v>6</v>
      </c>
      <c r="M2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0" s="8" t="str" cm="1">
        <f t="array" ref="N280">_xlfn.IFS(HR_Analytics56[[#This Row],[PerformanceRating]]=3,"Good",HR_Analytics56[[#This Row],[PerformanceRating]]=4, "Excellent")</f>
        <v>Good</v>
      </c>
      <c r="O280" s="8" t="str">
        <f>IF(HR_Analytics56[[#This Row],[MonthlyIncome]]&lt;3000,"&lt; ₹3,000",IF(HR_Analytics56[[#This Row],[MonthlyIncome]]&lt;=7000,"₹ 3,000 - ₹ 7,000","&gt; ₹7,000"))</f>
        <v>₹ 3,000 - ₹ 7,000</v>
      </c>
      <c r="P280" s="8" t="str" cm="1">
        <f t="array" ref="P2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1" spans="1:16" x14ac:dyDescent="0.8">
      <c r="A281" s="5" t="s">
        <v>349</v>
      </c>
      <c r="B281" s="8">
        <v>29</v>
      </c>
      <c r="C281" s="5" t="s">
        <v>49</v>
      </c>
      <c r="D281" s="5" t="s">
        <v>42</v>
      </c>
      <c r="E281" s="5" t="s">
        <v>44</v>
      </c>
      <c r="F281" s="5" t="s">
        <v>60</v>
      </c>
      <c r="G281" s="8">
        <v>4</v>
      </c>
      <c r="H281" s="8">
        <v>2720</v>
      </c>
      <c r="I281" s="5" t="s">
        <v>49</v>
      </c>
      <c r="J281" s="8">
        <v>3</v>
      </c>
      <c r="K281" s="8">
        <v>5</v>
      </c>
      <c r="L281" s="8">
        <v>10</v>
      </c>
      <c r="M2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1" s="8" t="str" cm="1">
        <f t="array" ref="N281">_xlfn.IFS(HR_Analytics56[[#This Row],[PerformanceRating]]=3,"Good",HR_Analytics56[[#This Row],[PerformanceRating]]=4, "Excellent")</f>
        <v>Good</v>
      </c>
      <c r="O281" s="8" t="str">
        <f>IF(HR_Analytics56[[#This Row],[MonthlyIncome]]&lt;3000,"&lt; ₹3,000",IF(HR_Analytics56[[#This Row],[MonthlyIncome]]&lt;=7000,"₹ 3,000 - ₹ 7,000","&gt; ₹7,000"))</f>
        <v>&lt; ₹3,000</v>
      </c>
      <c r="P281" s="8" t="str" cm="1">
        <f t="array" ref="P2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2" spans="1:16" x14ac:dyDescent="0.8">
      <c r="A282" s="5" t="s">
        <v>350</v>
      </c>
      <c r="B282" s="8">
        <v>29</v>
      </c>
      <c r="C282" s="5" t="s">
        <v>49</v>
      </c>
      <c r="D282" s="5" t="s">
        <v>51</v>
      </c>
      <c r="E282" s="5" t="s">
        <v>44</v>
      </c>
      <c r="F282" s="5" t="s">
        <v>54</v>
      </c>
      <c r="G282" s="8">
        <v>3</v>
      </c>
      <c r="H282" s="8">
        <v>2642</v>
      </c>
      <c r="I282" s="5" t="s">
        <v>49</v>
      </c>
      <c r="J282" s="8">
        <v>3</v>
      </c>
      <c r="K282" s="8">
        <v>6</v>
      </c>
      <c r="L282" s="8">
        <v>1</v>
      </c>
      <c r="M2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2" s="8" t="str" cm="1">
        <f t="array" ref="N282">_xlfn.IFS(HR_Analytics56[[#This Row],[PerformanceRating]]=3,"Good",HR_Analytics56[[#This Row],[PerformanceRating]]=4, "Excellent")</f>
        <v>Good</v>
      </c>
      <c r="O282" s="8" t="str">
        <f>IF(HR_Analytics56[[#This Row],[MonthlyIncome]]&lt;3000,"&lt; ₹3,000",IF(HR_Analytics56[[#This Row],[MonthlyIncome]]&lt;=7000,"₹ 3,000 - ₹ 7,000","&gt; ₹7,000"))</f>
        <v>&lt; ₹3,000</v>
      </c>
      <c r="P282" s="8" t="str" cm="1">
        <f t="array" ref="P2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3" spans="1:16" x14ac:dyDescent="0.8">
      <c r="A283" s="5" t="s">
        <v>351</v>
      </c>
      <c r="B283" s="8">
        <v>29</v>
      </c>
      <c r="C283" s="5" t="s">
        <v>49</v>
      </c>
      <c r="D283" s="5" t="s">
        <v>51</v>
      </c>
      <c r="E283" s="5" t="s">
        <v>44</v>
      </c>
      <c r="F283" s="5" t="s">
        <v>54</v>
      </c>
      <c r="G283" s="8">
        <v>2</v>
      </c>
      <c r="H283" s="8">
        <v>2297</v>
      </c>
      <c r="I283" s="5" t="s">
        <v>49</v>
      </c>
      <c r="J283" s="8">
        <v>3</v>
      </c>
      <c r="K283" s="8">
        <v>2</v>
      </c>
      <c r="L283" s="8">
        <v>2</v>
      </c>
      <c r="M2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3" s="8" t="str" cm="1">
        <f t="array" ref="N283">_xlfn.IFS(HR_Analytics56[[#This Row],[PerformanceRating]]=3,"Good",HR_Analytics56[[#This Row],[PerformanceRating]]=4, "Excellent")</f>
        <v>Good</v>
      </c>
      <c r="O283" s="8" t="str">
        <f>IF(HR_Analytics56[[#This Row],[MonthlyIncome]]&lt;3000,"&lt; ₹3,000",IF(HR_Analytics56[[#This Row],[MonthlyIncome]]&lt;=7000,"₹ 3,000 - ₹ 7,000","&gt; ₹7,000"))</f>
        <v>&lt; ₹3,000</v>
      </c>
      <c r="P283" s="8" t="str" cm="1">
        <f t="array" ref="P2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4" spans="1:16" x14ac:dyDescent="0.8">
      <c r="A284" s="5" t="s">
        <v>352</v>
      </c>
      <c r="B284" s="8">
        <v>29</v>
      </c>
      <c r="C284" s="5" t="s">
        <v>49</v>
      </c>
      <c r="D284" s="5" t="s">
        <v>42</v>
      </c>
      <c r="E284" s="5" t="s">
        <v>53</v>
      </c>
      <c r="F284" s="5" t="s">
        <v>161</v>
      </c>
      <c r="G284" s="8">
        <v>3</v>
      </c>
      <c r="H284" s="8">
        <v>4335</v>
      </c>
      <c r="I284" s="5" t="s">
        <v>49</v>
      </c>
      <c r="J284" s="8">
        <v>3</v>
      </c>
      <c r="K284" s="8">
        <v>3</v>
      </c>
      <c r="L284" s="8">
        <v>8</v>
      </c>
      <c r="M2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4" s="8" t="str" cm="1">
        <f t="array" ref="N284">_xlfn.IFS(HR_Analytics56[[#This Row],[PerformanceRating]]=3,"Good",HR_Analytics56[[#This Row],[PerformanceRating]]=4, "Excellent")</f>
        <v>Good</v>
      </c>
      <c r="O284" s="8" t="str">
        <f>IF(HR_Analytics56[[#This Row],[MonthlyIncome]]&lt;3000,"&lt; ₹3,000",IF(HR_Analytics56[[#This Row],[MonthlyIncome]]&lt;=7000,"₹ 3,000 - ₹ 7,000","&gt; ₹7,000"))</f>
        <v>₹ 3,000 - ₹ 7,000</v>
      </c>
      <c r="P284" s="8" t="str" cm="1">
        <f t="array" ref="P2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5" spans="1:16" x14ac:dyDescent="0.8">
      <c r="A285" s="5" t="s">
        <v>353</v>
      </c>
      <c r="B285" s="8">
        <v>29</v>
      </c>
      <c r="C285" s="5" t="s">
        <v>40</v>
      </c>
      <c r="D285" s="5" t="s">
        <v>42</v>
      </c>
      <c r="E285" s="5" t="s">
        <v>53</v>
      </c>
      <c r="F285" s="5" t="s">
        <v>45</v>
      </c>
      <c r="G285" s="8">
        <v>1</v>
      </c>
      <c r="H285" s="8">
        <v>2319</v>
      </c>
      <c r="I285" s="5" t="s">
        <v>40</v>
      </c>
      <c r="J285" s="8">
        <v>3</v>
      </c>
      <c r="K285" s="8">
        <v>1</v>
      </c>
      <c r="L285" s="8">
        <v>1</v>
      </c>
      <c r="M2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85" s="8" t="str" cm="1">
        <f t="array" ref="N285">_xlfn.IFS(HR_Analytics56[[#This Row],[PerformanceRating]]=3,"Good",HR_Analytics56[[#This Row],[PerformanceRating]]=4, "Excellent")</f>
        <v>Good</v>
      </c>
      <c r="O285" s="8" t="str">
        <f>IF(HR_Analytics56[[#This Row],[MonthlyIncome]]&lt;3000,"&lt; ₹3,000",IF(HR_Analytics56[[#This Row],[MonthlyIncome]]&lt;=7000,"₹ 3,000 - ₹ 7,000","&gt; ₹7,000"))</f>
        <v>&lt; ₹3,000</v>
      </c>
      <c r="P285" s="8" t="str" cm="1">
        <f t="array" ref="P2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6" spans="1:16" x14ac:dyDescent="0.8">
      <c r="A286" s="5" t="s">
        <v>354</v>
      </c>
      <c r="B286" s="8">
        <v>29</v>
      </c>
      <c r="C286" s="5" t="s">
        <v>49</v>
      </c>
      <c r="D286" s="5" t="s">
        <v>42</v>
      </c>
      <c r="E286" s="5" t="s">
        <v>44</v>
      </c>
      <c r="F286" s="5" t="s">
        <v>60</v>
      </c>
      <c r="G286" s="8">
        <v>3</v>
      </c>
      <c r="H286" s="8">
        <v>2700</v>
      </c>
      <c r="I286" s="5" t="s">
        <v>49</v>
      </c>
      <c r="J286" s="8">
        <v>4</v>
      </c>
      <c r="K286" s="8">
        <v>3</v>
      </c>
      <c r="L286" s="8">
        <v>10</v>
      </c>
      <c r="M2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6" s="8" t="str" cm="1">
        <f t="array" ref="N286">_xlfn.IFS(HR_Analytics56[[#This Row],[PerformanceRating]]=3,"Good",HR_Analytics56[[#This Row],[PerformanceRating]]=4, "Excellent")</f>
        <v>Excellent</v>
      </c>
      <c r="O286" s="8" t="str">
        <f>IF(HR_Analytics56[[#This Row],[MonthlyIncome]]&lt;3000,"&lt; ₹3,000",IF(HR_Analytics56[[#This Row],[MonthlyIncome]]&lt;=7000,"₹ 3,000 - ₹ 7,000","&gt; ₹7,000"))</f>
        <v>&lt; ₹3,000</v>
      </c>
      <c r="P286" s="8" t="str" cm="1">
        <f t="array" ref="P28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87" spans="1:16" x14ac:dyDescent="0.8">
      <c r="A287" s="5" t="s">
        <v>355</v>
      </c>
      <c r="B287" s="8">
        <v>29</v>
      </c>
      <c r="C287" s="5" t="s">
        <v>40</v>
      </c>
      <c r="D287" s="5" t="s">
        <v>51</v>
      </c>
      <c r="E287" s="5" t="s">
        <v>53</v>
      </c>
      <c r="F287" s="5" t="s">
        <v>54</v>
      </c>
      <c r="G287" s="8">
        <v>3</v>
      </c>
      <c r="H287" s="8">
        <v>2800</v>
      </c>
      <c r="I287" s="5" t="s">
        <v>40</v>
      </c>
      <c r="J287" s="8">
        <v>3</v>
      </c>
      <c r="K287" s="8">
        <v>3</v>
      </c>
      <c r="L287" s="8">
        <v>3</v>
      </c>
      <c r="M2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87" s="8" t="str" cm="1">
        <f t="array" ref="N287">_xlfn.IFS(HR_Analytics56[[#This Row],[PerformanceRating]]=3,"Good",HR_Analytics56[[#This Row],[PerformanceRating]]=4, "Excellent")</f>
        <v>Good</v>
      </c>
      <c r="O287" s="8" t="str">
        <f>IF(HR_Analytics56[[#This Row],[MonthlyIncome]]&lt;3000,"&lt; ₹3,000",IF(HR_Analytics56[[#This Row],[MonthlyIncome]]&lt;=7000,"₹ 3,000 - ₹ 7,000","&gt; ₹7,000"))</f>
        <v>&lt; ₹3,000</v>
      </c>
      <c r="P287" s="8" t="str" cm="1">
        <f t="array" ref="P2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8" spans="1:16" x14ac:dyDescent="0.8">
      <c r="A288" s="5" t="s">
        <v>356</v>
      </c>
      <c r="B288" s="8">
        <v>29</v>
      </c>
      <c r="C288" s="5" t="s">
        <v>49</v>
      </c>
      <c r="D288" s="5" t="s">
        <v>42</v>
      </c>
      <c r="E288" s="5" t="s">
        <v>53</v>
      </c>
      <c r="F288" s="5" t="s">
        <v>45</v>
      </c>
      <c r="G288" s="8">
        <v>4</v>
      </c>
      <c r="H288" s="8">
        <v>2532</v>
      </c>
      <c r="I288" s="5" t="s">
        <v>49</v>
      </c>
      <c r="J288" s="8">
        <v>3</v>
      </c>
      <c r="K288" s="8">
        <v>5</v>
      </c>
      <c r="L288" s="8">
        <v>4</v>
      </c>
      <c r="M2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8" s="8" t="str" cm="1">
        <f t="array" ref="N288">_xlfn.IFS(HR_Analytics56[[#This Row],[PerformanceRating]]=3,"Good",HR_Analytics56[[#This Row],[PerformanceRating]]=4, "Excellent")</f>
        <v>Good</v>
      </c>
      <c r="O288" s="8" t="str">
        <f>IF(HR_Analytics56[[#This Row],[MonthlyIncome]]&lt;3000,"&lt; ₹3,000",IF(HR_Analytics56[[#This Row],[MonthlyIncome]]&lt;=7000,"₹ 3,000 - ₹ 7,000","&gt; ₹7,000"))</f>
        <v>&lt; ₹3,000</v>
      </c>
      <c r="P288" s="8" t="str" cm="1">
        <f t="array" ref="P2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89" spans="1:16" x14ac:dyDescent="0.8">
      <c r="A289" s="5" t="s">
        <v>357</v>
      </c>
      <c r="B289" s="8">
        <v>29</v>
      </c>
      <c r="C289" s="5" t="s">
        <v>49</v>
      </c>
      <c r="D289" s="5" t="s">
        <v>51</v>
      </c>
      <c r="E289" s="5" t="s">
        <v>53</v>
      </c>
      <c r="F289" s="5" t="s">
        <v>54</v>
      </c>
      <c r="G289" s="8">
        <v>4</v>
      </c>
      <c r="H289" s="8">
        <v>2157</v>
      </c>
      <c r="I289" s="5" t="s">
        <v>49</v>
      </c>
      <c r="J289" s="8">
        <v>3</v>
      </c>
      <c r="K289" s="8">
        <v>5</v>
      </c>
      <c r="L289" s="8">
        <v>3</v>
      </c>
      <c r="M2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89" s="8" t="str" cm="1">
        <f t="array" ref="N289">_xlfn.IFS(HR_Analytics56[[#This Row],[PerformanceRating]]=3,"Good",HR_Analytics56[[#This Row],[PerformanceRating]]=4, "Excellent")</f>
        <v>Good</v>
      </c>
      <c r="O289" s="8" t="str">
        <f>IF(HR_Analytics56[[#This Row],[MonthlyIncome]]&lt;3000,"&lt; ₹3,000",IF(HR_Analytics56[[#This Row],[MonthlyIncome]]&lt;=7000,"₹ 3,000 - ₹ 7,000","&gt; ₹7,000"))</f>
        <v>&lt; ₹3,000</v>
      </c>
      <c r="P289" s="8" t="str" cm="1">
        <f t="array" ref="P2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0" spans="1:16" x14ac:dyDescent="0.8">
      <c r="A290" s="5" t="s">
        <v>358</v>
      </c>
      <c r="B290" s="8">
        <v>29</v>
      </c>
      <c r="C290" s="5" t="s">
        <v>40</v>
      </c>
      <c r="D290" s="5" t="s">
        <v>42</v>
      </c>
      <c r="E290" s="5" t="s">
        <v>53</v>
      </c>
      <c r="F290" s="5" t="s">
        <v>60</v>
      </c>
      <c r="G290" s="8">
        <v>1</v>
      </c>
      <c r="H290" s="8">
        <v>2404</v>
      </c>
      <c r="I290" s="5" t="s">
        <v>40</v>
      </c>
      <c r="J290" s="8">
        <v>4</v>
      </c>
      <c r="K290" s="8">
        <v>5</v>
      </c>
      <c r="L290" s="8">
        <v>0</v>
      </c>
      <c r="M2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290" s="8" t="str" cm="1">
        <f t="array" ref="N290">_xlfn.IFS(HR_Analytics56[[#This Row],[PerformanceRating]]=3,"Good",HR_Analytics56[[#This Row],[PerformanceRating]]=4, "Excellent")</f>
        <v>Excellent</v>
      </c>
      <c r="O290" s="8" t="str">
        <f>IF(HR_Analytics56[[#This Row],[MonthlyIncome]]&lt;3000,"&lt; ₹3,000",IF(HR_Analytics56[[#This Row],[MonthlyIncome]]&lt;=7000,"₹ 3,000 - ₹ 7,000","&gt; ₹7,000"))</f>
        <v>&lt; ₹3,000</v>
      </c>
      <c r="P290" s="8" t="str" cm="1">
        <f t="array" ref="P29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91" spans="1:16" x14ac:dyDescent="0.8">
      <c r="A291" s="5" t="s">
        <v>359</v>
      </c>
      <c r="B291" s="8">
        <v>29</v>
      </c>
      <c r="C291" s="5" t="s">
        <v>49</v>
      </c>
      <c r="D291" s="5" t="s">
        <v>42</v>
      </c>
      <c r="E291" s="5" t="s">
        <v>53</v>
      </c>
      <c r="F291" s="5" t="s">
        <v>60</v>
      </c>
      <c r="G291" s="8">
        <v>4</v>
      </c>
      <c r="H291" s="8">
        <v>2514</v>
      </c>
      <c r="I291" s="5" t="s">
        <v>49</v>
      </c>
      <c r="J291" s="8">
        <v>4</v>
      </c>
      <c r="K291" s="8">
        <v>1</v>
      </c>
      <c r="L291" s="8">
        <v>7</v>
      </c>
      <c r="M2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1" s="8" t="str" cm="1">
        <f t="array" ref="N291">_xlfn.IFS(HR_Analytics56[[#This Row],[PerformanceRating]]=3,"Good",HR_Analytics56[[#This Row],[PerformanceRating]]=4, "Excellent")</f>
        <v>Excellent</v>
      </c>
      <c r="O291" s="8" t="str">
        <f>IF(HR_Analytics56[[#This Row],[MonthlyIncome]]&lt;3000,"&lt; ₹3,000",IF(HR_Analytics56[[#This Row],[MonthlyIncome]]&lt;=7000,"₹ 3,000 - ₹ 7,000","&gt; ₹7,000"))</f>
        <v>&lt; ₹3,000</v>
      </c>
      <c r="P291" s="8" t="str" cm="1">
        <f t="array" ref="P29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292" spans="1:16" x14ac:dyDescent="0.8">
      <c r="A292" s="5" t="s">
        <v>360</v>
      </c>
      <c r="B292" s="8">
        <v>29</v>
      </c>
      <c r="C292" s="5" t="s">
        <v>49</v>
      </c>
      <c r="D292" s="5" t="s">
        <v>42</v>
      </c>
      <c r="E292" s="5" t="s">
        <v>53</v>
      </c>
      <c r="F292" s="5" t="s">
        <v>60</v>
      </c>
      <c r="G292" s="8">
        <v>2</v>
      </c>
      <c r="H292" s="8">
        <v>3291</v>
      </c>
      <c r="I292" s="5" t="s">
        <v>49</v>
      </c>
      <c r="J292" s="8">
        <v>3</v>
      </c>
      <c r="K292" s="8">
        <v>2</v>
      </c>
      <c r="L292" s="8">
        <v>7</v>
      </c>
      <c r="M2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2" s="8" t="str" cm="1">
        <f t="array" ref="N292">_xlfn.IFS(HR_Analytics56[[#This Row],[PerformanceRating]]=3,"Good",HR_Analytics56[[#This Row],[PerformanceRating]]=4, "Excellent")</f>
        <v>Good</v>
      </c>
      <c r="O292" s="8" t="str">
        <f>IF(HR_Analytics56[[#This Row],[MonthlyIncome]]&lt;3000,"&lt; ₹3,000",IF(HR_Analytics56[[#This Row],[MonthlyIncome]]&lt;=7000,"₹ 3,000 - ₹ 7,000","&gt; ₹7,000"))</f>
        <v>₹ 3,000 - ₹ 7,000</v>
      </c>
      <c r="P292" s="8" t="str" cm="1">
        <f t="array" ref="P2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3" spans="1:16" x14ac:dyDescent="0.8">
      <c r="A293" s="5" t="s">
        <v>361</v>
      </c>
      <c r="B293" s="8">
        <v>29</v>
      </c>
      <c r="C293" s="5" t="s">
        <v>49</v>
      </c>
      <c r="D293" s="5" t="s">
        <v>42</v>
      </c>
      <c r="E293" s="5" t="s">
        <v>44</v>
      </c>
      <c r="F293" s="5" t="s">
        <v>112</v>
      </c>
      <c r="G293" s="8">
        <v>4</v>
      </c>
      <c r="H293" s="8">
        <v>5056</v>
      </c>
      <c r="I293" s="5" t="s">
        <v>40</v>
      </c>
      <c r="J293" s="8">
        <v>3</v>
      </c>
      <c r="K293" s="8">
        <v>2</v>
      </c>
      <c r="L293" s="8">
        <v>10</v>
      </c>
      <c r="M2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93" s="8" t="str" cm="1">
        <f t="array" ref="N293">_xlfn.IFS(HR_Analytics56[[#This Row],[PerformanceRating]]=3,"Good",HR_Analytics56[[#This Row],[PerformanceRating]]=4, "Excellent")</f>
        <v>Good</v>
      </c>
      <c r="O293" s="8" t="str">
        <f>IF(HR_Analytics56[[#This Row],[MonthlyIncome]]&lt;3000,"&lt; ₹3,000",IF(HR_Analytics56[[#This Row],[MonthlyIncome]]&lt;=7000,"₹ 3,000 - ₹ 7,000","&gt; ₹7,000"))</f>
        <v>₹ 3,000 - ₹ 7,000</v>
      </c>
      <c r="P293" s="8" t="str" cm="1">
        <f t="array" ref="P2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4" spans="1:16" x14ac:dyDescent="0.8">
      <c r="A294" s="5" t="s">
        <v>362</v>
      </c>
      <c r="B294" s="8">
        <v>29</v>
      </c>
      <c r="C294" s="5" t="s">
        <v>40</v>
      </c>
      <c r="D294" s="5" t="s">
        <v>51</v>
      </c>
      <c r="E294" s="5" t="s">
        <v>53</v>
      </c>
      <c r="F294" s="5" t="s">
        <v>137</v>
      </c>
      <c r="G294" s="8">
        <v>1</v>
      </c>
      <c r="H294" s="8">
        <v>7336</v>
      </c>
      <c r="I294" s="5" t="s">
        <v>49</v>
      </c>
      <c r="J294" s="8">
        <v>3</v>
      </c>
      <c r="K294" s="8">
        <v>3</v>
      </c>
      <c r="L294" s="8">
        <v>11</v>
      </c>
      <c r="M2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94" s="8" t="str" cm="1">
        <f t="array" ref="N294">_xlfn.IFS(HR_Analytics56[[#This Row],[PerformanceRating]]=3,"Good",HR_Analytics56[[#This Row],[PerformanceRating]]=4, "Excellent")</f>
        <v>Good</v>
      </c>
      <c r="O294" s="8" t="str">
        <f>IF(HR_Analytics56[[#This Row],[MonthlyIncome]]&lt;3000,"&lt; ₹3,000",IF(HR_Analytics56[[#This Row],[MonthlyIncome]]&lt;=7000,"₹ 3,000 - ₹ 7,000","&gt; ₹7,000"))</f>
        <v>&gt; ₹7,000</v>
      </c>
      <c r="P294" s="8" t="str" cm="1">
        <f t="array" ref="P2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5" spans="1:16" x14ac:dyDescent="0.8">
      <c r="A295" s="5" t="s">
        <v>363</v>
      </c>
      <c r="B295" s="8">
        <v>29</v>
      </c>
      <c r="C295" s="5" t="s">
        <v>49</v>
      </c>
      <c r="D295" s="5" t="s">
        <v>42</v>
      </c>
      <c r="E295" s="5" t="s">
        <v>53</v>
      </c>
      <c r="F295" s="5" t="s">
        <v>45</v>
      </c>
      <c r="G295" s="8">
        <v>4</v>
      </c>
      <c r="H295" s="8">
        <v>3131</v>
      </c>
      <c r="I295" s="5" t="s">
        <v>49</v>
      </c>
      <c r="J295" s="8">
        <v>3</v>
      </c>
      <c r="K295" s="8">
        <v>5</v>
      </c>
      <c r="L295" s="8">
        <v>10</v>
      </c>
      <c r="M2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5" s="8" t="str" cm="1">
        <f t="array" ref="N295">_xlfn.IFS(HR_Analytics56[[#This Row],[PerformanceRating]]=3,"Good",HR_Analytics56[[#This Row],[PerformanceRating]]=4, "Excellent")</f>
        <v>Good</v>
      </c>
      <c r="O295" s="8" t="str">
        <f>IF(HR_Analytics56[[#This Row],[MonthlyIncome]]&lt;3000,"&lt; ₹3,000",IF(HR_Analytics56[[#This Row],[MonthlyIncome]]&lt;=7000,"₹ 3,000 - ₹ 7,000","&gt; ₹7,000"))</f>
        <v>₹ 3,000 - ₹ 7,000</v>
      </c>
      <c r="P295" s="8" t="str" cm="1">
        <f t="array" ref="P2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6" spans="1:16" x14ac:dyDescent="0.8">
      <c r="A296" s="5" t="s">
        <v>364</v>
      </c>
      <c r="B296" s="8">
        <v>29</v>
      </c>
      <c r="C296" s="5" t="s">
        <v>49</v>
      </c>
      <c r="D296" s="5" t="s">
        <v>42</v>
      </c>
      <c r="E296" s="5" t="s">
        <v>53</v>
      </c>
      <c r="F296" s="5" t="s">
        <v>60</v>
      </c>
      <c r="G296" s="8">
        <v>4</v>
      </c>
      <c r="H296" s="8">
        <v>2168</v>
      </c>
      <c r="I296" s="5" t="s">
        <v>40</v>
      </c>
      <c r="J296" s="8">
        <v>3</v>
      </c>
      <c r="K296" s="8">
        <v>2</v>
      </c>
      <c r="L296" s="8">
        <v>5</v>
      </c>
      <c r="M2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96" s="8" t="str" cm="1">
        <f t="array" ref="N296">_xlfn.IFS(HR_Analytics56[[#This Row],[PerformanceRating]]=3,"Good",HR_Analytics56[[#This Row],[PerformanceRating]]=4, "Excellent")</f>
        <v>Good</v>
      </c>
      <c r="O296" s="8" t="str">
        <f>IF(HR_Analytics56[[#This Row],[MonthlyIncome]]&lt;3000,"&lt; ₹3,000",IF(HR_Analytics56[[#This Row],[MonthlyIncome]]&lt;=7000,"₹ 3,000 - ₹ 7,000","&gt; ₹7,000"))</f>
        <v>&lt; ₹3,000</v>
      </c>
      <c r="P296" s="8" t="str" cm="1">
        <f t="array" ref="P2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7" spans="1:16" x14ac:dyDescent="0.8">
      <c r="A297" s="5" t="s">
        <v>365</v>
      </c>
      <c r="B297" s="8">
        <v>29</v>
      </c>
      <c r="C297" s="5" t="s">
        <v>49</v>
      </c>
      <c r="D297" s="5" t="s">
        <v>42</v>
      </c>
      <c r="E297" s="5" t="s">
        <v>53</v>
      </c>
      <c r="F297" s="5" t="s">
        <v>60</v>
      </c>
      <c r="G297" s="8">
        <v>4</v>
      </c>
      <c r="H297" s="8">
        <v>3760</v>
      </c>
      <c r="I297" s="5" t="s">
        <v>49</v>
      </c>
      <c r="J297" s="8">
        <v>3</v>
      </c>
      <c r="K297" s="8">
        <v>5</v>
      </c>
      <c r="L297" s="8">
        <v>3</v>
      </c>
      <c r="M2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7" s="8" t="str" cm="1">
        <f t="array" ref="N297">_xlfn.IFS(HR_Analytics56[[#This Row],[PerformanceRating]]=3,"Good",HR_Analytics56[[#This Row],[PerformanceRating]]=4, "Excellent")</f>
        <v>Good</v>
      </c>
      <c r="O297" s="8" t="str">
        <f>IF(HR_Analytics56[[#This Row],[MonthlyIncome]]&lt;3000,"&lt; ₹3,000",IF(HR_Analytics56[[#This Row],[MonthlyIncome]]&lt;=7000,"₹ 3,000 - ₹ 7,000","&gt; ₹7,000"))</f>
        <v>₹ 3,000 - ₹ 7,000</v>
      </c>
      <c r="P297" s="8" t="str" cm="1">
        <f t="array" ref="P2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8" spans="1:16" x14ac:dyDescent="0.8">
      <c r="A298" s="5" t="s">
        <v>366</v>
      </c>
      <c r="B298" s="8">
        <v>29</v>
      </c>
      <c r="C298" s="5" t="s">
        <v>49</v>
      </c>
      <c r="D298" s="5" t="s">
        <v>42</v>
      </c>
      <c r="E298" s="5" t="s">
        <v>44</v>
      </c>
      <c r="F298" s="5" t="s">
        <v>161</v>
      </c>
      <c r="G298" s="8">
        <v>4</v>
      </c>
      <c r="H298" s="8">
        <v>6623</v>
      </c>
      <c r="I298" s="5" t="s">
        <v>40</v>
      </c>
      <c r="J298" s="8">
        <v>3</v>
      </c>
      <c r="K298" s="8">
        <v>2</v>
      </c>
      <c r="L298" s="8">
        <v>6</v>
      </c>
      <c r="M2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298" s="8" t="str" cm="1">
        <f t="array" ref="N298">_xlfn.IFS(HR_Analytics56[[#This Row],[PerformanceRating]]=3,"Good",HR_Analytics56[[#This Row],[PerformanceRating]]=4, "Excellent")</f>
        <v>Good</v>
      </c>
      <c r="O298" s="8" t="str">
        <f>IF(HR_Analytics56[[#This Row],[MonthlyIncome]]&lt;3000,"&lt; ₹3,000",IF(HR_Analytics56[[#This Row],[MonthlyIncome]]&lt;=7000,"₹ 3,000 - ₹ 7,000","&gt; ₹7,000"))</f>
        <v>₹ 3,000 - ₹ 7,000</v>
      </c>
      <c r="P298" s="8" t="str" cm="1">
        <f t="array" ref="P2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299" spans="1:16" x14ac:dyDescent="0.8">
      <c r="A299" s="5" t="s">
        <v>367</v>
      </c>
      <c r="B299" s="8">
        <v>29</v>
      </c>
      <c r="C299" s="5" t="s">
        <v>49</v>
      </c>
      <c r="D299" s="5" t="s">
        <v>42</v>
      </c>
      <c r="E299" s="5" t="s">
        <v>53</v>
      </c>
      <c r="F299" s="5" t="s">
        <v>252</v>
      </c>
      <c r="G299" s="8">
        <v>4</v>
      </c>
      <c r="H299" s="8">
        <v>16124</v>
      </c>
      <c r="I299" s="5" t="s">
        <v>49</v>
      </c>
      <c r="J299" s="8">
        <v>3</v>
      </c>
      <c r="K299" s="8">
        <v>2</v>
      </c>
      <c r="L299" s="8">
        <v>7</v>
      </c>
      <c r="M2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299" s="8" t="str" cm="1">
        <f t="array" ref="N299">_xlfn.IFS(HR_Analytics56[[#This Row],[PerformanceRating]]=3,"Good",HR_Analytics56[[#This Row],[PerformanceRating]]=4, "Excellent")</f>
        <v>Good</v>
      </c>
      <c r="O299" s="8" t="str">
        <f>IF(HR_Analytics56[[#This Row],[MonthlyIncome]]&lt;3000,"&lt; ₹3,000",IF(HR_Analytics56[[#This Row],[MonthlyIncome]]&lt;=7000,"₹ 3,000 - ₹ 7,000","&gt; ₹7,000"))</f>
        <v>&gt; ₹7,000</v>
      </c>
      <c r="P299" s="8" t="str" cm="1">
        <f t="array" ref="P2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0" spans="1:16" x14ac:dyDescent="0.8">
      <c r="A300" s="5" t="s">
        <v>369</v>
      </c>
      <c r="B300" s="8">
        <v>29</v>
      </c>
      <c r="C300" s="5" t="s">
        <v>40</v>
      </c>
      <c r="D300" s="5" t="s">
        <v>42</v>
      </c>
      <c r="E300" s="5" t="s">
        <v>53</v>
      </c>
      <c r="F300" s="5" t="s">
        <v>45</v>
      </c>
      <c r="G300" s="8">
        <v>3</v>
      </c>
      <c r="H300" s="8">
        <v>3339</v>
      </c>
      <c r="I300" s="5" t="s">
        <v>40</v>
      </c>
      <c r="J300" s="8">
        <v>3</v>
      </c>
      <c r="K300" s="8">
        <v>2</v>
      </c>
      <c r="L300" s="8">
        <v>7</v>
      </c>
      <c r="M3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00" s="8" t="str" cm="1">
        <f t="array" ref="N300">_xlfn.IFS(HR_Analytics56[[#This Row],[PerformanceRating]]=3,"Good",HR_Analytics56[[#This Row],[PerformanceRating]]=4, "Excellent")</f>
        <v>Good</v>
      </c>
      <c r="O300" s="8" t="str">
        <f>IF(HR_Analytics56[[#This Row],[MonthlyIncome]]&lt;3000,"&lt; ₹3,000",IF(HR_Analytics56[[#This Row],[MonthlyIncome]]&lt;=7000,"₹ 3,000 - ₹ 7,000","&gt; ₹7,000"))</f>
        <v>₹ 3,000 - ₹ 7,000</v>
      </c>
      <c r="P300" s="8" t="str" cm="1">
        <f t="array" ref="P3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1" spans="1:16" x14ac:dyDescent="0.8">
      <c r="A301" s="5" t="s">
        <v>370</v>
      </c>
      <c r="B301" s="8">
        <v>29</v>
      </c>
      <c r="C301" s="5" t="s">
        <v>49</v>
      </c>
      <c r="D301" s="5" t="s">
        <v>71</v>
      </c>
      <c r="E301" s="5" t="s">
        <v>44</v>
      </c>
      <c r="F301" s="5" t="s">
        <v>71</v>
      </c>
      <c r="G301" s="8">
        <v>1</v>
      </c>
      <c r="H301" s="8">
        <v>7988</v>
      </c>
      <c r="I301" s="5" t="s">
        <v>49</v>
      </c>
      <c r="J301" s="8">
        <v>3</v>
      </c>
      <c r="K301" s="8">
        <v>3</v>
      </c>
      <c r="L301" s="8">
        <v>10</v>
      </c>
      <c r="M3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1" s="8" t="str" cm="1">
        <f t="array" ref="N301">_xlfn.IFS(HR_Analytics56[[#This Row],[PerformanceRating]]=3,"Good",HR_Analytics56[[#This Row],[PerformanceRating]]=4, "Excellent")</f>
        <v>Good</v>
      </c>
      <c r="O301" s="8" t="str">
        <f>IF(HR_Analytics56[[#This Row],[MonthlyIncome]]&lt;3000,"&lt; ₹3,000",IF(HR_Analytics56[[#This Row],[MonthlyIncome]]&lt;=7000,"₹ 3,000 - ₹ 7,000","&gt; ₹7,000"))</f>
        <v>&gt; ₹7,000</v>
      </c>
      <c r="P301" s="8" t="str" cm="1">
        <f t="array" ref="P3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2" spans="1:16" x14ac:dyDescent="0.8">
      <c r="A302" s="5" t="s">
        <v>371</v>
      </c>
      <c r="B302" s="8">
        <v>29</v>
      </c>
      <c r="C302" s="5" t="s">
        <v>40</v>
      </c>
      <c r="D302" s="5" t="s">
        <v>42</v>
      </c>
      <c r="E302" s="5" t="s">
        <v>53</v>
      </c>
      <c r="F302" s="5" t="s">
        <v>161</v>
      </c>
      <c r="G302" s="8">
        <v>4</v>
      </c>
      <c r="H302" s="8">
        <v>7553</v>
      </c>
      <c r="I302" s="5" t="s">
        <v>40</v>
      </c>
      <c r="J302" s="8">
        <v>3</v>
      </c>
      <c r="K302" s="8">
        <v>1</v>
      </c>
      <c r="L302" s="8">
        <v>8</v>
      </c>
      <c r="M3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02" s="8" t="str" cm="1">
        <f t="array" ref="N302">_xlfn.IFS(HR_Analytics56[[#This Row],[PerformanceRating]]=3,"Good",HR_Analytics56[[#This Row],[PerformanceRating]]=4, "Excellent")</f>
        <v>Good</v>
      </c>
      <c r="O302" s="8" t="str">
        <f>IF(HR_Analytics56[[#This Row],[MonthlyIncome]]&lt;3000,"&lt; ₹3,000",IF(HR_Analytics56[[#This Row],[MonthlyIncome]]&lt;=7000,"₹ 3,000 - ₹ 7,000","&gt; ₹7,000"))</f>
        <v>&gt; ₹7,000</v>
      </c>
      <c r="P302" s="8" t="str" cm="1">
        <f t="array" ref="P3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3" spans="1:16" x14ac:dyDescent="0.8">
      <c r="A303" s="5" t="s">
        <v>372</v>
      </c>
      <c r="B303" s="8">
        <v>29</v>
      </c>
      <c r="C303" s="5" t="s">
        <v>40</v>
      </c>
      <c r="D303" s="5" t="s">
        <v>51</v>
      </c>
      <c r="E303" s="5" t="s">
        <v>53</v>
      </c>
      <c r="F303" s="5" t="s">
        <v>137</v>
      </c>
      <c r="G303" s="8">
        <v>2</v>
      </c>
      <c r="H303" s="8">
        <v>5765</v>
      </c>
      <c r="I303" s="5" t="s">
        <v>49</v>
      </c>
      <c r="J303" s="8">
        <v>3</v>
      </c>
      <c r="K303" s="8">
        <v>4</v>
      </c>
      <c r="L303" s="8">
        <v>5</v>
      </c>
      <c r="M3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03" s="8" t="str" cm="1">
        <f t="array" ref="N303">_xlfn.IFS(HR_Analytics56[[#This Row],[PerformanceRating]]=3,"Good",HR_Analytics56[[#This Row],[PerformanceRating]]=4, "Excellent")</f>
        <v>Good</v>
      </c>
      <c r="O303" s="8" t="str">
        <f>IF(HR_Analytics56[[#This Row],[MonthlyIncome]]&lt;3000,"&lt; ₹3,000",IF(HR_Analytics56[[#This Row],[MonthlyIncome]]&lt;=7000,"₹ 3,000 - ₹ 7,000","&gt; ₹7,000"))</f>
        <v>₹ 3,000 - ₹ 7,000</v>
      </c>
      <c r="P303" s="8" t="str" cm="1">
        <f t="array" ref="P3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4" spans="1:16" x14ac:dyDescent="0.8">
      <c r="A304" s="5" t="s">
        <v>373</v>
      </c>
      <c r="B304" s="8">
        <v>29</v>
      </c>
      <c r="C304" s="5" t="s">
        <v>49</v>
      </c>
      <c r="D304" s="5" t="s">
        <v>51</v>
      </c>
      <c r="E304" s="5" t="s">
        <v>44</v>
      </c>
      <c r="F304" s="5" t="s">
        <v>137</v>
      </c>
      <c r="G304" s="8">
        <v>3</v>
      </c>
      <c r="H304" s="8">
        <v>8620</v>
      </c>
      <c r="I304" s="5" t="s">
        <v>49</v>
      </c>
      <c r="J304" s="8">
        <v>3</v>
      </c>
      <c r="K304" s="8">
        <v>3</v>
      </c>
      <c r="L304" s="8">
        <v>10</v>
      </c>
      <c r="M3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4" s="8" t="str" cm="1">
        <f t="array" ref="N304">_xlfn.IFS(HR_Analytics56[[#This Row],[PerformanceRating]]=3,"Good",HR_Analytics56[[#This Row],[PerformanceRating]]=4, "Excellent")</f>
        <v>Good</v>
      </c>
      <c r="O304" s="8" t="str">
        <f>IF(HR_Analytics56[[#This Row],[MonthlyIncome]]&lt;3000,"&lt; ₹3,000",IF(HR_Analytics56[[#This Row],[MonthlyIncome]]&lt;=7000,"₹ 3,000 - ₹ 7,000","&gt; ₹7,000"))</f>
        <v>&gt; ₹7,000</v>
      </c>
      <c r="P304" s="8" t="str" cm="1">
        <f t="array" ref="P3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5" spans="1:16" x14ac:dyDescent="0.8">
      <c r="A305" s="5" t="s">
        <v>374</v>
      </c>
      <c r="B305" s="8">
        <v>29</v>
      </c>
      <c r="C305" s="5" t="s">
        <v>49</v>
      </c>
      <c r="D305" s="5" t="s">
        <v>42</v>
      </c>
      <c r="E305" s="5" t="s">
        <v>53</v>
      </c>
      <c r="F305" s="5" t="s">
        <v>45</v>
      </c>
      <c r="G305" s="8">
        <v>2</v>
      </c>
      <c r="H305" s="8">
        <v>3180</v>
      </c>
      <c r="I305" s="5" t="s">
        <v>49</v>
      </c>
      <c r="J305" s="8">
        <v>3</v>
      </c>
      <c r="K305" s="8">
        <v>3</v>
      </c>
      <c r="L305" s="8">
        <v>3</v>
      </c>
      <c r="M3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5" s="8" t="str" cm="1">
        <f t="array" ref="N305">_xlfn.IFS(HR_Analytics56[[#This Row],[PerformanceRating]]=3,"Good",HR_Analytics56[[#This Row],[PerformanceRating]]=4, "Excellent")</f>
        <v>Good</v>
      </c>
      <c r="O305" s="8" t="str">
        <f>IF(HR_Analytics56[[#This Row],[MonthlyIncome]]&lt;3000,"&lt; ₹3,000",IF(HR_Analytics56[[#This Row],[MonthlyIncome]]&lt;=7000,"₹ 3,000 - ₹ 7,000","&gt; ₹7,000"))</f>
        <v>₹ 3,000 - ₹ 7,000</v>
      </c>
      <c r="P305" s="8" t="str" cm="1">
        <f t="array" ref="P3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6" spans="1:16" x14ac:dyDescent="0.8">
      <c r="A306" s="5" t="s">
        <v>375</v>
      </c>
      <c r="B306" s="8">
        <v>29</v>
      </c>
      <c r="C306" s="5" t="s">
        <v>40</v>
      </c>
      <c r="D306" s="5" t="s">
        <v>42</v>
      </c>
      <c r="E306" s="5" t="s">
        <v>44</v>
      </c>
      <c r="F306" s="5" t="s">
        <v>60</v>
      </c>
      <c r="G306" s="8">
        <v>1</v>
      </c>
      <c r="H306" s="8">
        <v>2362</v>
      </c>
      <c r="I306" s="5" t="s">
        <v>49</v>
      </c>
      <c r="J306" s="8">
        <v>3</v>
      </c>
      <c r="K306" s="8">
        <v>2</v>
      </c>
      <c r="L306" s="8">
        <v>9</v>
      </c>
      <c r="M3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06" s="8" t="str" cm="1">
        <f t="array" ref="N306">_xlfn.IFS(HR_Analytics56[[#This Row],[PerformanceRating]]=3,"Good",HR_Analytics56[[#This Row],[PerformanceRating]]=4, "Excellent")</f>
        <v>Good</v>
      </c>
      <c r="O306" s="8" t="str">
        <f>IF(HR_Analytics56[[#This Row],[MonthlyIncome]]&lt;3000,"&lt; ₹3,000",IF(HR_Analytics56[[#This Row],[MonthlyIncome]]&lt;=7000,"₹ 3,000 - ₹ 7,000","&gt; ₹7,000"))</f>
        <v>&lt; ₹3,000</v>
      </c>
      <c r="P306" s="8" t="str" cm="1">
        <f t="array" ref="P3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7" spans="1:16" x14ac:dyDescent="0.8">
      <c r="A307" s="5" t="s">
        <v>376</v>
      </c>
      <c r="B307" s="8">
        <v>29</v>
      </c>
      <c r="C307" s="5" t="s">
        <v>49</v>
      </c>
      <c r="D307" s="5" t="s">
        <v>42</v>
      </c>
      <c r="E307" s="5" t="s">
        <v>53</v>
      </c>
      <c r="F307" s="5" t="s">
        <v>161</v>
      </c>
      <c r="G307" s="8">
        <v>1</v>
      </c>
      <c r="H307" s="8">
        <v>9715</v>
      </c>
      <c r="I307" s="5" t="s">
        <v>49</v>
      </c>
      <c r="J307" s="8">
        <v>3</v>
      </c>
      <c r="K307" s="8">
        <v>3</v>
      </c>
      <c r="L307" s="8">
        <v>7</v>
      </c>
      <c r="M3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7" s="8" t="str" cm="1">
        <f t="array" ref="N307">_xlfn.IFS(HR_Analytics56[[#This Row],[PerformanceRating]]=3,"Good",HR_Analytics56[[#This Row],[PerformanceRating]]=4, "Excellent")</f>
        <v>Good</v>
      </c>
      <c r="O307" s="8" t="str">
        <f>IF(HR_Analytics56[[#This Row],[MonthlyIncome]]&lt;3000,"&lt; ₹3,000",IF(HR_Analytics56[[#This Row],[MonthlyIncome]]&lt;=7000,"₹ 3,000 - ₹ 7,000","&gt; ₹7,000"))</f>
        <v>&gt; ₹7,000</v>
      </c>
      <c r="P307" s="8" t="str" cm="1">
        <f t="array" ref="P3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8" spans="1:16" x14ac:dyDescent="0.8">
      <c r="A308" s="5" t="s">
        <v>377</v>
      </c>
      <c r="B308" s="8">
        <v>29</v>
      </c>
      <c r="C308" s="5" t="s">
        <v>49</v>
      </c>
      <c r="D308" s="5" t="s">
        <v>42</v>
      </c>
      <c r="E308" s="5" t="s">
        <v>44</v>
      </c>
      <c r="F308" s="5" t="s">
        <v>60</v>
      </c>
      <c r="G308" s="8">
        <v>3</v>
      </c>
      <c r="H308" s="8">
        <v>2451</v>
      </c>
      <c r="I308" s="5" t="s">
        <v>49</v>
      </c>
      <c r="J308" s="8">
        <v>3</v>
      </c>
      <c r="K308" s="8">
        <v>2</v>
      </c>
      <c r="L308" s="8">
        <v>1</v>
      </c>
      <c r="M3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08" s="8" t="str" cm="1">
        <f t="array" ref="N308">_xlfn.IFS(HR_Analytics56[[#This Row],[PerformanceRating]]=3,"Good",HR_Analytics56[[#This Row],[PerformanceRating]]=4, "Excellent")</f>
        <v>Good</v>
      </c>
      <c r="O308" s="8" t="str">
        <f>IF(HR_Analytics56[[#This Row],[MonthlyIncome]]&lt;3000,"&lt; ₹3,000",IF(HR_Analytics56[[#This Row],[MonthlyIncome]]&lt;=7000,"₹ 3,000 - ₹ 7,000","&gt; ₹7,000"))</f>
        <v>&lt; ₹3,000</v>
      </c>
      <c r="P308" s="8" t="str" cm="1">
        <f t="array" ref="P3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09" spans="1:16" x14ac:dyDescent="0.8">
      <c r="A309" s="5" t="s">
        <v>378</v>
      </c>
      <c r="B309" s="8">
        <v>29</v>
      </c>
      <c r="C309" s="5" t="s">
        <v>49</v>
      </c>
      <c r="D309" s="5" t="s">
        <v>42</v>
      </c>
      <c r="E309" s="5" t="s">
        <v>44</v>
      </c>
      <c r="F309" s="5" t="s">
        <v>45</v>
      </c>
      <c r="G309" s="8">
        <v>1</v>
      </c>
      <c r="H309" s="8">
        <v>4723</v>
      </c>
      <c r="I309" s="5" t="s">
        <v>40</v>
      </c>
      <c r="J309" s="8">
        <v>3</v>
      </c>
      <c r="K309" s="8">
        <v>3</v>
      </c>
      <c r="L309" s="8">
        <v>10</v>
      </c>
      <c r="M3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09" s="8" t="str" cm="1">
        <f t="array" ref="N309">_xlfn.IFS(HR_Analytics56[[#This Row],[PerformanceRating]]=3,"Good",HR_Analytics56[[#This Row],[PerformanceRating]]=4, "Excellent")</f>
        <v>Good</v>
      </c>
      <c r="O309" s="8" t="str">
        <f>IF(HR_Analytics56[[#This Row],[MonthlyIncome]]&lt;3000,"&lt; ₹3,000",IF(HR_Analytics56[[#This Row],[MonthlyIncome]]&lt;=7000,"₹ 3,000 - ₹ 7,000","&gt; ₹7,000"))</f>
        <v>₹ 3,000 - ₹ 7,000</v>
      </c>
      <c r="P309" s="8" t="str" cm="1">
        <f t="array" ref="P3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0" spans="1:16" x14ac:dyDescent="0.8">
      <c r="A310" s="5" t="s">
        <v>379</v>
      </c>
      <c r="B310" s="8">
        <v>29</v>
      </c>
      <c r="C310" s="5" t="s">
        <v>49</v>
      </c>
      <c r="D310" s="5" t="s">
        <v>42</v>
      </c>
      <c r="E310" s="5" t="s">
        <v>44</v>
      </c>
      <c r="F310" s="5" t="s">
        <v>161</v>
      </c>
      <c r="G310" s="8">
        <v>4</v>
      </c>
      <c r="H310" s="8">
        <v>8853</v>
      </c>
      <c r="I310" s="5" t="s">
        <v>49</v>
      </c>
      <c r="J310" s="8">
        <v>3</v>
      </c>
      <c r="K310" s="8">
        <v>0</v>
      </c>
      <c r="L310" s="8">
        <v>6</v>
      </c>
      <c r="M3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0" s="8" t="str" cm="1">
        <f t="array" ref="N310">_xlfn.IFS(HR_Analytics56[[#This Row],[PerformanceRating]]=3,"Good",HR_Analytics56[[#This Row],[PerformanceRating]]=4, "Excellent")</f>
        <v>Good</v>
      </c>
      <c r="O310" s="8" t="str">
        <f>IF(HR_Analytics56[[#This Row],[MonthlyIncome]]&lt;3000,"&lt; ₹3,000",IF(HR_Analytics56[[#This Row],[MonthlyIncome]]&lt;=7000,"₹ 3,000 - ₹ 7,000","&gt; ₹7,000"))</f>
        <v>&gt; ₹7,000</v>
      </c>
      <c r="P310" s="8" t="str" cm="1">
        <f t="array" ref="P3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1" spans="1:16" x14ac:dyDescent="0.8">
      <c r="A311" s="5" t="s">
        <v>380</v>
      </c>
      <c r="B311" s="8">
        <v>29</v>
      </c>
      <c r="C311" s="5" t="s">
        <v>49</v>
      </c>
      <c r="D311" s="5" t="s">
        <v>51</v>
      </c>
      <c r="E311" s="5" t="s">
        <v>44</v>
      </c>
      <c r="F311" s="5" t="s">
        <v>137</v>
      </c>
      <c r="G311" s="8">
        <v>3</v>
      </c>
      <c r="H311" s="8">
        <v>5869</v>
      </c>
      <c r="I311" s="5" t="s">
        <v>49</v>
      </c>
      <c r="J311" s="8">
        <v>3</v>
      </c>
      <c r="K311" s="8">
        <v>2</v>
      </c>
      <c r="L311" s="8">
        <v>5</v>
      </c>
      <c r="M3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1" s="8" t="str" cm="1">
        <f t="array" ref="N311">_xlfn.IFS(HR_Analytics56[[#This Row],[PerformanceRating]]=3,"Good",HR_Analytics56[[#This Row],[PerformanceRating]]=4, "Excellent")</f>
        <v>Good</v>
      </c>
      <c r="O311" s="8" t="str">
        <f>IF(HR_Analytics56[[#This Row],[MonthlyIncome]]&lt;3000,"&lt; ₹3,000",IF(HR_Analytics56[[#This Row],[MonthlyIncome]]&lt;=7000,"₹ 3,000 - ₹ 7,000","&gt; ₹7,000"))</f>
        <v>₹ 3,000 - ₹ 7,000</v>
      </c>
      <c r="P311" s="8" t="str" cm="1">
        <f t="array" ref="P3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2" spans="1:16" x14ac:dyDescent="0.8">
      <c r="A312" s="5" t="s">
        <v>381</v>
      </c>
      <c r="B312" s="8">
        <v>29</v>
      </c>
      <c r="C312" s="5" t="s">
        <v>49</v>
      </c>
      <c r="D312" s="5" t="s">
        <v>51</v>
      </c>
      <c r="E312" s="5" t="s">
        <v>44</v>
      </c>
      <c r="F312" s="5" t="s">
        <v>137</v>
      </c>
      <c r="G312" s="8">
        <v>2</v>
      </c>
      <c r="H312" s="8">
        <v>4187</v>
      </c>
      <c r="I312" s="5" t="s">
        <v>40</v>
      </c>
      <c r="J312" s="8">
        <v>3</v>
      </c>
      <c r="K312" s="8">
        <v>3</v>
      </c>
      <c r="L312" s="8">
        <v>10</v>
      </c>
      <c r="M3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12" s="8" t="str" cm="1">
        <f t="array" ref="N312">_xlfn.IFS(HR_Analytics56[[#This Row],[PerformanceRating]]=3,"Good",HR_Analytics56[[#This Row],[PerformanceRating]]=4, "Excellent")</f>
        <v>Good</v>
      </c>
      <c r="O312" s="8" t="str">
        <f>IF(HR_Analytics56[[#This Row],[MonthlyIncome]]&lt;3000,"&lt; ₹3,000",IF(HR_Analytics56[[#This Row],[MonthlyIncome]]&lt;=7000,"₹ 3,000 - ₹ 7,000","&gt; ₹7,000"))</f>
        <v>₹ 3,000 - ₹ 7,000</v>
      </c>
      <c r="P312" s="8" t="str" cm="1">
        <f t="array" ref="P3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3" spans="1:16" x14ac:dyDescent="0.8">
      <c r="A313" s="5" t="s">
        <v>382</v>
      </c>
      <c r="B313" s="8">
        <v>29</v>
      </c>
      <c r="C313" s="5" t="s">
        <v>49</v>
      </c>
      <c r="D313" s="5" t="s">
        <v>42</v>
      </c>
      <c r="E313" s="5" t="s">
        <v>53</v>
      </c>
      <c r="F313" s="5" t="s">
        <v>45</v>
      </c>
      <c r="G313" s="8">
        <v>3</v>
      </c>
      <c r="H313" s="8">
        <v>2974</v>
      </c>
      <c r="I313" s="5" t="s">
        <v>49</v>
      </c>
      <c r="J313" s="8">
        <v>3</v>
      </c>
      <c r="K313" s="8">
        <v>2</v>
      </c>
      <c r="L313" s="8">
        <v>5</v>
      </c>
      <c r="M3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3" s="8" t="str" cm="1">
        <f t="array" ref="N313">_xlfn.IFS(HR_Analytics56[[#This Row],[PerformanceRating]]=3,"Good",HR_Analytics56[[#This Row],[PerformanceRating]]=4, "Excellent")</f>
        <v>Good</v>
      </c>
      <c r="O313" s="8" t="str">
        <f>IF(HR_Analytics56[[#This Row],[MonthlyIncome]]&lt;3000,"&lt; ₹3,000",IF(HR_Analytics56[[#This Row],[MonthlyIncome]]&lt;=7000,"₹ 3,000 - ₹ 7,000","&gt; ₹7,000"))</f>
        <v>&lt; ₹3,000</v>
      </c>
      <c r="P313" s="8" t="str" cm="1">
        <f t="array" ref="P3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4" spans="1:16" x14ac:dyDescent="0.8">
      <c r="A314" s="5" t="s">
        <v>383</v>
      </c>
      <c r="B314" s="8">
        <v>29</v>
      </c>
      <c r="C314" s="5" t="s">
        <v>40</v>
      </c>
      <c r="D314" s="5" t="s">
        <v>51</v>
      </c>
      <c r="E314" s="5" t="s">
        <v>53</v>
      </c>
      <c r="F314" s="5" t="s">
        <v>54</v>
      </c>
      <c r="G314" s="8">
        <v>2</v>
      </c>
      <c r="H314" s="8">
        <v>2760</v>
      </c>
      <c r="I314" s="5" t="s">
        <v>49</v>
      </c>
      <c r="J314" s="8">
        <v>3</v>
      </c>
      <c r="K314" s="8">
        <v>3</v>
      </c>
      <c r="L314" s="8">
        <v>2</v>
      </c>
      <c r="M3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14" s="8" t="str" cm="1">
        <f t="array" ref="N314">_xlfn.IFS(HR_Analytics56[[#This Row],[PerformanceRating]]=3,"Good",HR_Analytics56[[#This Row],[PerformanceRating]]=4, "Excellent")</f>
        <v>Good</v>
      </c>
      <c r="O314" s="8" t="str">
        <f>IF(HR_Analytics56[[#This Row],[MonthlyIncome]]&lt;3000,"&lt; ₹3,000",IF(HR_Analytics56[[#This Row],[MonthlyIncome]]&lt;=7000,"₹ 3,000 - ₹ 7,000","&gt; ₹7,000"))</f>
        <v>&lt; ₹3,000</v>
      </c>
      <c r="P314" s="8" t="str" cm="1">
        <f t="array" ref="P3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5" spans="1:16" x14ac:dyDescent="0.8">
      <c r="A315" s="5" t="s">
        <v>384</v>
      </c>
      <c r="B315" s="8">
        <v>29</v>
      </c>
      <c r="C315" s="5" t="s">
        <v>49</v>
      </c>
      <c r="D315" s="5" t="s">
        <v>42</v>
      </c>
      <c r="E315" s="5" t="s">
        <v>44</v>
      </c>
      <c r="F315" s="5" t="s">
        <v>161</v>
      </c>
      <c r="G315" s="8">
        <v>3</v>
      </c>
      <c r="H315" s="8">
        <v>6294</v>
      </c>
      <c r="I315" s="5" t="s">
        <v>40</v>
      </c>
      <c r="J315" s="8">
        <v>3</v>
      </c>
      <c r="K315" s="8">
        <v>5</v>
      </c>
      <c r="L315" s="8">
        <v>3</v>
      </c>
      <c r="M3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15" s="8" t="str" cm="1">
        <f t="array" ref="N315">_xlfn.IFS(HR_Analytics56[[#This Row],[PerformanceRating]]=3,"Good",HR_Analytics56[[#This Row],[PerformanceRating]]=4, "Excellent")</f>
        <v>Good</v>
      </c>
      <c r="O315" s="8" t="str">
        <f>IF(HR_Analytics56[[#This Row],[MonthlyIncome]]&lt;3000,"&lt; ₹3,000",IF(HR_Analytics56[[#This Row],[MonthlyIncome]]&lt;=7000,"₹ 3,000 - ₹ 7,000","&gt; ₹7,000"))</f>
        <v>₹ 3,000 - ₹ 7,000</v>
      </c>
      <c r="P315" s="8" t="str" cm="1">
        <f t="array" ref="P3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6" spans="1:16" x14ac:dyDescent="0.8">
      <c r="A316" s="5" t="s">
        <v>385</v>
      </c>
      <c r="B316" s="8">
        <v>29</v>
      </c>
      <c r="C316" s="5" t="s">
        <v>49</v>
      </c>
      <c r="D316" s="5" t="s">
        <v>42</v>
      </c>
      <c r="E316" s="5" t="s">
        <v>53</v>
      </c>
      <c r="F316" s="5" t="s">
        <v>60</v>
      </c>
      <c r="G316" s="8">
        <v>1</v>
      </c>
      <c r="H316" s="8">
        <v>2109</v>
      </c>
      <c r="I316" s="5" t="s">
        <v>49</v>
      </c>
      <c r="J316" s="8">
        <v>3</v>
      </c>
      <c r="K316" s="8">
        <v>2</v>
      </c>
      <c r="L316" s="8">
        <v>1</v>
      </c>
      <c r="M3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6" s="8" t="str" cm="1">
        <f t="array" ref="N316">_xlfn.IFS(HR_Analytics56[[#This Row],[PerformanceRating]]=3,"Good",HR_Analytics56[[#This Row],[PerformanceRating]]=4, "Excellent")</f>
        <v>Good</v>
      </c>
      <c r="O316" s="8" t="str">
        <f>IF(HR_Analytics56[[#This Row],[MonthlyIncome]]&lt;3000,"&lt; ₹3,000",IF(HR_Analytics56[[#This Row],[MonthlyIncome]]&lt;=7000,"₹ 3,000 - ₹ 7,000","&gt; ₹7,000"))</f>
        <v>&lt; ₹3,000</v>
      </c>
      <c r="P316" s="8" t="str" cm="1">
        <f t="array" ref="P3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7" spans="1:16" x14ac:dyDescent="0.8">
      <c r="A317" s="5" t="s">
        <v>386</v>
      </c>
      <c r="B317" s="8">
        <v>29</v>
      </c>
      <c r="C317" s="5" t="s">
        <v>40</v>
      </c>
      <c r="D317" s="5" t="s">
        <v>71</v>
      </c>
      <c r="E317" s="5" t="s">
        <v>44</v>
      </c>
      <c r="F317" s="5" t="s">
        <v>71</v>
      </c>
      <c r="G317" s="8">
        <v>1</v>
      </c>
      <c r="H317" s="8">
        <v>2335</v>
      </c>
      <c r="I317" s="5" t="s">
        <v>40</v>
      </c>
      <c r="J317" s="8">
        <v>3</v>
      </c>
      <c r="K317" s="8">
        <v>3</v>
      </c>
      <c r="L317" s="8">
        <v>2</v>
      </c>
      <c r="M3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17" s="8" t="str" cm="1">
        <f t="array" ref="N317">_xlfn.IFS(HR_Analytics56[[#This Row],[PerformanceRating]]=3,"Good",HR_Analytics56[[#This Row],[PerformanceRating]]=4, "Excellent")</f>
        <v>Good</v>
      </c>
      <c r="O317" s="8" t="str">
        <f>IF(HR_Analytics56[[#This Row],[MonthlyIncome]]&lt;3000,"&lt; ₹3,000",IF(HR_Analytics56[[#This Row],[MonthlyIncome]]&lt;=7000,"₹ 3,000 - ₹ 7,000","&gt; ₹7,000"))</f>
        <v>&lt; ₹3,000</v>
      </c>
      <c r="P317" s="8" t="str" cm="1">
        <f t="array" ref="P3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8" spans="1:16" x14ac:dyDescent="0.8">
      <c r="A318" s="5" t="s">
        <v>387</v>
      </c>
      <c r="B318" s="8">
        <v>29</v>
      </c>
      <c r="C318" s="5" t="s">
        <v>49</v>
      </c>
      <c r="D318" s="5" t="s">
        <v>42</v>
      </c>
      <c r="E318" s="5" t="s">
        <v>44</v>
      </c>
      <c r="F318" s="5" t="s">
        <v>45</v>
      </c>
      <c r="G318" s="8">
        <v>4</v>
      </c>
      <c r="H318" s="8">
        <v>3812</v>
      </c>
      <c r="I318" s="5" t="s">
        <v>49</v>
      </c>
      <c r="J318" s="8">
        <v>3</v>
      </c>
      <c r="K318" s="8">
        <v>3</v>
      </c>
      <c r="L318" s="8">
        <v>11</v>
      </c>
      <c r="M3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8" s="8" t="str" cm="1">
        <f t="array" ref="N318">_xlfn.IFS(HR_Analytics56[[#This Row],[PerformanceRating]]=3,"Good",HR_Analytics56[[#This Row],[PerformanceRating]]=4, "Excellent")</f>
        <v>Good</v>
      </c>
      <c r="O318" s="8" t="str">
        <f>IF(HR_Analytics56[[#This Row],[MonthlyIncome]]&lt;3000,"&lt; ₹3,000",IF(HR_Analytics56[[#This Row],[MonthlyIncome]]&lt;=7000,"₹ 3,000 - ₹ 7,000","&gt; ₹7,000"))</f>
        <v>₹ 3,000 - ₹ 7,000</v>
      </c>
      <c r="P318" s="8" t="str" cm="1">
        <f t="array" ref="P3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19" spans="1:16" x14ac:dyDescent="0.8">
      <c r="A319" s="5" t="s">
        <v>388</v>
      </c>
      <c r="B319" s="8">
        <v>29</v>
      </c>
      <c r="C319" s="5" t="s">
        <v>49</v>
      </c>
      <c r="D319" s="5" t="s">
        <v>42</v>
      </c>
      <c r="E319" s="5" t="s">
        <v>44</v>
      </c>
      <c r="F319" s="5" t="s">
        <v>161</v>
      </c>
      <c r="G319" s="8">
        <v>3</v>
      </c>
      <c r="H319" s="8">
        <v>6384</v>
      </c>
      <c r="I319" s="5" t="s">
        <v>49</v>
      </c>
      <c r="J319" s="8">
        <v>3</v>
      </c>
      <c r="K319" s="8">
        <v>3</v>
      </c>
      <c r="L319" s="8">
        <v>7</v>
      </c>
      <c r="M3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19" s="8" t="str" cm="1">
        <f t="array" ref="N319">_xlfn.IFS(HR_Analytics56[[#This Row],[PerformanceRating]]=3,"Good",HR_Analytics56[[#This Row],[PerformanceRating]]=4, "Excellent")</f>
        <v>Good</v>
      </c>
      <c r="O319" s="8" t="str">
        <f>IF(HR_Analytics56[[#This Row],[MonthlyIncome]]&lt;3000,"&lt; ₹3,000",IF(HR_Analytics56[[#This Row],[MonthlyIncome]]&lt;=7000,"₹ 3,000 - ₹ 7,000","&gt; ₹7,000"))</f>
        <v>₹ 3,000 - ₹ 7,000</v>
      </c>
      <c r="P319" s="8" t="str" cm="1">
        <f t="array" ref="P3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0" spans="1:16" x14ac:dyDescent="0.8">
      <c r="A320" s="5" t="s">
        <v>389</v>
      </c>
      <c r="B320" s="8">
        <v>29</v>
      </c>
      <c r="C320" s="5" t="s">
        <v>49</v>
      </c>
      <c r="D320" s="5" t="s">
        <v>71</v>
      </c>
      <c r="E320" s="5" t="s">
        <v>44</v>
      </c>
      <c r="F320" s="5" t="s">
        <v>71</v>
      </c>
      <c r="G320" s="8">
        <v>2</v>
      </c>
      <c r="H320" s="8">
        <v>2804</v>
      </c>
      <c r="I320" s="5" t="s">
        <v>49</v>
      </c>
      <c r="J320" s="8">
        <v>3</v>
      </c>
      <c r="K320" s="8">
        <v>3</v>
      </c>
      <c r="L320" s="8">
        <v>1</v>
      </c>
      <c r="M3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0" s="8" t="str" cm="1">
        <f t="array" ref="N320">_xlfn.IFS(HR_Analytics56[[#This Row],[PerformanceRating]]=3,"Good",HR_Analytics56[[#This Row],[PerformanceRating]]=4, "Excellent")</f>
        <v>Good</v>
      </c>
      <c r="O320" s="8" t="str">
        <f>IF(HR_Analytics56[[#This Row],[MonthlyIncome]]&lt;3000,"&lt; ₹3,000",IF(HR_Analytics56[[#This Row],[MonthlyIncome]]&lt;=7000,"₹ 3,000 - ₹ 7,000","&gt; ₹7,000"))</f>
        <v>&lt; ₹3,000</v>
      </c>
      <c r="P320" s="8" t="str" cm="1">
        <f t="array" ref="P3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1" spans="1:16" x14ac:dyDescent="0.8">
      <c r="A321" s="5" t="s">
        <v>390</v>
      </c>
      <c r="B321" s="8">
        <v>29</v>
      </c>
      <c r="C321" s="5" t="s">
        <v>40</v>
      </c>
      <c r="D321" s="5" t="s">
        <v>42</v>
      </c>
      <c r="E321" s="5" t="s">
        <v>44</v>
      </c>
      <c r="F321" s="5" t="s">
        <v>60</v>
      </c>
      <c r="G321" s="8">
        <v>4</v>
      </c>
      <c r="H321" s="8">
        <v>2439</v>
      </c>
      <c r="I321" s="5" t="s">
        <v>40</v>
      </c>
      <c r="J321" s="8">
        <v>4</v>
      </c>
      <c r="K321" s="8">
        <v>3</v>
      </c>
      <c r="L321" s="8">
        <v>1</v>
      </c>
      <c r="M3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21" s="8" t="str" cm="1">
        <f t="array" ref="N321">_xlfn.IFS(HR_Analytics56[[#This Row],[PerformanceRating]]=3,"Good",HR_Analytics56[[#This Row],[PerformanceRating]]=4, "Excellent")</f>
        <v>Excellent</v>
      </c>
      <c r="O321" s="8" t="str">
        <f>IF(HR_Analytics56[[#This Row],[MonthlyIncome]]&lt;3000,"&lt; ₹3,000",IF(HR_Analytics56[[#This Row],[MonthlyIncome]]&lt;=7000,"₹ 3,000 - ₹ 7,000","&gt; ₹7,000"))</f>
        <v>&lt; ₹3,000</v>
      </c>
      <c r="P321" s="8" t="str" cm="1">
        <f t="array" ref="P3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2" spans="1:16" x14ac:dyDescent="0.8">
      <c r="A322" s="5" t="s">
        <v>391</v>
      </c>
      <c r="B322" s="8">
        <v>29</v>
      </c>
      <c r="C322" s="5" t="s">
        <v>49</v>
      </c>
      <c r="D322" s="5" t="s">
        <v>42</v>
      </c>
      <c r="E322" s="5" t="s">
        <v>44</v>
      </c>
      <c r="F322" s="5" t="s">
        <v>45</v>
      </c>
      <c r="G322" s="8">
        <v>1</v>
      </c>
      <c r="H322" s="8">
        <v>2062</v>
      </c>
      <c r="I322" s="5" t="s">
        <v>49</v>
      </c>
      <c r="J322" s="8">
        <v>3</v>
      </c>
      <c r="K322" s="8">
        <v>2</v>
      </c>
      <c r="L322" s="8">
        <v>3</v>
      </c>
      <c r="M3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2" s="8" t="str" cm="1">
        <f t="array" ref="N322">_xlfn.IFS(HR_Analytics56[[#This Row],[PerformanceRating]]=3,"Good",HR_Analytics56[[#This Row],[PerformanceRating]]=4, "Excellent")</f>
        <v>Good</v>
      </c>
      <c r="O322" s="8" t="str">
        <f>IF(HR_Analytics56[[#This Row],[MonthlyIncome]]&lt;3000,"&lt; ₹3,000",IF(HR_Analytics56[[#This Row],[MonthlyIncome]]&lt;=7000,"₹ 3,000 - ₹ 7,000","&gt; ₹7,000"))</f>
        <v>&lt; ₹3,000</v>
      </c>
      <c r="P322" s="8" t="str" cm="1">
        <f t="array" ref="P3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3" spans="1:16" x14ac:dyDescent="0.8">
      <c r="A323" s="5" t="s">
        <v>392</v>
      </c>
      <c r="B323" s="8">
        <v>29</v>
      </c>
      <c r="C323" s="5" t="s">
        <v>40</v>
      </c>
      <c r="D323" s="5" t="s">
        <v>51</v>
      </c>
      <c r="E323" s="5" t="s">
        <v>44</v>
      </c>
      <c r="F323" s="5" t="s">
        <v>54</v>
      </c>
      <c r="G323" s="8">
        <v>1</v>
      </c>
      <c r="H323" s="8">
        <v>1091</v>
      </c>
      <c r="I323" s="5" t="s">
        <v>49</v>
      </c>
      <c r="J323" s="8">
        <v>3</v>
      </c>
      <c r="K323" s="8">
        <v>3</v>
      </c>
      <c r="L323" s="8">
        <v>1</v>
      </c>
      <c r="M3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23" s="8" t="str" cm="1">
        <f t="array" ref="N323">_xlfn.IFS(HR_Analytics56[[#This Row],[PerformanceRating]]=3,"Good",HR_Analytics56[[#This Row],[PerformanceRating]]=4, "Excellent")</f>
        <v>Good</v>
      </c>
      <c r="O323" s="8" t="str">
        <f>IF(HR_Analytics56[[#This Row],[MonthlyIncome]]&lt;3000,"&lt; ₹3,000",IF(HR_Analytics56[[#This Row],[MonthlyIncome]]&lt;=7000,"₹ 3,000 - ₹ 7,000","&gt; ₹7,000"))</f>
        <v>&lt; ₹3,000</v>
      </c>
      <c r="P323" s="8" t="str" cm="1">
        <f t="array" ref="P3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4" spans="1:16" x14ac:dyDescent="0.8">
      <c r="A324" s="5" t="s">
        <v>393</v>
      </c>
      <c r="B324" s="8">
        <v>29</v>
      </c>
      <c r="C324" s="5" t="s">
        <v>49</v>
      </c>
      <c r="D324" s="5" t="s">
        <v>42</v>
      </c>
      <c r="E324" s="5" t="s">
        <v>44</v>
      </c>
      <c r="F324" s="5" t="s">
        <v>161</v>
      </c>
      <c r="G324" s="8">
        <v>1</v>
      </c>
      <c r="H324" s="8">
        <v>5373</v>
      </c>
      <c r="I324" s="5" t="s">
        <v>49</v>
      </c>
      <c r="J324" s="8">
        <v>3</v>
      </c>
      <c r="K324" s="8">
        <v>5</v>
      </c>
      <c r="L324" s="8">
        <v>5</v>
      </c>
      <c r="M3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4" s="8" t="str" cm="1">
        <f t="array" ref="N324">_xlfn.IFS(HR_Analytics56[[#This Row],[PerformanceRating]]=3,"Good",HR_Analytics56[[#This Row],[PerformanceRating]]=4, "Excellent")</f>
        <v>Good</v>
      </c>
      <c r="O324" s="8" t="str">
        <f>IF(HR_Analytics56[[#This Row],[MonthlyIncome]]&lt;3000,"&lt; ₹3,000",IF(HR_Analytics56[[#This Row],[MonthlyIncome]]&lt;=7000,"₹ 3,000 - ₹ 7,000","&gt; ₹7,000"))</f>
        <v>₹ 3,000 - ₹ 7,000</v>
      </c>
      <c r="P324" s="8" t="str" cm="1">
        <f t="array" ref="P3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5" spans="1:16" x14ac:dyDescent="0.8">
      <c r="A325" s="5" t="s">
        <v>394</v>
      </c>
      <c r="B325" s="8">
        <v>29</v>
      </c>
      <c r="C325" s="5" t="s">
        <v>40</v>
      </c>
      <c r="D325" s="5" t="s">
        <v>42</v>
      </c>
      <c r="E325" s="5" t="s">
        <v>44</v>
      </c>
      <c r="F325" s="5" t="s">
        <v>60</v>
      </c>
      <c r="G325" s="8">
        <v>4</v>
      </c>
      <c r="H325" s="8">
        <v>4787</v>
      </c>
      <c r="I325" s="5" t="s">
        <v>40</v>
      </c>
      <c r="J325" s="8">
        <v>3</v>
      </c>
      <c r="K325" s="8">
        <v>3</v>
      </c>
      <c r="L325" s="8">
        <v>2</v>
      </c>
      <c r="M3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25" s="8" t="str" cm="1">
        <f t="array" ref="N325">_xlfn.IFS(HR_Analytics56[[#This Row],[PerformanceRating]]=3,"Good",HR_Analytics56[[#This Row],[PerformanceRating]]=4, "Excellent")</f>
        <v>Good</v>
      </c>
      <c r="O325" s="8" t="str">
        <f>IF(HR_Analytics56[[#This Row],[MonthlyIncome]]&lt;3000,"&lt; ₹3,000",IF(HR_Analytics56[[#This Row],[MonthlyIncome]]&lt;=7000,"₹ 3,000 - ₹ 7,000","&gt; ₹7,000"))</f>
        <v>₹ 3,000 - ₹ 7,000</v>
      </c>
      <c r="P325" s="8" t="str" cm="1">
        <f t="array" ref="P3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6" spans="1:16" x14ac:dyDescent="0.8">
      <c r="A326" s="5" t="s">
        <v>395</v>
      </c>
      <c r="B326" s="8">
        <v>29</v>
      </c>
      <c r="C326" s="5" t="s">
        <v>49</v>
      </c>
      <c r="D326" s="5" t="s">
        <v>42</v>
      </c>
      <c r="E326" s="5" t="s">
        <v>44</v>
      </c>
      <c r="F326" s="5" t="s">
        <v>45</v>
      </c>
      <c r="G326" s="8">
        <v>2</v>
      </c>
      <c r="H326" s="8">
        <v>4025</v>
      </c>
      <c r="I326" s="5" t="s">
        <v>40</v>
      </c>
      <c r="J326" s="8">
        <v>3</v>
      </c>
      <c r="K326" s="8">
        <v>2</v>
      </c>
      <c r="L326" s="8">
        <v>4</v>
      </c>
      <c r="M3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26" s="8" t="str" cm="1">
        <f t="array" ref="N326">_xlfn.IFS(HR_Analytics56[[#This Row],[PerformanceRating]]=3,"Good",HR_Analytics56[[#This Row],[PerformanceRating]]=4, "Excellent")</f>
        <v>Good</v>
      </c>
      <c r="O326" s="8" t="str">
        <f>IF(HR_Analytics56[[#This Row],[MonthlyIncome]]&lt;3000,"&lt; ₹3,000",IF(HR_Analytics56[[#This Row],[MonthlyIncome]]&lt;=7000,"₹ 3,000 - ₹ 7,000","&gt; ₹7,000"))</f>
        <v>₹ 3,000 - ₹ 7,000</v>
      </c>
      <c r="P326" s="8" t="str" cm="1">
        <f t="array" ref="P3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7" spans="1:16" x14ac:dyDescent="0.8">
      <c r="A327" s="5" t="s">
        <v>396</v>
      </c>
      <c r="B327" s="8">
        <v>29</v>
      </c>
      <c r="C327" s="5" t="s">
        <v>49</v>
      </c>
      <c r="D327" s="5" t="s">
        <v>42</v>
      </c>
      <c r="E327" s="5" t="s">
        <v>53</v>
      </c>
      <c r="F327" s="5" t="s">
        <v>60</v>
      </c>
      <c r="G327" s="8">
        <v>1</v>
      </c>
      <c r="H327" s="8">
        <v>3785</v>
      </c>
      <c r="I327" s="5" t="s">
        <v>49</v>
      </c>
      <c r="J327" s="8">
        <v>3</v>
      </c>
      <c r="K327" s="8">
        <v>3</v>
      </c>
      <c r="L327" s="8">
        <v>5</v>
      </c>
      <c r="M3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7" s="8" t="str" cm="1">
        <f t="array" ref="N327">_xlfn.IFS(HR_Analytics56[[#This Row],[PerformanceRating]]=3,"Good",HR_Analytics56[[#This Row],[PerformanceRating]]=4, "Excellent")</f>
        <v>Good</v>
      </c>
      <c r="O327" s="8" t="str">
        <f>IF(HR_Analytics56[[#This Row],[MonthlyIncome]]&lt;3000,"&lt; ₹3,000",IF(HR_Analytics56[[#This Row],[MonthlyIncome]]&lt;=7000,"₹ 3,000 - ₹ 7,000","&gt; ₹7,000"))</f>
        <v>₹ 3,000 - ₹ 7,000</v>
      </c>
      <c r="P327" s="8" t="str" cm="1">
        <f t="array" ref="P3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8" spans="1:16" x14ac:dyDescent="0.8">
      <c r="A328" s="5" t="s">
        <v>397</v>
      </c>
      <c r="B328" s="8">
        <v>30</v>
      </c>
      <c r="C328" s="5" t="s">
        <v>49</v>
      </c>
      <c r="D328" s="5" t="s">
        <v>42</v>
      </c>
      <c r="E328" s="5" t="s">
        <v>44</v>
      </c>
      <c r="F328" s="5" t="s">
        <v>45</v>
      </c>
      <c r="G328" s="8">
        <v>3</v>
      </c>
      <c r="H328" s="8">
        <v>2693</v>
      </c>
      <c r="I328" s="5" t="s">
        <v>49</v>
      </c>
      <c r="J328" s="8">
        <v>4</v>
      </c>
      <c r="K328" s="8">
        <v>2</v>
      </c>
      <c r="L328" s="8">
        <v>1</v>
      </c>
      <c r="M3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8" s="8" t="str" cm="1">
        <f t="array" ref="N328">_xlfn.IFS(HR_Analytics56[[#This Row],[PerformanceRating]]=3,"Good",HR_Analytics56[[#This Row],[PerformanceRating]]=4, "Excellent")</f>
        <v>Excellent</v>
      </c>
      <c r="O328" s="8" t="str">
        <f>IF(HR_Analytics56[[#This Row],[MonthlyIncome]]&lt;3000,"&lt; ₹3,000",IF(HR_Analytics56[[#This Row],[MonthlyIncome]]&lt;=7000,"₹ 3,000 - ₹ 7,000","&gt; ₹7,000"))</f>
        <v>&lt; ₹3,000</v>
      </c>
      <c r="P328" s="8" t="str" cm="1">
        <f t="array" ref="P3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29" spans="1:16" x14ac:dyDescent="0.8">
      <c r="A329" s="5" t="s">
        <v>398</v>
      </c>
      <c r="B329" s="8">
        <v>30</v>
      </c>
      <c r="C329" s="5" t="s">
        <v>49</v>
      </c>
      <c r="D329" s="5" t="s">
        <v>42</v>
      </c>
      <c r="E329" s="5" t="s">
        <v>44</v>
      </c>
      <c r="F329" s="5" t="s">
        <v>45</v>
      </c>
      <c r="G329" s="8">
        <v>3</v>
      </c>
      <c r="H329" s="8">
        <v>2206</v>
      </c>
      <c r="I329" s="5" t="s">
        <v>49</v>
      </c>
      <c r="J329" s="8">
        <v>3</v>
      </c>
      <c r="K329" s="8">
        <v>5</v>
      </c>
      <c r="L329" s="8">
        <v>10</v>
      </c>
      <c r="M3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29" s="8" t="str" cm="1">
        <f t="array" ref="N329">_xlfn.IFS(HR_Analytics56[[#This Row],[PerformanceRating]]=3,"Good",HR_Analytics56[[#This Row],[PerformanceRating]]=4, "Excellent")</f>
        <v>Good</v>
      </c>
      <c r="O329" s="8" t="str">
        <f>IF(HR_Analytics56[[#This Row],[MonthlyIncome]]&lt;3000,"&lt; ₹3,000",IF(HR_Analytics56[[#This Row],[MonthlyIncome]]&lt;=7000,"₹ 3,000 - ₹ 7,000","&gt; ₹7,000"))</f>
        <v>&lt; ₹3,000</v>
      </c>
      <c r="P329" s="8" t="str" cm="1">
        <f t="array" ref="P3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0" spans="1:16" x14ac:dyDescent="0.8">
      <c r="A330" s="5" t="s">
        <v>399</v>
      </c>
      <c r="B330" s="8">
        <v>30</v>
      </c>
      <c r="C330" s="5" t="s">
        <v>49</v>
      </c>
      <c r="D330" s="5" t="s">
        <v>42</v>
      </c>
      <c r="E330" s="5" t="s">
        <v>53</v>
      </c>
      <c r="F330" s="5" t="s">
        <v>45</v>
      </c>
      <c r="G330" s="8">
        <v>4</v>
      </c>
      <c r="H330" s="8">
        <v>4011</v>
      </c>
      <c r="I330" s="5" t="s">
        <v>49</v>
      </c>
      <c r="J330" s="8">
        <v>4</v>
      </c>
      <c r="K330" s="8">
        <v>2</v>
      </c>
      <c r="L330" s="8">
        <v>12</v>
      </c>
      <c r="M3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0" s="8" t="str" cm="1">
        <f t="array" ref="N330">_xlfn.IFS(HR_Analytics56[[#This Row],[PerformanceRating]]=3,"Good",HR_Analytics56[[#This Row],[PerformanceRating]]=4, "Excellent")</f>
        <v>Excellent</v>
      </c>
      <c r="O330" s="8" t="str">
        <f>IF(HR_Analytics56[[#This Row],[MonthlyIncome]]&lt;3000,"&lt; ₹3,000",IF(HR_Analytics56[[#This Row],[MonthlyIncome]]&lt;=7000,"₹ 3,000 - ₹ 7,000","&gt; ₹7,000"))</f>
        <v>₹ 3,000 - ₹ 7,000</v>
      </c>
      <c r="P330" s="8" t="str" cm="1">
        <f t="array" ref="P3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1" spans="1:16" x14ac:dyDescent="0.8">
      <c r="A331" s="5" t="s">
        <v>400</v>
      </c>
      <c r="B331" s="8">
        <v>30</v>
      </c>
      <c r="C331" s="5" t="s">
        <v>49</v>
      </c>
      <c r="D331" s="5" t="s">
        <v>42</v>
      </c>
      <c r="E331" s="5" t="s">
        <v>44</v>
      </c>
      <c r="F331" s="5" t="s">
        <v>45</v>
      </c>
      <c r="G331" s="8">
        <v>4</v>
      </c>
      <c r="H331" s="8">
        <v>5126</v>
      </c>
      <c r="I331" s="5" t="s">
        <v>40</v>
      </c>
      <c r="J331" s="8">
        <v>3</v>
      </c>
      <c r="K331" s="8">
        <v>1</v>
      </c>
      <c r="L331" s="8">
        <v>10</v>
      </c>
      <c r="M3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31" s="8" t="str" cm="1">
        <f t="array" ref="N331">_xlfn.IFS(HR_Analytics56[[#This Row],[PerformanceRating]]=3,"Good",HR_Analytics56[[#This Row],[PerformanceRating]]=4, "Excellent")</f>
        <v>Good</v>
      </c>
      <c r="O331" s="8" t="str">
        <f>IF(HR_Analytics56[[#This Row],[MonthlyIncome]]&lt;3000,"&lt; ₹3,000",IF(HR_Analytics56[[#This Row],[MonthlyIncome]]&lt;=7000,"₹ 3,000 - ₹ 7,000","&gt; ₹7,000"))</f>
        <v>₹ 3,000 - ₹ 7,000</v>
      </c>
      <c r="P331" s="8" t="str" cm="1">
        <f t="array" ref="P3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2" spans="1:16" x14ac:dyDescent="0.8">
      <c r="A332" s="5" t="s">
        <v>401</v>
      </c>
      <c r="B332" s="8">
        <v>30</v>
      </c>
      <c r="C332" s="5" t="s">
        <v>49</v>
      </c>
      <c r="D332" s="5" t="s">
        <v>42</v>
      </c>
      <c r="E332" s="5" t="s">
        <v>44</v>
      </c>
      <c r="F332" s="5" t="s">
        <v>161</v>
      </c>
      <c r="G332" s="8">
        <v>4</v>
      </c>
      <c r="H332" s="8">
        <v>4152</v>
      </c>
      <c r="I332" s="5" t="s">
        <v>49</v>
      </c>
      <c r="J332" s="8">
        <v>3</v>
      </c>
      <c r="K332" s="8">
        <v>3</v>
      </c>
      <c r="L332" s="8">
        <v>11</v>
      </c>
      <c r="M3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2" s="8" t="str" cm="1">
        <f t="array" ref="N332">_xlfn.IFS(HR_Analytics56[[#This Row],[PerformanceRating]]=3,"Good",HR_Analytics56[[#This Row],[PerformanceRating]]=4, "Excellent")</f>
        <v>Good</v>
      </c>
      <c r="O332" s="8" t="str">
        <f>IF(HR_Analytics56[[#This Row],[MonthlyIncome]]&lt;3000,"&lt; ₹3,000",IF(HR_Analytics56[[#This Row],[MonthlyIncome]]&lt;=7000,"₹ 3,000 - ₹ 7,000","&gt; ₹7,000"))</f>
        <v>₹ 3,000 - ₹ 7,000</v>
      </c>
      <c r="P332" s="8" t="str" cm="1">
        <f t="array" ref="P3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3" spans="1:16" x14ac:dyDescent="0.8">
      <c r="A333" s="5" t="s">
        <v>402</v>
      </c>
      <c r="B333" s="8">
        <v>30</v>
      </c>
      <c r="C333" s="5" t="s">
        <v>49</v>
      </c>
      <c r="D333" s="5" t="s">
        <v>51</v>
      </c>
      <c r="E333" s="5" t="s">
        <v>53</v>
      </c>
      <c r="F333" s="5" t="s">
        <v>137</v>
      </c>
      <c r="G333" s="8">
        <v>2</v>
      </c>
      <c r="H333" s="8">
        <v>5209</v>
      </c>
      <c r="I333" s="5" t="s">
        <v>40</v>
      </c>
      <c r="J333" s="8">
        <v>3</v>
      </c>
      <c r="K333" s="8">
        <v>4</v>
      </c>
      <c r="L333" s="8">
        <v>11</v>
      </c>
      <c r="M3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33" s="8" t="str" cm="1">
        <f t="array" ref="N333">_xlfn.IFS(HR_Analytics56[[#This Row],[PerformanceRating]]=3,"Good",HR_Analytics56[[#This Row],[PerformanceRating]]=4, "Excellent")</f>
        <v>Good</v>
      </c>
      <c r="O333" s="8" t="str">
        <f>IF(HR_Analytics56[[#This Row],[MonthlyIncome]]&lt;3000,"&lt; ₹3,000",IF(HR_Analytics56[[#This Row],[MonthlyIncome]]&lt;=7000,"₹ 3,000 - ₹ 7,000","&gt; ₹7,000"))</f>
        <v>₹ 3,000 - ₹ 7,000</v>
      </c>
      <c r="P333" s="8" t="str" cm="1">
        <f t="array" ref="P3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4" spans="1:16" x14ac:dyDescent="0.8">
      <c r="A334" s="5" t="s">
        <v>403</v>
      </c>
      <c r="B334" s="8">
        <v>30</v>
      </c>
      <c r="C334" s="5" t="s">
        <v>49</v>
      </c>
      <c r="D334" s="5" t="s">
        <v>42</v>
      </c>
      <c r="E334" s="5" t="s">
        <v>44</v>
      </c>
      <c r="F334" s="5" t="s">
        <v>60</v>
      </c>
      <c r="G334" s="8">
        <v>3</v>
      </c>
      <c r="H334" s="8">
        <v>2613</v>
      </c>
      <c r="I334" s="5" t="s">
        <v>49</v>
      </c>
      <c r="J334" s="8">
        <v>4</v>
      </c>
      <c r="K334" s="8">
        <v>2</v>
      </c>
      <c r="L334" s="8">
        <v>10</v>
      </c>
      <c r="M3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4" s="8" t="str" cm="1">
        <f t="array" ref="N334">_xlfn.IFS(HR_Analytics56[[#This Row],[PerformanceRating]]=3,"Good",HR_Analytics56[[#This Row],[PerformanceRating]]=4, "Excellent")</f>
        <v>Excellent</v>
      </c>
      <c r="O334" s="8" t="str">
        <f>IF(HR_Analytics56[[#This Row],[MonthlyIncome]]&lt;3000,"&lt; ₹3,000",IF(HR_Analytics56[[#This Row],[MonthlyIncome]]&lt;=7000,"₹ 3,000 - ₹ 7,000","&gt; ₹7,000"))</f>
        <v>&lt; ₹3,000</v>
      </c>
      <c r="P334" s="8" t="str" cm="1">
        <f t="array" ref="P3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5" spans="1:16" x14ac:dyDescent="0.8">
      <c r="A335" s="5" t="s">
        <v>404</v>
      </c>
      <c r="B335" s="8">
        <v>30</v>
      </c>
      <c r="C335" s="5" t="s">
        <v>49</v>
      </c>
      <c r="D335" s="5" t="s">
        <v>71</v>
      </c>
      <c r="E335" s="5" t="s">
        <v>44</v>
      </c>
      <c r="F335" s="5" t="s">
        <v>71</v>
      </c>
      <c r="G335" s="8">
        <v>4</v>
      </c>
      <c r="H335" s="8">
        <v>6347</v>
      </c>
      <c r="I335" s="5" t="s">
        <v>40</v>
      </c>
      <c r="J335" s="8">
        <v>3</v>
      </c>
      <c r="K335" s="8">
        <v>2</v>
      </c>
      <c r="L335" s="8">
        <v>11</v>
      </c>
      <c r="M3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35" s="8" t="str" cm="1">
        <f t="array" ref="N335">_xlfn.IFS(HR_Analytics56[[#This Row],[PerformanceRating]]=3,"Good",HR_Analytics56[[#This Row],[PerformanceRating]]=4, "Excellent")</f>
        <v>Good</v>
      </c>
      <c r="O335" s="8" t="str">
        <f>IF(HR_Analytics56[[#This Row],[MonthlyIncome]]&lt;3000,"&lt; ₹3,000",IF(HR_Analytics56[[#This Row],[MonthlyIncome]]&lt;=7000,"₹ 3,000 - ₹ 7,000","&gt; ₹7,000"))</f>
        <v>₹ 3,000 - ₹ 7,000</v>
      </c>
      <c r="P335" s="8" t="str" cm="1">
        <f t="array" ref="P3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6" spans="1:16" x14ac:dyDescent="0.8">
      <c r="A336" s="5" t="s">
        <v>405</v>
      </c>
      <c r="B336" s="8">
        <v>30</v>
      </c>
      <c r="C336" s="5" t="s">
        <v>49</v>
      </c>
      <c r="D336" s="5" t="s">
        <v>42</v>
      </c>
      <c r="E336" s="5" t="s">
        <v>53</v>
      </c>
      <c r="F336" s="5" t="s">
        <v>60</v>
      </c>
      <c r="G336" s="8">
        <v>3</v>
      </c>
      <c r="H336" s="8">
        <v>2632</v>
      </c>
      <c r="I336" s="5" t="s">
        <v>49</v>
      </c>
      <c r="J336" s="8">
        <v>3</v>
      </c>
      <c r="K336" s="8">
        <v>4</v>
      </c>
      <c r="L336" s="8">
        <v>5</v>
      </c>
      <c r="M3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6" s="8" t="str" cm="1">
        <f t="array" ref="N336">_xlfn.IFS(HR_Analytics56[[#This Row],[PerformanceRating]]=3,"Good",HR_Analytics56[[#This Row],[PerformanceRating]]=4, "Excellent")</f>
        <v>Good</v>
      </c>
      <c r="O336" s="8" t="str">
        <f>IF(HR_Analytics56[[#This Row],[MonthlyIncome]]&lt;3000,"&lt; ₹3,000",IF(HR_Analytics56[[#This Row],[MonthlyIncome]]&lt;=7000,"₹ 3,000 - ₹ 7,000","&gt; ₹7,000"))</f>
        <v>&lt; ₹3,000</v>
      </c>
      <c r="P336" s="8" t="str" cm="1">
        <f t="array" ref="P3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7" spans="1:16" x14ac:dyDescent="0.8">
      <c r="A337" s="5" t="s">
        <v>406</v>
      </c>
      <c r="B337" s="8">
        <v>30</v>
      </c>
      <c r="C337" s="5" t="s">
        <v>49</v>
      </c>
      <c r="D337" s="5" t="s">
        <v>42</v>
      </c>
      <c r="E337" s="5" t="s">
        <v>53</v>
      </c>
      <c r="F337" s="5" t="s">
        <v>60</v>
      </c>
      <c r="G337" s="8">
        <v>1</v>
      </c>
      <c r="H337" s="8">
        <v>3204</v>
      </c>
      <c r="I337" s="5" t="s">
        <v>49</v>
      </c>
      <c r="J337" s="8">
        <v>3</v>
      </c>
      <c r="K337" s="8">
        <v>3</v>
      </c>
      <c r="L337" s="8">
        <v>3</v>
      </c>
      <c r="M3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7" s="8" t="str" cm="1">
        <f t="array" ref="N337">_xlfn.IFS(HR_Analytics56[[#This Row],[PerformanceRating]]=3,"Good",HR_Analytics56[[#This Row],[PerformanceRating]]=4, "Excellent")</f>
        <v>Good</v>
      </c>
      <c r="O337" s="8" t="str">
        <f>IF(HR_Analytics56[[#This Row],[MonthlyIncome]]&lt;3000,"&lt; ₹3,000",IF(HR_Analytics56[[#This Row],[MonthlyIncome]]&lt;=7000,"₹ 3,000 - ₹ 7,000","&gt; ₹7,000"))</f>
        <v>₹ 3,000 - ₹ 7,000</v>
      </c>
      <c r="P337" s="8" t="str" cm="1">
        <f t="array" ref="P3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8" spans="1:16" x14ac:dyDescent="0.8">
      <c r="A338" s="5" t="s">
        <v>407</v>
      </c>
      <c r="B338" s="8">
        <v>30</v>
      </c>
      <c r="C338" s="5" t="s">
        <v>49</v>
      </c>
      <c r="D338" s="5" t="s">
        <v>42</v>
      </c>
      <c r="E338" s="5" t="s">
        <v>44</v>
      </c>
      <c r="F338" s="5" t="s">
        <v>45</v>
      </c>
      <c r="G338" s="8">
        <v>4</v>
      </c>
      <c r="H338" s="8">
        <v>2720</v>
      </c>
      <c r="I338" s="5" t="s">
        <v>49</v>
      </c>
      <c r="J338" s="8">
        <v>3</v>
      </c>
      <c r="K338" s="8">
        <v>3</v>
      </c>
      <c r="L338" s="8">
        <v>5</v>
      </c>
      <c r="M3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8" s="8" t="str" cm="1">
        <f t="array" ref="N338">_xlfn.IFS(HR_Analytics56[[#This Row],[PerformanceRating]]=3,"Good",HR_Analytics56[[#This Row],[PerformanceRating]]=4, "Excellent")</f>
        <v>Good</v>
      </c>
      <c r="O338" s="8" t="str">
        <f>IF(HR_Analytics56[[#This Row],[MonthlyIncome]]&lt;3000,"&lt; ₹3,000",IF(HR_Analytics56[[#This Row],[MonthlyIncome]]&lt;=7000,"₹ 3,000 - ₹ 7,000","&gt; ₹7,000"))</f>
        <v>&lt; ₹3,000</v>
      </c>
      <c r="P338" s="8" t="str" cm="1">
        <f t="array" ref="P3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39" spans="1:16" x14ac:dyDescent="0.8">
      <c r="A339" s="5" t="s">
        <v>408</v>
      </c>
      <c r="B339" s="8">
        <v>30</v>
      </c>
      <c r="C339" s="5" t="s">
        <v>49</v>
      </c>
      <c r="D339" s="5" t="s">
        <v>51</v>
      </c>
      <c r="E339" s="5" t="s">
        <v>53</v>
      </c>
      <c r="F339" s="5" t="s">
        <v>137</v>
      </c>
      <c r="G339" s="8">
        <v>4</v>
      </c>
      <c r="H339" s="8">
        <v>9419</v>
      </c>
      <c r="I339" s="5" t="s">
        <v>49</v>
      </c>
      <c r="J339" s="8">
        <v>3</v>
      </c>
      <c r="K339" s="8">
        <v>2</v>
      </c>
      <c r="L339" s="8">
        <v>10</v>
      </c>
      <c r="M3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39" s="8" t="str" cm="1">
        <f t="array" ref="N339">_xlfn.IFS(HR_Analytics56[[#This Row],[PerformanceRating]]=3,"Good",HR_Analytics56[[#This Row],[PerformanceRating]]=4, "Excellent")</f>
        <v>Good</v>
      </c>
      <c r="O339" s="8" t="str">
        <f>IF(HR_Analytics56[[#This Row],[MonthlyIncome]]&lt;3000,"&lt; ₹3,000",IF(HR_Analytics56[[#This Row],[MonthlyIncome]]&lt;=7000,"₹ 3,000 - ₹ 7,000","&gt; ₹7,000"))</f>
        <v>&gt; ₹7,000</v>
      </c>
      <c r="P339" s="8" t="str" cm="1">
        <f t="array" ref="P3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0" spans="1:16" x14ac:dyDescent="0.8">
      <c r="A340" s="5" t="s">
        <v>409</v>
      </c>
      <c r="B340" s="8">
        <v>30</v>
      </c>
      <c r="C340" s="5" t="s">
        <v>49</v>
      </c>
      <c r="D340" s="5" t="s">
        <v>42</v>
      </c>
      <c r="E340" s="5" t="s">
        <v>44</v>
      </c>
      <c r="F340" s="5" t="s">
        <v>45</v>
      </c>
      <c r="G340" s="8">
        <v>1</v>
      </c>
      <c r="H340" s="8">
        <v>3072</v>
      </c>
      <c r="I340" s="5" t="s">
        <v>49</v>
      </c>
      <c r="J340" s="8">
        <v>3</v>
      </c>
      <c r="K340" s="8">
        <v>4</v>
      </c>
      <c r="L340" s="8">
        <v>12</v>
      </c>
      <c r="M3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0" s="8" t="str" cm="1">
        <f t="array" ref="N340">_xlfn.IFS(HR_Analytics56[[#This Row],[PerformanceRating]]=3,"Good",HR_Analytics56[[#This Row],[PerformanceRating]]=4, "Excellent")</f>
        <v>Good</v>
      </c>
      <c r="O340" s="8" t="str">
        <f>IF(HR_Analytics56[[#This Row],[MonthlyIncome]]&lt;3000,"&lt; ₹3,000",IF(HR_Analytics56[[#This Row],[MonthlyIncome]]&lt;=7000,"₹ 3,000 - ₹ 7,000","&gt; ₹7,000"))</f>
        <v>₹ 3,000 - ₹ 7,000</v>
      </c>
      <c r="P340" s="8" t="str" cm="1">
        <f t="array" ref="P3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1" spans="1:16" x14ac:dyDescent="0.8">
      <c r="A341" s="5" t="s">
        <v>410</v>
      </c>
      <c r="B341" s="8">
        <v>30</v>
      </c>
      <c r="C341" s="5" t="s">
        <v>49</v>
      </c>
      <c r="D341" s="5" t="s">
        <v>42</v>
      </c>
      <c r="E341" s="5" t="s">
        <v>44</v>
      </c>
      <c r="F341" s="5" t="s">
        <v>112</v>
      </c>
      <c r="G341" s="8">
        <v>3</v>
      </c>
      <c r="H341" s="8">
        <v>8474</v>
      </c>
      <c r="I341" s="5" t="s">
        <v>49</v>
      </c>
      <c r="J341" s="8">
        <v>4</v>
      </c>
      <c r="K341" s="8">
        <v>2</v>
      </c>
      <c r="L341" s="8">
        <v>11</v>
      </c>
      <c r="M3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1" s="8" t="str" cm="1">
        <f t="array" ref="N341">_xlfn.IFS(HR_Analytics56[[#This Row],[PerformanceRating]]=3,"Good",HR_Analytics56[[#This Row],[PerformanceRating]]=4, "Excellent")</f>
        <v>Excellent</v>
      </c>
      <c r="O341" s="8" t="str">
        <f>IF(HR_Analytics56[[#This Row],[MonthlyIncome]]&lt;3000,"&lt; ₹3,000",IF(HR_Analytics56[[#This Row],[MonthlyIncome]]&lt;=7000,"₹ 3,000 - ₹ 7,000","&gt; ₹7,000"))</f>
        <v>&gt; ₹7,000</v>
      </c>
      <c r="P341" s="8" t="str" cm="1">
        <f t="array" ref="P3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2" spans="1:16" x14ac:dyDescent="0.8">
      <c r="A342" s="5" t="s">
        <v>411</v>
      </c>
      <c r="B342" s="8">
        <v>30</v>
      </c>
      <c r="C342" s="5" t="s">
        <v>40</v>
      </c>
      <c r="D342" s="5" t="s">
        <v>42</v>
      </c>
      <c r="E342" s="5" t="s">
        <v>53</v>
      </c>
      <c r="F342" s="5" t="s">
        <v>60</v>
      </c>
      <c r="G342" s="8">
        <v>1</v>
      </c>
      <c r="H342" s="8">
        <v>2657</v>
      </c>
      <c r="I342" s="5" t="s">
        <v>40</v>
      </c>
      <c r="J342" s="8">
        <v>3</v>
      </c>
      <c r="K342" s="8">
        <v>5</v>
      </c>
      <c r="L342" s="8">
        <v>5</v>
      </c>
      <c r="M3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42" s="8" t="str" cm="1">
        <f t="array" ref="N342">_xlfn.IFS(HR_Analytics56[[#This Row],[PerformanceRating]]=3,"Good",HR_Analytics56[[#This Row],[PerformanceRating]]=4, "Excellent")</f>
        <v>Good</v>
      </c>
      <c r="O342" s="8" t="str">
        <f>IF(HR_Analytics56[[#This Row],[MonthlyIncome]]&lt;3000,"&lt; ₹3,000",IF(HR_Analytics56[[#This Row],[MonthlyIncome]]&lt;=7000,"₹ 3,000 - ₹ 7,000","&gt; ₹7,000"))</f>
        <v>&lt; ₹3,000</v>
      </c>
      <c r="P342" s="8" t="str" cm="1">
        <f t="array" ref="P3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3" spans="1:16" x14ac:dyDescent="0.8">
      <c r="A343" s="5" t="s">
        <v>412</v>
      </c>
      <c r="B343" s="8">
        <v>30</v>
      </c>
      <c r="C343" s="5" t="s">
        <v>40</v>
      </c>
      <c r="D343" s="5" t="s">
        <v>51</v>
      </c>
      <c r="E343" s="5" t="s">
        <v>53</v>
      </c>
      <c r="F343" s="5" t="s">
        <v>137</v>
      </c>
      <c r="G343" s="8">
        <v>1</v>
      </c>
      <c r="H343" s="8">
        <v>6696</v>
      </c>
      <c r="I343" s="5" t="s">
        <v>49</v>
      </c>
      <c r="J343" s="8">
        <v>3</v>
      </c>
      <c r="K343" s="8">
        <v>5</v>
      </c>
      <c r="L343" s="8">
        <v>6</v>
      </c>
      <c r="M3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43" s="8" t="str" cm="1">
        <f t="array" ref="N343">_xlfn.IFS(HR_Analytics56[[#This Row],[PerformanceRating]]=3,"Good",HR_Analytics56[[#This Row],[PerformanceRating]]=4, "Excellent")</f>
        <v>Good</v>
      </c>
      <c r="O343" s="8" t="str">
        <f>IF(HR_Analytics56[[#This Row],[MonthlyIncome]]&lt;3000,"&lt; ₹3,000",IF(HR_Analytics56[[#This Row],[MonthlyIncome]]&lt;=7000,"₹ 3,000 - ₹ 7,000","&gt; ₹7,000"))</f>
        <v>₹ 3,000 - ₹ 7,000</v>
      </c>
      <c r="P343" s="8" t="str" cm="1">
        <f t="array" ref="P3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4" spans="1:16" x14ac:dyDescent="0.8">
      <c r="A344" s="5" t="s">
        <v>413</v>
      </c>
      <c r="B344" s="8">
        <v>30</v>
      </c>
      <c r="C344" s="5" t="s">
        <v>49</v>
      </c>
      <c r="D344" s="5" t="s">
        <v>42</v>
      </c>
      <c r="E344" s="5" t="s">
        <v>53</v>
      </c>
      <c r="F344" s="5" t="s">
        <v>60</v>
      </c>
      <c r="G344" s="8">
        <v>4</v>
      </c>
      <c r="H344" s="8">
        <v>5775</v>
      </c>
      <c r="I344" s="5" t="s">
        <v>49</v>
      </c>
      <c r="J344" s="8">
        <v>3</v>
      </c>
      <c r="K344" s="8">
        <v>2</v>
      </c>
      <c r="L344" s="8">
        <v>10</v>
      </c>
      <c r="M3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4" s="8" t="str" cm="1">
        <f t="array" ref="N344">_xlfn.IFS(HR_Analytics56[[#This Row],[PerformanceRating]]=3,"Good",HR_Analytics56[[#This Row],[PerformanceRating]]=4, "Excellent")</f>
        <v>Good</v>
      </c>
      <c r="O344" s="8" t="str">
        <f>IF(HR_Analytics56[[#This Row],[MonthlyIncome]]&lt;3000,"&lt; ₹3,000",IF(HR_Analytics56[[#This Row],[MonthlyIncome]]&lt;=7000,"₹ 3,000 - ₹ 7,000","&gt; ₹7,000"))</f>
        <v>₹ 3,000 - ₹ 7,000</v>
      </c>
      <c r="P344" s="8" t="str" cm="1">
        <f t="array" ref="P3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5" spans="1:16" x14ac:dyDescent="0.8">
      <c r="A345" s="5" t="s">
        <v>414</v>
      </c>
      <c r="B345" s="8">
        <v>30</v>
      </c>
      <c r="C345" s="5" t="s">
        <v>49</v>
      </c>
      <c r="D345" s="5" t="s">
        <v>51</v>
      </c>
      <c r="E345" s="5" t="s">
        <v>53</v>
      </c>
      <c r="F345" s="5" t="s">
        <v>137</v>
      </c>
      <c r="G345" s="8">
        <v>3</v>
      </c>
      <c r="H345" s="8">
        <v>6118</v>
      </c>
      <c r="I345" s="5" t="s">
        <v>49</v>
      </c>
      <c r="J345" s="8">
        <v>3</v>
      </c>
      <c r="K345" s="8">
        <v>2</v>
      </c>
      <c r="L345" s="8">
        <v>10</v>
      </c>
      <c r="M3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5" s="8" t="str" cm="1">
        <f t="array" ref="N345">_xlfn.IFS(HR_Analytics56[[#This Row],[PerformanceRating]]=3,"Good",HR_Analytics56[[#This Row],[PerformanceRating]]=4, "Excellent")</f>
        <v>Good</v>
      </c>
      <c r="O345" s="8" t="str">
        <f>IF(HR_Analytics56[[#This Row],[MonthlyIncome]]&lt;3000,"&lt; ₹3,000",IF(HR_Analytics56[[#This Row],[MonthlyIncome]]&lt;=7000,"₹ 3,000 - ₹ 7,000","&gt; ₹7,000"))</f>
        <v>₹ 3,000 - ₹ 7,000</v>
      </c>
      <c r="P345" s="8" t="str" cm="1">
        <f t="array" ref="P3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6" spans="1:16" x14ac:dyDescent="0.8">
      <c r="A346" s="5" t="s">
        <v>415</v>
      </c>
      <c r="B346" s="8">
        <v>30</v>
      </c>
      <c r="C346" s="5" t="s">
        <v>49</v>
      </c>
      <c r="D346" s="5" t="s">
        <v>51</v>
      </c>
      <c r="E346" s="5" t="s">
        <v>53</v>
      </c>
      <c r="F346" s="5" t="s">
        <v>137</v>
      </c>
      <c r="G346" s="8">
        <v>3</v>
      </c>
      <c r="H346" s="8">
        <v>4736</v>
      </c>
      <c r="I346" s="5" t="s">
        <v>40</v>
      </c>
      <c r="J346" s="8">
        <v>3</v>
      </c>
      <c r="K346" s="8">
        <v>2</v>
      </c>
      <c r="L346" s="8">
        <v>2</v>
      </c>
      <c r="M3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46" s="8" t="str" cm="1">
        <f t="array" ref="N346">_xlfn.IFS(HR_Analytics56[[#This Row],[PerformanceRating]]=3,"Good",HR_Analytics56[[#This Row],[PerformanceRating]]=4, "Excellent")</f>
        <v>Good</v>
      </c>
      <c r="O346" s="8" t="str">
        <f>IF(HR_Analytics56[[#This Row],[MonthlyIncome]]&lt;3000,"&lt; ₹3,000",IF(HR_Analytics56[[#This Row],[MonthlyIncome]]&lt;=7000,"₹ 3,000 - ₹ 7,000","&gt; ₹7,000"))</f>
        <v>₹ 3,000 - ₹ 7,000</v>
      </c>
      <c r="P346" s="8" t="str" cm="1">
        <f t="array" ref="P3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7" spans="1:16" x14ac:dyDescent="0.8">
      <c r="A347" s="5" t="s">
        <v>416</v>
      </c>
      <c r="B347" s="8">
        <v>30</v>
      </c>
      <c r="C347" s="5" t="s">
        <v>49</v>
      </c>
      <c r="D347" s="5" t="s">
        <v>51</v>
      </c>
      <c r="E347" s="5" t="s">
        <v>44</v>
      </c>
      <c r="F347" s="5" t="s">
        <v>54</v>
      </c>
      <c r="G347" s="8">
        <v>2</v>
      </c>
      <c r="H347" s="8">
        <v>2476</v>
      </c>
      <c r="I347" s="5" t="s">
        <v>49</v>
      </c>
      <c r="J347" s="8">
        <v>3</v>
      </c>
      <c r="K347" s="8">
        <v>3</v>
      </c>
      <c r="L347" s="8">
        <v>1</v>
      </c>
      <c r="M3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7" s="8" t="str" cm="1">
        <f t="array" ref="N347">_xlfn.IFS(HR_Analytics56[[#This Row],[PerformanceRating]]=3,"Good",HR_Analytics56[[#This Row],[PerformanceRating]]=4, "Excellent")</f>
        <v>Good</v>
      </c>
      <c r="O347" s="8" t="str">
        <f>IF(HR_Analytics56[[#This Row],[MonthlyIncome]]&lt;3000,"&lt; ₹3,000",IF(HR_Analytics56[[#This Row],[MonthlyIncome]]&lt;=7000,"₹ 3,000 - ₹ 7,000","&gt; ₹7,000"))</f>
        <v>&lt; ₹3,000</v>
      </c>
      <c r="P347" s="8" t="str" cm="1">
        <f t="array" ref="P3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8" spans="1:16" x14ac:dyDescent="0.8">
      <c r="A348" s="5" t="s">
        <v>417</v>
      </c>
      <c r="B348" s="8">
        <v>30</v>
      </c>
      <c r="C348" s="5" t="s">
        <v>40</v>
      </c>
      <c r="D348" s="5" t="s">
        <v>42</v>
      </c>
      <c r="E348" s="5" t="s">
        <v>44</v>
      </c>
      <c r="F348" s="5" t="s">
        <v>60</v>
      </c>
      <c r="G348" s="8">
        <v>4</v>
      </c>
      <c r="H348" s="8">
        <v>2285</v>
      </c>
      <c r="I348" s="5" t="s">
        <v>40</v>
      </c>
      <c r="J348" s="8">
        <v>4</v>
      </c>
      <c r="K348" s="8">
        <v>4</v>
      </c>
      <c r="L348" s="8">
        <v>1</v>
      </c>
      <c r="M3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48" s="8" t="str" cm="1">
        <f t="array" ref="N348">_xlfn.IFS(HR_Analytics56[[#This Row],[PerformanceRating]]=3,"Good",HR_Analytics56[[#This Row],[PerformanceRating]]=4, "Excellent")</f>
        <v>Excellent</v>
      </c>
      <c r="O348" s="8" t="str">
        <f>IF(HR_Analytics56[[#This Row],[MonthlyIncome]]&lt;3000,"&lt; ₹3,000",IF(HR_Analytics56[[#This Row],[MonthlyIncome]]&lt;=7000,"₹ 3,000 - ₹ 7,000","&gt; ₹7,000"))</f>
        <v>&lt; ₹3,000</v>
      </c>
      <c r="P348" s="8" t="str" cm="1">
        <f t="array" ref="P3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49" spans="1:16" x14ac:dyDescent="0.8">
      <c r="A349" s="5" t="s">
        <v>418</v>
      </c>
      <c r="B349" s="8">
        <v>30</v>
      </c>
      <c r="C349" s="5" t="s">
        <v>49</v>
      </c>
      <c r="D349" s="5" t="s">
        <v>51</v>
      </c>
      <c r="E349" s="5" t="s">
        <v>53</v>
      </c>
      <c r="F349" s="5" t="s">
        <v>137</v>
      </c>
      <c r="G349" s="8">
        <v>3</v>
      </c>
      <c r="H349" s="8">
        <v>6577</v>
      </c>
      <c r="I349" s="5" t="s">
        <v>49</v>
      </c>
      <c r="J349" s="8">
        <v>3</v>
      </c>
      <c r="K349" s="8">
        <v>6</v>
      </c>
      <c r="L349" s="8">
        <v>5</v>
      </c>
      <c r="M3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49" s="8" t="str" cm="1">
        <f t="array" ref="N349">_xlfn.IFS(HR_Analytics56[[#This Row],[PerformanceRating]]=3,"Good",HR_Analytics56[[#This Row],[PerformanceRating]]=4, "Excellent")</f>
        <v>Good</v>
      </c>
      <c r="O349" s="8" t="str">
        <f>IF(HR_Analytics56[[#This Row],[MonthlyIncome]]&lt;3000,"&lt; ₹3,000",IF(HR_Analytics56[[#This Row],[MonthlyIncome]]&lt;=7000,"₹ 3,000 - ₹ 7,000","&gt; ₹7,000"))</f>
        <v>₹ 3,000 - ₹ 7,000</v>
      </c>
      <c r="P349" s="8" t="str" cm="1">
        <f t="array" ref="P3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0" spans="1:16" x14ac:dyDescent="0.8">
      <c r="A350" s="5" t="s">
        <v>419</v>
      </c>
      <c r="B350" s="8">
        <v>30</v>
      </c>
      <c r="C350" s="5" t="s">
        <v>49</v>
      </c>
      <c r="D350" s="5" t="s">
        <v>42</v>
      </c>
      <c r="E350" s="5" t="s">
        <v>53</v>
      </c>
      <c r="F350" s="5" t="s">
        <v>112</v>
      </c>
      <c r="G350" s="8">
        <v>4</v>
      </c>
      <c r="H350" s="8">
        <v>6091</v>
      </c>
      <c r="I350" s="5" t="s">
        <v>49</v>
      </c>
      <c r="J350" s="8">
        <v>4</v>
      </c>
      <c r="K350" s="8">
        <v>2</v>
      </c>
      <c r="L350" s="8">
        <v>5</v>
      </c>
      <c r="M3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0" s="8" t="str" cm="1">
        <f t="array" ref="N350">_xlfn.IFS(HR_Analytics56[[#This Row],[PerformanceRating]]=3,"Good",HR_Analytics56[[#This Row],[PerformanceRating]]=4, "Excellent")</f>
        <v>Excellent</v>
      </c>
      <c r="O350" s="8" t="str">
        <f>IF(HR_Analytics56[[#This Row],[MonthlyIncome]]&lt;3000,"&lt; ₹3,000",IF(HR_Analytics56[[#This Row],[MonthlyIncome]]&lt;=7000,"₹ 3,000 - ₹ 7,000","&gt; ₹7,000"))</f>
        <v>₹ 3,000 - ₹ 7,000</v>
      </c>
      <c r="P350" s="8" t="str" cm="1">
        <f t="array" ref="P3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1" spans="1:16" x14ac:dyDescent="0.8">
      <c r="A351" s="5" t="s">
        <v>420</v>
      </c>
      <c r="B351" s="8">
        <v>30</v>
      </c>
      <c r="C351" s="5" t="s">
        <v>49</v>
      </c>
      <c r="D351" s="5" t="s">
        <v>42</v>
      </c>
      <c r="E351" s="5" t="s">
        <v>44</v>
      </c>
      <c r="F351" s="5" t="s">
        <v>45</v>
      </c>
      <c r="G351" s="8">
        <v>4</v>
      </c>
      <c r="H351" s="8">
        <v>2097</v>
      </c>
      <c r="I351" s="5" t="s">
        <v>49</v>
      </c>
      <c r="J351" s="8">
        <v>3</v>
      </c>
      <c r="K351" s="8">
        <v>3</v>
      </c>
      <c r="L351" s="8">
        <v>5</v>
      </c>
      <c r="M3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1" s="8" t="str" cm="1">
        <f t="array" ref="N351">_xlfn.IFS(HR_Analytics56[[#This Row],[PerformanceRating]]=3,"Good",HR_Analytics56[[#This Row],[PerformanceRating]]=4, "Excellent")</f>
        <v>Good</v>
      </c>
      <c r="O351" s="8" t="str">
        <f>IF(HR_Analytics56[[#This Row],[MonthlyIncome]]&lt;3000,"&lt; ₹3,000",IF(HR_Analytics56[[#This Row],[MonthlyIncome]]&lt;=7000,"₹ 3,000 - ₹ 7,000","&gt; ₹7,000"))</f>
        <v>&lt; ₹3,000</v>
      </c>
      <c r="P351" s="8" t="str" cm="1">
        <f t="array" ref="P3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2" spans="1:16" x14ac:dyDescent="0.8">
      <c r="A352" s="5" t="s">
        <v>421</v>
      </c>
      <c r="B352" s="8">
        <v>30</v>
      </c>
      <c r="C352" s="5" t="s">
        <v>49</v>
      </c>
      <c r="D352" s="5" t="s">
        <v>51</v>
      </c>
      <c r="E352" s="5" t="s">
        <v>53</v>
      </c>
      <c r="F352" s="5" t="s">
        <v>137</v>
      </c>
      <c r="G352" s="8">
        <v>1</v>
      </c>
      <c r="H352" s="8">
        <v>8412</v>
      </c>
      <c r="I352" s="5" t="s">
        <v>49</v>
      </c>
      <c r="J352" s="8">
        <v>3</v>
      </c>
      <c r="K352" s="8">
        <v>3</v>
      </c>
      <c r="L352" s="8">
        <v>9</v>
      </c>
      <c r="M3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2" s="8" t="str" cm="1">
        <f t="array" ref="N352">_xlfn.IFS(HR_Analytics56[[#This Row],[PerformanceRating]]=3,"Good",HR_Analytics56[[#This Row],[PerformanceRating]]=4, "Excellent")</f>
        <v>Good</v>
      </c>
      <c r="O352" s="8" t="str">
        <f>IF(HR_Analytics56[[#This Row],[MonthlyIncome]]&lt;3000,"&lt; ₹3,000",IF(HR_Analytics56[[#This Row],[MonthlyIncome]]&lt;=7000,"₹ 3,000 - ₹ 7,000","&gt; ₹7,000"))</f>
        <v>&gt; ₹7,000</v>
      </c>
      <c r="P352" s="8" t="str" cm="1">
        <f t="array" ref="P3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3" spans="1:16" x14ac:dyDescent="0.8">
      <c r="A353" s="5" t="s">
        <v>422</v>
      </c>
      <c r="B353" s="8">
        <v>30</v>
      </c>
      <c r="C353" s="5" t="s">
        <v>49</v>
      </c>
      <c r="D353" s="5" t="s">
        <v>42</v>
      </c>
      <c r="E353" s="5" t="s">
        <v>53</v>
      </c>
      <c r="F353" s="5" t="s">
        <v>45</v>
      </c>
      <c r="G353" s="8">
        <v>4</v>
      </c>
      <c r="H353" s="8">
        <v>2564</v>
      </c>
      <c r="I353" s="5" t="s">
        <v>49</v>
      </c>
      <c r="J353" s="8">
        <v>3</v>
      </c>
      <c r="K353" s="8">
        <v>2</v>
      </c>
      <c r="L353" s="8">
        <v>11</v>
      </c>
      <c r="M3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3" s="8" t="str" cm="1">
        <f t="array" ref="N353">_xlfn.IFS(HR_Analytics56[[#This Row],[PerformanceRating]]=3,"Good",HR_Analytics56[[#This Row],[PerformanceRating]]=4, "Excellent")</f>
        <v>Good</v>
      </c>
      <c r="O353" s="8" t="str">
        <f>IF(HR_Analytics56[[#This Row],[MonthlyIncome]]&lt;3000,"&lt; ₹3,000",IF(HR_Analytics56[[#This Row],[MonthlyIncome]]&lt;=7000,"₹ 3,000 - ₹ 7,000","&gt; ₹7,000"))</f>
        <v>&lt; ₹3,000</v>
      </c>
      <c r="P353" s="8" t="str" cm="1">
        <f t="array" ref="P3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4" spans="1:16" x14ac:dyDescent="0.8">
      <c r="A354" s="5" t="s">
        <v>423</v>
      </c>
      <c r="B354" s="8">
        <v>30</v>
      </c>
      <c r="C354" s="5" t="s">
        <v>49</v>
      </c>
      <c r="D354" s="5" t="s">
        <v>51</v>
      </c>
      <c r="E354" s="5" t="s">
        <v>44</v>
      </c>
      <c r="F354" s="5" t="s">
        <v>54</v>
      </c>
      <c r="G354" s="8">
        <v>2</v>
      </c>
      <c r="H354" s="8">
        <v>2983</v>
      </c>
      <c r="I354" s="5" t="s">
        <v>49</v>
      </c>
      <c r="J354" s="8">
        <v>3</v>
      </c>
      <c r="K354" s="8">
        <v>3</v>
      </c>
      <c r="L354" s="8">
        <v>3</v>
      </c>
      <c r="M3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4" s="8" t="str" cm="1">
        <f t="array" ref="N354">_xlfn.IFS(HR_Analytics56[[#This Row],[PerformanceRating]]=3,"Good",HR_Analytics56[[#This Row],[PerformanceRating]]=4, "Excellent")</f>
        <v>Good</v>
      </c>
      <c r="O354" s="8" t="str">
        <f>IF(HR_Analytics56[[#This Row],[MonthlyIncome]]&lt;3000,"&lt; ₹3,000",IF(HR_Analytics56[[#This Row],[MonthlyIncome]]&lt;=7000,"₹ 3,000 - ₹ 7,000","&gt; ₹7,000"))</f>
        <v>&lt; ₹3,000</v>
      </c>
      <c r="P354" s="8" t="str" cm="1">
        <f t="array" ref="P3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5" spans="1:16" x14ac:dyDescent="0.8">
      <c r="A355" s="5" t="s">
        <v>424</v>
      </c>
      <c r="B355" s="8">
        <v>30</v>
      </c>
      <c r="C355" s="5" t="s">
        <v>40</v>
      </c>
      <c r="D355" s="5" t="s">
        <v>51</v>
      </c>
      <c r="E355" s="5" t="s">
        <v>44</v>
      </c>
      <c r="F355" s="5" t="s">
        <v>54</v>
      </c>
      <c r="G355" s="8">
        <v>1</v>
      </c>
      <c r="H355" s="8">
        <v>2033</v>
      </c>
      <c r="I355" s="5" t="s">
        <v>49</v>
      </c>
      <c r="J355" s="8">
        <v>3</v>
      </c>
      <c r="K355" s="8">
        <v>2</v>
      </c>
      <c r="L355" s="8">
        <v>1</v>
      </c>
      <c r="M3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55" s="8" t="str" cm="1">
        <f t="array" ref="N355">_xlfn.IFS(HR_Analytics56[[#This Row],[PerformanceRating]]=3,"Good",HR_Analytics56[[#This Row],[PerformanceRating]]=4, "Excellent")</f>
        <v>Good</v>
      </c>
      <c r="O355" s="8" t="str">
        <f>IF(HR_Analytics56[[#This Row],[MonthlyIncome]]&lt;3000,"&lt; ₹3,000",IF(HR_Analytics56[[#This Row],[MonthlyIncome]]&lt;=7000,"₹ 3,000 - ₹ 7,000","&gt; ₹7,000"))</f>
        <v>&lt; ₹3,000</v>
      </c>
      <c r="P355" s="8" t="str" cm="1">
        <f t="array" ref="P3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6" spans="1:16" x14ac:dyDescent="0.8">
      <c r="A356" s="5" t="s">
        <v>425</v>
      </c>
      <c r="B356" s="8">
        <v>30</v>
      </c>
      <c r="C356" s="5" t="s">
        <v>49</v>
      </c>
      <c r="D356" s="5" t="s">
        <v>42</v>
      </c>
      <c r="E356" s="5" t="s">
        <v>53</v>
      </c>
      <c r="F356" s="5" t="s">
        <v>60</v>
      </c>
      <c r="G356" s="8">
        <v>3</v>
      </c>
      <c r="H356" s="8">
        <v>2083</v>
      </c>
      <c r="I356" s="5" t="s">
        <v>49</v>
      </c>
      <c r="J356" s="8">
        <v>4</v>
      </c>
      <c r="K356" s="8">
        <v>2</v>
      </c>
      <c r="L356" s="8">
        <v>1</v>
      </c>
      <c r="M3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6" s="8" t="str" cm="1">
        <f t="array" ref="N356">_xlfn.IFS(HR_Analytics56[[#This Row],[PerformanceRating]]=3,"Good",HR_Analytics56[[#This Row],[PerformanceRating]]=4, "Excellent")</f>
        <v>Excellent</v>
      </c>
      <c r="O356" s="8" t="str">
        <f>IF(HR_Analytics56[[#This Row],[MonthlyIncome]]&lt;3000,"&lt; ₹3,000",IF(HR_Analytics56[[#This Row],[MonthlyIncome]]&lt;=7000,"₹ 3,000 - ₹ 7,000","&gt; ₹7,000"))</f>
        <v>&lt; ₹3,000</v>
      </c>
      <c r="P356" s="8" t="str" cm="1">
        <f t="array" ref="P3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7" spans="1:16" x14ac:dyDescent="0.8">
      <c r="A357" s="5" t="s">
        <v>426</v>
      </c>
      <c r="B357" s="8">
        <v>30</v>
      </c>
      <c r="C357" s="5" t="s">
        <v>49</v>
      </c>
      <c r="D357" s="5" t="s">
        <v>51</v>
      </c>
      <c r="E357" s="5" t="s">
        <v>44</v>
      </c>
      <c r="F357" s="5" t="s">
        <v>137</v>
      </c>
      <c r="G357" s="8">
        <v>4</v>
      </c>
      <c r="H357" s="8">
        <v>5304</v>
      </c>
      <c r="I357" s="5" t="s">
        <v>49</v>
      </c>
      <c r="J357" s="8">
        <v>4</v>
      </c>
      <c r="K357" s="8">
        <v>2</v>
      </c>
      <c r="L357" s="8">
        <v>8</v>
      </c>
      <c r="M3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7" s="8" t="str" cm="1">
        <f t="array" ref="N357">_xlfn.IFS(HR_Analytics56[[#This Row],[PerformanceRating]]=3,"Good",HR_Analytics56[[#This Row],[PerformanceRating]]=4, "Excellent")</f>
        <v>Excellent</v>
      </c>
      <c r="O357" s="8" t="str">
        <f>IF(HR_Analytics56[[#This Row],[MonthlyIncome]]&lt;3000,"&lt; ₹3,000",IF(HR_Analytics56[[#This Row],[MonthlyIncome]]&lt;=7000,"₹ 3,000 - ₹ 7,000","&gt; ₹7,000"))</f>
        <v>₹ 3,000 - ₹ 7,000</v>
      </c>
      <c r="P357" s="8" t="str" cm="1">
        <f t="array" ref="P3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8" spans="1:16" x14ac:dyDescent="0.8">
      <c r="A358" s="5" t="s">
        <v>427</v>
      </c>
      <c r="B358" s="8">
        <v>30</v>
      </c>
      <c r="C358" s="5" t="s">
        <v>49</v>
      </c>
      <c r="D358" s="5" t="s">
        <v>42</v>
      </c>
      <c r="E358" s="5" t="s">
        <v>44</v>
      </c>
      <c r="F358" s="5" t="s">
        <v>45</v>
      </c>
      <c r="G358" s="8">
        <v>3</v>
      </c>
      <c r="H358" s="8">
        <v>3833</v>
      </c>
      <c r="I358" s="5" t="s">
        <v>49</v>
      </c>
      <c r="J358" s="8">
        <v>4</v>
      </c>
      <c r="K358" s="8">
        <v>2</v>
      </c>
      <c r="L358" s="8">
        <v>2</v>
      </c>
      <c r="M3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58" s="8" t="str" cm="1">
        <f t="array" ref="N358">_xlfn.IFS(HR_Analytics56[[#This Row],[PerformanceRating]]=3,"Good",HR_Analytics56[[#This Row],[PerformanceRating]]=4, "Excellent")</f>
        <v>Excellent</v>
      </c>
      <c r="O358" s="8" t="str">
        <f>IF(HR_Analytics56[[#This Row],[MonthlyIncome]]&lt;3000,"&lt; ₹3,000",IF(HR_Analytics56[[#This Row],[MonthlyIncome]]&lt;=7000,"₹ 3,000 - ₹ 7,000","&gt; ₹7,000"))</f>
        <v>₹ 3,000 - ₹ 7,000</v>
      </c>
      <c r="P358" s="8" t="str" cm="1">
        <f t="array" ref="P3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59" spans="1:16" x14ac:dyDescent="0.8">
      <c r="A359" s="5" t="s">
        <v>428</v>
      </c>
      <c r="B359" s="8">
        <v>30</v>
      </c>
      <c r="C359" s="5" t="s">
        <v>49</v>
      </c>
      <c r="D359" s="5" t="s">
        <v>42</v>
      </c>
      <c r="E359" s="5" t="s">
        <v>53</v>
      </c>
      <c r="F359" s="5" t="s">
        <v>112</v>
      </c>
      <c r="G359" s="8">
        <v>4</v>
      </c>
      <c r="H359" s="8">
        <v>6877</v>
      </c>
      <c r="I359" s="5" t="s">
        <v>40</v>
      </c>
      <c r="J359" s="8">
        <v>4</v>
      </c>
      <c r="K359" s="8">
        <v>4</v>
      </c>
      <c r="L359" s="8">
        <v>0</v>
      </c>
      <c r="M3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59" s="8" t="str" cm="1">
        <f t="array" ref="N359">_xlfn.IFS(HR_Analytics56[[#This Row],[PerformanceRating]]=3,"Good",HR_Analytics56[[#This Row],[PerformanceRating]]=4, "Excellent")</f>
        <v>Excellent</v>
      </c>
      <c r="O359" s="8" t="str">
        <f>IF(HR_Analytics56[[#This Row],[MonthlyIncome]]&lt;3000,"&lt; ₹3,000",IF(HR_Analytics56[[#This Row],[MonthlyIncome]]&lt;=7000,"₹ 3,000 - ₹ 7,000","&gt; ₹7,000"))</f>
        <v>₹ 3,000 - ₹ 7,000</v>
      </c>
      <c r="P359" s="8" t="str" cm="1">
        <f t="array" ref="P35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360" spans="1:16" x14ac:dyDescent="0.8">
      <c r="A360" s="5" t="s">
        <v>429</v>
      </c>
      <c r="B360" s="8">
        <v>30</v>
      </c>
      <c r="C360" s="5" t="s">
        <v>49</v>
      </c>
      <c r="D360" s="5" t="s">
        <v>42</v>
      </c>
      <c r="E360" s="5" t="s">
        <v>44</v>
      </c>
      <c r="F360" s="5" t="s">
        <v>60</v>
      </c>
      <c r="G360" s="8">
        <v>4</v>
      </c>
      <c r="H360" s="8">
        <v>3761</v>
      </c>
      <c r="I360" s="5" t="s">
        <v>49</v>
      </c>
      <c r="J360" s="8">
        <v>3</v>
      </c>
      <c r="K360" s="8">
        <v>3</v>
      </c>
      <c r="L360" s="8">
        <v>5</v>
      </c>
      <c r="M3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0" s="8" t="str" cm="1">
        <f t="array" ref="N360">_xlfn.IFS(HR_Analytics56[[#This Row],[PerformanceRating]]=3,"Good",HR_Analytics56[[#This Row],[PerformanceRating]]=4, "Excellent")</f>
        <v>Good</v>
      </c>
      <c r="O360" s="8" t="str">
        <f>IF(HR_Analytics56[[#This Row],[MonthlyIncome]]&lt;3000,"&lt; ₹3,000",IF(HR_Analytics56[[#This Row],[MonthlyIncome]]&lt;=7000,"₹ 3,000 - ₹ 7,000","&gt; ₹7,000"))</f>
        <v>₹ 3,000 - ₹ 7,000</v>
      </c>
      <c r="P360" s="8" t="str" cm="1">
        <f t="array" ref="P3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1" spans="1:16" x14ac:dyDescent="0.8">
      <c r="A361" s="5" t="s">
        <v>430</v>
      </c>
      <c r="B361" s="8">
        <v>30</v>
      </c>
      <c r="C361" s="5" t="s">
        <v>49</v>
      </c>
      <c r="D361" s="5" t="s">
        <v>51</v>
      </c>
      <c r="E361" s="5" t="s">
        <v>44</v>
      </c>
      <c r="F361" s="5" t="s">
        <v>137</v>
      </c>
      <c r="G361" s="8">
        <v>3</v>
      </c>
      <c r="H361" s="8">
        <v>7264</v>
      </c>
      <c r="I361" s="5" t="s">
        <v>49</v>
      </c>
      <c r="J361" s="8">
        <v>3</v>
      </c>
      <c r="K361" s="8">
        <v>2</v>
      </c>
      <c r="L361" s="8">
        <v>8</v>
      </c>
      <c r="M3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1" s="8" t="str" cm="1">
        <f t="array" ref="N361">_xlfn.IFS(HR_Analytics56[[#This Row],[PerformanceRating]]=3,"Good",HR_Analytics56[[#This Row],[PerformanceRating]]=4, "Excellent")</f>
        <v>Good</v>
      </c>
      <c r="O361" s="8" t="str">
        <f>IF(HR_Analytics56[[#This Row],[MonthlyIncome]]&lt;3000,"&lt; ₹3,000",IF(HR_Analytics56[[#This Row],[MonthlyIncome]]&lt;=7000,"₹ 3,000 - ₹ 7,000","&gt; ₹7,000"))</f>
        <v>&gt; ₹7,000</v>
      </c>
      <c r="P361" s="8" t="str" cm="1">
        <f t="array" ref="P3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2" spans="1:16" x14ac:dyDescent="0.8">
      <c r="A362" s="5" t="s">
        <v>431</v>
      </c>
      <c r="B362" s="8">
        <v>30</v>
      </c>
      <c r="C362" s="5" t="s">
        <v>40</v>
      </c>
      <c r="D362" s="5" t="s">
        <v>42</v>
      </c>
      <c r="E362" s="5" t="s">
        <v>53</v>
      </c>
      <c r="F362" s="5" t="s">
        <v>60</v>
      </c>
      <c r="G362" s="8">
        <v>3</v>
      </c>
      <c r="H362" s="8">
        <v>2132</v>
      </c>
      <c r="I362" s="5" t="s">
        <v>40</v>
      </c>
      <c r="J362" s="8">
        <v>3</v>
      </c>
      <c r="K362" s="8">
        <v>2</v>
      </c>
      <c r="L362" s="8">
        <v>5</v>
      </c>
      <c r="M3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62" s="8" t="str" cm="1">
        <f t="array" ref="N362">_xlfn.IFS(HR_Analytics56[[#This Row],[PerformanceRating]]=3,"Good",HR_Analytics56[[#This Row],[PerformanceRating]]=4, "Excellent")</f>
        <v>Good</v>
      </c>
      <c r="O362" s="8" t="str">
        <f>IF(HR_Analytics56[[#This Row],[MonthlyIncome]]&lt;3000,"&lt; ₹3,000",IF(HR_Analytics56[[#This Row],[MonthlyIncome]]&lt;=7000,"₹ 3,000 - ₹ 7,000","&gt; ₹7,000"))</f>
        <v>&lt; ₹3,000</v>
      </c>
      <c r="P362" s="8" t="str" cm="1">
        <f t="array" ref="P3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3" spans="1:16" x14ac:dyDescent="0.8">
      <c r="A363" s="5" t="s">
        <v>432</v>
      </c>
      <c r="B363" s="8">
        <v>30</v>
      </c>
      <c r="C363" s="5" t="s">
        <v>49</v>
      </c>
      <c r="D363" s="5" t="s">
        <v>42</v>
      </c>
      <c r="E363" s="5" t="s">
        <v>53</v>
      </c>
      <c r="F363" s="5" t="s">
        <v>252</v>
      </c>
      <c r="G363" s="8">
        <v>1</v>
      </c>
      <c r="H363" s="8">
        <v>11416</v>
      </c>
      <c r="I363" s="5" t="s">
        <v>40</v>
      </c>
      <c r="J363" s="8">
        <v>3</v>
      </c>
      <c r="K363" s="8">
        <v>4</v>
      </c>
      <c r="L363" s="8">
        <v>8</v>
      </c>
      <c r="M3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63" s="8" t="str" cm="1">
        <f t="array" ref="N363">_xlfn.IFS(HR_Analytics56[[#This Row],[PerformanceRating]]=3,"Good",HR_Analytics56[[#This Row],[PerformanceRating]]=4, "Excellent")</f>
        <v>Good</v>
      </c>
      <c r="O363" s="8" t="str">
        <f>IF(HR_Analytics56[[#This Row],[MonthlyIncome]]&lt;3000,"&lt; ₹3,000",IF(HR_Analytics56[[#This Row],[MonthlyIncome]]&lt;=7000,"₹ 3,000 - ₹ 7,000","&gt; ₹7,000"))</f>
        <v>&gt; ₹7,000</v>
      </c>
      <c r="P363" s="8" t="str" cm="1">
        <f t="array" ref="P3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4" spans="1:16" x14ac:dyDescent="0.8">
      <c r="A364" s="5" t="s">
        <v>433</v>
      </c>
      <c r="B364" s="8">
        <v>30</v>
      </c>
      <c r="C364" s="5" t="s">
        <v>40</v>
      </c>
      <c r="D364" s="5" t="s">
        <v>42</v>
      </c>
      <c r="E364" s="5" t="s">
        <v>53</v>
      </c>
      <c r="F364" s="5" t="s">
        <v>45</v>
      </c>
      <c r="G364" s="8">
        <v>2</v>
      </c>
      <c r="H364" s="8">
        <v>2422</v>
      </c>
      <c r="I364" s="5" t="s">
        <v>49</v>
      </c>
      <c r="J364" s="8">
        <v>3</v>
      </c>
      <c r="K364" s="8">
        <v>3</v>
      </c>
      <c r="L364" s="8">
        <v>3</v>
      </c>
      <c r="M3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64" s="8" t="str" cm="1">
        <f t="array" ref="N364">_xlfn.IFS(HR_Analytics56[[#This Row],[PerformanceRating]]=3,"Good",HR_Analytics56[[#This Row],[PerformanceRating]]=4, "Excellent")</f>
        <v>Good</v>
      </c>
      <c r="O364" s="8" t="str">
        <f>IF(HR_Analytics56[[#This Row],[MonthlyIncome]]&lt;3000,"&lt; ₹3,000",IF(HR_Analytics56[[#This Row],[MonthlyIncome]]&lt;=7000,"₹ 3,000 - ₹ 7,000","&gt; ₹7,000"))</f>
        <v>&lt; ₹3,000</v>
      </c>
      <c r="P364" s="8" t="str" cm="1">
        <f t="array" ref="P3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5" spans="1:16" x14ac:dyDescent="0.8">
      <c r="A365" s="5" t="s">
        <v>434</v>
      </c>
      <c r="B365" s="8">
        <v>30</v>
      </c>
      <c r="C365" s="5" t="s">
        <v>49</v>
      </c>
      <c r="D365" s="5" t="s">
        <v>42</v>
      </c>
      <c r="E365" s="5" t="s">
        <v>44</v>
      </c>
      <c r="F365" s="5" t="s">
        <v>112</v>
      </c>
      <c r="G365" s="8">
        <v>1</v>
      </c>
      <c r="H365" s="8">
        <v>9957</v>
      </c>
      <c r="I365" s="5" t="s">
        <v>49</v>
      </c>
      <c r="J365" s="8">
        <v>3</v>
      </c>
      <c r="K365" s="8">
        <v>1</v>
      </c>
      <c r="L365" s="8">
        <v>6</v>
      </c>
      <c r="M3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5" s="8" t="str" cm="1">
        <f t="array" ref="N365">_xlfn.IFS(HR_Analytics56[[#This Row],[PerformanceRating]]=3,"Good",HR_Analytics56[[#This Row],[PerformanceRating]]=4, "Excellent")</f>
        <v>Good</v>
      </c>
      <c r="O365" s="8" t="str">
        <f>IF(HR_Analytics56[[#This Row],[MonthlyIncome]]&lt;3000,"&lt; ₹3,000",IF(HR_Analytics56[[#This Row],[MonthlyIncome]]&lt;=7000,"₹ 3,000 - ₹ 7,000","&gt; ₹7,000"))</f>
        <v>&gt; ₹7,000</v>
      </c>
      <c r="P365" s="8" t="str" cm="1">
        <f t="array" ref="P3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6" spans="1:16" x14ac:dyDescent="0.8">
      <c r="A366" s="5" t="s">
        <v>435</v>
      </c>
      <c r="B366" s="8">
        <v>30</v>
      </c>
      <c r="C366" s="5" t="s">
        <v>49</v>
      </c>
      <c r="D366" s="5" t="s">
        <v>51</v>
      </c>
      <c r="E366" s="5" t="s">
        <v>44</v>
      </c>
      <c r="F366" s="5" t="s">
        <v>137</v>
      </c>
      <c r="G366" s="8">
        <v>3</v>
      </c>
      <c r="H366" s="8">
        <v>6578</v>
      </c>
      <c r="I366" s="5" t="s">
        <v>49</v>
      </c>
      <c r="J366" s="8">
        <v>3</v>
      </c>
      <c r="K366" s="8">
        <v>3</v>
      </c>
      <c r="L366" s="8">
        <v>10</v>
      </c>
      <c r="M3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6" s="8" t="str" cm="1">
        <f t="array" ref="N366">_xlfn.IFS(HR_Analytics56[[#This Row],[PerformanceRating]]=3,"Good",HR_Analytics56[[#This Row],[PerformanceRating]]=4, "Excellent")</f>
        <v>Good</v>
      </c>
      <c r="O366" s="8" t="str">
        <f>IF(HR_Analytics56[[#This Row],[MonthlyIncome]]&lt;3000,"&lt; ₹3,000",IF(HR_Analytics56[[#This Row],[MonthlyIncome]]&lt;=7000,"₹ 3,000 - ₹ 7,000","&gt; ₹7,000"))</f>
        <v>₹ 3,000 - ₹ 7,000</v>
      </c>
      <c r="P366" s="8" t="str" cm="1">
        <f t="array" ref="P3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7" spans="1:16" x14ac:dyDescent="0.8">
      <c r="A367" s="5" t="s">
        <v>436</v>
      </c>
      <c r="B367" s="8">
        <v>30</v>
      </c>
      <c r="C367" s="5" t="s">
        <v>49</v>
      </c>
      <c r="D367" s="5" t="s">
        <v>51</v>
      </c>
      <c r="E367" s="5" t="s">
        <v>44</v>
      </c>
      <c r="F367" s="5" t="s">
        <v>137</v>
      </c>
      <c r="G367" s="8">
        <v>1</v>
      </c>
      <c r="H367" s="8">
        <v>4115</v>
      </c>
      <c r="I367" s="5" t="s">
        <v>49</v>
      </c>
      <c r="J367" s="8">
        <v>3</v>
      </c>
      <c r="K367" s="8">
        <v>3</v>
      </c>
      <c r="L367" s="8">
        <v>4</v>
      </c>
      <c r="M3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7" s="8" t="str" cm="1">
        <f t="array" ref="N367">_xlfn.IFS(HR_Analytics56[[#This Row],[PerformanceRating]]=3,"Good",HR_Analytics56[[#This Row],[PerformanceRating]]=4, "Excellent")</f>
        <v>Good</v>
      </c>
      <c r="O367" s="8" t="str">
        <f>IF(HR_Analytics56[[#This Row],[MonthlyIncome]]&lt;3000,"&lt; ₹3,000",IF(HR_Analytics56[[#This Row],[MonthlyIncome]]&lt;=7000,"₹ 3,000 - ₹ 7,000","&gt; ₹7,000"))</f>
        <v>₹ 3,000 - ₹ 7,000</v>
      </c>
      <c r="P367" s="8" t="str" cm="1">
        <f t="array" ref="P3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8" spans="1:16" x14ac:dyDescent="0.8">
      <c r="A368" s="5" t="s">
        <v>437</v>
      </c>
      <c r="B368" s="8">
        <v>30</v>
      </c>
      <c r="C368" s="5" t="s">
        <v>49</v>
      </c>
      <c r="D368" s="5" t="s">
        <v>42</v>
      </c>
      <c r="E368" s="5" t="s">
        <v>44</v>
      </c>
      <c r="F368" s="5" t="s">
        <v>45</v>
      </c>
      <c r="G368" s="8">
        <v>3</v>
      </c>
      <c r="H368" s="8">
        <v>3491</v>
      </c>
      <c r="I368" s="5" t="s">
        <v>49</v>
      </c>
      <c r="J368" s="8">
        <v>3</v>
      </c>
      <c r="K368" s="8">
        <v>4</v>
      </c>
      <c r="L368" s="8">
        <v>10</v>
      </c>
      <c r="M3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68" s="8" t="str" cm="1">
        <f t="array" ref="N368">_xlfn.IFS(HR_Analytics56[[#This Row],[PerformanceRating]]=3,"Good",HR_Analytics56[[#This Row],[PerformanceRating]]=4, "Excellent")</f>
        <v>Good</v>
      </c>
      <c r="O368" s="8" t="str">
        <f>IF(HR_Analytics56[[#This Row],[MonthlyIncome]]&lt;3000,"&lt; ₹3,000",IF(HR_Analytics56[[#This Row],[MonthlyIncome]]&lt;=7000,"₹ 3,000 - ₹ 7,000","&gt; ₹7,000"))</f>
        <v>₹ 3,000 - ₹ 7,000</v>
      </c>
      <c r="P368" s="8" t="str" cm="1">
        <f t="array" ref="P3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69" spans="1:16" x14ac:dyDescent="0.8">
      <c r="A369" s="5" t="s">
        <v>438</v>
      </c>
      <c r="B369" s="8">
        <v>30</v>
      </c>
      <c r="C369" s="5" t="s">
        <v>49</v>
      </c>
      <c r="D369" s="5" t="s">
        <v>42</v>
      </c>
      <c r="E369" s="5" t="s">
        <v>44</v>
      </c>
      <c r="F369" s="5" t="s">
        <v>60</v>
      </c>
      <c r="G369" s="8">
        <v>2</v>
      </c>
      <c r="H369" s="8">
        <v>3579</v>
      </c>
      <c r="I369" s="5" t="s">
        <v>40</v>
      </c>
      <c r="J369" s="8">
        <v>4</v>
      </c>
      <c r="K369" s="8">
        <v>2</v>
      </c>
      <c r="L369" s="8">
        <v>11</v>
      </c>
      <c r="M3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69" s="8" t="str" cm="1">
        <f t="array" ref="N369">_xlfn.IFS(HR_Analytics56[[#This Row],[PerformanceRating]]=3,"Good",HR_Analytics56[[#This Row],[PerformanceRating]]=4, "Excellent")</f>
        <v>Excellent</v>
      </c>
      <c r="O369" s="8" t="str">
        <f>IF(HR_Analytics56[[#This Row],[MonthlyIncome]]&lt;3000,"&lt; ₹3,000",IF(HR_Analytics56[[#This Row],[MonthlyIncome]]&lt;=7000,"₹ 3,000 - ₹ 7,000","&gt; ₹7,000"))</f>
        <v>₹ 3,000 - ₹ 7,000</v>
      </c>
      <c r="P369" s="8" t="str" cm="1">
        <f t="array" ref="P3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0" spans="1:16" x14ac:dyDescent="0.8">
      <c r="A370" s="5" t="s">
        <v>439</v>
      </c>
      <c r="B370" s="8">
        <v>30</v>
      </c>
      <c r="C370" s="5" t="s">
        <v>49</v>
      </c>
      <c r="D370" s="5" t="s">
        <v>42</v>
      </c>
      <c r="E370" s="5" t="s">
        <v>53</v>
      </c>
      <c r="F370" s="5" t="s">
        <v>112</v>
      </c>
      <c r="G370" s="8">
        <v>3</v>
      </c>
      <c r="H370" s="8">
        <v>4695</v>
      </c>
      <c r="I370" s="5" t="s">
        <v>40</v>
      </c>
      <c r="J370" s="8">
        <v>3</v>
      </c>
      <c r="K370" s="8">
        <v>3</v>
      </c>
      <c r="L370" s="8">
        <v>8</v>
      </c>
      <c r="M3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70" s="8" t="str" cm="1">
        <f t="array" ref="N370">_xlfn.IFS(HR_Analytics56[[#This Row],[PerformanceRating]]=3,"Good",HR_Analytics56[[#This Row],[PerformanceRating]]=4, "Excellent")</f>
        <v>Good</v>
      </c>
      <c r="O370" s="8" t="str">
        <f>IF(HR_Analytics56[[#This Row],[MonthlyIncome]]&lt;3000,"&lt; ₹3,000",IF(HR_Analytics56[[#This Row],[MonthlyIncome]]&lt;=7000,"₹ 3,000 - ₹ 7,000","&gt; ₹7,000"))</f>
        <v>₹ 3,000 - ₹ 7,000</v>
      </c>
      <c r="P370" s="8" t="str" cm="1">
        <f t="array" ref="P3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1" spans="1:16" x14ac:dyDescent="0.8">
      <c r="A371" s="5" t="s">
        <v>440</v>
      </c>
      <c r="B371" s="8">
        <v>30</v>
      </c>
      <c r="C371" s="5" t="s">
        <v>49</v>
      </c>
      <c r="D371" s="5" t="s">
        <v>42</v>
      </c>
      <c r="E371" s="5" t="s">
        <v>53</v>
      </c>
      <c r="F371" s="5" t="s">
        <v>45</v>
      </c>
      <c r="G371" s="8">
        <v>4</v>
      </c>
      <c r="H371" s="8">
        <v>4627</v>
      </c>
      <c r="I371" s="5" t="s">
        <v>49</v>
      </c>
      <c r="J371" s="8">
        <v>3</v>
      </c>
      <c r="K371" s="8">
        <v>6</v>
      </c>
      <c r="L371" s="8">
        <v>9</v>
      </c>
      <c r="M3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1" s="8" t="str" cm="1">
        <f t="array" ref="N371">_xlfn.IFS(HR_Analytics56[[#This Row],[PerformanceRating]]=3,"Good",HR_Analytics56[[#This Row],[PerformanceRating]]=4, "Excellent")</f>
        <v>Good</v>
      </c>
      <c r="O371" s="8" t="str">
        <f>IF(HR_Analytics56[[#This Row],[MonthlyIncome]]&lt;3000,"&lt; ₹3,000",IF(HR_Analytics56[[#This Row],[MonthlyIncome]]&lt;=7000,"₹ 3,000 - ₹ 7,000","&gt; ₹7,000"))</f>
        <v>₹ 3,000 - ₹ 7,000</v>
      </c>
      <c r="P371" s="8" t="str" cm="1">
        <f t="array" ref="P3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2" spans="1:16" x14ac:dyDescent="0.8">
      <c r="A372" s="5" t="s">
        <v>441</v>
      </c>
      <c r="B372" s="8">
        <v>30</v>
      </c>
      <c r="C372" s="5" t="s">
        <v>49</v>
      </c>
      <c r="D372" s="5" t="s">
        <v>42</v>
      </c>
      <c r="E372" s="5" t="s">
        <v>53</v>
      </c>
      <c r="F372" s="5" t="s">
        <v>442</v>
      </c>
      <c r="G372" s="8">
        <v>1</v>
      </c>
      <c r="H372" s="8">
        <v>11916</v>
      </c>
      <c r="I372" s="5" t="s">
        <v>40</v>
      </c>
      <c r="J372" s="8">
        <v>4</v>
      </c>
      <c r="K372" s="8">
        <v>2</v>
      </c>
      <c r="L372" s="8">
        <v>9</v>
      </c>
      <c r="M3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72" s="8" t="str" cm="1">
        <f t="array" ref="N372">_xlfn.IFS(HR_Analytics56[[#This Row],[PerformanceRating]]=3,"Good",HR_Analytics56[[#This Row],[PerformanceRating]]=4, "Excellent")</f>
        <v>Excellent</v>
      </c>
      <c r="O372" s="8" t="str">
        <f>IF(HR_Analytics56[[#This Row],[MonthlyIncome]]&lt;3000,"&lt; ₹3,000",IF(HR_Analytics56[[#This Row],[MonthlyIncome]]&lt;=7000,"₹ 3,000 - ₹ 7,000","&gt; ₹7,000"))</f>
        <v>&gt; ₹7,000</v>
      </c>
      <c r="P372" s="8" t="str" cm="1">
        <f t="array" ref="P3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3" spans="1:16" x14ac:dyDescent="0.8">
      <c r="A373" s="5" t="s">
        <v>443</v>
      </c>
      <c r="B373" s="8">
        <v>30</v>
      </c>
      <c r="C373" s="5" t="s">
        <v>49</v>
      </c>
      <c r="D373" s="5" t="s">
        <v>51</v>
      </c>
      <c r="E373" s="5" t="s">
        <v>53</v>
      </c>
      <c r="F373" s="5" t="s">
        <v>137</v>
      </c>
      <c r="G373" s="8">
        <v>1</v>
      </c>
      <c r="H373" s="8">
        <v>4779</v>
      </c>
      <c r="I373" s="5" t="s">
        <v>49</v>
      </c>
      <c r="J373" s="8">
        <v>3</v>
      </c>
      <c r="K373" s="8">
        <v>3</v>
      </c>
      <c r="L373" s="8">
        <v>3</v>
      </c>
      <c r="M3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3" s="8" t="str" cm="1">
        <f t="array" ref="N373">_xlfn.IFS(HR_Analytics56[[#This Row],[PerformanceRating]]=3,"Good",HR_Analytics56[[#This Row],[PerformanceRating]]=4, "Excellent")</f>
        <v>Good</v>
      </c>
      <c r="O373" s="8" t="str">
        <f>IF(HR_Analytics56[[#This Row],[MonthlyIncome]]&lt;3000,"&lt; ₹3,000",IF(HR_Analytics56[[#This Row],[MonthlyIncome]]&lt;=7000,"₹ 3,000 - ₹ 7,000","&gt; ₹7,000"))</f>
        <v>₹ 3,000 - ₹ 7,000</v>
      </c>
      <c r="P373" s="8" t="str" cm="1">
        <f t="array" ref="P3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4" spans="1:16" x14ac:dyDescent="0.8">
      <c r="A374" s="5" t="s">
        <v>444</v>
      </c>
      <c r="B374" s="8">
        <v>30</v>
      </c>
      <c r="C374" s="5" t="s">
        <v>49</v>
      </c>
      <c r="D374" s="5" t="s">
        <v>51</v>
      </c>
      <c r="E374" s="5" t="s">
        <v>44</v>
      </c>
      <c r="F374" s="5" t="s">
        <v>137</v>
      </c>
      <c r="G374" s="8">
        <v>3</v>
      </c>
      <c r="H374" s="8">
        <v>5301</v>
      </c>
      <c r="I374" s="5" t="s">
        <v>49</v>
      </c>
      <c r="J374" s="8">
        <v>3</v>
      </c>
      <c r="K374" s="8">
        <v>2</v>
      </c>
      <c r="L374" s="8">
        <v>2</v>
      </c>
      <c r="M3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4" s="8" t="str" cm="1">
        <f t="array" ref="N374">_xlfn.IFS(HR_Analytics56[[#This Row],[PerformanceRating]]=3,"Good",HR_Analytics56[[#This Row],[PerformanceRating]]=4, "Excellent")</f>
        <v>Good</v>
      </c>
      <c r="O374" s="8" t="str">
        <f>IF(HR_Analytics56[[#This Row],[MonthlyIncome]]&lt;3000,"&lt; ₹3,000",IF(HR_Analytics56[[#This Row],[MonthlyIncome]]&lt;=7000,"₹ 3,000 - ₹ 7,000","&gt; ₹7,000"))</f>
        <v>₹ 3,000 - ₹ 7,000</v>
      </c>
      <c r="P374" s="8" t="str" cm="1">
        <f t="array" ref="P3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5" spans="1:16" x14ac:dyDescent="0.8">
      <c r="A375" s="5" t="s">
        <v>445</v>
      </c>
      <c r="B375" s="8">
        <v>30</v>
      </c>
      <c r="C375" s="5" t="s">
        <v>49</v>
      </c>
      <c r="D375" s="5" t="s">
        <v>42</v>
      </c>
      <c r="E375" s="5" t="s">
        <v>44</v>
      </c>
      <c r="F375" s="5" t="s">
        <v>60</v>
      </c>
      <c r="G375" s="8">
        <v>3</v>
      </c>
      <c r="H375" s="8">
        <v>1274</v>
      </c>
      <c r="I375" s="5" t="s">
        <v>49</v>
      </c>
      <c r="J375" s="8">
        <v>3</v>
      </c>
      <c r="K375" s="8">
        <v>2</v>
      </c>
      <c r="L375" s="8">
        <v>1</v>
      </c>
      <c r="M3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5" s="8" t="str" cm="1">
        <f t="array" ref="N375">_xlfn.IFS(HR_Analytics56[[#This Row],[PerformanceRating]]=3,"Good",HR_Analytics56[[#This Row],[PerformanceRating]]=4, "Excellent")</f>
        <v>Good</v>
      </c>
      <c r="O375" s="8" t="str">
        <f>IF(HR_Analytics56[[#This Row],[MonthlyIncome]]&lt;3000,"&lt; ₹3,000",IF(HR_Analytics56[[#This Row],[MonthlyIncome]]&lt;=7000,"₹ 3,000 - ₹ 7,000","&gt; ₹7,000"))</f>
        <v>&lt; ₹3,000</v>
      </c>
      <c r="P375" s="8" t="str" cm="1">
        <f t="array" ref="P3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6" spans="1:16" x14ac:dyDescent="0.8">
      <c r="A376" s="5" t="s">
        <v>446</v>
      </c>
      <c r="B376" s="8">
        <v>30</v>
      </c>
      <c r="C376" s="5" t="s">
        <v>49</v>
      </c>
      <c r="D376" s="5" t="s">
        <v>71</v>
      </c>
      <c r="E376" s="5" t="s">
        <v>44</v>
      </c>
      <c r="F376" s="5" t="s">
        <v>71</v>
      </c>
      <c r="G376" s="8">
        <v>3</v>
      </c>
      <c r="H376" s="8">
        <v>2064</v>
      </c>
      <c r="I376" s="5" t="s">
        <v>49</v>
      </c>
      <c r="J376" s="8">
        <v>4</v>
      </c>
      <c r="K376" s="8">
        <v>3</v>
      </c>
      <c r="L376" s="8">
        <v>5</v>
      </c>
      <c r="M3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6" s="8" t="str" cm="1">
        <f t="array" ref="N376">_xlfn.IFS(HR_Analytics56[[#This Row],[PerformanceRating]]=3,"Good",HR_Analytics56[[#This Row],[PerformanceRating]]=4, "Excellent")</f>
        <v>Excellent</v>
      </c>
      <c r="O376" s="8" t="str">
        <f>IF(HR_Analytics56[[#This Row],[MonthlyIncome]]&lt;3000,"&lt; ₹3,000",IF(HR_Analytics56[[#This Row],[MonthlyIncome]]&lt;=7000,"₹ 3,000 - ₹ 7,000","&gt; ₹7,000"))</f>
        <v>&lt; ₹3,000</v>
      </c>
      <c r="P376" s="8" t="str" cm="1">
        <f t="array" ref="P37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377" spans="1:16" x14ac:dyDescent="0.8">
      <c r="A377" s="5" t="s">
        <v>447</v>
      </c>
      <c r="B377" s="8">
        <v>30</v>
      </c>
      <c r="C377" s="5" t="s">
        <v>40</v>
      </c>
      <c r="D377" s="5" t="s">
        <v>51</v>
      </c>
      <c r="E377" s="5" t="s">
        <v>44</v>
      </c>
      <c r="F377" s="5" t="s">
        <v>137</v>
      </c>
      <c r="G377" s="8">
        <v>1</v>
      </c>
      <c r="H377" s="8">
        <v>9714</v>
      </c>
      <c r="I377" s="5" t="s">
        <v>49</v>
      </c>
      <c r="J377" s="8">
        <v>3</v>
      </c>
      <c r="K377" s="8">
        <v>4</v>
      </c>
      <c r="L377" s="8">
        <v>10</v>
      </c>
      <c r="M3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77" s="8" t="str" cm="1">
        <f t="array" ref="N377">_xlfn.IFS(HR_Analytics56[[#This Row],[PerformanceRating]]=3,"Good",HR_Analytics56[[#This Row],[PerformanceRating]]=4, "Excellent")</f>
        <v>Good</v>
      </c>
      <c r="O377" s="8" t="str">
        <f>IF(HR_Analytics56[[#This Row],[MonthlyIncome]]&lt;3000,"&lt; ₹3,000",IF(HR_Analytics56[[#This Row],[MonthlyIncome]]&lt;=7000,"₹ 3,000 - ₹ 7,000","&gt; ₹7,000"))</f>
        <v>&gt; ₹7,000</v>
      </c>
      <c r="P377" s="8" t="str" cm="1">
        <f t="array" ref="P3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8" spans="1:16" x14ac:dyDescent="0.8">
      <c r="A378" s="5" t="s">
        <v>448</v>
      </c>
      <c r="B378" s="8">
        <v>30</v>
      </c>
      <c r="C378" s="5" t="s">
        <v>49</v>
      </c>
      <c r="D378" s="5" t="s">
        <v>51</v>
      </c>
      <c r="E378" s="5" t="s">
        <v>44</v>
      </c>
      <c r="F378" s="5" t="s">
        <v>137</v>
      </c>
      <c r="G378" s="8">
        <v>2</v>
      </c>
      <c r="H378" s="8">
        <v>9250</v>
      </c>
      <c r="I378" s="5" t="s">
        <v>49</v>
      </c>
      <c r="J378" s="8">
        <v>3</v>
      </c>
      <c r="K378" s="8">
        <v>3</v>
      </c>
      <c r="L378" s="8">
        <v>4</v>
      </c>
      <c r="M3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8" s="8" t="str" cm="1">
        <f t="array" ref="N378">_xlfn.IFS(HR_Analytics56[[#This Row],[PerformanceRating]]=3,"Good",HR_Analytics56[[#This Row],[PerformanceRating]]=4, "Excellent")</f>
        <v>Good</v>
      </c>
      <c r="O378" s="8" t="str">
        <f>IF(HR_Analytics56[[#This Row],[MonthlyIncome]]&lt;3000,"&lt; ₹3,000",IF(HR_Analytics56[[#This Row],[MonthlyIncome]]&lt;=7000,"₹ 3,000 - ₹ 7,000","&gt; ₹7,000"))</f>
        <v>&gt; ₹7,000</v>
      </c>
      <c r="P378" s="8" t="str" cm="1">
        <f t="array" ref="P3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79" spans="1:16" x14ac:dyDescent="0.8">
      <c r="A379" s="5" t="s">
        <v>449</v>
      </c>
      <c r="B379" s="8">
        <v>30</v>
      </c>
      <c r="C379" s="5" t="s">
        <v>49</v>
      </c>
      <c r="D379" s="5" t="s">
        <v>42</v>
      </c>
      <c r="E379" s="5" t="s">
        <v>44</v>
      </c>
      <c r="F379" s="5" t="s">
        <v>60</v>
      </c>
      <c r="G379" s="8">
        <v>2</v>
      </c>
      <c r="H379" s="8">
        <v>2141</v>
      </c>
      <c r="I379" s="5" t="s">
        <v>49</v>
      </c>
      <c r="J379" s="8">
        <v>3</v>
      </c>
      <c r="K379" s="8">
        <v>3</v>
      </c>
      <c r="L379" s="8">
        <v>6</v>
      </c>
      <c r="M3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79" s="8" t="str" cm="1">
        <f t="array" ref="N379">_xlfn.IFS(HR_Analytics56[[#This Row],[PerformanceRating]]=3,"Good",HR_Analytics56[[#This Row],[PerformanceRating]]=4, "Excellent")</f>
        <v>Good</v>
      </c>
      <c r="O379" s="8" t="str">
        <f>IF(HR_Analytics56[[#This Row],[MonthlyIncome]]&lt;3000,"&lt; ₹3,000",IF(HR_Analytics56[[#This Row],[MonthlyIncome]]&lt;=7000,"₹ 3,000 - ₹ 7,000","&gt; ₹7,000"))</f>
        <v>&lt; ₹3,000</v>
      </c>
      <c r="P379" s="8" t="str" cm="1">
        <f t="array" ref="P3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0" spans="1:16" x14ac:dyDescent="0.8">
      <c r="A380" s="5" t="s">
        <v>450</v>
      </c>
      <c r="B380" s="8">
        <v>30</v>
      </c>
      <c r="C380" s="5" t="s">
        <v>49</v>
      </c>
      <c r="D380" s="5" t="s">
        <v>42</v>
      </c>
      <c r="E380" s="5" t="s">
        <v>44</v>
      </c>
      <c r="F380" s="5" t="s">
        <v>60</v>
      </c>
      <c r="G380" s="8">
        <v>4</v>
      </c>
      <c r="H380" s="8">
        <v>2862</v>
      </c>
      <c r="I380" s="5" t="s">
        <v>49</v>
      </c>
      <c r="J380" s="8">
        <v>3</v>
      </c>
      <c r="K380" s="8">
        <v>2</v>
      </c>
      <c r="L380" s="8">
        <v>10</v>
      </c>
      <c r="M3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0" s="8" t="str" cm="1">
        <f t="array" ref="N380">_xlfn.IFS(HR_Analytics56[[#This Row],[PerformanceRating]]=3,"Good",HR_Analytics56[[#This Row],[PerformanceRating]]=4, "Excellent")</f>
        <v>Good</v>
      </c>
      <c r="O380" s="8" t="str">
        <f>IF(HR_Analytics56[[#This Row],[MonthlyIncome]]&lt;3000,"&lt; ₹3,000",IF(HR_Analytics56[[#This Row],[MonthlyIncome]]&lt;=7000,"₹ 3,000 - ₹ 7,000","&gt; ₹7,000"))</f>
        <v>&lt; ₹3,000</v>
      </c>
      <c r="P380" s="8" t="str" cm="1">
        <f t="array" ref="P3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1" spans="1:16" x14ac:dyDescent="0.8">
      <c r="A381" s="5" t="s">
        <v>451</v>
      </c>
      <c r="B381" s="8">
        <v>30</v>
      </c>
      <c r="C381" s="5" t="s">
        <v>49</v>
      </c>
      <c r="D381" s="5" t="s">
        <v>42</v>
      </c>
      <c r="E381" s="5" t="s">
        <v>53</v>
      </c>
      <c r="F381" s="5" t="s">
        <v>60</v>
      </c>
      <c r="G381" s="8">
        <v>1</v>
      </c>
      <c r="H381" s="8">
        <v>4968</v>
      </c>
      <c r="I381" s="5" t="s">
        <v>49</v>
      </c>
      <c r="J381" s="8">
        <v>3</v>
      </c>
      <c r="K381" s="8">
        <v>2</v>
      </c>
      <c r="L381" s="8">
        <v>9</v>
      </c>
      <c r="M3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1" s="8" t="str" cm="1">
        <f t="array" ref="N381">_xlfn.IFS(HR_Analytics56[[#This Row],[PerformanceRating]]=3,"Good",HR_Analytics56[[#This Row],[PerformanceRating]]=4, "Excellent")</f>
        <v>Good</v>
      </c>
      <c r="O381" s="8" t="str">
        <f>IF(HR_Analytics56[[#This Row],[MonthlyIncome]]&lt;3000,"&lt; ₹3,000",IF(HR_Analytics56[[#This Row],[MonthlyIncome]]&lt;=7000,"₹ 3,000 - ₹ 7,000","&gt; ₹7,000"))</f>
        <v>₹ 3,000 - ₹ 7,000</v>
      </c>
      <c r="P381" s="8" t="str" cm="1">
        <f t="array" ref="P3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2" spans="1:16" x14ac:dyDescent="0.8">
      <c r="A382" s="5" t="s">
        <v>452</v>
      </c>
      <c r="B382" s="8">
        <v>30</v>
      </c>
      <c r="C382" s="5" t="s">
        <v>40</v>
      </c>
      <c r="D382" s="5" t="s">
        <v>71</v>
      </c>
      <c r="E382" s="5" t="s">
        <v>53</v>
      </c>
      <c r="F382" s="5" t="s">
        <v>71</v>
      </c>
      <c r="G382" s="8">
        <v>4</v>
      </c>
      <c r="H382" s="8">
        <v>2180</v>
      </c>
      <c r="I382" s="5" t="s">
        <v>49</v>
      </c>
      <c r="J382" s="8">
        <v>3</v>
      </c>
      <c r="K382" s="8">
        <v>0</v>
      </c>
      <c r="L382" s="8">
        <v>4</v>
      </c>
      <c r="M3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82" s="8" t="str" cm="1">
        <f t="array" ref="N382">_xlfn.IFS(HR_Analytics56[[#This Row],[PerformanceRating]]=3,"Good",HR_Analytics56[[#This Row],[PerformanceRating]]=4, "Excellent")</f>
        <v>Good</v>
      </c>
      <c r="O382" s="8" t="str">
        <f>IF(HR_Analytics56[[#This Row],[MonthlyIncome]]&lt;3000,"&lt; ₹3,000",IF(HR_Analytics56[[#This Row],[MonthlyIncome]]&lt;=7000,"₹ 3,000 - ₹ 7,000","&gt; ₹7,000"))</f>
        <v>&lt; ₹3,000</v>
      </c>
      <c r="P382" s="8" t="str" cm="1">
        <f t="array" ref="P3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3" spans="1:16" x14ac:dyDescent="0.8">
      <c r="A383" s="5" t="s">
        <v>453</v>
      </c>
      <c r="B383" s="8">
        <v>30</v>
      </c>
      <c r="C383" s="5" t="s">
        <v>49</v>
      </c>
      <c r="D383" s="5" t="s">
        <v>51</v>
      </c>
      <c r="E383" s="5" t="s">
        <v>44</v>
      </c>
      <c r="F383" s="5" t="s">
        <v>137</v>
      </c>
      <c r="G383" s="8">
        <v>1</v>
      </c>
      <c r="H383" s="8">
        <v>7140</v>
      </c>
      <c r="I383" s="5" t="s">
        <v>49</v>
      </c>
      <c r="J383" s="8">
        <v>3</v>
      </c>
      <c r="K383" s="8">
        <v>2</v>
      </c>
      <c r="L383" s="8">
        <v>7</v>
      </c>
      <c r="M3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3" s="8" t="str" cm="1">
        <f t="array" ref="N383">_xlfn.IFS(HR_Analytics56[[#This Row],[PerformanceRating]]=3,"Good",HR_Analytics56[[#This Row],[PerformanceRating]]=4, "Excellent")</f>
        <v>Good</v>
      </c>
      <c r="O383" s="8" t="str">
        <f>IF(HR_Analytics56[[#This Row],[MonthlyIncome]]&lt;3000,"&lt; ₹3,000",IF(HR_Analytics56[[#This Row],[MonthlyIncome]]&lt;=7000,"₹ 3,000 - ₹ 7,000","&gt; ₹7,000"))</f>
        <v>&gt; ₹7,000</v>
      </c>
      <c r="P383" s="8" t="str" cm="1">
        <f t="array" ref="P3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4" spans="1:16" x14ac:dyDescent="0.8">
      <c r="A384" s="5" t="s">
        <v>454</v>
      </c>
      <c r="B384" s="8">
        <v>30</v>
      </c>
      <c r="C384" s="5" t="s">
        <v>49</v>
      </c>
      <c r="D384" s="5" t="s">
        <v>42</v>
      </c>
      <c r="E384" s="5" t="s">
        <v>44</v>
      </c>
      <c r="F384" s="5" t="s">
        <v>161</v>
      </c>
      <c r="G384" s="8">
        <v>3</v>
      </c>
      <c r="H384" s="8">
        <v>5294</v>
      </c>
      <c r="I384" s="5" t="s">
        <v>49</v>
      </c>
      <c r="J384" s="8">
        <v>3</v>
      </c>
      <c r="K384" s="8">
        <v>3</v>
      </c>
      <c r="L384" s="8">
        <v>7</v>
      </c>
      <c r="M3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4" s="8" t="str" cm="1">
        <f t="array" ref="N384">_xlfn.IFS(HR_Analytics56[[#This Row],[PerformanceRating]]=3,"Good",HR_Analytics56[[#This Row],[PerformanceRating]]=4, "Excellent")</f>
        <v>Good</v>
      </c>
      <c r="O384" s="8" t="str">
        <f>IF(HR_Analytics56[[#This Row],[MonthlyIncome]]&lt;3000,"&lt; ₹3,000",IF(HR_Analytics56[[#This Row],[MonthlyIncome]]&lt;=7000,"₹ 3,000 - ₹ 7,000","&gt; ₹7,000"))</f>
        <v>₹ 3,000 - ₹ 7,000</v>
      </c>
      <c r="P384" s="8" t="str" cm="1">
        <f t="array" ref="P3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5" spans="1:16" x14ac:dyDescent="0.8">
      <c r="A385" s="5" t="s">
        <v>455</v>
      </c>
      <c r="B385" s="8">
        <v>30</v>
      </c>
      <c r="C385" s="5" t="s">
        <v>49</v>
      </c>
      <c r="D385" s="5" t="s">
        <v>42</v>
      </c>
      <c r="E385" s="5" t="s">
        <v>53</v>
      </c>
      <c r="F385" s="5" t="s">
        <v>112</v>
      </c>
      <c r="G385" s="8">
        <v>3</v>
      </c>
      <c r="H385" s="8">
        <v>9667</v>
      </c>
      <c r="I385" s="5" t="s">
        <v>49</v>
      </c>
      <c r="J385" s="8">
        <v>3</v>
      </c>
      <c r="K385" s="8">
        <v>3</v>
      </c>
      <c r="L385" s="8">
        <v>7</v>
      </c>
      <c r="M3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5" s="8" t="str" cm="1">
        <f t="array" ref="N385">_xlfn.IFS(HR_Analytics56[[#This Row],[PerformanceRating]]=3,"Good",HR_Analytics56[[#This Row],[PerformanceRating]]=4, "Excellent")</f>
        <v>Good</v>
      </c>
      <c r="O385" s="8" t="str">
        <f>IF(HR_Analytics56[[#This Row],[MonthlyIncome]]&lt;3000,"&lt; ₹3,000",IF(HR_Analytics56[[#This Row],[MonthlyIncome]]&lt;=7000,"₹ 3,000 - ₹ 7,000","&gt; ₹7,000"))</f>
        <v>&gt; ₹7,000</v>
      </c>
      <c r="P385" s="8" t="str" cm="1">
        <f t="array" ref="P3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6" spans="1:16" x14ac:dyDescent="0.8">
      <c r="A386" s="5" t="s">
        <v>456</v>
      </c>
      <c r="B386" s="8">
        <v>30</v>
      </c>
      <c r="C386" s="5" t="s">
        <v>40</v>
      </c>
      <c r="D386" s="5" t="s">
        <v>51</v>
      </c>
      <c r="E386" s="5" t="s">
        <v>44</v>
      </c>
      <c r="F386" s="5" t="s">
        <v>54</v>
      </c>
      <c r="G386" s="8">
        <v>4</v>
      </c>
      <c r="H386" s="8">
        <v>1081</v>
      </c>
      <c r="I386" s="5" t="s">
        <v>49</v>
      </c>
      <c r="J386" s="8">
        <v>3</v>
      </c>
      <c r="K386" s="8">
        <v>3</v>
      </c>
      <c r="L386" s="8">
        <v>1</v>
      </c>
      <c r="M3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86" s="8" t="str" cm="1">
        <f t="array" ref="N386">_xlfn.IFS(HR_Analytics56[[#This Row],[PerformanceRating]]=3,"Good",HR_Analytics56[[#This Row],[PerformanceRating]]=4, "Excellent")</f>
        <v>Good</v>
      </c>
      <c r="O386" s="8" t="str">
        <f>IF(HR_Analytics56[[#This Row],[MonthlyIncome]]&lt;3000,"&lt; ₹3,000",IF(HR_Analytics56[[#This Row],[MonthlyIncome]]&lt;=7000,"₹ 3,000 - ₹ 7,000","&gt; ₹7,000"))</f>
        <v>&lt; ₹3,000</v>
      </c>
      <c r="P386" s="8" t="str" cm="1">
        <f t="array" ref="P3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7" spans="1:16" x14ac:dyDescent="0.8">
      <c r="A387" s="5" t="s">
        <v>457</v>
      </c>
      <c r="B387" s="8">
        <v>30</v>
      </c>
      <c r="C387" s="5" t="s">
        <v>49</v>
      </c>
      <c r="D387" s="5" t="s">
        <v>42</v>
      </c>
      <c r="E387" s="5" t="s">
        <v>44</v>
      </c>
      <c r="F387" s="5" t="s">
        <v>45</v>
      </c>
      <c r="G387" s="8">
        <v>2</v>
      </c>
      <c r="H387" s="8">
        <v>3748</v>
      </c>
      <c r="I387" s="5" t="s">
        <v>49</v>
      </c>
      <c r="J387" s="8">
        <v>3</v>
      </c>
      <c r="K387" s="8">
        <v>6</v>
      </c>
      <c r="L387" s="8">
        <v>12</v>
      </c>
      <c r="M3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7" s="8" t="str" cm="1">
        <f t="array" ref="N387">_xlfn.IFS(HR_Analytics56[[#This Row],[PerformanceRating]]=3,"Good",HR_Analytics56[[#This Row],[PerformanceRating]]=4, "Excellent")</f>
        <v>Good</v>
      </c>
      <c r="O387" s="8" t="str">
        <f>IF(HR_Analytics56[[#This Row],[MonthlyIncome]]&lt;3000,"&lt; ₹3,000",IF(HR_Analytics56[[#This Row],[MonthlyIncome]]&lt;=7000,"₹ 3,000 - ₹ 7,000","&gt; ₹7,000"))</f>
        <v>₹ 3,000 - ₹ 7,000</v>
      </c>
      <c r="P387" s="8" t="str" cm="1">
        <f t="array" ref="P3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8" spans="1:16" x14ac:dyDescent="0.8">
      <c r="A388" s="5" t="s">
        <v>458</v>
      </c>
      <c r="B388" s="8">
        <v>31</v>
      </c>
      <c r="C388" s="5" t="s">
        <v>49</v>
      </c>
      <c r="D388" s="5" t="s">
        <v>42</v>
      </c>
      <c r="E388" s="5" t="s">
        <v>44</v>
      </c>
      <c r="F388" s="5" t="s">
        <v>60</v>
      </c>
      <c r="G388" s="8">
        <v>3</v>
      </c>
      <c r="H388" s="8">
        <v>2911</v>
      </c>
      <c r="I388" s="5" t="s">
        <v>49</v>
      </c>
      <c r="J388" s="8">
        <v>3</v>
      </c>
      <c r="K388" s="8">
        <v>1</v>
      </c>
      <c r="L388" s="8">
        <v>5</v>
      </c>
      <c r="M3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8" s="8" t="str" cm="1">
        <f t="array" ref="N388">_xlfn.IFS(HR_Analytics56[[#This Row],[PerformanceRating]]=3,"Good",HR_Analytics56[[#This Row],[PerformanceRating]]=4, "Excellent")</f>
        <v>Good</v>
      </c>
      <c r="O388" s="8" t="str">
        <f>IF(HR_Analytics56[[#This Row],[MonthlyIncome]]&lt;3000,"&lt; ₹3,000",IF(HR_Analytics56[[#This Row],[MonthlyIncome]]&lt;=7000,"₹ 3,000 - ₹ 7,000","&gt; ₹7,000"))</f>
        <v>&lt; ₹3,000</v>
      </c>
      <c r="P388" s="8" t="str" cm="1">
        <f t="array" ref="P3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89" spans="1:16" x14ac:dyDescent="0.8">
      <c r="A389" s="5" t="s">
        <v>459</v>
      </c>
      <c r="B389" s="8">
        <v>31</v>
      </c>
      <c r="C389" s="5" t="s">
        <v>49</v>
      </c>
      <c r="D389" s="5" t="s">
        <v>42</v>
      </c>
      <c r="E389" s="5" t="s">
        <v>44</v>
      </c>
      <c r="F389" s="5" t="s">
        <v>45</v>
      </c>
      <c r="G389" s="8">
        <v>4</v>
      </c>
      <c r="H389" s="8">
        <v>5915</v>
      </c>
      <c r="I389" s="5" t="s">
        <v>49</v>
      </c>
      <c r="J389" s="8">
        <v>4</v>
      </c>
      <c r="K389" s="8">
        <v>3</v>
      </c>
      <c r="L389" s="8">
        <v>7</v>
      </c>
      <c r="M3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89" s="8" t="str" cm="1">
        <f t="array" ref="N389">_xlfn.IFS(HR_Analytics56[[#This Row],[PerformanceRating]]=3,"Good",HR_Analytics56[[#This Row],[PerformanceRating]]=4, "Excellent")</f>
        <v>Excellent</v>
      </c>
      <c r="O389" s="8" t="str">
        <f>IF(HR_Analytics56[[#This Row],[MonthlyIncome]]&lt;3000,"&lt; ₹3,000",IF(HR_Analytics56[[#This Row],[MonthlyIncome]]&lt;=7000,"₹ 3,000 - ₹ 7,000","&gt; ₹7,000"))</f>
        <v>₹ 3,000 - ₹ 7,000</v>
      </c>
      <c r="P389" s="8" t="str" cm="1">
        <f t="array" ref="P38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390" spans="1:16" x14ac:dyDescent="0.8">
      <c r="A390" s="5" t="s">
        <v>460</v>
      </c>
      <c r="B390" s="8">
        <v>31</v>
      </c>
      <c r="C390" s="5" t="s">
        <v>49</v>
      </c>
      <c r="D390" s="5" t="s">
        <v>42</v>
      </c>
      <c r="E390" s="5" t="s">
        <v>44</v>
      </c>
      <c r="F390" s="5" t="s">
        <v>60</v>
      </c>
      <c r="G390" s="8">
        <v>2</v>
      </c>
      <c r="H390" s="8">
        <v>2501</v>
      </c>
      <c r="I390" s="5" t="s">
        <v>49</v>
      </c>
      <c r="J390" s="8">
        <v>3</v>
      </c>
      <c r="K390" s="8">
        <v>4</v>
      </c>
      <c r="L390" s="8">
        <v>1</v>
      </c>
      <c r="M3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0" s="8" t="str" cm="1">
        <f t="array" ref="N390">_xlfn.IFS(HR_Analytics56[[#This Row],[PerformanceRating]]=3,"Good",HR_Analytics56[[#This Row],[PerformanceRating]]=4, "Excellent")</f>
        <v>Good</v>
      </c>
      <c r="O390" s="8" t="str">
        <f>IF(HR_Analytics56[[#This Row],[MonthlyIncome]]&lt;3000,"&lt; ₹3,000",IF(HR_Analytics56[[#This Row],[MonthlyIncome]]&lt;=7000,"₹ 3,000 - ₹ 7,000","&gt; ₹7,000"))</f>
        <v>&lt; ₹3,000</v>
      </c>
      <c r="P390" s="8" t="str" cm="1">
        <f t="array" ref="P3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1" spans="1:16" x14ac:dyDescent="0.8">
      <c r="A391" s="5" t="s">
        <v>461</v>
      </c>
      <c r="B391" s="8">
        <v>31</v>
      </c>
      <c r="C391" s="5" t="s">
        <v>49</v>
      </c>
      <c r="D391" s="5" t="s">
        <v>42</v>
      </c>
      <c r="E391" s="5" t="s">
        <v>53</v>
      </c>
      <c r="F391" s="5" t="s">
        <v>112</v>
      </c>
      <c r="G391" s="8">
        <v>4</v>
      </c>
      <c r="H391" s="8">
        <v>4424</v>
      </c>
      <c r="I391" s="5" t="s">
        <v>49</v>
      </c>
      <c r="J391" s="8">
        <v>4</v>
      </c>
      <c r="K391" s="8">
        <v>2</v>
      </c>
      <c r="L391" s="8">
        <v>11</v>
      </c>
      <c r="M3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1" s="8" t="str" cm="1">
        <f t="array" ref="N391">_xlfn.IFS(HR_Analytics56[[#This Row],[PerformanceRating]]=3,"Good",HR_Analytics56[[#This Row],[PerformanceRating]]=4, "Excellent")</f>
        <v>Excellent</v>
      </c>
      <c r="O391" s="8" t="str">
        <f>IF(HR_Analytics56[[#This Row],[MonthlyIncome]]&lt;3000,"&lt; ₹3,000",IF(HR_Analytics56[[#This Row],[MonthlyIncome]]&lt;=7000,"₹ 3,000 - ₹ 7,000","&gt; ₹7,000"))</f>
        <v>₹ 3,000 - ₹ 7,000</v>
      </c>
      <c r="P391" s="8" t="str" cm="1">
        <f t="array" ref="P3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2" spans="1:16" x14ac:dyDescent="0.8">
      <c r="A392" s="5" t="s">
        <v>462</v>
      </c>
      <c r="B392" s="8">
        <v>31</v>
      </c>
      <c r="C392" s="5" t="s">
        <v>40</v>
      </c>
      <c r="D392" s="5" t="s">
        <v>51</v>
      </c>
      <c r="E392" s="5" t="s">
        <v>44</v>
      </c>
      <c r="F392" s="5" t="s">
        <v>137</v>
      </c>
      <c r="G392" s="8">
        <v>3</v>
      </c>
      <c r="H392" s="8">
        <v>6172</v>
      </c>
      <c r="I392" s="5" t="s">
        <v>40</v>
      </c>
      <c r="J392" s="8">
        <v>3</v>
      </c>
      <c r="K392" s="8">
        <v>3</v>
      </c>
      <c r="L392" s="8">
        <v>7</v>
      </c>
      <c r="M3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92" s="8" t="str" cm="1">
        <f t="array" ref="N392">_xlfn.IFS(HR_Analytics56[[#This Row],[PerformanceRating]]=3,"Good",HR_Analytics56[[#This Row],[PerformanceRating]]=4, "Excellent")</f>
        <v>Good</v>
      </c>
      <c r="O392" s="8" t="str">
        <f>IF(HR_Analytics56[[#This Row],[MonthlyIncome]]&lt;3000,"&lt; ₹3,000",IF(HR_Analytics56[[#This Row],[MonthlyIncome]]&lt;=7000,"₹ 3,000 - ₹ 7,000","&gt; ₹7,000"))</f>
        <v>₹ 3,000 - ₹ 7,000</v>
      </c>
      <c r="P392" s="8" t="str" cm="1">
        <f t="array" ref="P3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3" spans="1:16" x14ac:dyDescent="0.8">
      <c r="A393" s="5" t="s">
        <v>463</v>
      </c>
      <c r="B393" s="8">
        <v>31</v>
      </c>
      <c r="C393" s="5" t="s">
        <v>40</v>
      </c>
      <c r="D393" s="5" t="s">
        <v>51</v>
      </c>
      <c r="E393" s="5" t="s">
        <v>53</v>
      </c>
      <c r="F393" s="5" t="s">
        <v>137</v>
      </c>
      <c r="G393" s="8">
        <v>3</v>
      </c>
      <c r="H393" s="8">
        <v>4559</v>
      </c>
      <c r="I393" s="5" t="s">
        <v>40</v>
      </c>
      <c r="J393" s="8">
        <v>3</v>
      </c>
      <c r="K393" s="8">
        <v>2</v>
      </c>
      <c r="L393" s="8">
        <v>2</v>
      </c>
      <c r="M3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393" s="8" t="str" cm="1">
        <f t="array" ref="N393">_xlfn.IFS(HR_Analytics56[[#This Row],[PerformanceRating]]=3,"Good",HR_Analytics56[[#This Row],[PerformanceRating]]=4, "Excellent")</f>
        <v>Good</v>
      </c>
      <c r="O393" s="8" t="str">
        <f>IF(HR_Analytics56[[#This Row],[MonthlyIncome]]&lt;3000,"&lt; ₹3,000",IF(HR_Analytics56[[#This Row],[MonthlyIncome]]&lt;=7000,"₹ 3,000 - ₹ 7,000","&gt; ₹7,000"))</f>
        <v>₹ 3,000 - ₹ 7,000</v>
      </c>
      <c r="P393" s="8" t="str" cm="1">
        <f t="array" ref="P3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4" spans="1:16" x14ac:dyDescent="0.8">
      <c r="A394" s="5" t="s">
        <v>464</v>
      </c>
      <c r="B394" s="8">
        <v>31</v>
      </c>
      <c r="C394" s="5" t="s">
        <v>49</v>
      </c>
      <c r="D394" s="5" t="s">
        <v>42</v>
      </c>
      <c r="E394" s="5" t="s">
        <v>53</v>
      </c>
      <c r="F394" s="5" t="s">
        <v>60</v>
      </c>
      <c r="G394" s="8">
        <v>4</v>
      </c>
      <c r="H394" s="8">
        <v>3929</v>
      </c>
      <c r="I394" s="5" t="s">
        <v>40</v>
      </c>
      <c r="J394" s="8">
        <v>4</v>
      </c>
      <c r="K394" s="8">
        <v>0</v>
      </c>
      <c r="L394" s="8">
        <v>4</v>
      </c>
      <c r="M3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94" s="8" t="str" cm="1">
        <f t="array" ref="N394">_xlfn.IFS(HR_Analytics56[[#This Row],[PerformanceRating]]=3,"Good",HR_Analytics56[[#This Row],[PerformanceRating]]=4, "Excellent")</f>
        <v>Excellent</v>
      </c>
      <c r="O394" s="8" t="str">
        <f>IF(HR_Analytics56[[#This Row],[MonthlyIncome]]&lt;3000,"&lt; ₹3,000",IF(HR_Analytics56[[#This Row],[MonthlyIncome]]&lt;=7000,"₹ 3,000 - ₹ 7,000","&gt; ₹7,000"))</f>
        <v>₹ 3,000 - ₹ 7,000</v>
      </c>
      <c r="P394" s="8" t="str" cm="1">
        <f t="array" ref="P3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5" spans="1:16" x14ac:dyDescent="0.8">
      <c r="A395" s="5" t="s">
        <v>465</v>
      </c>
      <c r="B395" s="8">
        <v>31</v>
      </c>
      <c r="C395" s="5" t="s">
        <v>49</v>
      </c>
      <c r="D395" s="5" t="s">
        <v>42</v>
      </c>
      <c r="E395" s="5" t="s">
        <v>44</v>
      </c>
      <c r="F395" s="5" t="s">
        <v>112</v>
      </c>
      <c r="G395" s="8">
        <v>3</v>
      </c>
      <c r="H395" s="8">
        <v>4345</v>
      </c>
      <c r="I395" s="5" t="s">
        <v>49</v>
      </c>
      <c r="J395" s="8">
        <v>3</v>
      </c>
      <c r="K395" s="8">
        <v>2</v>
      </c>
      <c r="L395" s="8">
        <v>5</v>
      </c>
      <c r="M3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5" s="8" t="str" cm="1">
        <f t="array" ref="N395">_xlfn.IFS(HR_Analytics56[[#This Row],[PerformanceRating]]=3,"Good",HR_Analytics56[[#This Row],[PerformanceRating]]=4, "Excellent")</f>
        <v>Good</v>
      </c>
      <c r="O395" s="8" t="str">
        <f>IF(HR_Analytics56[[#This Row],[MonthlyIncome]]&lt;3000,"&lt; ₹3,000",IF(HR_Analytics56[[#This Row],[MonthlyIncome]]&lt;=7000,"₹ 3,000 - ₹ 7,000","&gt; ₹7,000"))</f>
        <v>₹ 3,000 - ₹ 7,000</v>
      </c>
      <c r="P395" s="8" t="str" cm="1">
        <f t="array" ref="P3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6" spans="1:16" x14ac:dyDescent="0.8">
      <c r="A396" s="5" t="s">
        <v>466</v>
      </c>
      <c r="B396" s="8">
        <v>31</v>
      </c>
      <c r="C396" s="5" t="s">
        <v>49</v>
      </c>
      <c r="D396" s="5" t="s">
        <v>42</v>
      </c>
      <c r="E396" s="5" t="s">
        <v>44</v>
      </c>
      <c r="F396" s="5" t="s">
        <v>252</v>
      </c>
      <c r="G396" s="8">
        <v>3</v>
      </c>
      <c r="H396" s="8">
        <v>13675</v>
      </c>
      <c r="I396" s="5" t="s">
        <v>49</v>
      </c>
      <c r="J396" s="8">
        <v>3</v>
      </c>
      <c r="K396" s="8">
        <v>3</v>
      </c>
      <c r="L396" s="8">
        <v>2</v>
      </c>
      <c r="M3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6" s="8" t="str" cm="1">
        <f t="array" ref="N396">_xlfn.IFS(HR_Analytics56[[#This Row],[PerformanceRating]]=3,"Good",HR_Analytics56[[#This Row],[PerformanceRating]]=4, "Excellent")</f>
        <v>Good</v>
      </c>
      <c r="O396" s="8" t="str">
        <f>IF(HR_Analytics56[[#This Row],[MonthlyIncome]]&lt;3000,"&lt; ₹3,000",IF(HR_Analytics56[[#This Row],[MonthlyIncome]]&lt;=7000,"₹ 3,000 - ₹ 7,000","&gt; ₹7,000"))</f>
        <v>&gt; ₹7,000</v>
      </c>
      <c r="P396" s="8" t="str" cm="1">
        <f t="array" ref="P3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7" spans="1:16" x14ac:dyDescent="0.8">
      <c r="A397" s="5" t="s">
        <v>467</v>
      </c>
      <c r="B397" s="8">
        <v>31</v>
      </c>
      <c r="C397" s="5" t="s">
        <v>40</v>
      </c>
      <c r="D397" s="5" t="s">
        <v>42</v>
      </c>
      <c r="E397" s="5" t="s">
        <v>44</v>
      </c>
      <c r="F397" s="5" t="s">
        <v>45</v>
      </c>
      <c r="G397" s="8">
        <v>2</v>
      </c>
      <c r="H397" s="8">
        <v>3479</v>
      </c>
      <c r="I397" s="5" t="s">
        <v>49</v>
      </c>
      <c r="J397" s="8">
        <v>3</v>
      </c>
      <c r="K397" s="8">
        <v>2</v>
      </c>
      <c r="L397" s="8">
        <v>5</v>
      </c>
      <c r="M3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397" s="8" t="str" cm="1">
        <f t="array" ref="N397">_xlfn.IFS(HR_Analytics56[[#This Row],[PerformanceRating]]=3,"Good",HR_Analytics56[[#This Row],[PerformanceRating]]=4, "Excellent")</f>
        <v>Good</v>
      </c>
      <c r="O397" s="8" t="str">
        <f>IF(HR_Analytics56[[#This Row],[MonthlyIncome]]&lt;3000,"&lt; ₹3,000",IF(HR_Analytics56[[#This Row],[MonthlyIncome]]&lt;=7000,"₹ 3,000 - ₹ 7,000","&gt; ₹7,000"))</f>
        <v>₹ 3,000 - ₹ 7,000</v>
      </c>
      <c r="P397" s="8" t="str" cm="1">
        <f t="array" ref="P3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8" spans="1:16" x14ac:dyDescent="0.8">
      <c r="A398" s="5" t="s">
        <v>468</v>
      </c>
      <c r="B398" s="8">
        <v>31</v>
      </c>
      <c r="C398" s="5" t="s">
        <v>49</v>
      </c>
      <c r="D398" s="5" t="s">
        <v>42</v>
      </c>
      <c r="E398" s="5" t="s">
        <v>44</v>
      </c>
      <c r="F398" s="5" t="s">
        <v>161</v>
      </c>
      <c r="G398" s="8">
        <v>4</v>
      </c>
      <c r="H398" s="8">
        <v>5582</v>
      </c>
      <c r="I398" s="5" t="s">
        <v>49</v>
      </c>
      <c r="J398" s="8">
        <v>4</v>
      </c>
      <c r="K398" s="8">
        <v>2</v>
      </c>
      <c r="L398" s="8">
        <v>9</v>
      </c>
      <c r="M3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8" s="8" t="str" cm="1">
        <f t="array" ref="N398">_xlfn.IFS(HR_Analytics56[[#This Row],[PerformanceRating]]=3,"Good",HR_Analytics56[[#This Row],[PerformanceRating]]=4, "Excellent")</f>
        <v>Excellent</v>
      </c>
      <c r="O398" s="8" t="str">
        <f>IF(HR_Analytics56[[#This Row],[MonthlyIncome]]&lt;3000,"&lt; ₹3,000",IF(HR_Analytics56[[#This Row],[MonthlyIncome]]&lt;=7000,"₹ 3,000 - ₹ 7,000","&gt; ₹7,000"))</f>
        <v>₹ 3,000 - ₹ 7,000</v>
      </c>
      <c r="P398" s="8" t="str" cm="1">
        <f t="array" ref="P3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399" spans="1:16" x14ac:dyDescent="0.8">
      <c r="A399" s="5" t="s">
        <v>469</v>
      </c>
      <c r="B399" s="8">
        <v>31</v>
      </c>
      <c r="C399" s="5" t="s">
        <v>49</v>
      </c>
      <c r="D399" s="5" t="s">
        <v>51</v>
      </c>
      <c r="E399" s="5" t="s">
        <v>53</v>
      </c>
      <c r="F399" s="5" t="s">
        <v>54</v>
      </c>
      <c r="G399" s="8">
        <v>2</v>
      </c>
      <c r="H399" s="8">
        <v>2789</v>
      </c>
      <c r="I399" s="5" t="s">
        <v>49</v>
      </c>
      <c r="J399" s="8">
        <v>3</v>
      </c>
      <c r="K399" s="8">
        <v>5</v>
      </c>
      <c r="L399" s="8">
        <v>2</v>
      </c>
      <c r="M3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399" s="8" t="str" cm="1">
        <f t="array" ref="N399">_xlfn.IFS(HR_Analytics56[[#This Row],[PerformanceRating]]=3,"Good",HR_Analytics56[[#This Row],[PerformanceRating]]=4, "Excellent")</f>
        <v>Good</v>
      </c>
      <c r="O399" s="8" t="str">
        <f>IF(HR_Analytics56[[#This Row],[MonthlyIncome]]&lt;3000,"&lt; ₹3,000",IF(HR_Analytics56[[#This Row],[MonthlyIncome]]&lt;=7000,"₹ 3,000 - ₹ 7,000","&gt; ₹7,000"))</f>
        <v>&lt; ₹3,000</v>
      </c>
      <c r="P399" s="8" t="str" cm="1">
        <f t="array" ref="P3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0" spans="1:16" x14ac:dyDescent="0.8">
      <c r="A400" s="5" t="s">
        <v>470</v>
      </c>
      <c r="B400" s="8">
        <v>31</v>
      </c>
      <c r="C400" s="5" t="s">
        <v>49</v>
      </c>
      <c r="D400" s="5" t="s">
        <v>51</v>
      </c>
      <c r="E400" s="5" t="s">
        <v>44</v>
      </c>
      <c r="F400" s="5" t="s">
        <v>137</v>
      </c>
      <c r="G400" s="8">
        <v>4</v>
      </c>
      <c r="H400" s="8">
        <v>6929</v>
      </c>
      <c r="I400" s="5" t="s">
        <v>49</v>
      </c>
      <c r="J400" s="8">
        <v>3</v>
      </c>
      <c r="K400" s="8">
        <v>3</v>
      </c>
      <c r="L400" s="8">
        <v>8</v>
      </c>
      <c r="M4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0" s="8" t="str" cm="1">
        <f t="array" ref="N400">_xlfn.IFS(HR_Analytics56[[#This Row],[PerformanceRating]]=3,"Good",HR_Analytics56[[#This Row],[PerformanceRating]]=4, "Excellent")</f>
        <v>Good</v>
      </c>
      <c r="O400" s="8" t="str">
        <f>IF(HR_Analytics56[[#This Row],[MonthlyIncome]]&lt;3000,"&lt; ₹3,000",IF(HR_Analytics56[[#This Row],[MonthlyIncome]]&lt;=7000,"₹ 3,000 - ₹ 7,000","&gt; ₹7,000"))</f>
        <v>₹ 3,000 - ₹ 7,000</v>
      </c>
      <c r="P400" s="8" t="str" cm="1">
        <f t="array" ref="P4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1" spans="1:16" x14ac:dyDescent="0.8">
      <c r="A401" s="5" t="s">
        <v>471</v>
      </c>
      <c r="B401" s="8">
        <v>31</v>
      </c>
      <c r="C401" s="5" t="s">
        <v>49</v>
      </c>
      <c r="D401" s="5" t="s">
        <v>42</v>
      </c>
      <c r="E401" s="5" t="s">
        <v>44</v>
      </c>
      <c r="F401" s="5" t="s">
        <v>60</v>
      </c>
      <c r="G401" s="8">
        <v>4</v>
      </c>
      <c r="H401" s="8">
        <v>4821</v>
      </c>
      <c r="I401" s="5" t="s">
        <v>40</v>
      </c>
      <c r="J401" s="8">
        <v>3</v>
      </c>
      <c r="K401" s="8">
        <v>4</v>
      </c>
      <c r="L401" s="8">
        <v>5</v>
      </c>
      <c r="M4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01" s="8" t="str" cm="1">
        <f t="array" ref="N401">_xlfn.IFS(HR_Analytics56[[#This Row],[PerformanceRating]]=3,"Good",HR_Analytics56[[#This Row],[PerformanceRating]]=4, "Excellent")</f>
        <v>Good</v>
      </c>
      <c r="O401" s="8" t="str">
        <f>IF(HR_Analytics56[[#This Row],[MonthlyIncome]]&lt;3000,"&lt; ₹3,000",IF(HR_Analytics56[[#This Row],[MonthlyIncome]]&lt;=7000,"₹ 3,000 - ₹ 7,000","&gt; ₹7,000"))</f>
        <v>₹ 3,000 - ₹ 7,000</v>
      </c>
      <c r="P401" s="8" t="str" cm="1">
        <f t="array" ref="P4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2" spans="1:16" x14ac:dyDescent="0.8">
      <c r="A402" s="5" t="s">
        <v>472</v>
      </c>
      <c r="B402" s="8">
        <v>31</v>
      </c>
      <c r="C402" s="5" t="s">
        <v>49</v>
      </c>
      <c r="D402" s="5" t="s">
        <v>71</v>
      </c>
      <c r="E402" s="5" t="s">
        <v>44</v>
      </c>
      <c r="F402" s="5" t="s">
        <v>71</v>
      </c>
      <c r="G402" s="8">
        <v>1</v>
      </c>
      <c r="H402" s="8">
        <v>6410</v>
      </c>
      <c r="I402" s="5" t="s">
        <v>49</v>
      </c>
      <c r="J402" s="8">
        <v>3</v>
      </c>
      <c r="K402" s="8">
        <v>1</v>
      </c>
      <c r="L402" s="8">
        <v>2</v>
      </c>
      <c r="M4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2" s="8" t="str" cm="1">
        <f t="array" ref="N402">_xlfn.IFS(HR_Analytics56[[#This Row],[PerformanceRating]]=3,"Good",HR_Analytics56[[#This Row],[PerformanceRating]]=4, "Excellent")</f>
        <v>Good</v>
      </c>
      <c r="O402" s="8" t="str">
        <f>IF(HR_Analytics56[[#This Row],[MonthlyIncome]]&lt;3000,"&lt; ₹3,000",IF(HR_Analytics56[[#This Row],[MonthlyIncome]]&lt;=7000,"₹ 3,000 - ₹ 7,000","&gt; ₹7,000"))</f>
        <v>₹ 3,000 - ₹ 7,000</v>
      </c>
      <c r="P402" s="8" t="str" cm="1">
        <f t="array" ref="P4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3" spans="1:16" x14ac:dyDescent="0.8">
      <c r="A403" s="5" t="s">
        <v>473</v>
      </c>
      <c r="B403" s="8">
        <v>31</v>
      </c>
      <c r="C403" s="5" t="s">
        <v>49</v>
      </c>
      <c r="D403" s="5" t="s">
        <v>42</v>
      </c>
      <c r="E403" s="5" t="s">
        <v>44</v>
      </c>
      <c r="F403" s="5" t="s">
        <v>60</v>
      </c>
      <c r="G403" s="8">
        <v>4</v>
      </c>
      <c r="H403" s="8">
        <v>2695</v>
      </c>
      <c r="I403" s="5" t="s">
        <v>40</v>
      </c>
      <c r="J403" s="8">
        <v>3</v>
      </c>
      <c r="K403" s="8">
        <v>2</v>
      </c>
      <c r="L403" s="8">
        <v>2</v>
      </c>
      <c r="M4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03" s="8" t="str" cm="1">
        <f t="array" ref="N403">_xlfn.IFS(HR_Analytics56[[#This Row],[PerformanceRating]]=3,"Good",HR_Analytics56[[#This Row],[PerformanceRating]]=4, "Excellent")</f>
        <v>Good</v>
      </c>
      <c r="O403" s="8" t="str">
        <f>IF(HR_Analytics56[[#This Row],[MonthlyIncome]]&lt;3000,"&lt; ₹3,000",IF(HR_Analytics56[[#This Row],[MonthlyIncome]]&lt;=7000,"₹ 3,000 - ₹ 7,000","&gt; ₹7,000"))</f>
        <v>&lt; ₹3,000</v>
      </c>
      <c r="P403" s="8" t="str" cm="1">
        <f t="array" ref="P4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4" spans="1:16" x14ac:dyDescent="0.8">
      <c r="A404" s="5" t="s">
        <v>474</v>
      </c>
      <c r="B404" s="8">
        <v>31</v>
      </c>
      <c r="C404" s="5" t="s">
        <v>49</v>
      </c>
      <c r="D404" s="5" t="s">
        <v>51</v>
      </c>
      <c r="E404" s="5" t="s">
        <v>44</v>
      </c>
      <c r="F404" s="5" t="s">
        <v>137</v>
      </c>
      <c r="G404" s="8">
        <v>4</v>
      </c>
      <c r="H404" s="8">
        <v>7547</v>
      </c>
      <c r="I404" s="5" t="s">
        <v>49</v>
      </c>
      <c r="J404" s="8">
        <v>3</v>
      </c>
      <c r="K404" s="8">
        <v>3</v>
      </c>
      <c r="L404" s="8">
        <v>7</v>
      </c>
      <c r="M4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4" s="8" t="str" cm="1">
        <f t="array" ref="N404">_xlfn.IFS(HR_Analytics56[[#This Row],[PerformanceRating]]=3,"Good",HR_Analytics56[[#This Row],[PerformanceRating]]=4, "Excellent")</f>
        <v>Good</v>
      </c>
      <c r="O404" s="8" t="str">
        <f>IF(HR_Analytics56[[#This Row],[MonthlyIncome]]&lt;3000,"&lt; ₹3,000",IF(HR_Analytics56[[#This Row],[MonthlyIncome]]&lt;=7000,"₹ 3,000 - ₹ 7,000","&gt; ₹7,000"))</f>
        <v>&gt; ₹7,000</v>
      </c>
      <c r="P404" s="8" t="str" cm="1">
        <f t="array" ref="P4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5" spans="1:16" x14ac:dyDescent="0.8">
      <c r="A405" s="5" t="s">
        <v>475</v>
      </c>
      <c r="B405" s="8">
        <v>31</v>
      </c>
      <c r="C405" s="5" t="s">
        <v>49</v>
      </c>
      <c r="D405" s="5" t="s">
        <v>42</v>
      </c>
      <c r="E405" s="5" t="s">
        <v>53</v>
      </c>
      <c r="F405" s="5" t="s">
        <v>112</v>
      </c>
      <c r="G405" s="8">
        <v>3</v>
      </c>
      <c r="H405" s="8">
        <v>8943</v>
      </c>
      <c r="I405" s="5" t="s">
        <v>49</v>
      </c>
      <c r="J405" s="8">
        <v>4</v>
      </c>
      <c r="K405" s="8">
        <v>2</v>
      </c>
      <c r="L405" s="8">
        <v>10</v>
      </c>
      <c r="M4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5" s="8" t="str" cm="1">
        <f t="array" ref="N405">_xlfn.IFS(HR_Analytics56[[#This Row],[PerformanceRating]]=3,"Good",HR_Analytics56[[#This Row],[PerformanceRating]]=4, "Excellent")</f>
        <v>Excellent</v>
      </c>
      <c r="O405" s="8" t="str">
        <f>IF(HR_Analytics56[[#This Row],[MonthlyIncome]]&lt;3000,"&lt; ₹3,000",IF(HR_Analytics56[[#This Row],[MonthlyIncome]]&lt;=7000,"₹ 3,000 - ₹ 7,000","&gt; ₹7,000"))</f>
        <v>&gt; ₹7,000</v>
      </c>
      <c r="P405" s="8" t="str" cm="1">
        <f t="array" ref="P4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6" spans="1:16" x14ac:dyDescent="0.8">
      <c r="A406" s="5" t="s">
        <v>476</v>
      </c>
      <c r="B406" s="8">
        <v>31</v>
      </c>
      <c r="C406" s="5" t="s">
        <v>49</v>
      </c>
      <c r="D406" s="5" t="s">
        <v>42</v>
      </c>
      <c r="E406" s="5" t="s">
        <v>53</v>
      </c>
      <c r="F406" s="5" t="s">
        <v>112</v>
      </c>
      <c r="G406" s="8">
        <v>4</v>
      </c>
      <c r="H406" s="8">
        <v>7143</v>
      </c>
      <c r="I406" s="5" t="s">
        <v>40</v>
      </c>
      <c r="J406" s="8">
        <v>3</v>
      </c>
      <c r="K406" s="8">
        <v>2</v>
      </c>
      <c r="L406" s="8">
        <v>11</v>
      </c>
      <c r="M4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06" s="8" t="str" cm="1">
        <f t="array" ref="N406">_xlfn.IFS(HR_Analytics56[[#This Row],[PerformanceRating]]=3,"Good",HR_Analytics56[[#This Row],[PerformanceRating]]=4, "Excellent")</f>
        <v>Good</v>
      </c>
      <c r="O406" s="8" t="str">
        <f>IF(HR_Analytics56[[#This Row],[MonthlyIncome]]&lt;3000,"&lt; ₹3,000",IF(HR_Analytics56[[#This Row],[MonthlyIncome]]&lt;=7000,"₹ 3,000 - ₹ 7,000","&gt; ₹7,000"))</f>
        <v>&gt; ₹7,000</v>
      </c>
      <c r="P406" s="8" t="str" cm="1">
        <f t="array" ref="P4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7" spans="1:16" x14ac:dyDescent="0.8">
      <c r="A407" s="5" t="s">
        <v>477</v>
      </c>
      <c r="B407" s="8">
        <v>31</v>
      </c>
      <c r="C407" s="5" t="s">
        <v>49</v>
      </c>
      <c r="D407" s="5" t="s">
        <v>42</v>
      </c>
      <c r="E407" s="5" t="s">
        <v>44</v>
      </c>
      <c r="F407" s="5" t="s">
        <v>60</v>
      </c>
      <c r="G407" s="8">
        <v>2</v>
      </c>
      <c r="H407" s="8">
        <v>2657</v>
      </c>
      <c r="I407" s="5" t="s">
        <v>40</v>
      </c>
      <c r="J407" s="8">
        <v>3</v>
      </c>
      <c r="K407" s="8">
        <v>5</v>
      </c>
      <c r="L407" s="8">
        <v>2</v>
      </c>
      <c r="M4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07" s="8" t="str" cm="1">
        <f t="array" ref="N407">_xlfn.IFS(HR_Analytics56[[#This Row],[PerformanceRating]]=3,"Good",HR_Analytics56[[#This Row],[PerformanceRating]]=4, "Excellent")</f>
        <v>Good</v>
      </c>
      <c r="O407" s="8" t="str">
        <f>IF(HR_Analytics56[[#This Row],[MonthlyIncome]]&lt;3000,"&lt; ₹3,000",IF(HR_Analytics56[[#This Row],[MonthlyIncome]]&lt;=7000,"₹ 3,000 - ₹ 7,000","&gt; ₹7,000"))</f>
        <v>&lt; ₹3,000</v>
      </c>
      <c r="P407" s="8" t="str" cm="1">
        <f t="array" ref="P4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8" spans="1:16" x14ac:dyDescent="0.8">
      <c r="A408" s="5" t="s">
        <v>478</v>
      </c>
      <c r="B408" s="8">
        <v>31</v>
      </c>
      <c r="C408" s="5" t="s">
        <v>49</v>
      </c>
      <c r="D408" s="5" t="s">
        <v>42</v>
      </c>
      <c r="E408" s="5" t="s">
        <v>53</v>
      </c>
      <c r="F408" s="5" t="s">
        <v>112</v>
      </c>
      <c r="G408" s="8">
        <v>1</v>
      </c>
      <c r="H408" s="8">
        <v>4306</v>
      </c>
      <c r="I408" s="5" t="s">
        <v>49</v>
      </c>
      <c r="J408" s="8">
        <v>3</v>
      </c>
      <c r="K408" s="8">
        <v>5</v>
      </c>
      <c r="L408" s="8">
        <v>13</v>
      </c>
      <c r="M4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8" s="8" t="str" cm="1">
        <f t="array" ref="N408">_xlfn.IFS(HR_Analytics56[[#This Row],[PerformanceRating]]=3,"Good",HR_Analytics56[[#This Row],[PerformanceRating]]=4, "Excellent")</f>
        <v>Good</v>
      </c>
      <c r="O408" s="8" t="str">
        <f>IF(HR_Analytics56[[#This Row],[MonthlyIncome]]&lt;3000,"&lt; ₹3,000",IF(HR_Analytics56[[#This Row],[MonthlyIncome]]&lt;=7000,"₹ 3,000 - ₹ 7,000","&gt; ₹7,000"))</f>
        <v>₹ 3,000 - ₹ 7,000</v>
      </c>
      <c r="P408" s="8" t="str" cm="1">
        <f t="array" ref="P4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09" spans="1:16" x14ac:dyDescent="0.8">
      <c r="A409" s="5" t="s">
        <v>479</v>
      </c>
      <c r="B409" s="8">
        <v>31</v>
      </c>
      <c r="C409" s="5" t="s">
        <v>49</v>
      </c>
      <c r="D409" s="5" t="s">
        <v>42</v>
      </c>
      <c r="E409" s="5" t="s">
        <v>44</v>
      </c>
      <c r="F409" s="5" t="s">
        <v>45</v>
      </c>
      <c r="G409" s="8">
        <v>1</v>
      </c>
      <c r="H409" s="8">
        <v>2218</v>
      </c>
      <c r="I409" s="5" t="s">
        <v>49</v>
      </c>
      <c r="J409" s="8">
        <v>3</v>
      </c>
      <c r="K409" s="8">
        <v>3</v>
      </c>
      <c r="L409" s="8">
        <v>4</v>
      </c>
      <c r="M4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09" s="8" t="str" cm="1">
        <f t="array" ref="N409">_xlfn.IFS(HR_Analytics56[[#This Row],[PerformanceRating]]=3,"Good",HR_Analytics56[[#This Row],[PerformanceRating]]=4, "Excellent")</f>
        <v>Good</v>
      </c>
      <c r="O409" s="8" t="str">
        <f>IF(HR_Analytics56[[#This Row],[MonthlyIncome]]&lt;3000,"&lt; ₹3,000",IF(HR_Analytics56[[#This Row],[MonthlyIncome]]&lt;=7000,"₹ 3,000 - ₹ 7,000","&gt; ₹7,000"))</f>
        <v>&lt; ₹3,000</v>
      </c>
      <c r="P409" s="8" t="str" cm="1">
        <f t="array" ref="P4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0" spans="1:16" x14ac:dyDescent="0.8">
      <c r="A410" s="5" t="s">
        <v>480</v>
      </c>
      <c r="B410" s="8">
        <v>31</v>
      </c>
      <c r="C410" s="5" t="s">
        <v>49</v>
      </c>
      <c r="D410" s="5" t="s">
        <v>42</v>
      </c>
      <c r="E410" s="5" t="s">
        <v>44</v>
      </c>
      <c r="F410" s="5" t="s">
        <v>112</v>
      </c>
      <c r="G410" s="8">
        <v>2</v>
      </c>
      <c r="H410" s="8">
        <v>10648</v>
      </c>
      <c r="I410" s="5" t="s">
        <v>49</v>
      </c>
      <c r="J410" s="8">
        <v>4</v>
      </c>
      <c r="K410" s="8">
        <v>6</v>
      </c>
      <c r="L410" s="8">
        <v>13</v>
      </c>
      <c r="M4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10" s="8" t="str" cm="1">
        <f t="array" ref="N410">_xlfn.IFS(HR_Analytics56[[#This Row],[PerformanceRating]]=3,"Good",HR_Analytics56[[#This Row],[PerformanceRating]]=4, "Excellent")</f>
        <v>Excellent</v>
      </c>
      <c r="O410" s="8" t="str">
        <f>IF(HR_Analytics56[[#This Row],[MonthlyIncome]]&lt;3000,"&lt; ₹3,000",IF(HR_Analytics56[[#This Row],[MonthlyIncome]]&lt;=7000,"₹ 3,000 - ₹ 7,000","&gt; ₹7,000"))</f>
        <v>&gt; ₹7,000</v>
      </c>
      <c r="P410" s="8" t="str" cm="1">
        <f t="array" ref="P41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11" spans="1:16" x14ac:dyDescent="0.8">
      <c r="A411" s="5" t="s">
        <v>481</v>
      </c>
      <c r="B411" s="8">
        <v>31</v>
      </c>
      <c r="C411" s="5" t="s">
        <v>40</v>
      </c>
      <c r="D411" s="5" t="s">
        <v>42</v>
      </c>
      <c r="E411" s="5" t="s">
        <v>44</v>
      </c>
      <c r="F411" s="5" t="s">
        <v>161</v>
      </c>
      <c r="G411" s="8">
        <v>3</v>
      </c>
      <c r="H411" s="8">
        <v>9824</v>
      </c>
      <c r="I411" s="5" t="s">
        <v>49</v>
      </c>
      <c r="J411" s="8">
        <v>3</v>
      </c>
      <c r="K411" s="8">
        <v>2</v>
      </c>
      <c r="L411" s="8">
        <v>1</v>
      </c>
      <c r="M4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1" s="8" t="str" cm="1">
        <f t="array" ref="N411">_xlfn.IFS(HR_Analytics56[[#This Row],[PerformanceRating]]=3,"Good",HR_Analytics56[[#This Row],[PerformanceRating]]=4, "Excellent")</f>
        <v>Good</v>
      </c>
      <c r="O411" s="8" t="str">
        <f>IF(HR_Analytics56[[#This Row],[MonthlyIncome]]&lt;3000,"&lt; ₹3,000",IF(HR_Analytics56[[#This Row],[MonthlyIncome]]&lt;=7000,"₹ 3,000 - ₹ 7,000","&gt; ₹7,000"))</f>
        <v>&gt; ₹7,000</v>
      </c>
      <c r="P411" s="8" t="str" cm="1">
        <f t="array" ref="P4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2" spans="1:16" x14ac:dyDescent="0.8">
      <c r="A412" s="5" t="s">
        <v>482</v>
      </c>
      <c r="B412" s="8">
        <v>31</v>
      </c>
      <c r="C412" s="5" t="s">
        <v>49</v>
      </c>
      <c r="D412" s="5" t="s">
        <v>51</v>
      </c>
      <c r="E412" s="5" t="s">
        <v>44</v>
      </c>
      <c r="F412" s="5" t="s">
        <v>137</v>
      </c>
      <c r="G412" s="8">
        <v>4</v>
      </c>
      <c r="H412" s="8">
        <v>6582</v>
      </c>
      <c r="I412" s="5" t="s">
        <v>40</v>
      </c>
      <c r="J412" s="8">
        <v>3</v>
      </c>
      <c r="K412" s="8">
        <v>2</v>
      </c>
      <c r="L412" s="8">
        <v>6</v>
      </c>
      <c r="M4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2" s="8" t="str" cm="1">
        <f t="array" ref="N412">_xlfn.IFS(HR_Analytics56[[#This Row],[PerformanceRating]]=3,"Good",HR_Analytics56[[#This Row],[PerformanceRating]]=4, "Excellent")</f>
        <v>Good</v>
      </c>
      <c r="O412" s="8" t="str">
        <f>IF(HR_Analytics56[[#This Row],[MonthlyIncome]]&lt;3000,"&lt; ₹3,000",IF(HR_Analytics56[[#This Row],[MonthlyIncome]]&lt;=7000,"₹ 3,000 - ₹ 7,000","&gt; ₹7,000"))</f>
        <v>₹ 3,000 - ₹ 7,000</v>
      </c>
      <c r="P412" s="8" t="str" cm="1">
        <f t="array" ref="P4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3" spans="1:16" x14ac:dyDescent="0.8">
      <c r="A413" s="5" t="s">
        <v>483</v>
      </c>
      <c r="B413" s="8">
        <v>31</v>
      </c>
      <c r="C413" s="5" t="s">
        <v>49</v>
      </c>
      <c r="D413" s="5" t="s">
        <v>51</v>
      </c>
      <c r="E413" s="5" t="s">
        <v>44</v>
      </c>
      <c r="F413" s="5" t="s">
        <v>442</v>
      </c>
      <c r="G413" s="8">
        <v>4</v>
      </c>
      <c r="H413" s="8">
        <v>11557</v>
      </c>
      <c r="I413" s="5" t="s">
        <v>49</v>
      </c>
      <c r="J413" s="8">
        <v>4</v>
      </c>
      <c r="K413" s="8">
        <v>3</v>
      </c>
      <c r="L413" s="8">
        <v>5</v>
      </c>
      <c r="M4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13" s="8" t="str" cm="1">
        <f t="array" ref="N413">_xlfn.IFS(HR_Analytics56[[#This Row],[PerformanceRating]]=3,"Good",HR_Analytics56[[#This Row],[PerformanceRating]]=4, "Excellent")</f>
        <v>Excellent</v>
      </c>
      <c r="O413" s="8" t="str">
        <f>IF(HR_Analytics56[[#This Row],[MonthlyIncome]]&lt;3000,"&lt; ₹3,000",IF(HR_Analytics56[[#This Row],[MonthlyIncome]]&lt;=7000,"₹ 3,000 - ₹ 7,000","&gt; ₹7,000"))</f>
        <v>&gt; ₹7,000</v>
      </c>
      <c r="P413" s="8" t="str" cm="1">
        <f t="array" ref="P41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14" spans="1:16" x14ac:dyDescent="0.8">
      <c r="A414" s="5" t="s">
        <v>484</v>
      </c>
      <c r="B414" s="8">
        <v>31</v>
      </c>
      <c r="C414" s="5" t="s">
        <v>40</v>
      </c>
      <c r="D414" s="5" t="s">
        <v>51</v>
      </c>
      <c r="E414" s="5" t="s">
        <v>44</v>
      </c>
      <c r="F414" s="5" t="s">
        <v>137</v>
      </c>
      <c r="G414" s="8">
        <v>1</v>
      </c>
      <c r="H414" s="8">
        <v>4233</v>
      </c>
      <c r="I414" s="5" t="s">
        <v>49</v>
      </c>
      <c r="J414" s="8">
        <v>3</v>
      </c>
      <c r="K414" s="8">
        <v>2</v>
      </c>
      <c r="L414" s="8">
        <v>3</v>
      </c>
      <c r="M4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4" s="8" t="str" cm="1">
        <f t="array" ref="N414">_xlfn.IFS(HR_Analytics56[[#This Row],[PerformanceRating]]=3,"Good",HR_Analytics56[[#This Row],[PerformanceRating]]=4, "Excellent")</f>
        <v>Good</v>
      </c>
      <c r="O414" s="8" t="str">
        <f>IF(HR_Analytics56[[#This Row],[MonthlyIncome]]&lt;3000,"&lt; ₹3,000",IF(HR_Analytics56[[#This Row],[MonthlyIncome]]&lt;=7000,"₹ 3,000 - ₹ 7,000","&gt; ₹7,000"))</f>
        <v>₹ 3,000 - ₹ 7,000</v>
      </c>
      <c r="P414" s="8" t="str" cm="1">
        <f t="array" ref="P4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5" spans="1:16" x14ac:dyDescent="0.8">
      <c r="A415" s="5" t="s">
        <v>485</v>
      </c>
      <c r="B415" s="8">
        <v>31</v>
      </c>
      <c r="C415" s="5" t="s">
        <v>49</v>
      </c>
      <c r="D415" s="5" t="s">
        <v>51</v>
      </c>
      <c r="E415" s="5" t="s">
        <v>44</v>
      </c>
      <c r="F415" s="5" t="s">
        <v>137</v>
      </c>
      <c r="G415" s="8">
        <v>4</v>
      </c>
      <c r="H415" s="8">
        <v>5460</v>
      </c>
      <c r="I415" s="5" t="s">
        <v>49</v>
      </c>
      <c r="J415" s="8">
        <v>4</v>
      </c>
      <c r="K415" s="8">
        <v>4</v>
      </c>
      <c r="L415" s="8">
        <v>7</v>
      </c>
      <c r="M4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15" s="8" t="str" cm="1">
        <f t="array" ref="N415">_xlfn.IFS(HR_Analytics56[[#This Row],[PerformanceRating]]=3,"Good",HR_Analytics56[[#This Row],[PerformanceRating]]=4, "Excellent")</f>
        <v>Excellent</v>
      </c>
      <c r="O415" s="8" t="str">
        <f>IF(HR_Analytics56[[#This Row],[MonthlyIncome]]&lt;3000,"&lt; ₹3,000",IF(HR_Analytics56[[#This Row],[MonthlyIncome]]&lt;=7000,"₹ 3,000 - ₹ 7,000","&gt; ₹7,000"))</f>
        <v>₹ 3,000 - ₹ 7,000</v>
      </c>
      <c r="P415" s="8" t="str" cm="1">
        <f t="array" ref="P41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16" spans="1:16" x14ac:dyDescent="0.8">
      <c r="A416" s="5" t="s">
        <v>486</v>
      </c>
      <c r="B416" s="8">
        <v>31</v>
      </c>
      <c r="C416" s="5" t="s">
        <v>49</v>
      </c>
      <c r="D416" s="5" t="s">
        <v>42</v>
      </c>
      <c r="E416" s="5" t="s">
        <v>44</v>
      </c>
      <c r="F416" s="5" t="s">
        <v>60</v>
      </c>
      <c r="G416" s="8">
        <v>4</v>
      </c>
      <c r="H416" s="8">
        <v>2356</v>
      </c>
      <c r="I416" s="5" t="s">
        <v>40</v>
      </c>
      <c r="J416" s="8">
        <v>3</v>
      </c>
      <c r="K416" s="8">
        <v>2</v>
      </c>
      <c r="L416" s="8">
        <v>6</v>
      </c>
      <c r="M4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6" s="8" t="str" cm="1">
        <f t="array" ref="N416">_xlfn.IFS(HR_Analytics56[[#This Row],[PerformanceRating]]=3,"Good",HR_Analytics56[[#This Row],[PerformanceRating]]=4, "Excellent")</f>
        <v>Good</v>
      </c>
      <c r="O416" s="8" t="str">
        <f>IF(HR_Analytics56[[#This Row],[MonthlyIncome]]&lt;3000,"&lt; ₹3,000",IF(HR_Analytics56[[#This Row],[MonthlyIncome]]&lt;=7000,"₹ 3,000 - ₹ 7,000","&gt; ₹7,000"))</f>
        <v>&lt; ₹3,000</v>
      </c>
      <c r="P416" s="8" t="str" cm="1">
        <f t="array" ref="P4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7" spans="1:16" x14ac:dyDescent="0.8">
      <c r="A417" s="5" t="s">
        <v>487</v>
      </c>
      <c r="B417" s="8">
        <v>31</v>
      </c>
      <c r="C417" s="5" t="s">
        <v>49</v>
      </c>
      <c r="D417" s="5" t="s">
        <v>51</v>
      </c>
      <c r="E417" s="5" t="s">
        <v>44</v>
      </c>
      <c r="F417" s="5" t="s">
        <v>54</v>
      </c>
      <c r="G417" s="8">
        <v>3</v>
      </c>
      <c r="H417" s="8">
        <v>2329</v>
      </c>
      <c r="I417" s="5" t="s">
        <v>49</v>
      </c>
      <c r="J417" s="8">
        <v>3</v>
      </c>
      <c r="K417" s="8">
        <v>2</v>
      </c>
      <c r="L417" s="8">
        <v>7</v>
      </c>
      <c r="M4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17" s="8" t="str" cm="1">
        <f t="array" ref="N417">_xlfn.IFS(HR_Analytics56[[#This Row],[PerformanceRating]]=3,"Good",HR_Analytics56[[#This Row],[PerformanceRating]]=4, "Excellent")</f>
        <v>Good</v>
      </c>
      <c r="O417" s="8" t="str">
        <f>IF(HR_Analytics56[[#This Row],[MonthlyIncome]]&lt;3000,"&lt; ₹3,000",IF(HR_Analytics56[[#This Row],[MonthlyIncome]]&lt;=7000,"₹ 3,000 - ₹ 7,000","&gt; ₹7,000"))</f>
        <v>&lt; ₹3,000</v>
      </c>
      <c r="P417" s="8" t="str" cm="1">
        <f t="array" ref="P4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8" spans="1:16" x14ac:dyDescent="0.8">
      <c r="A418" s="5" t="s">
        <v>488</v>
      </c>
      <c r="B418" s="8">
        <v>31</v>
      </c>
      <c r="C418" s="5" t="s">
        <v>49</v>
      </c>
      <c r="D418" s="5" t="s">
        <v>51</v>
      </c>
      <c r="E418" s="5" t="s">
        <v>53</v>
      </c>
      <c r="F418" s="5" t="s">
        <v>137</v>
      </c>
      <c r="G418" s="8">
        <v>3</v>
      </c>
      <c r="H418" s="8">
        <v>6932</v>
      </c>
      <c r="I418" s="5" t="s">
        <v>49</v>
      </c>
      <c r="J418" s="8">
        <v>3</v>
      </c>
      <c r="K418" s="8">
        <v>2</v>
      </c>
      <c r="L418" s="8">
        <v>9</v>
      </c>
      <c r="M4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18" s="8" t="str" cm="1">
        <f t="array" ref="N418">_xlfn.IFS(HR_Analytics56[[#This Row],[PerformanceRating]]=3,"Good",HR_Analytics56[[#This Row],[PerformanceRating]]=4, "Excellent")</f>
        <v>Good</v>
      </c>
      <c r="O418" s="8" t="str">
        <f>IF(HR_Analytics56[[#This Row],[MonthlyIncome]]&lt;3000,"&lt; ₹3,000",IF(HR_Analytics56[[#This Row],[MonthlyIncome]]&lt;=7000,"₹ 3,000 - ₹ 7,000","&gt; ₹7,000"))</f>
        <v>₹ 3,000 - ₹ 7,000</v>
      </c>
      <c r="P418" s="8" t="str" cm="1">
        <f t="array" ref="P4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19" spans="1:16" x14ac:dyDescent="0.8">
      <c r="A419" s="5" t="s">
        <v>489</v>
      </c>
      <c r="B419" s="8">
        <v>31</v>
      </c>
      <c r="C419" s="5" t="s">
        <v>49</v>
      </c>
      <c r="D419" s="5" t="s">
        <v>42</v>
      </c>
      <c r="E419" s="5" t="s">
        <v>53</v>
      </c>
      <c r="F419" s="5" t="s">
        <v>161</v>
      </c>
      <c r="G419" s="8">
        <v>4</v>
      </c>
      <c r="H419" s="8">
        <v>5855</v>
      </c>
      <c r="I419" s="5" t="s">
        <v>40</v>
      </c>
      <c r="J419" s="8">
        <v>3</v>
      </c>
      <c r="K419" s="8">
        <v>2</v>
      </c>
      <c r="L419" s="8">
        <v>9</v>
      </c>
      <c r="M4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19" s="8" t="str" cm="1">
        <f t="array" ref="N419">_xlfn.IFS(HR_Analytics56[[#This Row],[PerformanceRating]]=3,"Good",HR_Analytics56[[#This Row],[PerformanceRating]]=4, "Excellent")</f>
        <v>Good</v>
      </c>
      <c r="O419" s="8" t="str">
        <f>IF(HR_Analytics56[[#This Row],[MonthlyIncome]]&lt;3000,"&lt; ₹3,000",IF(HR_Analytics56[[#This Row],[MonthlyIncome]]&lt;=7000,"₹ 3,000 - ₹ 7,000","&gt; ₹7,000"))</f>
        <v>₹ 3,000 - ₹ 7,000</v>
      </c>
      <c r="P419" s="8" t="str" cm="1">
        <f t="array" ref="P4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0" spans="1:16" x14ac:dyDescent="0.8">
      <c r="A420" s="5" t="s">
        <v>490</v>
      </c>
      <c r="B420" s="8">
        <v>31</v>
      </c>
      <c r="C420" s="5" t="s">
        <v>40</v>
      </c>
      <c r="D420" s="5" t="s">
        <v>42</v>
      </c>
      <c r="E420" s="5" t="s">
        <v>44</v>
      </c>
      <c r="F420" s="5" t="s">
        <v>60</v>
      </c>
      <c r="G420" s="8">
        <v>1</v>
      </c>
      <c r="H420" s="8">
        <v>2321</v>
      </c>
      <c r="I420" s="5" t="s">
        <v>40</v>
      </c>
      <c r="J420" s="8">
        <v>4</v>
      </c>
      <c r="K420" s="8">
        <v>0</v>
      </c>
      <c r="L420" s="8">
        <v>3</v>
      </c>
      <c r="M4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20" s="8" t="str" cm="1">
        <f t="array" ref="N420">_xlfn.IFS(HR_Analytics56[[#This Row],[PerformanceRating]]=3,"Good",HR_Analytics56[[#This Row],[PerformanceRating]]=4, "Excellent")</f>
        <v>Excellent</v>
      </c>
      <c r="O420" s="8" t="str">
        <f>IF(HR_Analytics56[[#This Row],[MonthlyIncome]]&lt;3000,"&lt; ₹3,000",IF(HR_Analytics56[[#This Row],[MonthlyIncome]]&lt;=7000,"₹ 3,000 - ₹ 7,000","&gt; ₹7,000"))</f>
        <v>&lt; ₹3,000</v>
      </c>
      <c r="P420" s="8" t="str" cm="1">
        <f t="array" ref="P4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1" spans="1:16" x14ac:dyDescent="0.8">
      <c r="A421" s="5" t="s">
        <v>491</v>
      </c>
      <c r="B421" s="8">
        <v>31</v>
      </c>
      <c r="C421" s="5" t="s">
        <v>49</v>
      </c>
      <c r="D421" s="5" t="s">
        <v>42</v>
      </c>
      <c r="E421" s="5" t="s">
        <v>53</v>
      </c>
      <c r="F421" s="5" t="s">
        <v>112</v>
      </c>
      <c r="G421" s="8">
        <v>1</v>
      </c>
      <c r="H421" s="8">
        <v>4148</v>
      </c>
      <c r="I421" s="5" t="s">
        <v>49</v>
      </c>
      <c r="J421" s="8">
        <v>3</v>
      </c>
      <c r="K421" s="8">
        <v>1</v>
      </c>
      <c r="L421" s="8">
        <v>4</v>
      </c>
      <c r="M4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21" s="8" t="str" cm="1">
        <f t="array" ref="N421">_xlfn.IFS(HR_Analytics56[[#This Row],[PerformanceRating]]=3,"Good",HR_Analytics56[[#This Row],[PerformanceRating]]=4, "Excellent")</f>
        <v>Good</v>
      </c>
      <c r="O421" s="8" t="str">
        <f>IF(HR_Analytics56[[#This Row],[MonthlyIncome]]&lt;3000,"&lt; ₹3,000",IF(HR_Analytics56[[#This Row],[MonthlyIncome]]&lt;=7000,"₹ 3,000 - ₹ 7,000","&gt; ₹7,000"))</f>
        <v>₹ 3,000 - ₹ 7,000</v>
      </c>
      <c r="P421" s="8" t="str" cm="1">
        <f t="array" ref="P4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2" spans="1:16" x14ac:dyDescent="0.8">
      <c r="A422" s="5" t="s">
        <v>492</v>
      </c>
      <c r="B422" s="8">
        <v>31</v>
      </c>
      <c r="C422" s="5" t="s">
        <v>49</v>
      </c>
      <c r="D422" s="5" t="s">
        <v>51</v>
      </c>
      <c r="E422" s="5" t="s">
        <v>44</v>
      </c>
      <c r="F422" s="5" t="s">
        <v>54</v>
      </c>
      <c r="G422" s="8">
        <v>4</v>
      </c>
      <c r="H422" s="8">
        <v>2791</v>
      </c>
      <c r="I422" s="5" t="s">
        <v>49</v>
      </c>
      <c r="J422" s="8">
        <v>3</v>
      </c>
      <c r="K422" s="8">
        <v>4</v>
      </c>
      <c r="L422" s="8">
        <v>2</v>
      </c>
      <c r="M4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22" s="8" t="str" cm="1">
        <f t="array" ref="N422">_xlfn.IFS(HR_Analytics56[[#This Row],[PerformanceRating]]=3,"Good",HR_Analytics56[[#This Row],[PerformanceRating]]=4, "Excellent")</f>
        <v>Good</v>
      </c>
      <c r="O422" s="8" t="str">
        <f>IF(HR_Analytics56[[#This Row],[MonthlyIncome]]&lt;3000,"&lt; ₹3,000",IF(HR_Analytics56[[#This Row],[MonthlyIncome]]&lt;=7000,"₹ 3,000 - ₹ 7,000","&gt; ₹7,000"))</f>
        <v>&lt; ₹3,000</v>
      </c>
      <c r="P422" s="8" t="str" cm="1">
        <f t="array" ref="P4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3" spans="1:16" x14ac:dyDescent="0.8">
      <c r="A423" s="5" t="s">
        <v>493</v>
      </c>
      <c r="B423" s="8">
        <v>31</v>
      </c>
      <c r="C423" s="5" t="s">
        <v>40</v>
      </c>
      <c r="D423" s="5" t="s">
        <v>42</v>
      </c>
      <c r="E423" s="5" t="s">
        <v>44</v>
      </c>
      <c r="F423" s="5" t="s">
        <v>45</v>
      </c>
      <c r="G423" s="8">
        <v>3</v>
      </c>
      <c r="H423" s="8">
        <v>2610</v>
      </c>
      <c r="I423" s="5" t="s">
        <v>49</v>
      </c>
      <c r="J423" s="8">
        <v>3</v>
      </c>
      <c r="K423" s="8">
        <v>5</v>
      </c>
      <c r="L423" s="8">
        <v>2</v>
      </c>
      <c r="M4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23" s="8" t="str" cm="1">
        <f t="array" ref="N423">_xlfn.IFS(HR_Analytics56[[#This Row],[PerformanceRating]]=3,"Good",HR_Analytics56[[#This Row],[PerformanceRating]]=4, "Excellent")</f>
        <v>Good</v>
      </c>
      <c r="O423" s="8" t="str">
        <f>IF(HR_Analytics56[[#This Row],[MonthlyIncome]]&lt;3000,"&lt; ₹3,000",IF(HR_Analytics56[[#This Row],[MonthlyIncome]]&lt;=7000,"₹ 3,000 - ₹ 7,000","&gt; ₹7,000"))</f>
        <v>&lt; ₹3,000</v>
      </c>
      <c r="P423" s="8" t="str" cm="1">
        <f t="array" ref="P4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4" spans="1:16" x14ac:dyDescent="0.8">
      <c r="A424" s="5" t="s">
        <v>494</v>
      </c>
      <c r="B424" s="8">
        <v>31</v>
      </c>
      <c r="C424" s="5" t="s">
        <v>49</v>
      </c>
      <c r="D424" s="5" t="s">
        <v>42</v>
      </c>
      <c r="E424" s="5" t="s">
        <v>44</v>
      </c>
      <c r="F424" s="5" t="s">
        <v>161</v>
      </c>
      <c r="G424" s="8">
        <v>1</v>
      </c>
      <c r="H424" s="8">
        <v>6833</v>
      </c>
      <c r="I424" s="5" t="s">
        <v>40</v>
      </c>
      <c r="J424" s="8">
        <v>3</v>
      </c>
      <c r="K424" s="8">
        <v>2</v>
      </c>
      <c r="L424" s="8">
        <v>6</v>
      </c>
      <c r="M4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24" s="8" t="str" cm="1">
        <f t="array" ref="N424">_xlfn.IFS(HR_Analytics56[[#This Row],[PerformanceRating]]=3,"Good",HR_Analytics56[[#This Row],[PerformanceRating]]=4, "Excellent")</f>
        <v>Good</v>
      </c>
      <c r="O424" s="8" t="str">
        <f>IF(HR_Analytics56[[#This Row],[MonthlyIncome]]&lt;3000,"&lt; ₹3,000",IF(HR_Analytics56[[#This Row],[MonthlyIncome]]&lt;=7000,"₹ 3,000 - ₹ 7,000","&gt; ₹7,000"))</f>
        <v>₹ 3,000 - ₹ 7,000</v>
      </c>
      <c r="P424" s="8" t="str" cm="1">
        <f t="array" ref="P4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5" spans="1:16" x14ac:dyDescent="0.8">
      <c r="A425" s="5" t="s">
        <v>495</v>
      </c>
      <c r="B425" s="8">
        <v>31</v>
      </c>
      <c r="C425" s="5" t="s">
        <v>49</v>
      </c>
      <c r="D425" s="5" t="s">
        <v>42</v>
      </c>
      <c r="E425" s="5" t="s">
        <v>53</v>
      </c>
      <c r="F425" s="5" t="s">
        <v>161</v>
      </c>
      <c r="G425" s="8">
        <v>1</v>
      </c>
      <c r="H425" s="8">
        <v>6812</v>
      </c>
      <c r="I425" s="5" t="s">
        <v>49</v>
      </c>
      <c r="J425" s="8">
        <v>3</v>
      </c>
      <c r="K425" s="8">
        <v>2</v>
      </c>
      <c r="L425" s="8">
        <v>10</v>
      </c>
      <c r="M4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25" s="8" t="str" cm="1">
        <f t="array" ref="N425">_xlfn.IFS(HR_Analytics56[[#This Row],[PerformanceRating]]=3,"Good",HR_Analytics56[[#This Row],[PerformanceRating]]=4, "Excellent")</f>
        <v>Good</v>
      </c>
      <c r="O425" s="8" t="str">
        <f>IF(HR_Analytics56[[#This Row],[MonthlyIncome]]&lt;3000,"&lt; ₹3,000",IF(HR_Analytics56[[#This Row],[MonthlyIncome]]&lt;=7000,"₹ 3,000 - ₹ 7,000","&gt; ₹7,000"))</f>
        <v>₹ 3,000 - ₹ 7,000</v>
      </c>
      <c r="P425" s="8" t="str" cm="1">
        <f t="array" ref="P4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6" spans="1:16" x14ac:dyDescent="0.8">
      <c r="A426" s="5" t="s">
        <v>496</v>
      </c>
      <c r="B426" s="8">
        <v>31</v>
      </c>
      <c r="C426" s="5" t="s">
        <v>49</v>
      </c>
      <c r="D426" s="5" t="s">
        <v>51</v>
      </c>
      <c r="E426" s="5" t="s">
        <v>53</v>
      </c>
      <c r="F426" s="5" t="s">
        <v>137</v>
      </c>
      <c r="G426" s="8">
        <v>3</v>
      </c>
      <c r="H426" s="8">
        <v>9852</v>
      </c>
      <c r="I426" s="5" t="s">
        <v>40</v>
      </c>
      <c r="J426" s="8">
        <v>3</v>
      </c>
      <c r="K426" s="8">
        <v>5</v>
      </c>
      <c r="L426" s="8">
        <v>10</v>
      </c>
      <c r="M4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26" s="8" t="str" cm="1">
        <f t="array" ref="N426">_xlfn.IFS(HR_Analytics56[[#This Row],[PerformanceRating]]=3,"Good",HR_Analytics56[[#This Row],[PerformanceRating]]=4, "Excellent")</f>
        <v>Good</v>
      </c>
      <c r="O426" s="8" t="str">
        <f>IF(HR_Analytics56[[#This Row],[MonthlyIncome]]&lt;3000,"&lt; ₹3,000",IF(HR_Analytics56[[#This Row],[MonthlyIncome]]&lt;=7000,"₹ 3,000 - ₹ 7,000","&gt; ₹7,000"))</f>
        <v>&gt; ₹7,000</v>
      </c>
      <c r="P426" s="8" t="str" cm="1">
        <f t="array" ref="P4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7" spans="1:16" x14ac:dyDescent="0.8">
      <c r="A427" s="5" t="s">
        <v>497</v>
      </c>
      <c r="B427" s="8">
        <v>31</v>
      </c>
      <c r="C427" s="5" t="s">
        <v>40</v>
      </c>
      <c r="D427" s="5" t="s">
        <v>51</v>
      </c>
      <c r="E427" s="5" t="s">
        <v>53</v>
      </c>
      <c r="F427" s="5" t="s">
        <v>54</v>
      </c>
      <c r="G427" s="8">
        <v>2</v>
      </c>
      <c r="H427" s="8">
        <v>2302</v>
      </c>
      <c r="I427" s="5" t="s">
        <v>40</v>
      </c>
      <c r="J427" s="8">
        <v>3</v>
      </c>
      <c r="K427" s="8">
        <v>2</v>
      </c>
      <c r="L427" s="8">
        <v>3</v>
      </c>
      <c r="M4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27" s="8" t="str" cm="1">
        <f t="array" ref="N427">_xlfn.IFS(HR_Analytics56[[#This Row],[PerformanceRating]]=3,"Good",HR_Analytics56[[#This Row],[PerformanceRating]]=4, "Excellent")</f>
        <v>Good</v>
      </c>
      <c r="O427" s="8" t="str">
        <f>IF(HR_Analytics56[[#This Row],[MonthlyIncome]]&lt;3000,"&lt; ₹3,000",IF(HR_Analytics56[[#This Row],[MonthlyIncome]]&lt;=7000,"₹ 3,000 - ₹ 7,000","&gt; ₹7,000"))</f>
        <v>&lt; ₹3,000</v>
      </c>
      <c r="P427" s="8" t="str" cm="1">
        <f t="array" ref="P4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8" spans="1:16" x14ac:dyDescent="0.8">
      <c r="A428" s="5" t="s">
        <v>498</v>
      </c>
      <c r="B428" s="8">
        <v>31</v>
      </c>
      <c r="C428" s="5" t="s">
        <v>40</v>
      </c>
      <c r="D428" s="5" t="s">
        <v>51</v>
      </c>
      <c r="E428" s="5" t="s">
        <v>53</v>
      </c>
      <c r="F428" s="5" t="s">
        <v>54</v>
      </c>
      <c r="G428" s="8">
        <v>4</v>
      </c>
      <c r="H428" s="8">
        <v>2785</v>
      </c>
      <c r="I428" s="5" t="s">
        <v>49</v>
      </c>
      <c r="J428" s="8">
        <v>3</v>
      </c>
      <c r="K428" s="8">
        <v>3</v>
      </c>
      <c r="L428" s="8">
        <v>1</v>
      </c>
      <c r="M4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28" s="8" t="str" cm="1">
        <f t="array" ref="N428">_xlfn.IFS(HR_Analytics56[[#This Row],[PerformanceRating]]=3,"Good",HR_Analytics56[[#This Row],[PerformanceRating]]=4, "Excellent")</f>
        <v>Good</v>
      </c>
      <c r="O428" s="8" t="str">
        <f>IF(HR_Analytics56[[#This Row],[MonthlyIncome]]&lt;3000,"&lt; ₹3,000",IF(HR_Analytics56[[#This Row],[MonthlyIncome]]&lt;=7000,"₹ 3,000 - ₹ 7,000","&gt; ₹7,000"))</f>
        <v>&lt; ₹3,000</v>
      </c>
      <c r="P428" s="8" t="str" cm="1">
        <f t="array" ref="P4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29" spans="1:16" x14ac:dyDescent="0.8">
      <c r="A429" s="5" t="s">
        <v>499</v>
      </c>
      <c r="B429" s="8">
        <v>31</v>
      </c>
      <c r="C429" s="5" t="s">
        <v>40</v>
      </c>
      <c r="D429" s="5" t="s">
        <v>42</v>
      </c>
      <c r="E429" s="5" t="s">
        <v>44</v>
      </c>
      <c r="F429" s="5" t="s">
        <v>112</v>
      </c>
      <c r="G429" s="8">
        <v>3</v>
      </c>
      <c r="H429" s="8">
        <v>6179</v>
      </c>
      <c r="I429" s="5" t="s">
        <v>40</v>
      </c>
      <c r="J429" s="8">
        <v>3</v>
      </c>
      <c r="K429" s="8">
        <v>3</v>
      </c>
      <c r="L429" s="8">
        <v>10</v>
      </c>
      <c r="M4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29" s="8" t="str" cm="1">
        <f t="array" ref="N429">_xlfn.IFS(HR_Analytics56[[#This Row],[PerformanceRating]]=3,"Good",HR_Analytics56[[#This Row],[PerformanceRating]]=4, "Excellent")</f>
        <v>Good</v>
      </c>
      <c r="O429" s="8" t="str">
        <f>IF(HR_Analytics56[[#This Row],[MonthlyIncome]]&lt;3000,"&lt; ₹3,000",IF(HR_Analytics56[[#This Row],[MonthlyIncome]]&lt;=7000,"₹ 3,000 - ₹ 7,000","&gt; ₹7,000"))</f>
        <v>₹ 3,000 - ₹ 7,000</v>
      </c>
      <c r="P429" s="8" t="str" cm="1">
        <f t="array" ref="P4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0" spans="1:16" x14ac:dyDescent="0.8">
      <c r="A430" s="5" t="s">
        <v>500</v>
      </c>
      <c r="B430" s="8">
        <v>31</v>
      </c>
      <c r="C430" s="5" t="s">
        <v>40</v>
      </c>
      <c r="D430" s="5" t="s">
        <v>51</v>
      </c>
      <c r="E430" s="5" t="s">
        <v>53</v>
      </c>
      <c r="F430" s="5" t="s">
        <v>54</v>
      </c>
      <c r="G430" s="8">
        <v>3</v>
      </c>
      <c r="H430" s="8">
        <v>1359</v>
      </c>
      <c r="I430" s="5" t="s">
        <v>49</v>
      </c>
      <c r="J430" s="8">
        <v>3</v>
      </c>
      <c r="K430" s="8">
        <v>3</v>
      </c>
      <c r="L430" s="8">
        <v>1</v>
      </c>
      <c r="M4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30" s="8" t="str" cm="1">
        <f t="array" ref="N430">_xlfn.IFS(HR_Analytics56[[#This Row],[PerformanceRating]]=3,"Good",HR_Analytics56[[#This Row],[PerformanceRating]]=4, "Excellent")</f>
        <v>Good</v>
      </c>
      <c r="O430" s="8" t="str">
        <f>IF(HR_Analytics56[[#This Row],[MonthlyIncome]]&lt;3000,"&lt; ₹3,000",IF(HR_Analytics56[[#This Row],[MonthlyIncome]]&lt;=7000,"₹ 3,000 - ₹ 7,000","&gt; ₹7,000"))</f>
        <v>&lt; ₹3,000</v>
      </c>
      <c r="P430" s="8" t="str" cm="1">
        <f t="array" ref="P4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1" spans="1:16" x14ac:dyDescent="0.8">
      <c r="A431" s="5" t="s">
        <v>501</v>
      </c>
      <c r="B431" s="8">
        <v>31</v>
      </c>
      <c r="C431" s="5" t="s">
        <v>49</v>
      </c>
      <c r="D431" s="5" t="s">
        <v>42</v>
      </c>
      <c r="E431" s="5" t="s">
        <v>53</v>
      </c>
      <c r="F431" s="5" t="s">
        <v>252</v>
      </c>
      <c r="G431" s="8">
        <v>2</v>
      </c>
      <c r="H431" s="8">
        <v>16422</v>
      </c>
      <c r="I431" s="5" t="s">
        <v>49</v>
      </c>
      <c r="J431" s="8">
        <v>3</v>
      </c>
      <c r="K431" s="8">
        <v>3</v>
      </c>
      <c r="L431" s="8">
        <v>3</v>
      </c>
      <c r="M4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31" s="8" t="str" cm="1">
        <f t="array" ref="N431">_xlfn.IFS(HR_Analytics56[[#This Row],[PerformanceRating]]=3,"Good",HR_Analytics56[[#This Row],[PerformanceRating]]=4, "Excellent")</f>
        <v>Good</v>
      </c>
      <c r="O431" s="8" t="str">
        <f>IF(HR_Analytics56[[#This Row],[MonthlyIncome]]&lt;3000,"&lt; ₹3,000",IF(HR_Analytics56[[#This Row],[MonthlyIncome]]&lt;=7000,"₹ 3,000 - ₹ 7,000","&gt; ₹7,000"))</f>
        <v>&gt; ₹7,000</v>
      </c>
      <c r="P431" s="8" t="str" cm="1">
        <f t="array" ref="P4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2" spans="1:16" x14ac:dyDescent="0.8">
      <c r="A432" s="5" t="s">
        <v>502</v>
      </c>
      <c r="B432" s="8">
        <v>31</v>
      </c>
      <c r="C432" s="5" t="s">
        <v>40</v>
      </c>
      <c r="D432" s="5" t="s">
        <v>42</v>
      </c>
      <c r="E432" s="5" t="s">
        <v>53</v>
      </c>
      <c r="F432" s="5" t="s">
        <v>60</v>
      </c>
      <c r="G432" s="8">
        <v>2</v>
      </c>
      <c r="H432" s="8">
        <v>1261</v>
      </c>
      <c r="I432" s="5" t="s">
        <v>49</v>
      </c>
      <c r="J432" s="8">
        <v>3</v>
      </c>
      <c r="K432" s="8">
        <v>3</v>
      </c>
      <c r="L432" s="8">
        <v>1</v>
      </c>
      <c r="M4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32" s="8" t="str" cm="1">
        <f t="array" ref="N432">_xlfn.IFS(HR_Analytics56[[#This Row],[PerformanceRating]]=3,"Good",HR_Analytics56[[#This Row],[PerformanceRating]]=4, "Excellent")</f>
        <v>Good</v>
      </c>
      <c r="O432" s="8" t="str">
        <f>IF(HR_Analytics56[[#This Row],[MonthlyIncome]]&lt;3000,"&lt; ₹3,000",IF(HR_Analytics56[[#This Row],[MonthlyIncome]]&lt;=7000,"₹ 3,000 - ₹ 7,000","&gt; ₹7,000"))</f>
        <v>&lt; ₹3,000</v>
      </c>
      <c r="P432" s="8" t="str" cm="1">
        <f t="array" ref="P4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3" spans="1:16" x14ac:dyDescent="0.8">
      <c r="A433" s="5" t="s">
        <v>503</v>
      </c>
      <c r="B433" s="8">
        <v>31</v>
      </c>
      <c r="C433" s="5" t="s">
        <v>49</v>
      </c>
      <c r="D433" s="5" t="s">
        <v>51</v>
      </c>
      <c r="E433" s="5" t="s">
        <v>44</v>
      </c>
      <c r="F433" s="5" t="s">
        <v>137</v>
      </c>
      <c r="G433" s="8">
        <v>4</v>
      </c>
      <c r="H433" s="8">
        <v>10793</v>
      </c>
      <c r="I433" s="5" t="s">
        <v>49</v>
      </c>
      <c r="J433" s="8">
        <v>3</v>
      </c>
      <c r="K433" s="8">
        <v>5</v>
      </c>
      <c r="L433" s="8">
        <v>13</v>
      </c>
      <c r="M4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33" s="8" t="str" cm="1">
        <f t="array" ref="N433">_xlfn.IFS(HR_Analytics56[[#This Row],[PerformanceRating]]=3,"Good",HR_Analytics56[[#This Row],[PerformanceRating]]=4, "Excellent")</f>
        <v>Good</v>
      </c>
      <c r="O433" s="8" t="str">
        <f>IF(HR_Analytics56[[#This Row],[MonthlyIncome]]&lt;3000,"&lt; ₹3,000",IF(HR_Analytics56[[#This Row],[MonthlyIncome]]&lt;=7000,"₹ 3,000 - ₹ 7,000","&gt; ₹7,000"))</f>
        <v>&gt; ₹7,000</v>
      </c>
      <c r="P433" s="8" t="str" cm="1">
        <f t="array" ref="P4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4" spans="1:16" x14ac:dyDescent="0.8">
      <c r="A434" s="5" t="s">
        <v>504</v>
      </c>
      <c r="B434" s="8">
        <v>31</v>
      </c>
      <c r="C434" s="5" t="s">
        <v>40</v>
      </c>
      <c r="D434" s="5" t="s">
        <v>42</v>
      </c>
      <c r="E434" s="5" t="s">
        <v>53</v>
      </c>
      <c r="F434" s="5" t="s">
        <v>112</v>
      </c>
      <c r="G434" s="8">
        <v>2</v>
      </c>
      <c r="H434" s="8">
        <v>7446</v>
      </c>
      <c r="I434" s="5" t="s">
        <v>49</v>
      </c>
      <c r="J434" s="8">
        <v>3</v>
      </c>
      <c r="K434" s="8">
        <v>2</v>
      </c>
      <c r="L434" s="8">
        <v>10</v>
      </c>
      <c r="M4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34" s="8" t="str" cm="1">
        <f t="array" ref="N434">_xlfn.IFS(HR_Analytics56[[#This Row],[PerformanceRating]]=3,"Good",HR_Analytics56[[#This Row],[PerformanceRating]]=4, "Excellent")</f>
        <v>Good</v>
      </c>
      <c r="O434" s="8" t="str">
        <f>IF(HR_Analytics56[[#This Row],[MonthlyIncome]]&lt;3000,"&lt; ₹3,000",IF(HR_Analytics56[[#This Row],[MonthlyIncome]]&lt;=7000,"₹ 3,000 - ₹ 7,000","&gt; ₹7,000"))</f>
        <v>&gt; ₹7,000</v>
      </c>
      <c r="P434" s="8" t="str" cm="1">
        <f t="array" ref="P4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5" spans="1:16" x14ac:dyDescent="0.8">
      <c r="A435" s="5" t="s">
        <v>505</v>
      </c>
      <c r="B435" s="8">
        <v>31</v>
      </c>
      <c r="C435" s="5" t="s">
        <v>49</v>
      </c>
      <c r="D435" s="5" t="s">
        <v>71</v>
      </c>
      <c r="E435" s="5" t="s">
        <v>53</v>
      </c>
      <c r="F435" s="5" t="s">
        <v>71</v>
      </c>
      <c r="G435" s="8">
        <v>2</v>
      </c>
      <c r="H435" s="8">
        <v>2109</v>
      </c>
      <c r="I435" s="5" t="s">
        <v>49</v>
      </c>
      <c r="J435" s="8">
        <v>3</v>
      </c>
      <c r="K435" s="8">
        <v>3</v>
      </c>
      <c r="L435" s="8">
        <v>3</v>
      </c>
      <c r="M4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35" s="8" t="str" cm="1">
        <f t="array" ref="N435">_xlfn.IFS(HR_Analytics56[[#This Row],[PerformanceRating]]=3,"Good",HR_Analytics56[[#This Row],[PerformanceRating]]=4, "Excellent")</f>
        <v>Good</v>
      </c>
      <c r="O435" s="8" t="str">
        <f>IF(HR_Analytics56[[#This Row],[MonthlyIncome]]&lt;3000,"&lt; ₹3,000",IF(HR_Analytics56[[#This Row],[MonthlyIncome]]&lt;=7000,"₹ 3,000 - ₹ 7,000","&gt; ₹7,000"))</f>
        <v>&lt; ₹3,000</v>
      </c>
      <c r="P435" s="8" t="str" cm="1">
        <f t="array" ref="P4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6" spans="1:16" x14ac:dyDescent="0.8">
      <c r="A436" s="5" t="s">
        <v>506</v>
      </c>
      <c r="B436" s="8">
        <v>31</v>
      </c>
      <c r="C436" s="5" t="s">
        <v>40</v>
      </c>
      <c r="D436" s="5" t="s">
        <v>42</v>
      </c>
      <c r="E436" s="5" t="s">
        <v>44</v>
      </c>
      <c r="F436" s="5" t="s">
        <v>45</v>
      </c>
      <c r="G436" s="8">
        <v>4</v>
      </c>
      <c r="H436" s="8">
        <v>3722</v>
      </c>
      <c r="I436" s="5" t="s">
        <v>40</v>
      </c>
      <c r="J436" s="8">
        <v>3</v>
      </c>
      <c r="K436" s="8">
        <v>2</v>
      </c>
      <c r="L436" s="8">
        <v>2</v>
      </c>
      <c r="M4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36" s="8" t="str" cm="1">
        <f t="array" ref="N436">_xlfn.IFS(HR_Analytics56[[#This Row],[PerformanceRating]]=3,"Good",HR_Analytics56[[#This Row],[PerformanceRating]]=4, "Excellent")</f>
        <v>Good</v>
      </c>
      <c r="O436" s="8" t="str">
        <f>IF(HR_Analytics56[[#This Row],[MonthlyIncome]]&lt;3000,"&lt; ₹3,000",IF(HR_Analytics56[[#This Row],[MonthlyIncome]]&lt;=7000,"₹ 3,000 - ₹ 7,000","&gt; ₹7,000"))</f>
        <v>₹ 3,000 - ₹ 7,000</v>
      </c>
      <c r="P436" s="8" t="str" cm="1">
        <f t="array" ref="P4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7" spans="1:16" x14ac:dyDescent="0.8">
      <c r="A437" s="5" t="s">
        <v>507</v>
      </c>
      <c r="B437" s="8">
        <v>31</v>
      </c>
      <c r="C437" s="5" t="s">
        <v>40</v>
      </c>
      <c r="D437" s="5" t="s">
        <v>42</v>
      </c>
      <c r="E437" s="5" t="s">
        <v>53</v>
      </c>
      <c r="F437" s="5" t="s">
        <v>60</v>
      </c>
      <c r="G437" s="8">
        <v>3</v>
      </c>
      <c r="H437" s="8">
        <v>4084</v>
      </c>
      <c r="I437" s="5" t="s">
        <v>49</v>
      </c>
      <c r="J437" s="8">
        <v>3</v>
      </c>
      <c r="K437" s="8">
        <v>2</v>
      </c>
      <c r="L437" s="8">
        <v>7</v>
      </c>
      <c r="M4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37" s="8" t="str" cm="1">
        <f t="array" ref="N437">_xlfn.IFS(HR_Analytics56[[#This Row],[PerformanceRating]]=3,"Good",HR_Analytics56[[#This Row],[PerformanceRating]]=4, "Excellent")</f>
        <v>Good</v>
      </c>
      <c r="O437" s="8" t="str">
        <f>IF(HR_Analytics56[[#This Row],[MonthlyIncome]]&lt;3000,"&lt; ₹3,000",IF(HR_Analytics56[[#This Row],[MonthlyIncome]]&lt;=7000,"₹ 3,000 - ₹ 7,000","&gt; ₹7,000"))</f>
        <v>₹ 3,000 - ₹ 7,000</v>
      </c>
      <c r="P437" s="8" t="str" cm="1">
        <f t="array" ref="P4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8" spans="1:16" x14ac:dyDescent="0.8">
      <c r="A438" s="5" t="s">
        <v>508</v>
      </c>
      <c r="B438" s="8">
        <v>31</v>
      </c>
      <c r="C438" s="5" t="s">
        <v>49</v>
      </c>
      <c r="D438" s="5" t="s">
        <v>51</v>
      </c>
      <c r="E438" s="5" t="s">
        <v>44</v>
      </c>
      <c r="F438" s="5" t="s">
        <v>137</v>
      </c>
      <c r="G438" s="8">
        <v>1</v>
      </c>
      <c r="H438" s="8">
        <v>5332</v>
      </c>
      <c r="I438" s="5" t="s">
        <v>49</v>
      </c>
      <c r="J438" s="8">
        <v>3</v>
      </c>
      <c r="K438" s="8">
        <v>3</v>
      </c>
      <c r="L438" s="8">
        <v>5</v>
      </c>
      <c r="M4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38" s="8" t="str" cm="1">
        <f t="array" ref="N438">_xlfn.IFS(HR_Analytics56[[#This Row],[PerformanceRating]]=3,"Good",HR_Analytics56[[#This Row],[PerformanceRating]]=4, "Excellent")</f>
        <v>Good</v>
      </c>
      <c r="O438" s="8" t="str">
        <f>IF(HR_Analytics56[[#This Row],[MonthlyIncome]]&lt;3000,"&lt; ₹3,000",IF(HR_Analytics56[[#This Row],[MonthlyIncome]]&lt;=7000,"₹ 3,000 - ₹ 7,000","&gt; ₹7,000"))</f>
        <v>₹ 3,000 - ₹ 7,000</v>
      </c>
      <c r="P438" s="8" t="str" cm="1">
        <f t="array" ref="P4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39" spans="1:16" x14ac:dyDescent="0.8">
      <c r="A439" s="5" t="s">
        <v>509</v>
      </c>
      <c r="B439" s="8">
        <v>31</v>
      </c>
      <c r="C439" s="5" t="s">
        <v>49</v>
      </c>
      <c r="D439" s="5" t="s">
        <v>51</v>
      </c>
      <c r="E439" s="5" t="s">
        <v>53</v>
      </c>
      <c r="F439" s="5" t="s">
        <v>137</v>
      </c>
      <c r="G439" s="8">
        <v>4</v>
      </c>
      <c r="H439" s="8">
        <v>5476</v>
      </c>
      <c r="I439" s="5" t="s">
        <v>49</v>
      </c>
      <c r="J439" s="8">
        <v>3</v>
      </c>
      <c r="K439" s="8">
        <v>2</v>
      </c>
      <c r="L439" s="8">
        <v>10</v>
      </c>
      <c r="M4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39" s="8" t="str" cm="1">
        <f t="array" ref="N439">_xlfn.IFS(HR_Analytics56[[#This Row],[PerformanceRating]]=3,"Good",HR_Analytics56[[#This Row],[PerformanceRating]]=4, "Excellent")</f>
        <v>Good</v>
      </c>
      <c r="O439" s="8" t="str">
        <f>IF(HR_Analytics56[[#This Row],[MonthlyIncome]]&lt;3000,"&lt; ₹3,000",IF(HR_Analytics56[[#This Row],[MonthlyIncome]]&lt;=7000,"₹ 3,000 - ₹ 7,000","&gt; ₹7,000"))</f>
        <v>₹ 3,000 - ₹ 7,000</v>
      </c>
      <c r="P439" s="8" t="str" cm="1">
        <f t="array" ref="P4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0" spans="1:16" x14ac:dyDescent="0.8">
      <c r="A440" s="5" t="s">
        <v>510</v>
      </c>
      <c r="B440" s="8">
        <v>31</v>
      </c>
      <c r="C440" s="5" t="s">
        <v>49</v>
      </c>
      <c r="D440" s="5" t="s">
        <v>42</v>
      </c>
      <c r="E440" s="5" t="s">
        <v>44</v>
      </c>
      <c r="F440" s="5" t="s">
        <v>45</v>
      </c>
      <c r="G440" s="8">
        <v>3</v>
      </c>
      <c r="H440" s="8">
        <v>3477</v>
      </c>
      <c r="I440" s="5" t="s">
        <v>49</v>
      </c>
      <c r="J440" s="8">
        <v>3</v>
      </c>
      <c r="K440" s="8">
        <v>2</v>
      </c>
      <c r="L440" s="8">
        <v>5</v>
      </c>
      <c r="M4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0" s="8" t="str" cm="1">
        <f t="array" ref="N440">_xlfn.IFS(HR_Analytics56[[#This Row],[PerformanceRating]]=3,"Good",HR_Analytics56[[#This Row],[PerformanceRating]]=4, "Excellent")</f>
        <v>Good</v>
      </c>
      <c r="O440" s="8" t="str">
        <f>IF(HR_Analytics56[[#This Row],[MonthlyIncome]]&lt;3000,"&lt; ₹3,000",IF(HR_Analytics56[[#This Row],[MonthlyIncome]]&lt;=7000,"₹ 3,000 - ₹ 7,000","&gt; ₹7,000"))</f>
        <v>₹ 3,000 - ₹ 7,000</v>
      </c>
      <c r="P440" s="8" t="str" cm="1">
        <f t="array" ref="P4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1" spans="1:16" x14ac:dyDescent="0.8">
      <c r="A441" s="5" t="s">
        <v>511</v>
      </c>
      <c r="B441" s="8">
        <v>31</v>
      </c>
      <c r="C441" s="5" t="s">
        <v>49</v>
      </c>
      <c r="D441" s="5" t="s">
        <v>42</v>
      </c>
      <c r="E441" s="5" t="s">
        <v>53</v>
      </c>
      <c r="F441" s="5" t="s">
        <v>112</v>
      </c>
      <c r="G441" s="8">
        <v>4</v>
      </c>
      <c r="H441" s="8">
        <v>5238</v>
      </c>
      <c r="I441" s="5" t="s">
        <v>49</v>
      </c>
      <c r="J441" s="8">
        <v>4</v>
      </c>
      <c r="K441" s="8">
        <v>3</v>
      </c>
      <c r="L441" s="8">
        <v>5</v>
      </c>
      <c r="M4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1" s="8" t="str" cm="1">
        <f t="array" ref="N441">_xlfn.IFS(HR_Analytics56[[#This Row],[PerformanceRating]]=3,"Good",HR_Analytics56[[#This Row],[PerformanceRating]]=4, "Excellent")</f>
        <v>Excellent</v>
      </c>
      <c r="O441" s="8" t="str">
        <f>IF(HR_Analytics56[[#This Row],[MonthlyIncome]]&lt;3000,"&lt; ₹3,000",IF(HR_Analytics56[[#This Row],[MonthlyIncome]]&lt;=7000,"₹ 3,000 - ₹ 7,000","&gt; ₹7,000"))</f>
        <v>₹ 3,000 - ₹ 7,000</v>
      </c>
      <c r="P441" s="8" t="str" cm="1">
        <f t="array" ref="P44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42" spans="1:16" x14ac:dyDescent="0.8">
      <c r="A442" s="5" t="s">
        <v>512</v>
      </c>
      <c r="B442" s="8">
        <v>31</v>
      </c>
      <c r="C442" s="5" t="s">
        <v>49</v>
      </c>
      <c r="D442" s="5" t="s">
        <v>51</v>
      </c>
      <c r="E442" s="5" t="s">
        <v>44</v>
      </c>
      <c r="F442" s="5" t="s">
        <v>137</v>
      </c>
      <c r="G442" s="8">
        <v>3</v>
      </c>
      <c r="H442" s="8">
        <v>8346</v>
      </c>
      <c r="I442" s="5" t="s">
        <v>49</v>
      </c>
      <c r="J442" s="8">
        <v>3</v>
      </c>
      <c r="K442" s="8">
        <v>3</v>
      </c>
      <c r="L442" s="8">
        <v>5</v>
      </c>
      <c r="M4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2" s="8" t="str" cm="1">
        <f t="array" ref="N442">_xlfn.IFS(HR_Analytics56[[#This Row],[PerformanceRating]]=3,"Good",HR_Analytics56[[#This Row],[PerformanceRating]]=4, "Excellent")</f>
        <v>Good</v>
      </c>
      <c r="O442" s="8" t="str">
        <f>IF(HR_Analytics56[[#This Row],[MonthlyIncome]]&lt;3000,"&lt; ₹3,000",IF(HR_Analytics56[[#This Row],[MonthlyIncome]]&lt;=7000,"₹ 3,000 - ₹ 7,000","&gt; ₹7,000"))</f>
        <v>&gt; ₹7,000</v>
      </c>
      <c r="P442" s="8" t="str" cm="1">
        <f t="array" ref="P4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3" spans="1:16" x14ac:dyDescent="0.8">
      <c r="A443" s="5" t="s">
        <v>513</v>
      </c>
      <c r="B443" s="8">
        <v>31</v>
      </c>
      <c r="C443" s="5" t="s">
        <v>40</v>
      </c>
      <c r="D443" s="5" t="s">
        <v>51</v>
      </c>
      <c r="E443" s="5" t="s">
        <v>44</v>
      </c>
      <c r="F443" s="5" t="s">
        <v>137</v>
      </c>
      <c r="G443" s="8">
        <v>3</v>
      </c>
      <c r="H443" s="8">
        <v>8161</v>
      </c>
      <c r="I443" s="5" t="s">
        <v>49</v>
      </c>
      <c r="J443" s="8">
        <v>3</v>
      </c>
      <c r="K443" s="8">
        <v>2</v>
      </c>
      <c r="L443" s="8">
        <v>1</v>
      </c>
      <c r="M4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43" s="8" t="str" cm="1">
        <f t="array" ref="N443">_xlfn.IFS(HR_Analytics56[[#This Row],[PerformanceRating]]=3,"Good",HR_Analytics56[[#This Row],[PerformanceRating]]=4, "Excellent")</f>
        <v>Good</v>
      </c>
      <c r="O443" s="8" t="str">
        <f>IF(HR_Analytics56[[#This Row],[MonthlyIncome]]&lt;3000,"&lt; ₹3,000",IF(HR_Analytics56[[#This Row],[MonthlyIncome]]&lt;=7000,"₹ 3,000 - ₹ 7,000","&gt; ₹7,000"))</f>
        <v>&gt; ₹7,000</v>
      </c>
      <c r="P443" s="8" t="str" cm="1">
        <f t="array" ref="P4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4" spans="1:16" x14ac:dyDescent="0.8">
      <c r="A444" s="5" t="s">
        <v>514</v>
      </c>
      <c r="B444" s="8">
        <v>31</v>
      </c>
      <c r="C444" s="5" t="s">
        <v>49</v>
      </c>
      <c r="D444" s="5" t="s">
        <v>51</v>
      </c>
      <c r="E444" s="5" t="s">
        <v>53</v>
      </c>
      <c r="F444" s="5" t="s">
        <v>137</v>
      </c>
      <c r="G444" s="8">
        <v>4</v>
      </c>
      <c r="H444" s="8">
        <v>5468</v>
      </c>
      <c r="I444" s="5" t="s">
        <v>49</v>
      </c>
      <c r="J444" s="8">
        <v>3</v>
      </c>
      <c r="K444" s="8">
        <v>3</v>
      </c>
      <c r="L444" s="8">
        <v>12</v>
      </c>
      <c r="M4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4" s="8" t="str" cm="1">
        <f t="array" ref="N444">_xlfn.IFS(HR_Analytics56[[#This Row],[PerformanceRating]]=3,"Good",HR_Analytics56[[#This Row],[PerformanceRating]]=4, "Excellent")</f>
        <v>Good</v>
      </c>
      <c r="O444" s="8" t="str">
        <f>IF(HR_Analytics56[[#This Row],[MonthlyIncome]]&lt;3000,"&lt; ₹3,000",IF(HR_Analytics56[[#This Row],[MonthlyIncome]]&lt;=7000,"₹ 3,000 - ₹ 7,000","&gt; ₹7,000"))</f>
        <v>₹ 3,000 - ₹ 7,000</v>
      </c>
      <c r="P444" s="8" t="str" cm="1">
        <f t="array" ref="P4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5" spans="1:16" x14ac:dyDescent="0.8">
      <c r="A445" s="5" t="s">
        <v>515</v>
      </c>
      <c r="B445" s="8">
        <v>31</v>
      </c>
      <c r="C445" s="5" t="s">
        <v>49</v>
      </c>
      <c r="D445" s="5" t="s">
        <v>51</v>
      </c>
      <c r="E445" s="5" t="s">
        <v>53</v>
      </c>
      <c r="F445" s="5" t="s">
        <v>137</v>
      </c>
      <c r="G445" s="8">
        <v>1</v>
      </c>
      <c r="H445" s="8">
        <v>9637</v>
      </c>
      <c r="I445" s="5" t="s">
        <v>49</v>
      </c>
      <c r="J445" s="8">
        <v>3</v>
      </c>
      <c r="K445" s="8">
        <v>3</v>
      </c>
      <c r="L445" s="8">
        <v>3</v>
      </c>
      <c r="M4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5" s="8" t="str" cm="1">
        <f t="array" ref="N445">_xlfn.IFS(HR_Analytics56[[#This Row],[PerformanceRating]]=3,"Good",HR_Analytics56[[#This Row],[PerformanceRating]]=4, "Excellent")</f>
        <v>Good</v>
      </c>
      <c r="O445" s="8" t="str">
        <f>IF(HR_Analytics56[[#This Row],[MonthlyIncome]]&lt;3000,"&lt; ₹3,000",IF(HR_Analytics56[[#This Row],[MonthlyIncome]]&lt;=7000,"₹ 3,000 - ₹ 7,000","&gt; ₹7,000"))</f>
        <v>&gt; ₹7,000</v>
      </c>
      <c r="P445" s="8" t="str" cm="1">
        <f t="array" ref="P4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6" spans="1:16" x14ac:dyDescent="0.8">
      <c r="A446" s="5" t="s">
        <v>516</v>
      </c>
      <c r="B446" s="8">
        <v>31</v>
      </c>
      <c r="C446" s="5" t="s">
        <v>40</v>
      </c>
      <c r="D446" s="5" t="s">
        <v>71</v>
      </c>
      <c r="E446" s="5" t="s">
        <v>44</v>
      </c>
      <c r="F446" s="5" t="s">
        <v>71</v>
      </c>
      <c r="G446" s="8">
        <v>1</v>
      </c>
      <c r="H446" s="8">
        <v>2956</v>
      </c>
      <c r="I446" s="5" t="s">
        <v>49</v>
      </c>
      <c r="J446" s="8">
        <v>3</v>
      </c>
      <c r="K446" s="8">
        <v>4</v>
      </c>
      <c r="L446" s="8">
        <v>1</v>
      </c>
      <c r="M4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46" s="8" t="str" cm="1">
        <f t="array" ref="N446">_xlfn.IFS(HR_Analytics56[[#This Row],[PerformanceRating]]=3,"Good",HR_Analytics56[[#This Row],[PerformanceRating]]=4, "Excellent")</f>
        <v>Good</v>
      </c>
      <c r="O446" s="8" t="str">
        <f>IF(HR_Analytics56[[#This Row],[MonthlyIncome]]&lt;3000,"&lt; ₹3,000",IF(HR_Analytics56[[#This Row],[MonthlyIncome]]&lt;=7000,"₹ 3,000 - ₹ 7,000","&gt; ₹7,000"))</f>
        <v>&lt; ₹3,000</v>
      </c>
      <c r="P446" s="8" t="str" cm="1">
        <f t="array" ref="P4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7" spans="1:16" x14ac:dyDescent="0.8">
      <c r="A447" s="5" t="s">
        <v>517</v>
      </c>
      <c r="B447" s="8">
        <v>31</v>
      </c>
      <c r="C447" s="5" t="s">
        <v>49</v>
      </c>
      <c r="D447" s="5" t="s">
        <v>42</v>
      </c>
      <c r="E447" s="5" t="s">
        <v>44</v>
      </c>
      <c r="F447" s="5" t="s">
        <v>45</v>
      </c>
      <c r="G447" s="8">
        <v>3</v>
      </c>
      <c r="H447" s="8">
        <v>4197</v>
      </c>
      <c r="I447" s="5" t="s">
        <v>49</v>
      </c>
      <c r="J447" s="8">
        <v>3</v>
      </c>
      <c r="K447" s="8">
        <v>2</v>
      </c>
      <c r="L447" s="8">
        <v>10</v>
      </c>
      <c r="M4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7" s="8" t="str" cm="1">
        <f t="array" ref="N447">_xlfn.IFS(HR_Analytics56[[#This Row],[PerformanceRating]]=3,"Good",HR_Analytics56[[#This Row],[PerformanceRating]]=4, "Excellent")</f>
        <v>Good</v>
      </c>
      <c r="O447" s="8" t="str">
        <f>IF(HR_Analytics56[[#This Row],[MonthlyIncome]]&lt;3000,"&lt; ₹3,000",IF(HR_Analytics56[[#This Row],[MonthlyIncome]]&lt;=7000,"₹ 3,000 - ₹ 7,000","&gt; ₹7,000"))</f>
        <v>₹ 3,000 - ₹ 7,000</v>
      </c>
      <c r="P447" s="8" t="str" cm="1">
        <f t="array" ref="P4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8" spans="1:16" x14ac:dyDescent="0.8">
      <c r="A448" s="5" t="s">
        <v>518</v>
      </c>
      <c r="B448" s="8">
        <v>31</v>
      </c>
      <c r="C448" s="5" t="s">
        <v>49</v>
      </c>
      <c r="D448" s="5" t="s">
        <v>51</v>
      </c>
      <c r="E448" s="5" t="s">
        <v>53</v>
      </c>
      <c r="F448" s="5" t="s">
        <v>137</v>
      </c>
      <c r="G448" s="8">
        <v>4</v>
      </c>
      <c r="H448" s="8">
        <v>6583</v>
      </c>
      <c r="I448" s="5" t="s">
        <v>40</v>
      </c>
      <c r="J448" s="8">
        <v>3</v>
      </c>
      <c r="K448" s="8">
        <v>2</v>
      </c>
      <c r="L448" s="8">
        <v>5</v>
      </c>
      <c r="M4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48" s="8" t="str" cm="1">
        <f t="array" ref="N448">_xlfn.IFS(HR_Analytics56[[#This Row],[PerformanceRating]]=3,"Good",HR_Analytics56[[#This Row],[PerformanceRating]]=4, "Excellent")</f>
        <v>Good</v>
      </c>
      <c r="O448" s="8" t="str">
        <f>IF(HR_Analytics56[[#This Row],[MonthlyIncome]]&lt;3000,"&lt; ₹3,000",IF(HR_Analytics56[[#This Row],[MonthlyIncome]]&lt;=7000,"₹ 3,000 - ₹ 7,000","&gt; ₹7,000"))</f>
        <v>₹ 3,000 - ₹ 7,000</v>
      </c>
      <c r="P448" s="8" t="str" cm="1">
        <f t="array" ref="P4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49" spans="1:16" x14ac:dyDescent="0.8">
      <c r="A449" s="5" t="s">
        <v>519</v>
      </c>
      <c r="B449" s="8">
        <v>31</v>
      </c>
      <c r="C449" s="5" t="s">
        <v>49</v>
      </c>
      <c r="D449" s="5" t="s">
        <v>42</v>
      </c>
      <c r="E449" s="5" t="s">
        <v>53</v>
      </c>
      <c r="F449" s="5" t="s">
        <v>45</v>
      </c>
      <c r="G449" s="8">
        <v>3</v>
      </c>
      <c r="H449" s="8">
        <v>3978</v>
      </c>
      <c r="I449" s="5" t="s">
        <v>49</v>
      </c>
      <c r="J449" s="8">
        <v>3</v>
      </c>
      <c r="K449" s="8">
        <v>0</v>
      </c>
      <c r="L449" s="8">
        <v>2</v>
      </c>
      <c r="M4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49" s="8" t="str" cm="1">
        <f t="array" ref="N449">_xlfn.IFS(HR_Analytics56[[#This Row],[PerformanceRating]]=3,"Good",HR_Analytics56[[#This Row],[PerformanceRating]]=4, "Excellent")</f>
        <v>Good</v>
      </c>
      <c r="O449" s="8" t="str">
        <f>IF(HR_Analytics56[[#This Row],[MonthlyIncome]]&lt;3000,"&lt; ₹3,000",IF(HR_Analytics56[[#This Row],[MonthlyIncome]]&lt;=7000,"₹ 3,000 - ₹ 7,000","&gt; ₹7,000"))</f>
        <v>₹ 3,000 - ₹ 7,000</v>
      </c>
      <c r="P449" s="8" t="str" cm="1">
        <f t="array" ref="P4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0" spans="1:16" x14ac:dyDescent="0.8">
      <c r="A450" s="5" t="s">
        <v>520</v>
      </c>
      <c r="B450" s="8">
        <v>31</v>
      </c>
      <c r="C450" s="5" t="s">
        <v>49</v>
      </c>
      <c r="D450" s="5" t="s">
        <v>42</v>
      </c>
      <c r="E450" s="5" t="s">
        <v>44</v>
      </c>
      <c r="F450" s="5" t="s">
        <v>60</v>
      </c>
      <c r="G450" s="8">
        <v>1</v>
      </c>
      <c r="H450" s="8">
        <v>3065</v>
      </c>
      <c r="I450" s="5" t="s">
        <v>40</v>
      </c>
      <c r="J450" s="8">
        <v>3</v>
      </c>
      <c r="K450" s="8">
        <v>3</v>
      </c>
      <c r="L450" s="8">
        <v>4</v>
      </c>
      <c r="M4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50" s="8" t="str" cm="1">
        <f t="array" ref="N450">_xlfn.IFS(HR_Analytics56[[#This Row],[PerformanceRating]]=3,"Good",HR_Analytics56[[#This Row],[PerformanceRating]]=4, "Excellent")</f>
        <v>Good</v>
      </c>
      <c r="O450" s="8" t="str">
        <f>IF(HR_Analytics56[[#This Row],[MonthlyIncome]]&lt;3000,"&lt; ₹3,000",IF(HR_Analytics56[[#This Row],[MonthlyIncome]]&lt;=7000,"₹ 3,000 - ₹ 7,000","&gt; ₹7,000"))</f>
        <v>₹ 3,000 - ₹ 7,000</v>
      </c>
      <c r="P450" s="8" t="str" cm="1">
        <f t="array" ref="P4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1" spans="1:16" x14ac:dyDescent="0.8">
      <c r="A451" s="5" t="s">
        <v>521</v>
      </c>
      <c r="B451" s="8">
        <v>31</v>
      </c>
      <c r="C451" s="5" t="s">
        <v>49</v>
      </c>
      <c r="D451" s="5" t="s">
        <v>42</v>
      </c>
      <c r="E451" s="5" t="s">
        <v>44</v>
      </c>
      <c r="F451" s="5" t="s">
        <v>60</v>
      </c>
      <c r="G451" s="8">
        <v>1</v>
      </c>
      <c r="H451" s="8">
        <v>5003</v>
      </c>
      <c r="I451" s="5" t="s">
        <v>49</v>
      </c>
      <c r="J451" s="8">
        <v>4</v>
      </c>
      <c r="K451" s="8">
        <v>6</v>
      </c>
      <c r="L451" s="8">
        <v>10</v>
      </c>
      <c r="M4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1" s="8" t="str" cm="1">
        <f t="array" ref="N451">_xlfn.IFS(HR_Analytics56[[#This Row],[PerformanceRating]]=3,"Good",HR_Analytics56[[#This Row],[PerformanceRating]]=4, "Excellent")</f>
        <v>Excellent</v>
      </c>
      <c r="O451" s="8" t="str">
        <f>IF(HR_Analytics56[[#This Row],[MonthlyIncome]]&lt;3000,"&lt; ₹3,000",IF(HR_Analytics56[[#This Row],[MonthlyIncome]]&lt;=7000,"₹ 3,000 - ₹ 7,000","&gt; ₹7,000"))</f>
        <v>₹ 3,000 - ₹ 7,000</v>
      </c>
      <c r="P451" s="8" t="str" cm="1">
        <f t="array" ref="P45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52" spans="1:16" x14ac:dyDescent="0.8">
      <c r="A452" s="5" t="s">
        <v>522</v>
      </c>
      <c r="B452" s="8">
        <v>31</v>
      </c>
      <c r="C452" s="5" t="s">
        <v>40</v>
      </c>
      <c r="D452" s="5" t="s">
        <v>51</v>
      </c>
      <c r="E452" s="5" t="s">
        <v>44</v>
      </c>
      <c r="F452" s="5" t="s">
        <v>137</v>
      </c>
      <c r="G452" s="8">
        <v>4</v>
      </c>
      <c r="H452" s="8">
        <v>5617</v>
      </c>
      <c r="I452" s="5" t="s">
        <v>40</v>
      </c>
      <c r="J452" s="8">
        <v>3</v>
      </c>
      <c r="K452" s="8">
        <v>4</v>
      </c>
      <c r="L452" s="8">
        <v>10</v>
      </c>
      <c r="M4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52" s="8" t="str" cm="1">
        <f t="array" ref="N452">_xlfn.IFS(HR_Analytics56[[#This Row],[PerformanceRating]]=3,"Good",HR_Analytics56[[#This Row],[PerformanceRating]]=4, "Excellent")</f>
        <v>Good</v>
      </c>
      <c r="O452" s="8" t="str">
        <f>IF(HR_Analytics56[[#This Row],[MonthlyIncome]]&lt;3000,"&lt; ₹3,000",IF(HR_Analytics56[[#This Row],[MonthlyIncome]]&lt;=7000,"₹ 3,000 - ₹ 7,000","&gt; ₹7,000"))</f>
        <v>₹ 3,000 - ₹ 7,000</v>
      </c>
      <c r="P452" s="8" t="str" cm="1">
        <f t="array" ref="P4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3" spans="1:16" x14ac:dyDescent="0.8">
      <c r="A453" s="5" t="s">
        <v>523</v>
      </c>
      <c r="B453" s="8">
        <v>31</v>
      </c>
      <c r="C453" s="5" t="s">
        <v>49</v>
      </c>
      <c r="D453" s="5" t="s">
        <v>42</v>
      </c>
      <c r="E453" s="5" t="s">
        <v>53</v>
      </c>
      <c r="F453" s="5" t="s">
        <v>45</v>
      </c>
      <c r="G453" s="8">
        <v>4</v>
      </c>
      <c r="H453" s="8">
        <v>1129</v>
      </c>
      <c r="I453" s="5" t="s">
        <v>40</v>
      </c>
      <c r="J453" s="8">
        <v>3</v>
      </c>
      <c r="K453" s="8">
        <v>4</v>
      </c>
      <c r="L453" s="8">
        <v>1</v>
      </c>
      <c r="M4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53" s="8" t="str" cm="1">
        <f t="array" ref="N453">_xlfn.IFS(HR_Analytics56[[#This Row],[PerformanceRating]]=3,"Good",HR_Analytics56[[#This Row],[PerformanceRating]]=4, "Excellent")</f>
        <v>Good</v>
      </c>
      <c r="O453" s="8" t="str">
        <f>IF(HR_Analytics56[[#This Row],[MonthlyIncome]]&lt;3000,"&lt; ₹3,000",IF(HR_Analytics56[[#This Row],[MonthlyIncome]]&lt;=7000,"₹ 3,000 - ₹ 7,000","&gt; ₹7,000"))</f>
        <v>&lt; ₹3,000</v>
      </c>
      <c r="P453" s="8" t="str" cm="1">
        <f t="array" ref="P4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4" spans="1:16" x14ac:dyDescent="0.8">
      <c r="A454" s="5" t="s">
        <v>524</v>
      </c>
      <c r="B454" s="8">
        <v>31</v>
      </c>
      <c r="C454" s="5" t="s">
        <v>49</v>
      </c>
      <c r="D454" s="5" t="s">
        <v>42</v>
      </c>
      <c r="E454" s="5" t="s">
        <v>53</v>
      </c>
      <c r="F454" s="5" t="s">
        <v>252</v>
      </c>
      <c r="G454" s="8">
        <v>3</v>
      </c>
      <c r="H454" s="8">
        <v>11031</v>
      </c>
      <c r="I454" s="5" t="s">
        <v>49</v>
      </c>
      <c r="J454" s="8">
        <v>4</v>
      </c>
      <c r="K454" s="8">
        <v>2</v>
      </c>
      <c r="L454" s="8">
        <v>11</v>
      </c>
      <c r="M4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4" s="8" t="str" cm="1">
        <f t="array" ref="N454">_xlfn.IFS(HR_Analytics56[[#This Row],[PerformanceRating]]=3,"Good",HR_Analytics56[[#This Row],[PerformanceRating]]=4, "Excellent")</f>
        <v>Excellent</v>
      </c>
      <c r="O454" s="8" t="str">
        <f>IF(HR_Analytics56[[#This Row],[MonthlyIncome]]&lt;3000,"&lt; ₹3,000",IF(HR_Analytics56[[#This Row],[MonthlyIncome]]&lt;=7000,"₹ 3,000 - ₹ 7,000","&gt; ₹7,000"))</f>
        <v>&gt; ₹7,000</v>
      </c>
      <c r="P454" s="8" t="str" cm="1">
        <f t="array" ref="P4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5" spans="1:16" x14ac:dyDescent="0.8">
      <c r="A455" s="5" t="s">
        <v>525</v>
      </c>
      <c r="B455" s="8">
        <v>31</v>
      </c>
      <c r="C455" s="5" t="s">
        <v>49</v>
      </c>
      <c r="D455" s="5" t="s">
        <v>51</v>
      </c>
      <c r="E455" s="5" t="s">
        <v>44</v>
      </c>
      <c r="F455" s="5" t="s">
        <v>54</v>
      </c>
      <c r="G455" s="8">
        <v>3</v>
      </c>
      <c r="H455" s="8">
        <v>3067</v>
      </c>
      <c r="I455" s="5" t="s">
        <v>49</v>
      </c>
      <c r="J455" s="8">
        <v>3</v>
      </c>
      <c r="K455" s="8">
        <v>1</v>
      </c>
      <c r="L455" s="8">
        <v>2</v>
      </c>
      <c r="M4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5" s="8" t="str" cm="1">
        <f t="array" ref="N455">_xlfn.IFS(HR_Analytics56[[#This Row],[PerformanceRating]]=3,"Good",HR_Analytics56[[#This Row],[PerformanceRating]]=4, "Excellent")</f>
        <v>Good</v>
      </c>
      <c r="O455" s="8" t="str">
        <f>IF(HR_Analytics56[[#This Row],[MonthlyIncome]]&lt;3000,"&lt; ₹3,000",IF(HR_Analytics56[[#This Row],[MonthlyIncome]]&lt;=7000,"₹ 3,000 - ₹ 7,000","&gt; ₹7,000"))</f>
        <v>₹ 3,000 - ₹ 7,000</v>
      </c>
      <c r="P455" s="8" t="str" cm="1">
        <f t="array" ref="P4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6" spans="1:16" x14ac:dyDescent="0.8">
      <c r="A456" s="5" t="s">
        <v>526</v>
      </c>
      <c r="B456" s="8">
        <v>31</v>
      </c>
      <c r="C456" s="5" t="s">
        <v>49</v>
      </c>
      <c r="D456" s="5" t="s">
        <v>42</v>
      </c>
      <c r="E456" s="5" t="s">
        <v>44</v>
      </c>
      <c r="F456" s="5" t="s">
        <v>112</v>
      </c>
      <c r="G456" s="8">
        <v>1</v>
      </c>
      <c r="H456" s="8">
        <v>9936</v>
      </c>
      <c r="I456" s="5" t="s">
        <v>49</v>
      </c>
      <c r="J456" s="8">
        <v>3</v>
      </c>
      <c r="K456" s="8">
        <v>2</v>
      </c>
      <c r="L456" s="8">
        <v>9</v>
      </c>
      <c r="M4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6" s="8" t="str" cm="1">
        <f t="array" ref="N456">_xlfn.IFS(HR_Analytics56[[#This Row],[PerformanceRating]]=3,"Good",HR_Analytics56[[#This Row],[PerformanceRating]]=4, "Excellent")</f>
        <v>Good</v>
      </c>
      <c r="O456" s="8" t="str">
        <f>IF(HR_Analytics56[[#This Row],[MonthlyIncome]]&lt;3000,"&lt; ₹3,000",IF(HR_Analytics56[[#This Row],[MonthlyIncome]]&lt;=7000,"₹ 3,000 - ₹ 7,000","&gt; ₹7,000"))</f>
        <v>&gt; ₹7,000</v>
      </c>
      <c r="P456" s="8" t="str" cm="1">
        <f t="array" ref="P4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7" spans="1:16" x14ac:dyDescent="0.8">
      <c r="A457" s="5" t="s">
        <v>527</v>
      </c>
      <c r="B457" s="8">
        <v>32</v>
      </c>
      <c r="C457" s="5" t="s">
        <v>49</v>
      </c>
      <c r="D457" s="5" t="s">
        <v>42</v>
      </c>
      <c r="E457" s="5" t="s">
        <v>44</v>
      </c>
      <c r="F457" s="5" t="s">
        <v>45</v>
      </c>
      <c r="G457" s="8">
        <v>4</v>
      </c>
      <c r="H457" s="8">
        <v>3068</v>
      </c>
      <c r="I457" s="5" t="s">
        <v>49</v>
      </c>
      <c r="J457" s="8">
        <v>3</v>
      </c>
      <c r="K457" s="8">
        <v>2</v>
      </c>
      <c r="L457" s="8">
        <v>7</v>
      </c>
      <c r="M4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57" s="8" t="str" cm="1">
        <f t="array" ref="N457">_xlfn.IFS(HR_Analytics56[[#This Row],[PerformanceRating]]=3,"Good",HR_Analytics56[[#This Row],[PerformanceRating]]=4, "Excellent")</f>
        <v>Good</v>
      </c>
      <c r="O457" s="8" t="str">
        <f>IF(HR_Analytics56[[#This Row],[MonthlyIncome]]&lt;3000,"&lt; ₹3,000",IF(HR_Analytics56[[#This Row],[MonthlyIncome]]&lt;=7000,"₹ 3,000 - ₹ 7,000","&gt; ₹7,000"))</f>
        <v>₹ 3,000 - ₹ 7,000</v>
      </c>
      <c r="P457" s="8" t="str" cm="1">
        <f t="array" ref="P4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8" spans="1:16" x14ac:dyDescent="0.8">
      <c r="A458" s="5" t="s">
        <v>528</v>
      </c>
      <c r="B458" s="8">
        <v>32</v>
      </c>
      <c r="C458" s="5" t="s">
        <v>49</v>
      </c>
      <c r="D458" s="5" t="s">
        <v>42</v>
      </c>
      <c r="E458" s="5" t="s">
        <v>44</v>
      </c>
      <c r="F458" s="5" t="s">
        <v>60</v>
      </c>
      <c r="G458" s="8">
        <v>2</v>
      </c>
      <c r="H458" s="8">
        <v>3298</v>
      </c>
      <c r="I458" s="5" t="s">
        <v>40</v>
      </c>
      <c r="J458" s="8">
        <v>3</v>
      </c>
      <c r="K458" s="8">
        <v>5</v>
      </c>
      <c r="L458" s="8">
        <v>6</v>
      </c>
      <c r="M4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58" s="8" t="str" cm="1">
        <f t="array" ref="N458">_xlfn.IFS(HR_Analytics56[[#This Row],[PerformanceRating]]=3,"Good",HR_Analytics56[[#This Row],[PerformanceRating]]=4, "Excellent")</f>
        <v>Good</v>
      </c>
      <c r="O458" s="8" t="str">
        <f>IF(HR_Analytics56[[#This Row],[MonthlyIncome]]&lt;3000,"&lt; ₹3,000",IF(HR_Analytics56[[#This Row],[MonthlyIncome]]&lt;=7000,"₹ 3,000 - ₹ 7,000","&gt; ₹7,000"))</f>
        <v>₹ 3,000 - ₹ 7,000</v>
      </c>
      <c r="P458" s="8" t="str" cm="1">
        <f t="array" ref="P4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59" spans="1:16" x14ac:dyDescent="0.8">
      <c r="A459" s="5" t="s">
        <v>529</v>
      </c>
      <c r="B459" s="8">
        <v>32</v>
      </c>
      <c r="C459" s="5" t="s">
        <v>40</v>
      </c>
      <c r="D459" s="5" t="s">
        <v>42</v>
      </c>
      <c r="E459" s="5" t="s">
        <v>53</v>
      </c>
      <c r="F459" s="5" t="s">
        <v>60</v>
      </c>
      <c r="G459" s="8">
        <v>1</v>
      </c>
      <c r="H459" s="8">
        <v>3919</v>
      </c>
      <c r="I459" s="5" t="s">
        <v>40</v>
      </c>
      <c r="J459" s="8">
        <v>4</v>
      </c>
      <c r="K459" s="8">
        <v>5</v>
      </c>
      <c r="L459" s="8">
        <v>10</v>
      </c>
      <c r="M4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59" s="8" t="str" cm="1">
        <f t="array" ref="N459">_xlfn.IFS(HR_Analytics56[[#This Row],[PerformanceRating]]=3,"Good",HR_Analytics56[[#This Row],[PerformanceRating]]=4, "Excellent")</f>
        <v>Excellent</v>
      </c>
      <c r="O459" s="8" t="str">
        <f>IF(HR_Analytics56[[#This Row],[MonthlyIncome]]&lt;3000,"&lt; ₹3,000",IF(HR_Analytics56[[#This Row],[MonthlyIncome]]&lt;=7000,"₹ 3,000 - ₹ 7,000","&gt; ₹7,000"))</f>
        <v>₹ 3,000 - ₹ 7,000</v>
      </c>
      <c r="P459" s="8" t="str" cm="1">
        <f t="array" ref="P45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60" spans="1:16" x14ac:dyDescent="0.8">
      <c r="A460" s="5" t="s">
        <v>530</v>
      </c>
      <c r="B460" s="8">
        <v>32</v>
      </c>
      <c r="C460" s="5" t="s">
        <v>49</v>
      </c>
      <c r="D460" s="5" t="s">
        <v>42</v>
      </c>
      <c r="E460" s="5" t="s">
        <v>44</v>
      </c>
      <c r="F460" s="5" t="s">
        <v>112</v>
      </c>
      <c r="G460" s="8">
        <v>4</v>
      </c>
      <c r="H460" s="8">
        <v>6162</v>
      </c>
      <c r="I460" s="5" t="s">
        <v>40</v>
      </c>
      <c r="J460" s="8">
        <v>4</v>
      </c>
      <c r="K460" s="8">
        <v>3</v>
      </c>
      <c r="L460" s="8">
        <v>9</v>
      </c>
      <c r="M4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60" s="8" t="str" cm="1">
        <f t="array" ref="N460">_xlfn.IFS(HR_Analytics56[[#This Row],[PerformanceRating]]=3,"Good",HR_Analytics56[[#This Row],[PerformanceRating]]=4, "Excellent")</f>
        <v>Excellent</v>
      </c>
      <c r="O460" s="8" t="str">
        <f>IF(HR_Analytics56[[#This Row],[MonthlyIncome]]&lt;3000,"&lt; ₹3,000",IF(HR_Analytics56[[#This Row],[MonthlyIncome]]&lt;=7000,"₹ 3,000 - ₹ 7,000","&gt; ₹7,000"))</f>
        <v>₹ 3,000 - ₹ 7,000</v>
      </c>
      <c r="P460" s="8" t="str" cm="1">
        <f t="array" ref="P46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61" spans="1:16" x14ac:dyDescent="0.8">
      <c r="A461" s="5" t="s">
        <v>531</v>
      </c>
      <c r="B461" s="8">
        <v>32</v>
      </c>
      <c r="C461" s="5" t="s">
        <v>49</v>
      </c>
      <c r="D461" s="5" t="s">
        <v>42</v>
      </c>
      <c r="E461" s="5" t="s">
        <v>44</v>
      </c>
      <c r="F461" s="5" t="s">
        <v>60</v>
      </c>
      <c r="G461" s="8">
        <v>2</v>
      </c>
      <c r="H461" s="8">
        <v>6220</v>
      </c>
      <c r="I461" s="5" t="s">
        <v>49</v>
      </c>
      <c r="J461" s="8">
        <v>3</v>
      </c>
      <c r="K461" s="8">
        <v>3</v>
      </c>
      <c r="L461" s="8">
        <v>10</v>
      </c>
      <c r="M4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1" s="8" t="str" cm="1">
        <f t="array" ref="N461">_xlfn.IFS(HR_Analytics56[[#This Row],[PerformanceRating]]=3,"Good",HR_Analytics56[[#This Row],[PerformanceRating]]=4, "Excellent")</f>
        <v>Good</v>
      </c>
      <c r="O461" s="8" t="str">
        <f>IF(HR_Analytics56[[#This Row],[MonthlyIncome]]&lt;3000,"&lt; ₹3,000",IF(HR_Analytics56[[#This Row],[MonthlyIncome]]&lt;=7000,"₹ 3,000 - ₹ 7,000","&gt; ₹7,000"))</f>
        <v>₹ 3,000 - ₹ 7,000</v>
      </c>
      <c r="P461" s="8" t="str" cm="1">
        <f t="array" ref="P4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2" spans="1:16" x14ac:dyDescent="0.8">
      <c r="A462" s="5" t="s">
        <v>532</v>
      </c>
      <c r="B462" s="8">
        <v>32</v>
      </c>
      <c r="C462" s="5" t="s">
        <v>49</v>
      </c>
      <c r="D462" s="5" t="s">
        <v>51</v>
      </c>
      <c r="E462" s="5" t="s">
        <v>44</v>
      </c>
      <c r="F462" s="5" t="s">
        <v>137</v>
      </c>
      <c r="G462" s="8">
        <v>3</v>
      </c>
      <c r="H462" s="8">
        <v>5010</v>
      </c>
      <c r="I462" s="5" t="s">
        <v>49</v>
      </c>
      <c r="J462" s="8">
        <v>3</v>
      </c>
      <c r="K462" s="8">
        <v>0</v>
      </c>
      <c r="L462" s="8">
        <v>11</v>
      </c>
      <c r="M4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2" s="8" t="str" cm="1">
        <f t="array" ref="N462">_xlfn.IFS(HR_Analytics56[[#This Row],[PerformanceRating]]=3,"Good",HR_Analytics56[[#This Row],[PerformanceRating]]=4, "Excellent")</f>
        <v>Good</v>
      </c>
      <c r="O462" s="8" t="str">
        <f>IF(HR_Analytics56[[#This Row],[MonthlyIncome]]&lt;3000,"&lt; ₹3,000",IF(HR_Analytics56[[#This Row],[MonthlyIncome]]&lt;=7000,"₹ 3,000 - ₹ 7,000","&gt; ₹7,000"))</f>
        <v>₹ 3,000 - ₹ 7,000</v>
      </c>
      <c r="P462" s="8" t="str" cm="1">
        <f t="array" ref="P4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3" spans="1:16" x14ac:dyDescent="0.8">
      <c r="A463" s="5" t="s">
        <v>533</v>
      </c>
      <c r="B463" s="8">
        <v>32</v>
      </c>
      <c r="C463" s="5" t="s">
        <v>49</v>
      </c>
      <c r="D463" s="5" t="s">
        <v>42</v>
      </c>
      <c r="E463" s="5" t="s">
        <v>44</v>
      </c>
      <c r="F463" s="5" t="s">
        <v>60</v>
      </c>
      <c r="G463" s="8">
        <v>1</v>
      </c>
      <c r="H463" s="8">
        <v>2956</v>
      </c>
      <c r="I463" s="5" t="s">
        <v>49</v>
      </c>
      <c r="J463" s="8">
        <v>3</v>
      </c>
      <c r="K463" s="8">
        <v>2</v>
      </c>
      <c r="L463" s="8">
        <v>1</v>
      </c>
      <c r="M4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3" s="8" t="str" cm="1">
        <f t="array" ref="N463">_xlfn.IFS(HR_Analytics56[[#This Row],[PerformanceRating]]=3,"Good",HR_Analytics56[[#This Row],[PerformanceRating]]=4, "Excellent")</f>
        <v>Good</v>
      </c>
      <c r="O463" s="8" t="str">
        <f>IF(HR_Analytics56[[#This Row],[MonthlyIncome]]&lt;3000,"&lt; ₹3,000",IF(HR_Analytics56[[#This Row],[MonthlyIncome]]&lt;=7000,"₹ 3,000 - ₹ 7,000","&gt; ₹7,000"))</f>
        <v>&lt; ₹3,000</v>
      </c>
      <c r="P463" s="8" t="str" cm="1">
        <f t="array" ref="P4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4" spans="1:16" x14ac:dyDescent="0.8">
      <c r="A464" s="5" t="s">
        <v>534</v>
      </c>
      <c r="B464" s="8">
        <v>32</v>
      </c>
      <c r="C464" s="5" t="s">
        <v>40</v>
      </c>
      <c r="D464" s="5" t="s">
        <v>42</v>
      </c>
      <c r="E464" s="5" t="s">
        <v>53</v>
      </c>
      <c r="F464" s="5" t="s">
        <v>45</v>
      </c>
      <c r="G464" s="8">
        <v>1</v>
      </c>
      <c r="H464" s="8">
        <v>4200</v>
      </c>
      <c r="I464" s="5" t="s">
        <v>49</v>
      </c>
      <c r="J464" s="8">
        <v>4</v>
      </c>
      <c r="K464" s="8">
        <v>2</v>
      </c>
      <c r="L464" s="8">
        <v>5</v>
      </c>
      <c r="M4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64" s="8" t="str" cm="1">
        <f t="array" ref="N464">_xlfn.IFS(HR_Analytics56[[#This Row],[PerformanceRating]]=3,"Good",HR_Analytics56[[#This Row],[PerformanceRating]]=4, "Excellent")</f>
        <v>Excellent</v>
      </c>
      <c r="O464" s="8" t="str">
        <f>IF(HR_Analytics56[[#This Row],[MonthlyIncome]]&lt;3000,"&lt; ₹3,000",IF(HR_Analytics56[[#This Row],[MonthlyIncome]]&lt;=7000,"₹ 3,000 - ₹ 7,000","&gt; ₹7,000"))</f>
        <v>₹ 3,000 - ₹ 7,000</v>
      </c>
      <c r="P464" s="8" t="str" cm="1">
        <f t="array" ref="P4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5" spans="1:16" x14ac:dyDescent="0.8">
      <c r="A465" s="5" t="s">
        <v>535</v>
      </c>
      <c r="B465" s="8">
        <v>32</v>
      </c>
      <c r="C465" s="5" t="s">
        <v>49</v>
      </c>
      <c r="D465" s="5" t="s">
        <v>51</v>
      </c>
      <c r="E465" s="5" t="s">
        <v>44</v>
      </c>
      <c r="F465" s="5" t="s">
        <v>137</v>
      </c>
      <c r="G465" s="8">
        <v>4</v>
      </c>
      <c r="H465" s="8">
        <v>4668</v>
      </c>
      <c r="I465" s="5" t="s">
        <v>49</v>
      </c>
      <c r="J465" s="8">
        <v>3</v>
      </c>
      <c r="K465" s="8">
        <v>2</v>
      </c>
      <c r="L465" s="8">
        <v>8</v>
      </c>
      <c r="M4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5" s="8" t="str" cm="1">
        <f t="array" ref="N465">_xlfn.IFS(HR_Analytics56[[#This Row],[PerformanceRating]]=3,"Good",HR_Analytics56[[#This Row],[PerformanceRating]]=4, "Excellent")</f>
        <v>Good</v>
      </c>
      <c r="O465" s="8" t="str">
        <f>IF(HR_Analytics56[[#This Row],[MonthlyIncome]]&lt;3000,"&lt; ₹3,000",IF(HR_Analytics56[[#This Row],[MonthlyIncome]]&lt;=7000,"₹ 3,000 - ₹ 7,000","&gt; ₹7,000"))</f>
        <v>₹ 3,000 - ₹ 7,000</v>
      </c>
      <c r="P465" s="8" t="str" cm="1">
        <f t="array" ref="P4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6" spans="1:16" x14ac:dyDescent="0.8">
      <c r="A466" s="5" t="s">
        <v>536</v>
      </c>
      <c r="B466" s="8">
        <v>32</v>
      </c>
      <c r="C466" s="5" t="s">
        <v>49</v>
      </c>
      <c r="D466" s="5" t="s">
        <v>51</v>
      </c>
      <c r="E466" s="5" t="s">
        <v>53</v>
      </c>
      <c r="F466" s="5" t="s">
        <v>137</v>
      </c>
      <c r="G466" s="8">
        <v>4</v>
      </c>
      <c r="H466" s="8">
        <v>8998</v>
      </c>
      <c r="I466" s="5" t="s">
        <v>49</v>
      </c>
      <c r="J466" s="8">
        <v>3</v>
      </c>
      <c r="K466" s="8">
        <v>2</v>
      </c>
      <c r="L466" s="8">
        <v>9</v>
      </c>
      <c r="M4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6" s="8" t="str" cm="1">
        <f t="array" ref="N466">_xlfn.IFS(HR_Analytics56[[#This Row],[PerformanceRating]]=3,"Good",HR_Analytics56[[#This Row],[PerformanceRating]]=4, "Excellent")</f>
        <v>Good</v>
      </c>
      <c r="O466" s="8" t="str">
        <f>IF(HR_Analytics56[[#This Row],[MonthlyIncome]]&lt;3000,"&lt; ₹3,000",IF(HR_Analytics56[[#This Row],[MonthlyIncome]]&lt;=7000,"₹ 3,000 - ₹ 7,000","&gt; ₹7,000"))</f>
        <v>&gt; ₹7,000</v>
      </c>
      <c r="P466" s="8" t="str" cm="1">
        <f t="array" ref="P4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7" spans="1:16" x14ac:dyDescent="0.8">
      <c r="A467" s="5" t="s">
        <v>537</v>
      </c>
      <c r="B467" s="8">
        <v>32</v>
      </c>
      <c r="C467" s="5" t="s">
        <v>49</v>
      </c>
      <c r="D467" s="5" t="s">
        <v>42</v>
      </c>
      <c r="E467" s="5" t="s">
        <v>44</v>
      </c>
      <c r="F467" s="5" t="s">
        <v>60</v>
      </c>
      <c r="G467" s="8">
        <v>3</v>
      </c>
      <c r="H467" s="8">
        <v>3038</v>
      </c>
      <c r="I467" s="5" t="s">
        <v>49</v>
      </c>
      <c r="J467" s="8">
        <v>4</v>
      </c>
      <c r="K467" s="8">
        <v>2</v>
      </c>
      <c r="L467" s="8">
        <v>5</v>
      </c>
      <c r="M4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7" s="8" t="str" cm="1">
        <f t="array" ref="N467">_xlfn.IFS(HR_Analytics56[[#This Row],[PerformanceRating]]=3,"Good",HR_Analytics56[[#This Row],[PerformanceRating]]=4, "Excellent")</f>
        <v>Excellent</v>
      </c>
      <c r="O467" s="8" t="str">
        <f>IF(HR_Analytics56[[#This Row],[MonthlyIncome]]&lt;3000,"&lt; ₹3,000",IF(HR_Analytics56[[#This Row],[MonthlyIncome]]&lt;=7000,"₹ 3,000 - ₹ 7,000","&gt; ₹7,000"))</f>
        <v>₹ 3,000 - ₹ 7,000</v>
      </c>
      <c r="P467" s="8" t="str" cm="1">
        <f t="array" ref="P4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8" spans="1:16" x14ac:dyDescent="0.8">
      <c r="A468" s="5" t="s">
        <v>538</v>
      </c>
      <c r="B468" s="8">
        <v>32</v>
      </c>
      <c r="C468" s="5" t="s">
        <v>40</v>
      </c>
      <c r="D468" s="5" t="s">
        <v>51</v>
      </c>
      <c r="E468" s="5" t="s">
        <v>44</v>
      </c>
      <c r="F468" s="5" t="s">
        <v>137</v>
      </c>
      <c r="G468" s="8">
        <v>4</v>
      </c>
      <c r="H468" s="8">
        <v>10400</v>
      </c>
      <c r="I468" s="5" t="s">
        <v>49</v>
      </c>
      <c r="J468" s="8">
        <v>3</v>
      </c>
      <c r="K468" s="8">
        <v>2</v>
      </c>
      <c r="L468" s="8">
        <v>14</v>
      </c>
      <c r="M4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68" s="8" t="str" cm="1">
        <f t="array" ref="N468">_xlfn.IFS(HR_Analytics56[[#This Row],[PerformanceRating]]=3,"Good",HR_Analytics56[[#This Row],[PerformanceRating]]=4, "Excellent")</f>
        <v>Good</v>
      </c>
      <c r="O468" s="8" t="str">
        <f>IF(HR_Analytics56[[#This Row],[MonthlyIncome]]&lt;3000,"&lt; ₹3,000",IF(HR_Analytics56[[#This Row],[MonthlyIncome]]&lt;=7000,"₹ 3,000 - ₹ 7,000","&gt; ₹7,000"))</f>
        <v>&gt; ₹7,000</v>
      </c>
      <c r="P468" s="8" t="str" cm="1">
        <f t="array" ref="P4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69" spans="1:16" x14ac:dyDescent="0.8">
      <c r="A469" s="5" t="s">
        <v>539</v>
      </c>
      <c r="B469" s="8">
        <v>32</v>
      </c>
      <c r="C469" s="5" t="s">
        <v>49</v>
      </c>
      <c r="D469" s="5" t="s">
        <v>51</v>
      </c>
      <c r="E469" s="5" t="s">
        <v>53</v>
      </c>
      <c r="F469" s="5" t="s">
        <v>54</v>
      </c>
      <c r="G469" s="8">
        <v>2</v>
      </c>
      <c r="H469" s="8">
        <v>3931</v>
      </c>
      <c r="I469" s="5" t="s">
        <v>49</v>
      </c>
      <c r="J469" s="8">
        <v>3</v>
      </c>
      <c r="K469" s="8">
        <v>5</v>
      </c>
      <c r="L469" s="8">
        <v>4</v>
      </c>
      <c r="M4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69" s="8" t="str" cm="1">
        <f t="array" ref="N469">_xlfn.IFS(HR_Analytics56[[#This Row],[PerformanceRating]]=3,"Good",HR_Analytics56[[#This Row],[PerformanceRating]]=4, "Excellent")</f>
        <v>Good</v>
      </c>
      <c r="O469" s="8" t="str">
        <f>IF(HR_Analytics56[[#This Row],[MonthlyIncome]]&lt;3000,"&lt; ₹3,000",IF(HR_Analytics56[[#This Row],[MonthlyIncome]]&lt;=7000,"₹ 3,000 - ₹ 7,000","&gt; ₹7,000"))</f>
        <v>₹ 3,000 - ₹ 7,000</v>
      </c>
      <c r="P469" s="8" t="str" cm="1">
        <f t="array" ref="P4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0" spans="1:16" x14ac:dyDescent="0.8">
      <c r="A470" s="5" t="s">
        <v>540</v>
      </c>
      <c r="B470" s="8">
        <v>32</v>
      </c>
      <c r="C470" s="5" t="s">
        <v>40</v>
      </c>
      <c r="D470" s="5" t="s">
        <v>42</v>
      </c>
      <c r="E470" s="5" t="s">
        <v>44</v>
      </c>
      <c r="F470" s="5" t="s">
        <v>45</v>
      </c>
      <c r="G470" s="8">
        <v>3</v>
      </c>
      <c r="H470" s="8">
        <v>3730</v>
      </c>
      <c r="I470" s="5" t="s">
        <v>40</v>
      </c>
      <c r="J470" s="8">
        <v>3</v>
      </c>
      <c r="K470" s="8">
        <v>2</v>
      </c>
      <c r="L470" s="8">
        <v>3</v>
      </c>
      <c r="M4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70" s="8" t="str" cm="1">
        <f t="array" ref="N470">_xlfn.IFS(HR_Analytics56[[#This Row],[PerformanceRating]]=3,"Good",HR_Analytics56[[#This Row],[PerformanceRating]]=4, "Excellent")</f>
        <v>Good</v>
      </c>
      <c r="O470" s="8" t="str">
        <f>IF(HR_Analytics56[[#This Row],[MonthlyIncome]]&lt;3000,"&lt; ₹3,000",IF(HR_Analytics56[[#This Row],[MonthlyIncome]]&lt;=7000,"₹ 3,000 - ₹ 7,000","&gt; ₹7,000"))</f>
        <v>₹ 3,000 - ₹ 7,000</v>
      </c>
      <c r="P470" s="8" t="str" cm="1">
        <f t="array" ref="P4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1" spans="1:16" x14ac:dyDescent="0.8">
      <c r="A471" s="5" t="s">
        <v>541</v>
      </c>
      <c r="B471" s="8">
        <v>32</v>
      </c>
      <c r="C471" s="5" t="s">
        <v>49</v>
      </c>
      <c r="D471" s="5" t="s">
        <v>51</v>
      </c>
      <c r="E471" s="5" t="s">
        <v>44</v>
      </c>
      <c r="F471" s="5" t="s">
        <v>137</v>
      </c>
      <c r="G471" s="8">
        <v>4</v>
      </c>
      <c r="H471" s="8">
        <v>4465</v>
      </c>
      <c r="I471" s="5" t="s">
        <v>49</v>
      </c>
      <c r="J471" s="8">
        <v>3</v>
      </c>
      <c r="K471" s="8">
        <v>2</v>
      </c>
      <c r="L471" s="8">
        <v>3</v>
      </c>
      <c r="M4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1" s="8" t="str" cm="1">
        <f t="array" ref="N471">_xlfn.IFS(HR_Analytics56[[#This Row],[PerformanceRating]]=3,"Good",HR_Analytics56[[#This Row],[PerformanceRating]]=4, "Excellent")</f>
        <v>Good</v>
      </c>
      <c r="O471" s="8" t="str">
        <f>IF(HR_Analytics56[[#This Row],[MonthlyIncome]]&lt;3000,"&lt; ₹3,000",IF(HR_Analytics56[[#This Row],[MonthlyIncome]]&lt;=7000,"₹ 3,000 - ₹ 7,000","&gt; ₹7,000"))</f>
        <v>₹ 3,000 - ₹ 7,000</v>
      </c>
      <c r="P471" s="8" t="str" cm="1">
        <f t="array" ref="P4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2" spans="1:16" x14ac:dyDescent="0.8">
      <c r="A472" s="5" t="s">
        <v>542</v>
      </c>
      <c r="B472" s="8">
        <v>32</v>
      </c>
      <c r="C472" s="5" t="s">
        <v>49</v>
      </c>
      <c r="D472" s="5" t="s">
        <v>42</v>
      </c>
      <c r="E472" s="5" t="s">
        <v>44</v>
      </c>
      <c r="F472" s="5" t="s">
        <v>45</v>
      </c>
      <c r="G472" s="8">
        <v>2</v>
      </c>
      <c r="H472" s="8">
        <v>2794</v>
      </c>
      <c r="I472" s="5" t="s">
        <v>49</v>
      </c>
      <c r="J472" s="8">
        <v>4</v>
      </c>
      <c r="K472" s="8">
        <v>3</v>
      </c>
      <c r="L472" s="8">
        <v>5</v>
      </c>
      <c r="M4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2" s="8" t="str" cm="1">
        <f t="array" ref="N472">_xlfn.IFS(HR_Analytics56[[#This Row],[PerformanceRating]]=3,"Good",HR_Analytics56[[#This Row],[PerformanceRating]]=4, "Excellent")</f>
        <v>Excellent</v>
      </c>
      <c r="O472" s="8" t="str">
        <f>IF(HR_Analytics56[[#This Row],[MonthlyIncome]]&lt;3000,"&lt; ₹3,000",IF(HR_Analytics56[[#This Row],[MonthlyIncome]]&lt;=7000,"₹ 3,000 - ₹ 7,000","&gt; ₹7,000"))</f>
        <v>&lt; ₹3,000</v>
      </c>
      <c r="P472" s="8" t="str" cm="1">
        <f t="array" ref="P47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73" spans="1:16" x14ac:dyDescent="0.8">
      <c r="A473" s="5" t="s">
        <v>543</v>
      </c>
      <c r="B473" s="8">
        <v>32</v>
      </c>
      <c r="C473" s="5" t="s">
        <v>49</v>
      </c>
      <c r="D473" s="5" t="s">
        <v>42</v>
      </c>
      <c r="E473" s="5" t="s">
        <v>44</v>
      </c>
      <c r="F473" s="5" t="s">
        <v>45</v>
      </c>
      <c r="G473" s="8">
        <v>1</v>
      </c>
      <c r="H473" s="8">
        <v>2176</v>
      </c>
      <c r="I473" s="5" t="s">
        <v>49</v>
      </c>
      <c r="J473" s="8">
        <v>3</v>
      </c>
      <c r="K473" s="8">
        <v>5</v>
      </c>
      <c r="L473" s="8">
        <v>6</v>
      </c>
      <c r="M4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3" s="8" t="str" cm="1">
        <f t="array" ref="N473">_xlfn.IFS(HR_Analytics56[[#This Row],[PerformanceRating]]=3,"Good",HR_Analytics56[[#This Row],[PerformanceRating]]=4, "Excellent")</f>
        <v>Good</v>
      </c>
      <c r="O473" s="8" t="str">
        <f>IF(HR_Analytics56[[#This Row],[MonthlyIncome]]&lt;3000,"&lt; ₹3,000",IF(HR_Analytics56[[#This Row],[MonthlyIncome]]&lt;=7000,"₹ 3,000 - ₹ 7,000","&gt; ₹7,000"))</f>
        <v>&lt; ₹3,000</v>
      </c>
      <c r="P473" s="8" t="str" cm="1">
        <f t="array" ref="P4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4" spans="1:16" x14ac:dyDescent="0.8">
      <c r="A474" s="5" t="s">
        <v>544</v>
      </c>
      <c r="B474" s="8">
        <v>32</v>
      </c>
      <c r="C474" s="5" t="s">
        <v>49</v>
      </c>
      <c r="D474" s="5" t="s">
        <v>51</v>
      </c>
      <c r="E474" s="5" t="s">
        <v>44</v>
      </c>
      <c r="F474" s="5" t="s">
        <v>137</v>
      </c>
      <c r="G474" s="8">
        <v>3</v>
      </c>
      <c r="H474" s="8">
        <v>5484</v>
      </c>
      <c r="I474" s="5" t="s">
        <v>49</v>
      </c>
      <c r="J474" s="8">
        <v>3</v>
      </c>
      <c r="K474" s="8">
        <v>3</v>
      </c>
      <c r="L474" s="8">
        <v>13</v>
      </c>
      <c r="M4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4" s="8" t="str" cm="1">
        <f t="array" ref="N474">_xlfn.IFS(HR_Analytics56[[#This Row],[PerformanceRating]]=3,"Good",HR_Analytics56[[#This Row],[PerformanceRating]]=4, "Excellent")</f>
        <v>Good</v>
      </c>
      <c r="O474" s="8" t="str">
        <f>IF(HR_Analytics56[[#This Row],[MonthlyIncome]]&lt;3000,"&lt; ₹3,000",IF(HR_Analytics56[[#This Row],[MonthlyIncome]]&lt;=7000,"₹ 3,000 - ₹ 7,000","&gt; ₹7,000"))</f>
        <v>₹ 3,000 - ₹ 7,000</v>
      </c>
      <c r="P474" s="8" t="str" cm="1">
        <f t="array" ref="P4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5" spans="1:16" x14ac:dyDescent="0.8">
      <c r="A475" s="5" t="s">
        <v>545</v>
      </c>
      <c r="B475" s="8">
        <v>32</v>
      </c>
      <c r="C475" s="5" t="s">
        <v>49</v>
      </c>
      <c r="D475" s="5" t="s">
        <v>51</v>
      </c>
      <c r="E475" s="5" t="s">
        <v>53</v>
      </c>
      <c r="F475" s="5" t="s">
        <v>137</v>
      </c>
      <c r="G475" s="8">
        <v>2</v>
      </c>
      <c r="H475" s="8">
        <v>5228</v>
      </c>
      <c r="I475" s="5" t="s">
        <v>40</v>
      </c>
      <c r="J475" s="8">
        <v>3</v>
      </c>
      <c r="K475" s="8">
        <v>2</v>
      </c>
      <c r="L475" s="8">
        <v>13</v>
      </c>
      <c r="M4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75" s="8" t="str" cm="1">
        <f t="array" ref="N475">_xlfn.IFS(HR_Analytics56[[#This Row],[PerformanceRating]]=3,"Good",HR_Analytics56[[#This Row],[PerformanceRating]]=4, "Excellent")</f>
        <v>Good</v>
      </c>
      <c r="O475" s="8" t="str">
        <f>IF(HR_Analytics56[[#This Row],[MonthlyIncome]]&lt;3000,"&lt; ₹3,000",IF(HR_Analytics56[[#This Row],[MonthlyIncome]]&lt;=7000,"₹ 3,000 - ₹ 7,000","&gt; ₹7,000"))</f>
        <v>₹ 3,000 - ₹ 7,000</v>
      </c>
      <c r="P475" s="8" t="str" cm="1">
        <f t="array" ref="P4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6" spans="1:16" x14ac:dyDescent="0.8">
      <c r="A476" s="5" t="s">
        <v>546</v>
      </c>
      <c r="B476" s="8">
        <v>32</v>
      </c>
      <c r="C476" s="5" t="s">
        <v>49</v>
      </c>
      <c r="D476" s="5" t="s">
        <v>42</v>
      </c>
      <c r="E476" s="5" t="s">
        <v>53</v>
      </c>
      <c r="F476" s="5" t="s">
        <v>60</v>
      </c>
      <c r="G476" s="8">
        <v>4</v>
      </c>
      <c r="H476" s="8">
        <v>5055</v>
      </c>
      <c r="I476" s="5" t="s">
        <v>49</v>
      </c>
      <c r="J476" s="8">
        <v>3</v>
      </c>
      <c r="K476" s="8">
        <v>0</v>
      </c>
      <c r="L476" s="8">
        <v>7</v>
      </c>
      <c r="M4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6" s="8" t="str" cm="1">
        <f t="array" ref="N476">_xlfn.IFS(HR_Analytics56[[#This Row],[PerformanceRating]]=3,"Good",HR_Analytics56[[#This Row],[PerformanceRating]]=4, "Excellent")</f>
        <v>Good</v>
      </c>
      <c r="O476" s="8" t="str">
        <f>IF(HR_Analytics56[[#This Row],[MonthlyIncome]]&lt;3000,"&lt; ₹3,000",IF(HR_Analytics56[[#This Row],[MonthlyIncome]]&lt;=7000,"₹ 3,000 - ₹ 7,000","&gt; ₹7,000"))</f>
        <v>₹ 3,000 - ₹ 7,000</v>
      </c>
      <c r="P476" s="8" t="str" cm="1">
        <f t="array" ref="P4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7" spans="1:16" x14ac:dyDescent="0.8">
      <c r="A477" s="5" t="s">
        <v>547</v>
      </c>
      <c r="B477" s="8">
        <v>32</v>
      </c>
      <c r="C477" s="5" t="s">
        <v>49</v>
      </c>
      <c r="D477" s="5" t="s">
        <v>42</v>
      </c>
      <c r="E477" s="5" t="s">
        <v>53</v>
      </c>
      <c r="F477" s="5" t="s">
        <v>45</v>
      </c>
      <c r="G477" s="8">
        <v>2</v>
      </c>
      <c r="H477" s="8">
        <v>2370</v>
      </c>
      <c r="I477" s="5" t="s">
        <v>49</v>
      </c>
      <c r="J477" s="8">
        <v>3</v>
      </c>
      <c r="K477" s="8">
        <v>4</v>
      </c>
      <c r="L477" s="8">
        <v>8</v>
      </c>
      <c r="M4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77" s="8" t="str" cm="1">
        <f t="array" ref="N477">_xlfn.IFS(HR_Analytics56[[#This Row],[PerformanceRating]]=3,"Good",HR_Analytics56[[#This Row],[PerformanceRating]]=4, "Excellent")</f>
        <v>Good</v>
      </c>
      <c r="O477" s="8" t="str">
        <f>IF(HR_Analytics56[[#This Row],[MonthlyIncome]]&lt;3000,"&lt; ₹3,000",IF(HR_Analytics56[[#This Row],[MonthlyIncome]]&lt;=7000,"₹ 3,000 - ₹ 7,000","&gt; ₹7,000"))</f>
        <v>&lt; ₹3,000</v>
      </c>
      <c r="P477" s="8" t="str" cm="1">
        <f t="array" ref="P4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8" spans="1:16" x14ac:dyDescent="0.8">
      <c r="A478" s="5" t="s">
        <v>548</v>
      </c>
      <c r="B478" s="8">
        <v>32</v>
      </c>
      <c r="C478" s="5" t="s">
        <v>40</v>
      </c>
      <c r="D478" s="5" t="s">
        <v>51</v>
      </c>
      <c r="E478" s="5" t="s">
        <v>44</v>
      </c>
      <c r="F478" s="5" t="s">
        <v>137</v>
      </c>
      <c r="G478" s="8">
        <v>3</v>
      </c>
      <c r="H478" s="8">
        <v>4707</v>
      </c>
      <c r="I478" s="5" t="s">
        <v>49</v>
      </c>
      <c r="J478" s="8">
        <v>3</v>
      </c>
      <c r="K478" s="8">
        <v>2</v>
      </c>
      <c r="L478" s="8">
        <v>4</v>
      </c>
      <c r="M4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78" s="8" t="str" cm="1">
        <f t="array" ref="N478">_xlfn.IFS(HR_Analytics56[[#This Row],[PerformanceRating]]=3,"Good",HR_Analytics56[[#This Row],[PerformanceRating]]=4, "Excellent")</f>
        <v>Good</v>
      </c>
      <c r="O478" s="8" t="str">
        <f>IF(HR_Analytics56[[#This Row],[MonthlyIncome]]&lt;3000,"&lt; ₹3,000",IF(HR_Analytics56[[#This Row],[MonthlyIncome]]&lt;=7000,"₹ 3,000 - ₹ 7,000","&gt; ₹7,000"))</f>
        <v>₹ 3,000 - ₹ 7,000</v>
      </c>
      <c r="P478" s="8" t="str" cm="1">
        <f t="array" ref="P4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79" spans="1:16" x14ac:dyDescent="0.8">
      <c r="A479" s="5" t="s">
        <v>549</v>
      </c>
      <c r="B479" s="8">
        <v>32</v>
      </c>
      <c r="C479" s="5" t="s">
        <v>49</v>
      </c>
      <c r="D479" s="5" t="s">
        <v>42</v>
      </c>
      <c r="E479" s="5" t="s">
        <v>53</v>
      </c>
      <c r="F479" s="5" t="s">
        <v>60</v>
      </c>
      <c r="G479" s="8">
        <v>4</v>
      </c>
      <c r="H479" s="8">
        <v>6322</v>
      </c>
      <c r="I479" s="5" t="s">
        <v>40</v>
      </c>
      <c r="J479" s="8">
        <v>3</v>
      </c>
      <c r="K479" s="8">
        <v>2</v>
      </c>
      <c r="L479" s="8">
        <v>6</v>
      </c>
      <c r="M4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79" s="8" t="str" cm="1">
        <f t="array" ref="N479">_xlfn.IFS(HR_Analytics56[[#This Row],[PerformanceRating]]=3,"Good",HR_Analytics56[[#This Row],[PerformanceRating]]=4, "Excellent")</f>
        <v>Good</v>
      </c>
      <c r="O479" s="8" t="str">
        <f>IF(HR_Analytics56[[#This Row],[MonthlyIncome]]&lt;3000,"&lt; ₹3,000",IF(HR_Analytics56[[#This Row],[MonthlyIncome]]&lt;=7000,"₹ 3,000 - ₹ 7,000","&gt; ₹7,000"))</f>
        <v>₹ 3,000 - ₹ 7,000</v>
      </c>
      <c r="P479" s="8" t="str" cm="1">
        <f t="array" ref="P4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0" spans="1:16" x14ac:dyDescent="0.8">
      <c r="A480" s="5" t="s">
        <v>550</v>
      </c>
      <c r="B480" s="8">
        <v>32</v>
      </c>
      <c r="C480" s="5" t="s">
        <v>49</v>
      </c>
      <c r="D480" s="5" t="s">
        <v>51</v>
      </c>
      <c r="E480" s="5" t="s">
        <v>44</v>
      </c>
      <c r="F480" s="5" t="s">
        <v>137</v>
      </c>
      <c r="G480" s="8">
        <v>4</v>
      </c>
      <c r="H480" s="8">
        <v>5396</v>
      </c>
      <c r="I480" s="5" t="s">
        <v>49</v>
      </c>
      <c r="J480" s="8">
        <v>3</v>
      </c>
      <c r="K480" s="8">
        <v>2</v>
      </c>
      <c r="L480" s="8">
        <v>10</v>
      </c>
      <c r="M4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0" s="8" t="str" cm="1">
        <f t="array" ref="N480">_xlfn.IFS(HR_Analytics56[[#This Row],[PerformanceRating]]=3,"Good",HR_Analytics56[[#This Row],[PerformanceRating]]=4, "Excellent")</f>
        <v>Good</v>
      </c>
      <c r="O480" s="8" t="str">
        <f>IF(HR_Analytics56[[#This Row],[MonthlyIncome]]&lt;3000,"&lt; ₹3,000",IF(HR_Analytics56[[#This Row],[MonthlyIncome]]&lt;=7000,"₹ 3,000 - ₹ 7,000","&gt; ₹7,000"))</f>
        <v>₹ 3,000 - ₹ 7,000</v>
      </c>
      <c r="P480" s="8" t="str" cm="1">
        <f t="array" ref="P4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1" spans="1:16" x14ac:dyDescent="0.8">
      <c r="A481" s="5" t="s">
        <v>551</v>
      </c>
      <c r="B481" s="8">
        <v>32</v>
      </c>
      <c r="C481" s="5" t="s">
        <v>49</v>
      </c>
      <c r="D481" s="5" t="s">
        <v>42</v>
      </c>
      <c r="E481" s="5" t="s">
        <v>53</v>
      </c>
      <c r="F481" s="5" t="s">
        <v>252</v>
      </c>
      <c r="G481" s="8">
        <v>4</v>
      </c>
      <c r="H481" s="8">
        <v>11159</v>
      </c>
      <c r="I481" s="5" t="s">
        <v>49</v>
      </c>
      <c r="J481" s="8">
        <v>3</v>
      </c>
      <c r="K481" s="8">
        <v>6</v>
      </c>
      <c r="L481" s="8">
        <v>7</v>
      </c>
      <c r="M4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1" s="8" t="str" cm="1">
        <f t="array" ref="N481">_xlfn.IFS(HR_Analytics56[[#This Row],[PerformanceRating]]=3,"Good",HR_Analytics56[[#This Row],[PerformanceRating]]=4, "Excellent")</f>
        <v>Good</v>
      </c>
      <c r="O481" s="8" t="str">
        <f>IF(HR_Analytics56[[#This Row],[MonthlyIncome]]&lt;3000,"&lt; ₹3,000",IF(HR_Analytics56[[#This Row],[MonthlyIncome]]&lt;=7000,"₹ 3,000 - ₹ 7,000","&gt; ₹7,000"))</f>
        <v>&gt; ₹7,000</v>
      </c>
      <c r="P481" s="8" t="str" cm="1">
        <f t="array" ref="P4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2" spans="1:16" x14ac:dyDescent="0.8">
      <c r="A482" s="5" t="s">
        <v>552</v>
      </c>
      <c r="B482" s="8">
        <v>32</v>
      </c>
      <c r="C482" s="5" t="s">
        <v>49</v>
      </c>
      <c r="D482" s="5" t="s">
        <v>42</v>
      </c>
      <c r="E482" s="5" t="s">
        <v>44</v>
      </c>
      <c r="F482" s="5" t="s">
        <v>45</v>
      </c>
      <c r="G482" s="8">
        <v>4</v>
      </c>
      <c r="H482" s="8">
        <v>5309</v>
      </c>
      <c r="I482" s="5" t="s">
        <v>49</v>
      </c>
      <c r="J482" s="8">
        <v>3</v>
      </c>
      <c r="K482" s="8">
        <v>2</v>
      </c>
      <c r="L482" s="8">
        <v>10</v>
      </c>
      <c r="M4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2" s="8" t="str" cm="1">
        <f t="array" ref="N482">_xlfn.IFS(HR_Analytics56[[#This Row],[PerformanceRating]]=3,"Good",HR_Analytics56[[#This Row],[PerformanceRating]]=4, "Excellent")</f>
        <v>Good</v>
      </c>
      <c r="O482" s="8" t="str">
        <f>IF(HR_Analytics56[[#This Row],[MonthlyIncome]]&lt;3000,"&lt; ₹3,000",IF(HR_Analytics56[[#This Row],[MonthlyIncome]]&lt;=7000,"₹ 3,000 - ₹ 7,000","&gt; ₹7,000"))</f>
        <v>₹ 3,000 - ₹ 7,000</v>
      </c>
      <c r="P482" s="8" t="str" cm="1">
        <f t="array" ref="P4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3" spans="1:16" x14ac:dyDescent="0.8">
      <c r="A483" s="5" t="s">
        <v>553</v>
      </c>
      <c r="B483" s="8">
        <v>32</v>
      </c>
      <c r="C483" s="5" t="s">
        <v>49</v>
      </c>
      <c r="D483" s="5" t="s">
        <v>42</v>
      </c>
      <c r="E483" s="5" t="s">
        <v>53</v>
      </c>
      <c r="F483" s="5" t="s">
        <v>112</v>
      </c>
      <c r="G483" s="8">
        <v>3</v>
      </c>
      <c r="H483" s="8">
        <v>6162</v>
      </c>
      <c r="I483" s="5" t="s">
        <v>49</v>
      </c>
      <c r="J483" s="8">
        <v>3</v>
      </c>
      <c r="K483" s="8">
        <v>3</v>
      </c>
      <c r="L483" s="8">
        <v>14</v>
      </c>
      <c r="M4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3" s="8" t="str" cm="1">
        <f t="array" ref="N483">_xlfn.IFS(HR_Analytics56[[#This Row],[PerformanceRating]]=3,"Good",HR_Analytics56[[#This Row],[PerformanceRating]]=4, "Excellent")</f>
        <v>Good</v>
      </c>
      <c r="O483" s="8" t="str">
        <f>IF(HR_Analytics56[[#This Row],[MonthlyIncome]]&lt;3000,"&lt; ₹3,000",IF(HR_Analytics56[[#This Row],[MonthlyIncome]]&lt;=7000,"₹ 3,000 - ₹ 7,000","&gt; ₹7,000"))</f>
        <v>₹ 3,000 - ₹ 7,000</v>
      </c>
      <c r="P483" s="8" t="str" cm="1">
        <f t="array" ref="P4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4" spans="1:16" x14ac:dyDescent="0.8">
      <c r="A484" s="5" t="s">
        <v>554</v>
      </c>
      <c r="B484" s="8">
        <v>32</v>
      </c>
      <c r="C484" s="5" t="s">
        <v>49</v>
      </c>
      <c r="D484" s="5" t="s">
        <v>51</v>
      </c>
      <c r="E484" s="5" t="s">
        <v>44</v>
      </c>
      <c r="F484" s="5" t="s">
        <v>137</v>
      </c>
      <c r="G484" s="8">
        <v>4</v>
      </c>
      <c r="H484" s="8">
        <v>4403</v>
      </c>
      <c r="I484" s="5" t="s">
        <v>49</v>
      </c>
      <c r="J484" s="8">
        <v>3</v>
      </c>
      <c r="K484" s="8">
        <v>3</v>
      </c>
      <c r="L484" s="8">
        <v>5</v>
      </c>
      <c r="M4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4" s="8" t="str" cm="1">
        <f t="array" ref="N484">_xlfn.IFS(HR_Analytics56[[#This Row],[PerformanceRating]]=3,"Good",HR_Analytics56[[#This Row],[PerformanceRating]]=4, "Excellent")</f>
        <v>Good</v>
      </c>
      <c r="O484" s="8" t="str">
        <f>IF(HR_Analytics56[[#This Row],[MonthlyIncome]]&lt;3000,"&lt; ₹3,000",IF(HR_Analytics56[[#This Row],[MonthlyIncome]]&lt;=7000,"₹ 3,000 - ₹ 7,000","&gt; ₹7,000"))</f>
        <v>₹ 3,000 - ₹ 7,000</v>
      </c>
      <c r="P484" s="8" t="str" cm="1">
        <f t="array" ref="P4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5" spans="1:16" x14ac:dyDescent="0.8">
      <c r="A485" s="5" t="s">
        <v>555</v>
      </c>
      <c r="B485" s="8">
        <v>32</v>
      </c>
      <c r="C485" s="5" t="s">
        <v>49</v>
      </c>
      <c r="D485" s="5" t="s">
        <v>42</v>
      </c>
      <c r="E485" s="5" t="s">
        <v>53</v>
      </c>
      <c r="F485" s="5" t="s">
        <v>60</v>
      </c>
      <c r="G485" s="8">
        <v>3</v>
      </c>
      <c r="H485" s="8">
        <v>5175</v>
      </c>
      <c r="I485" s="5" t="s">
        <v>49</v>
      </c>
      <c r="J485" s="8">
        <v>3</v>
      </c>
      <c r="K485" s="8">
        <v>3</v>
      </c>
      <c r="L485" s="8">
        <v>5</v>
      </c>
      <c r="M4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5" s="8" t="str" cm="1">
        <f t="array" ref="N485">_xlfn.IFS(HR_Analytics56[[#This Row],[PerformanceRating]]=3,"Good",HR_Analytics56[[#This Row],[PerformanceRating]]=4, "Excellent")</f>
        <v>Good</v>
      </c>
      <c r="O485" s="8" t="str">
        <f>IF(HR_Analytics56[[#This Row],[MonthlyIncome]]&lt;3000,"&lt; ₹3,000",IF(HR_Analytics56[[#This Row],[MonthlyIncome]]&lt;=7000,"₹ 3,000 - ₹ 7,000","&gt; ₹7,000"))</f>
        <v>₹ 3,000 - ₹ 7,000</v>
      </c>
      <c r="P485" s="8" t="str" cm="1">
        <f t="array" ref="P4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6" spans="1:16" x14ac:dyDescent="0.8">
      <c r="A486" s="5" t="s">
        <v>556</v>
      </c>
      <c r="B486" s="8">
        <v>32</v>
      </c>
      <c r="C486" s="5" t="s">
        <v>49</v>
      </c>
      <c r="D486" s="5" t="s">
        <v>42</v>
      </c>
      <c r="E486" s="5" t="s">
        <v>44</v>
      </c>
      <c r="F486" s="5" t="s">
        <v>45</v>
      </c>
      <c r="G486" s="8">
        <v>4</v>
      </c>
      <c r="H486" s="8">
        <v>2314</v>
      </c>
      <c r="I486" s="5" t="s">
        <v>49</v>
      </c>
      <c r="J486" s="8">
        <v>3</v>
      </c>
      <c r="K486" s="8">
        <v>2</v>
      </c>
      <c r="L486" s="8">
        <v>3</v>
      </c>
      <c r="M4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6" s="8" t="str" cm="1">
        <f t="array" ref="N486">_xlfn.IFS(HR_Analytics56[[#This Row],[PerformanceRating]]=3,"Good",HR_Analytics56[[#This Row],[PerformanceRating]]=4, "Excellent")</f>
        <v>Good</v>
      </c>
      <c r="O486" s="8" t="str">
        <f>IF(HR_Analytics56[[#This Row],[MonthlyIncome]]&lt;3000,"&lt; ₹3,000",IF(HR_Analytics56[[#This Row],[MonthlyIncome]]&lt;=7000,"₹ 3,000 - ₹ 7,000","&gt; ₹7,000"))</f>
        <v>&lt; ₹3,000</v>
      </c>
      <c r="P486" s="8" t="str" cm="1">
        <f t="array" ref="P4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7" spans="1:16" x14ac:dyDescent="0.8">
      <c r="A487" s="5" t="s">
        <v>557</v>
      </c>
      <c r="B487" s="8">
        <v>32</v>
      </c>
      <c r="C487" s="5" t="s">
        <v>49</v>
      </c>
      <c r="D487" s="5" t="s">
        <v>51</v>
      </c>
      <c r="E487" s="5" t="s">
        <v>44</v>
      </c>
      <c r="F487" s="5" t="s">
        <v>137</v>
      </c>
      <c r="G487" s="8">
        <v>2</v>
      </c>
      <c r="H487" s="8">
        <v>6524</v>
      </c>
      <c r="I487" s="5" t="s">
        <v>49</v>
      </c>
      <c r="J487" s="8">
        <v>3</v>
      </c>
      <c r="K487" s="8">
        <v>3</v>
      </c>
      <c r="L487" s="8">
        <v>10</v>
      </c>
      <c r="M4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7" s="8" t="str" cm="1">
        <f t="array" ref="N487">_xlfn.IFS(HR_Analytics56[[#This Row],[PerformanceRating]]=3,"Good",HR_Analytics56[[#This Row],[PerformanceRating]]=4, "Excellent")</f>
        <v>Good</v>
      </c>
      <c r="O487" s="8" t="str">
        <f>IF(HR_Analytics56[[#This Row],[MonthlyIncome]]&lt;3000,"&lt; ₹3,000",IF(HR_Analytics56[[#This Row],[MonthlyIncome]]&lt;=7000,"₹ 3,000 - ₹ 7,000","&gt; ₹7,000"))</f>
        <v>₹ 3,000 - ₹ 7,000</v>
      </c>
      <c r="P487" s="8" t="str" cm="1">
        <f t="array" ref="P4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8" spans="1:16" x14ac:dyDescent="0.8">
      <c r="A488" s="5" t="s">
        <v>558</v>
      </c>
      <c r="B488" s="8">
        <v>32</v>
      </c>
      <c r="C488" s="5" t="s">
        <v>40</v>
      </c>
      <c r="D488" s="5" t="s">
        <v>42</v>
      </c>
      <c r="E488" s="5" t="s">
        <v>44</v>
      </c>
      <c r="F488" s="5" t="s">
        <v>45</v>
      </c>
      <c r="G488" s="8">
        <v>4</v>
      </c>
      <c r="H488" s="8">
        <v>2795</v>
      </c>
      <c r="I488" s="5" t="s">
        <v>40</v>
      </c>
      <c r="J488" s="8">
        <v>4</v>
      </c>
      <c r="K488" s="8">
        <v>2</v>
      </c>
      <c r="L488" s="8">
        <v>1</v>
      </c>
      <c r="M4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488" s="8" t="str" cm="1">
        <f t="array" ref="N488">_xlfn.IFS(HR_Analytics56[[#This Row],[PerformanceRating]]=3,"Good",HR_Analytics56[[#This Row],[PerformanceRating]]=4, "Excellent")</f>
        <v>Excellent</v>
      </c>
      <c r="O488" s="8" t="str">
        <f>IF(HR_Analytics56[[#This Row],[MonthlyIncome]]&lt;3000,"&lt; ₹3,000",IF(HR_Analytics56[[#This Row],[MonthlyIncome]]&lt;=7000,"₹ 3,000 - ₹ 7,000","&gt; ₹7,000"))</f>
        <v>&lt; ₹3,000</v>
      </c>
      <c r="P488" s="8" t="str" cm="1">
        <f t="array" ref="P4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89" spans="1:16" x14ac:dyDescent="0.8">
      <c r="A489" s="5" t="s">
        <v>559</v>
      </c>
      <c r="B489" s="8">
        <v>32</v>
      </c>
      <c r="C489" s="5" t="s">
        <v>49</v>
      </c>
      <c r="D489" s="5" t="s">
        <v>42</v>
      </c>
      <c r="E489" s="5" t="s">
        <v>53</v>
      </c>
      <c r="F489" s="5" t="s">
        <v>45</v>
      </c>
      <c r="G489" s="8">
        <v>2</v>
      </c>
      <c r="H489" s="8">
        <v>2332</v>
      </c>
      <c r="I489" s="5" t="s">
        <v>49</v>
      </c>
      <c r="J489" s="8">
        <v>4</v>
      </c>
      <c r="K489" s="8">
        <v>3</v>
      </c>
      <c r="L489" s="8">
        <v>3</v>
      </c>
      <c r="M4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89" s="8" t="str" cm="1">
        <f t="array" ref="N489">_xlfn.IFS(HR_Analytics56[[#This Row],[PerformanceRating]]=3,"Good",HR_Analytics56[[#This Row],[PerformanceRating]]=4, "Excellent")</f>
        <v>Excellent</v>
      </c>
      <c r="O489" s="8" t="str">
        <f>IF(HR_Analytics56[[#This Row],[MonthlyIncome]]&lt;3000,"&lt; ₹3,000",IF(HR_Analytics56[[#This Row],[MonthlyIncome]]&lt;=7000,"₹ 3,000 - ₹ 7,000","&gt; ₹7,000"))</f>
        <v>&lt; ₹3,000</v>
      </c>
      <c r="P489" s="8" t="str" cm="1">
        <f t="array" ref="P48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490" spans="1:16" x14ac:dyDescent="0.8">
      <c r="A490" s="5" t="s">
        <v>560</v>
      </c>
      <c r="B490" s="8">
        <v>32</v>
      </c>
      <c r="C490" s="5" t="s">
        <v>49</v>
      </c>
      <c r="D490" s="5" t="s">
        <v>42</v>
      </c>
      <c r="E490" s="5" t="s">
        <v>53</v>
      </c>
      <c r="F490" s="5" t="s">
        <v>112</v>
      </c>
      <c r="G490" s="8">
        <v>1</v>
      </c>
      <c r="H490" s="8">
        <v>6725</v>
      </c>
      <c r="I490" s="5" t="s">
        <v>49</v>
      </c>
      <c r="J490" s="8">
        <v>3</v>
      </c>
      <c r="K490" s="8">
        <v>2</v>
      </c>
      <c r="L490" s="8">
        <v>8</v>
      </c>
      <c r="M4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0" s="8" t="str" cm="1">
        <f t="array" ref="N490">_xlfn.IFS(HR_Analytics56[[#This Row],[PerformanceRating]]=3,"Good",HR_Analytics56[[#This Row],[PerformanceRating]]=4, "Excellent")</f>
        <v>Good</v>
      </c>
      <c r="O490" s="8" t="str">
        <f>IF(HR_Analytics56[[#This Row],[MonthlyIncome]]&lt;3000,"&lt; ₹3,000",IF(HR_Analytics56[[#This Row],[MonthlyIncome]]&lt;=7000,"₹ 3,000 - ₹ 7,000","&gt; ₹7,000"))</f>
        <v>₹ 3,000 - ₹ 7,000</v>
      </c>
      <c r="P490" s="8" t="str" cm="1">
        <f t="array" ref="P4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1" spans="1:16" x14ac:dyDescent="0.8">
      <c r="A491" s="5" t="s">
        <v>561</v>
      </c>
      <c r="B491" s="8">
        <v>32</v>
      </c>
      <c r="C491" s="5" t="s">
        <v>49</v>
      </c>
      <c r="D491" s="5" t="s">
        <v>42</v>
      </c>
      <c r="E491" s="5" t="s">
        <v>53</v>
      </c>
      <c r="F491" s="5" t="s">
        <v>45</v>
      </c>
      <c r="G491" s="8">
        <v>3</v>
      </c>
      <c r="H491" s="8">
        <v>4025</v>
      </c>
      <c r="I491" s="5" t="s">
        <v>49</v>
      </c>
      <c r="J491" s="8">
        <v>3</v>
      </c>
      <c r="K491" s="8">
        <v>2</v>
      </c>
      <c r="L491" s="8">
        <v>8</v>
      </c>
      <c r="M4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1" s="8" t="str" cm="1">
        <f t="array" ref="N491">_xlfn.IFS(HR_Analytics56[[#This Row],[PerformanceRating]]=3,"Good",HR_Analytics56[[#This Row],[PerformanceRating]]=4, "Excellent")</f>
        <v>Good</v>
      </c>
      <c r="O491" s="8" t="str">
        <f>IF(HR_Analytics56[[#This Row],[MonthlyIncome]]&lt;3000,"&lt; ₹3,000",IF(HR_Analytics56[[#This Row],[MonthlyIncome]]&lt;=7000,"₹ 3,000 - ₹ 7,000","&gt; ₹7,000"))</f>
        <v>₹ 3,000 - ₹ 7,000</v>
      </c>
      <c r="P491" s="8" t="str" cm="1">
        <f t="array" ref="P4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2" spans="1:16" x14ac:dyDescent="0.8">
      <c r="A492" s="5" t="s">
        <v>562</v>
      </c>
      <c r="B492" s="8">
        <v>32</v>
      </c>
      <c r="C492" s="5" t="s">
        <v>49</v>
      </c>
      <c r="D492" s="5" t="s">
        <v>51</v>
      </c>
      <c r="E492" s="5" t="s">
        <v>53</v>
      </c>
      <c r="F492" s="5" t="s">
        <v>54</v>
      </c>
      <c r="G492" s="8">
        <v>1</v>
      </c>
      <c r="H492" s="8">
        <v>2827</v>
      </c>
      <c r="I492" s="5" t="s">
        <v>49</v>
      </c>
      <c r="J492" s="8">
        <v>3</v>
      </c>
      <c r="K492" s="8">
        <v>3</v>
      </c>
      <c r="L492" s="8">
        <v>1</v>
      </c>
      <c r="M4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2" s="8" t="str" cm="1">
        <f t="array" ref="N492">_xlfn.IFS(HR_Analytics56[[#This Row],[PerformanceRating]]=3,"Good",HR_Analytics56[[#This Row],[PerformanceRating]]=4, "Excellent")</f>
        <v>Good</v>
      </c>
      <c r="O492" s="8" t="str">
        <f>IF(HR_Analytics56[[#This Row],[MonthlyIncome]]&lt;3000,"&lt; ₹3,000",IF(HR_Analytics56[[#This Row],[MonthlyIncome]]&lt;=7000,"₹ 3,000 - ₹ 7,000","&gt; ₹7,000"))</f>
        <v>&lt; ₹3,000</v>
      </c>
      <c r="P492" s="8" t="str" cm="1">
        <f t="array" ref="P4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3" spans="1:16" x14ac:dyDescent="0.8">
      <c r="A493" s="5" t="s">
        <v>563</v>
      </c>
      <c r="B493" s="8">
        <v>32</v>
      </c>
      <c r="C493" s="5" t="s">
        <v>49</v>
      </c>
      <c r="D493" s="5" t="s">
        <v>42</v>
      </c>
      <c r="E493" s="5" t="s">
        <v>53</v>
      </c>
      <c r="F493" s="5" t="s">
        <v>45</v>
      </c>
      <c r="G493" s="8">
        <v>2</v>
      </c>
      <c r="H493" s="8">
        <v>2743</v>
      </c>
      <c r="I493" s="5" t="s">
        <v>49</v>
      </c>
      <c r="J493" s="8">
        <v>4</v>
      </c>
      <c r="K493" s="8">
        <v>2</v>
      </c>
      <c r="L493" s="8">
        <v>2</v>
      </c>
      <c r="M4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3" s="8" t="str" cm="1">
        <f t="array" ref="N493">_xlfn.IFS(HR_Analytics56[[#This Row],[PerformanceRating]]=3,"Good",HR_Analytics56[[#This Row],[PerformanceRating]]=4, "Excellent")</f>
        <v>Excellent</v>
      </c>
      <c r="O493" s="8" t="str">
        <f>IF(HR_Analytics56[[#This Row],[MonthlyIncome]]&lt;3000,"&lt; ₹3,000",IF(HR_Analytics56[[#This Row],[MonthlyIncome]]&lt;=7000,"₹ 3,000 - ₹ 7,000","&gt; ₹7,000"))</f>
        <v>&lt; ₹3,000</v>
      </c>
      <c r="P493" s="8" t="str" cm="1">
        <f t="array" ref="P4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4" spans="1:16" x14ac:dyDescent="0.8">
      <c r="A494" s="5" t="s">
        <v>564</v>
      </c>
      <c r="B494" s="8">
        <v>32</v>
      </c>
      <c r="C494" s="5" t="s">
        <v>49</v>
      </c>
      <c r="D494" s="5" t="s">
        <v>42</v>
      </c>
      <c r="E494" s="5" t="s">
        <v>53</v>
      </c>
      <c r="F494" s="5" t="s">
        <v>60</v>
      </c>
      <c r="G494" s="8">
        <v>3</v>
      </c>
      <c r="H494" s="8">
        <v>4998</v>
      </c>
      <c r="I494" s="5" t="s">
        <v>40</v>
      </c>
      <c r="J494" s="8">
        <v>3</v>
      </c>
      <c r="K494" s="8">
        <v>2</v>
      </c>
      <c r="L494" s="8">
        <v>8</v>
      </c>
      <c r="M4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94" s="8" t="str" cm="1">
        <f t="array" ref="N494">_xlfn.IFS(HR_Analytics56[[#This Row],[PerformanceRating]]=3,"Good",HR_Analytics56[[#This Row],[PerformanceRating]]=4, "Excellent")</f>
        <v>Good</v>
      </c>
      <c r="O494" s="8" t="str">
        <f>IF(HR_Analytics56[[#This Row],[MonthlyIncome]]&lt;3000,"&lt; ₹3,000",IF(HR_Analytics56[[#This Row],[MonthlyIncome]]&lt;=7000,"₹ 3,000 - ₹ 7,000","&gt; ₹7,000"))</f>
        <v>₹ 3,000 - ₹ 7,000</v>
      </c>
      <c r="P494" s="8" t="str" cm="1">
        <f t="array" ref="P4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5" spans="1:16" x14ac:dyDescent="0.8">
      <c r="A495" s="5" t="s">
        <v>565</v>
      </c>
      <c r="B495" s="8">
        <v>32</v>
      </c>
      <c r="C495" s="5" t="s">
        <v>49</v>
      </c>
      <c r="D495" s="5" t="s">
        <v>51</v>
      </c>
      <c r="E495" s="5" t="s">
        <v>44</v>
      </c>
      <c r="F495" s="5" t="s">
        <v>137</v>
      </c>
      <c r="G495" s="8">
        <v>4</v>
      </c>
      <c r="H495" s="8">
        <v>6209</v>
      </c>
      <c r="I495" s="5" t="s">
        <v>49</v>
      </c>
      <c r="J495" s="8">
        <v>3</v>
      </c>
      <c r="K495" s="8">
        <v>4</v>
      </c>
      <c r="L495" s="8">
        <v>10</v>
      </c>
      <c r="M4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5" s="8" t="str" cm="1">
        <f t="array" ref="N495">_xlfn.IFS(HR_Analytics56[[#This Row],[PerformanceRating]]=3,"Good",HR_Analytics56[[#This Row],[PerformanceRating]]=4, "Excellent")</f>
        <v>Good</v>
      </c>
      <c r="O495" s="8" t="str">
        <f>IF(HR_Analytics56[[#This Row],[MonthlyIncome]]&lt;3000,"&lt; ₹3,000",IF(HR_Analytics56[[#This Row],[MonthlyIncome]]&lt;=7000,"₹ 3,000 - ₹ 7,000","&gt; ₹7,000"))</f>
        <v>₹ 3,000 - ₹ 7,000</v>
      </c>
      <c r="P495" s="8" t="str" cm="1">
        <f t="array" ref="P4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6" spans="1:16" x14ac:dyDescent="0.8">
      <c r="A496" s="5" t="s">
        <v>566</v>
      </c>
      <c r="B496" s="8">
        <v>32</v>
      </c>
      <c r="C496" s="5" t="s">
        <v>40</v>
      </c>
      <c r="D496" s="5" t="s">
        <v>42</v>
      </c>
      <c r="E496" s="5" t="s">
        <v>44</v>
      </c>
      <c r="F496" s="5" t="s">
        <v>45</v>
      </c>
      <c r="G496" s="8">
        <v>3</v>
      </c>
      <c r="H496" s="8">
        <v>4883</v>
      </c>
      <c r="I496" s="5" t="s">
        <v>49</v>
      </c>
      <c r="J496" s="8">
        <v>3</v>
      </c>
      <c r="K496" s="8">
        <v>3</v>
      </c>
      <c r="L496" s="8">
        <v>10</v>
      </c>
      <c r="M4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96" s="8" t="str" cm="1">
        <f t="array" ref="N496">_xlfn.IFS(HR_Analytics56[[#This Row],[PerformanceRating]]=3,"Good",HR_Analytics56[[#This Row],[PerformanceRating]]=4, "Excellent")</f>
        <v>Good</v>
      </c>
      <c r="O496" s="8" t="str">
        <f>IF(HR_Analytics56[[#This Row],[MonthlyIncome]]&lt;3000,"&lt; ₹3,000",IF(HR_Analytics56[[#This Row],[MonthlyIncome]]&lt;=7000,"₹ 3,000 - ₹ 7,000","&gt; ₹7,000"))</f>
        <v>₹ 3,000 - ₹ 7,000</v>
      </c>
      <c r="P496" s="8" t="str" cm="1">
        <f t="array" ref="P4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7" spans="1:16" x14ac:dyDescent="0.8">
      <c r="A497" s="5" t="s">
        <v>567</v>
      </c>
      <c r="B497" s="8">
        <v>32</v>
      </c>
      <c r="C497" s="5" t="s">
        <v>49</v>
      </c>
      <c r="D497" s="5" t="s">
        <v>51</v>
      </c>
      <c r="E497" s="5" t="s">
        <v>44</v>
      </c>
      <c r="F497" s="5" t="s">
        <v>137</v>
      </c>
      <c r="G497" s="8">
        <v>2</v>
      </c>
      <c r="H497" s="8">
        <v>4078</v>
      </c>
      <c r="I497" s="5" t="s">
        <v>40</v>
      </c>
      <c r="J497" s="8">
        <v>3</v>
      </c>
      <c r="K497" s="8">
        <v>3</v>
      </c>
      <c r="L497" s="8">
        <v>3</v>
      </c>
      <c r="M4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497" s="8" t="str" cm="1">
        <f t="array" ref="N497">_xlfn.IFS(HR_Analytics56[[#This Row],[PerformanceRating]]=3,"Good",HR_Analytics56[[#This Row],[PerformanceRating]]=4, "Excellent")</f>
        <v>Good</v>
      </c>
      <c r="O497" s="8" t="str">
        <f>IF(HR_Analytics56[[#This Row],[MonthlyIncome]]&lt;3000,"&lt; ₹3,000",IF(HR_Analytics56[[#This Row],[MonthlyIncome]]&lt;=7000,"₹ 3,000 - ₹ 7,000","&gt; ₹7,000"))</f>
        <v>₹ 3,000 - ₹ 7,000</v>
      </c>
      <c r="P497" s="8" t="str" cm="1">
        <f t="array" ref="P4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8" spans="1:16" x14ac:dyDescent="0.8">
      <c r="A498" s="5" t="s">
        <v>568</v>
      </c>
      <c r="B498" s="8">
        <v>32</v>
      </c>
      <c r="C498" s="5" t="s">
        <v>49</v>
      </c>
      <c r="D498" s="5" t="s">
        <v>51</v>
      </c>
      <c r="E498" s="5" t="s">
        <v>44</v>
      </c>
      <c r="F498" s="5" t="s">
        <v>137</v>
      </c>
      <c r="G498" s="8">
        <v>4</v>
      </c>
      <c r="H498" s="8">
        <v>9204</v>
      </c>
      <c r="I498" s="5" t="s">
        <v>49</v>
      </c>
      <c r="J498" s="8">
        <v>3</v>
      </c>
      <c r="K498" s="8">
        <v>3</v>
      </c>
      <c r="L498" s="8">
        <v>4</v>
      </c>
      <c r="M4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8" s="8" t="str" cm="1">
        <f t="array" ref="N498">_xlfn.IFS(HR_Analytics56[[#This Row],[PerformanceRating]]=3,"Good",HR_Analytics56[[#This Row],[PerformanceRating]]=4, "Excellent")</f>
        <v>Good</v>
      </c>
      <c r="O498" s="8" t="str">
        <f>IF(HR_Analytics56[[#This Row],[MonthlyIncome]]&lt;3000,"&lt; ₹3,000",IF(HR_Analytics56[[#This Row],[MonthlyIncome]]&lt;=7000,"₹ 3,000 - ₹ 7,000","&gt; ₹7,000"))</f>
        <v>&gt; ₹7,000</v>
      </c>
      <c r="P498" s="8" t="str" cm="1">
        <f t="array" ref="P4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499" spans="1:16" x14ac:dyDescent="0.8">
      <c r="A499" s="5" t="s">
        <v>569</v>
      </c>
      <c r="B499" s="8">
        <v>32</v>
      </c>
      <c r="C499" s="5" t="s">
        <v>49</v>
      </c>
      <c r="D499" s="5" t="s">
        <v>42</v>
      </c>
      <c r="E499" s="5" t="s">
        <v>44</v>
      </c>
      <c r="F499" s="5" t="s">
        <v>442</v>
      </c>
      <c r="G499" s="8">
        <v>4</v>
      </c>
      <c r="H499" s="8">
        <v>11244</v>
      </c>
      <c r="I499" s="5" t="s">
        <v>49</v>
      </c>
      <c r="J499" s="8">
        <v>4</v>
      </c>
      <c r="K499" s="8">
        <v>5</v>
      </c>
      <c r="L499" s="8">
        <v>5</v>
      </c>
      <c r="M4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499" s="8" t="str" cm="1">
        <f t="array" ref="N499">_xlfn.IFS(HR_Analytics56[[#This Row],[PerformanceRating]]=3,"Good",HR_Analytics56[[#This Row],[PerformanceRating]]=4, "Excellent")</f>
        <v>Excellent</v>
      </c>
      <c r="O499" s="8" t="str">
        <f>IF(HR_Analytics56[[#This Row],[MonthlyIncome]]&lt;3000,"&lt; ₹3,000",IF(HR_Analytics56[[#This Row],[MonthlyIncome]]&lt;=7000,"₹ 3,000 - ₹ 7,000","&gt; ₹7,000"))</f>
        <v>&gt; ₹7,000</v>
      </c>
      <c r="P499" s="8" t="str" cm="1">
        <f t="array" ref="P49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00" spans="1:16" x14ac:dyDescent="0.8">
      <c r="A500" s="5" t="s">
        <v>570</v>
      </c>
      <c r="B500" s="8">
        <v>32</v>
      </c>
      <c r="C500" s="5" t="s">
        <v>49</v>
      </c>
      <c r="D500" s="5" t="s">
        <v>42</v>
      </c>
      <c r="E500" s="5" t="s">
        <v>53</v>
      </c>
      <c r="F500" s="5" t="s">
        <v>60</v>
      </c>
      <c r="G500" s="8">
        <v>2</v>
      </c>
      <c r="H500" s="8">
        <v>5878</v>
      </c>
      <c r="I500" s="5" t="s">
        <v>49</v>
      </c>
      <c r="J500" s="8">
        <v>3</v>
      </c>
      <c r="K500" s="8">
        <v>2</v>
      </c>
      <c r="L500" s="8">
        <v>7</v>
      </c>
      <c r="M5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0" s="8" t="str" cm="1">
        <f t="array" ref="N500">_xlfn.IFS(HR_Analytics56[[#This Row],[PerformanceRating]]=3,"Good",HR_Analytics56[[#This Row],[PerformanceRating]]=4, "Excellent")</f>
        <v>Good</v>
      </c>
      <c r="O500" s="8" t="str">
        <f>IF(HR_Analytics56[[#This Row],[MonthlyIncome]]&lt;3000,"&lt; ₹3,000",IF(HR_Analytics56[[#This Row],[MonthlyIncome]]&lt;=7000,"₹ 3,000 - ₹ 7,000","&gt; ₹7,000"))</f>
        <v>₹ 3,000 - ₹ 7,000</v>
      </c>
      <c r="P500" s="8" t="str" cm="1">
        <f t="array" ref="P5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1" spans="1:16" x14ac:dyDescent="0.8">
      <c r="A501" s="5" t="s">
        <v>571</v>
      </c>
      <c r="B501" s="8">
        <v>32</v>
      </c>
      <c r="C501" s="5" t="s">
        <v>49</v>
      </c>
      <c r="D501" s="5" t="s">
        <v>42</v>
      </c>
      <c r="E501" s="5" t="s">
        <v>44</v>
      </c>
      <c r="F501" s="5" t="s">
        <v>60</v>
      </c>
      <c r="G501" s="8">
        <v>1</v>
      </c>
      <c r="H501" s="8">
        <v>4087</v>
      </c>
      <c r="I501" s="5" t="s">
        <v>49</v>
      </c>
      <c r="J501" s="8">
        <v>3</v>
      </c>
      <c r="K501" s="8">
        <v>3</v>
      </c>
      <c r="L501" s="8">
        <v>6</v>
      </c>
      <c r="M5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1" s="8" t="str" cm="1">
        <f t="array" ref="N501">_xlfn.IFS(HR_Analytics56[[#This Row],[PerformanceRating]]=3,"Good",HR_Analytics56[[#This Row],[PerformanceRating]]=4, "Excellent")</f>
        <v>Good</v>
      </c>
      <c r="O501" s="8" t="str">
        <f>IF(HR_Analytics56[[#This Row],[MonthlyIncome]]&lt;3000,"&lt; ₹3,000",IF(HR_Analytics56[[#This Row],[MonthlyIncome]]&lt;=7000,"₹ 3,000 - ₹ 7,000","&gt; ₹7,000"))</f>
        <v>₹ 3,000 - ₹ 7,000</v>
      </c>
      <c r="P501" s="8" t="str" cm="1">
        <f t="array" ref="P5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2" spans="1:16" x14ac:dyDescent="0.8">
      <c r="A502" s="5" t="s">
        <v>572</v>
      </c>
      <c r="B502" s="8">
        <v>32</v>
      </c>
      <c r="C502" s="5" t="s">
        <v>49</v>
      </c>
      <c r="D502" s="5" t="s">
        <v>42</v>
      </c>
      <c r="E502" s="5" t="s">
        <v>53</v>
      </c>
      <c r="F502" s="5" t="s">
        <v>60</v>
      </c>
      <c r="G502" s="8">
        <v>4</v>
      </c>
      <c r="H502" s="8">
        <v>3312</v>
      </c>
      <c r="I502" s="5" t="s">
        <v>49</v>
      </c>
      <c r="J502" s="8">
        <v>3</v>
      </c>
      <c r="K502" s="8">
        <v>3</v>
      </c>
      <c r="L502" s="8">
        <v>3</v>
      </c>
      <c r="M5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2" s="8" t="str" cm="1">
        <f t="array" ref="N502">_xlfn.IFS(HR_Analytics56[[#This Row],[PerformanceRating]]=3,"Good",HR_Analytics56[[#This Row],[PerformanceRating]]=4, "Excellent")</f>
        <v>Good</v>
      </c>
      <c r="O502" s="8" t="str">
        <f>IF(HR_Analytics56[[#This Row],[MonthlyIncome]]&lt;3000,"&lt; ₹3,000",IF(HR_Analytics56[[#This Row],[MonthlyIncome]]&lt;=7000,"₹ 3,000 - ₹ 7,000","&gt; ₹7,000"))</f>
        <v>₹ 3,000 - ₹ 7,000</v>
      </c>
      <c r="P502" s="8" t="str" cm="1">
        <f t="array" ref="P5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3" spans="1:16" x14ac:dyDescent="0.8">
      <c r="A503" s="5" t="s">
        <v>573</v>
      </c>
      <c r="B503" s="8">
        <v>32</v>
      </c>
      <c r="C503" s="5" t="s">
        <v>49</v>
      </c>
      <c r="D503" s="5" t="s">
        <v>42</v>
      </c>
      <c r="E503" s="5" t="s">
        <v>44</v>
      </c>
      <c r="F503" s="5" t="s">
        <v>60</v>
      </c>
      <c r="G503" s="8">
        <v>2</v>
      </c>
      <c r="H503" s="8">
        <v>5470</v>
      </c>
      <c r="I503" s="5" t="s">
        <v>49</v>
      </c>
      <c r="J503" s="8">
        <v>3</v>
      </c>
      <c r="K503" s="8">
        <v>4</v>
      </c>
      <c r="L503" s="8">
        <v>9</v>
      </c>
      <c r="M5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3" s="8" t="str" cm="1">
        <f t="array" ref="N503">_xlfn.IFS(HR_Analytics56[[#This Row],[PerformanceRating]]=3,"Good",HR_Analytics56[[#This Row],[PerformanceRating]]=4, "Excellent")</f>
        <v>Good</v>
      </c>
      <c r="O503" s="8" t="str">
        <f>IF(HR_Analytics56[[#This Row],[MonthlyIncome]]&lt;3000,"&lt; ₹3,000",IF(HR_Analytics56[[#This Row],[MonthlyIncome]]&lt;=7000,"₹ 3,000 - ₹ 7,000","&gt; ₹7,000"))</f>
        <v>₹ 3,000 - ₹ 7,000</v>
      </c>
      <c r="P503" s="8" t="str" cm="1">
        <f t="array" ref="P5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4" spans="1:16" x14ac:dyDescent="0.8">
      <c r="A504" s="5" t="s">
        <v>574</v>
      </c>
      <c r="B504" s="8">
        <v>32</v>
      </c>
      <c r="C504" s="5" t="s">
        <v>40</v>
      </c>
      <c r="D504" s="5" t="s">
        <v>42</v>
      </c>
      <c r="E504" s="5" t="s">
        <v>44</v>
      </c>
      <c r="F504" s="5" t="s">
        <v>45</v>
      </c>
      <c r="G504" s="8">
        <v>2</v>
      </c>
      <c r="H504" s="8">
        <v>1393</v>
      </c>
      <c r="I504" s="5" t="s">
        <v>49</v>
      </c>
      <c r="J504" s="8">
        <v>3</v>
      </c>
      <c r="K504" s="8">
        <v>2</v>
      </c>
      <c r="L504" s="8">
        <v>1</v>
      </c>
      <c r="M5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04" s="8" t="str" cm="1">
        <f t="array" ref="N504">_xlfn.IFS(HR_Analytics56[[#This Row],[PerformanceRating]]=3,"Good",HR_Analytics56[[#This Row],[PerformanceRating]]=4, "Excellent")</f>
        <v>Good</v>
      </c>
      <c r="O504" s="8" t="str">
        <f>IF(HR_Analytics56[[#This Row],[MonthlyIncome]]&lt;3000,"&lt; ₹3,000",IF(HR_Analytics56[[#This Row],[MonthlyIncome]]&lt;=7000,"₹ 3,000 - ₹ 7,000","&gt; ₹7,000"))</f>
        <v>&lt; ₹3,000</v>
      </c>
      <c r="P504" s="8" t="str" cm="1">
        <f t="array" ref="P5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5" spans="1:16" x14ac:dyDescent="0.8">
      <c r="A505" s="5" t="s">
        <v>575</v>
      </c>
      <c r="B505" s="8">
        <v>32</v>
      </c>
      <c r="C505" s="5" t="s">
        <v>49</v>
      </c>
      <c r="D505" s="5" t="s">
        <v>42</v>
      </c>
      <c r="E505" s="5" t="s">
        <v>44</v>
      </c>
      <c r="F505" s="5" t="s">
        <v>60</v>
      </c>
      <c r="G505" s="8">
        <v>3</v>
      </c>
      <c r="H505" s="8">
        <v>3433</v>
      </c>
      <c r="I505" s="5" t="s">
        <v>49</v>
      </c>
      <c r="J505" s="8">
        <v>3</v>
      </c>
      <c r="K505" s="8">
        <v>3</v>
      </c>
      <c r="L505" s="8">
        <v>5</v>
      </c>
      <c r="M5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5" s="8" t="str" cm="1">
        <f t="array" ref="N505">_xlfn.IFS(HR_Analytics56[[#This Row],[PerformanceRating]]=3,"Good",HR_Analytics56[[#This Row],[PerformanceRating]]=4, "Excellent")</f>
        <v>Good</v>
      </c>
      <c r="O505" s="8" t="str">
        <f>IF(HR_Analytics56[[#This Row],[MonthlyIncome]]&lt;3000,"&lt; ₹3,000",IF(HR_Analytics56[[#This Row],[MonthlyIncome]]&lt;=7000,"₹ 3,000 - ₹ 7,000","&gt; ₹7,000"))</f>
        <v>₹ 3,000 - ₹ 7,000</v>
      </c>
      <c r="P505" s="8" t="str" cm="1">
        <f t="array" ref="P5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6" spans="1:16" x14ac:dyDescent="0.8">
      <c r="A506" s="5" t="s">
        <v>576</v>
      </c>
      <c r="B506" s="8">
        <v>32</v>
      </c>
      <c r="C506" s="5" t="s">
        <v>40</v>
      </c>
      <c r="D506" s="5" t="s">
        <v>51</v>
      </c>
      <c r="E506" s="5" t="s">
        <v>44</v>
      </c>
      <c r="F506" s="5" t="s">
        <v>137</v>
      </c>
      <c r="G506" s="8">
        <v>2</v>
      </c>
      <c r="H506" s="8">
        <v>6735</v>
      </c>
      <c r="I506" s="5" t="s">
        <v>49</v>
      </c>
      <c r="J506" s="8">
        <v>3</v>
      </c>
      <c r="K506" s="8">
        <v>2</v>
      </c>
      <c r="L506" s="8">
        <v>0</v>
      </c>
      <c r="M5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06" s="8" t="str" cm="1">
        <f t="array" ref="N506">_xlfn.IFS(HR_Analytics56[[#This Row],[PerformanceRating]]=3,"Good",HR_Analytics56[[#This Row],[PerformanceRating]]=4, "Excellent")</f>
        <v>Good</v>
      </c>
      <c r="O506" s="8" t="str">
        <f>IF(HR_Analytics56[[#This Row],[MonthlyIncome]]&lt;3000,"&lt; ₹3,000",IF(HR_Analytics56[[#This Row],[MonthlyIncome]]&lt;=7000,"₹ 3,000 - ₹ 7,000","&gt; ₹7,000"))</f>
        <v>₹ 3,000 - ₹ 7,000</v>
      </c>
      <c r="P506" s="8" t="str" cm="1">
        <f t="array" ref="P5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7" spans="1:16" x14ac:dyDescent="0.8">
      <c r="A507" s="5" t="s">
        <v>577</v>
      </c>
      <c r="B507" s="8">
        <v>32</v>
      </c>
      <c r="C507" s="5" t="s">
        <v>49</v>
      </c>
      <c r="D507" s="5" t="s">
        <v>51</v>
      </c>
      <c r="E507" s="5" t="s">
        <v>44</v>
      </c>
      <c r="F507" s="5" t="s">
        <v>137</v>
      </c>
      <c r="G507" s="8">
        <v>3</v>
      </c>
      <c r="H507" s="8">
        <v>9610</v>
      </c>
      <c r="I507" s="5" t="s">
        <v>49</v>
      </c>
      <c r="J507" s="8">
        <v>3</v>
      </c>
      <c r="K507" s="8">
        <v>2</v>
      </c>
      <c r="L507" s="8">
        <v>4</v>
      </c>
      <c r="M5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7" s="8" t="str" cm="1">
        <f t="array" ref="N507">_xlfn.IFS(HR_Analytics56[[#This Row],[PerformanceRating]]=3,"Good",HR_Analytics56[[#This Row],[PerformanceRating]]=4, "Excellent")</f>
        <v>Good</v>
      </c>
      <c r="O507" s="8" t="str">
        <f>IF(HR_Analytics56[[#This Row],[MonthlyIncome]]&lt;3000,"&lt; ₹3,000",IF(HR_Analytics56[[#This Row],[MonthlyIncome]]&lt;=7000,"₹ 3,000 - ₹ 7,000","&gt; ₹7,000"))</f>
        <v>&gt; ₹7,000</v>
      </c>
      <c r="P507" s="8" t="str" cm="1">
        <f t="array" ref="P5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8" spans="1:16" x14ac:dyDescent="0.8">
      <c r="A508" s="5" t="s">
        <v>578</v>
      </c>
      <c r="B508" s="8">
        <v>32</v>
      </c>
      <c r="C508" s="5" t="s">
        <v>49</v>
      </c>
      <c r="D508" s="5" t="s">
        <v>42</v>
      </c>
      <c r="E508" s="5" t="s">
        <v>44</v>
      </c>
      <c r="F508" s="5" t="s">
        <v>60</v>
      </c>
      <c r="G508" s="8">
        <v>2</v>
      </c>
      <c r="H508" s="8">
        <v>2718</v>
      </c>
      <c r="I508" s="5" t="s">
        <v>49</v>
      </c>
      <c r="J508" s="8">
        <v>3</v>
      </c>
      <c r="K508" s="8">
        <v>3</v>
      </c>
      <c r="L508" s="8">
        <v>7</v>
      </c>
      <c r="M5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8" s="8" t="str" cm="1">
        <f t="array" ref="N508">_xlfn.IFS(HR_Analytics56[[#This Row],[PerformanceRating]]=3,"Good",HR_Analytics56[[#This Row],[PerformanceRating]]=4, "Excellent")</f>
        <v>Good</v>
      </c>
      <c r="O508" s="8" t="str">
        <f>IF(HR_Analytics56[[#This Row],[MonthlyIncome]]&lt;3000,"&lt; ₹3,000",IF(HR_Analytics56[[#This Row],[MonthlyIncome]]&lt;=7000,"₹ 3,000 - ₹ 7,000","&gt; ₹7,000"))</f>
        <v>&lt; ₹3,000</v>
      </c>
      <c r="P508" s="8" t="str" cm="1">
        <f t="array" ref="P5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09" spans="1:16" x14ac:dyDescent="0.8">
      <c r="A509" s="5" t="s">
        <v>579</v>
      </c>
      <c r="B509" s="8">
        <v>32</v>
      </c>
      <c r="C509" s="5" t="s">
        <v>49</v>
      </c>
      <c r="D509" s="5" t="s">
        <v>51</v>
      </c>
      <c r="E509" s="5" t="s">
        <v>44</v>
      </c>
      <c r="F509" s="5" t="s">
        <v>137</v>
      </c>
      <c r="G509" s="8">
        <v>4</v>
      </c>
      <c r="H509" s="8">
        <v>4648</v>
      </c>
      <c r="I509" s="5" t="s">
        <v>49</v>
      </c>
      <c r="J509" s="8">
        <v>3</v>
      </c>
      <c r="K509" s="8">
        <v>2</v>
      </c>
      <c r="L509" s="8">
        <v>0</v>
      </c>
      <c r="M5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09" s="8" t="str" cm="1">
        <f t="array" ref="N509">_xlfn.IFS(HR_Analytics56[[#This Row],[PerformanceRating]]=3,"Good",HR_Analytics56[[#This Row],[PerformanceRating]]=4, "Excellent")</f>
        <v>Good</v>
      </c>
      <c r="O509" s="8" t="str">
        <f>IF(HR_Analytics56[[#This Row],[MonthlyIncome]]&lt;3000,"&lt; ₹3,000",IF(HR_Analytics56[[#This Row],[MonthlyIncome]]&lt;=7000,"₹ 3,000 - ₹ 7,000","&gt; ₹7,000"))</f>
        <v>₹ 3,000 - ₹ 7,000</v>
      </c>
      <c r="P509" s="8" t="str" cm="1">
        <f t="array" ref="P5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0" spans="1:16" x14ac:dyDescent="0.8">
      <c r="A510" s="5" t="s">
        <v>580</v>
      </c>
      <c r="B510" s="8">
        <v>32</v>
      </c>
      <c r="C510" s="5" t="s">
        <v>40</v>
      </c>
      <c r="D510" s="5" t="s">
        <v>51</v>
      </c>
      <c r="E510" s="5" t="s">
        <v>44</v>
      </c>
      <c r="F510" s="5" t="s">
        <v>137</v>
      </c>
      <c r="G510" s="8">
        <v>2</v>
      </c>
      <c r="H510" s="8">
        <v>9907</v>
      </c>
      <c r="I510" s="5" t="s">
        <v>40</v>
      </c>
      <c r="J510" s="8">
        <v>3</v>
      </c>
      <c r="K510" s="8">
        <v>3</v>
      </c>
      <c r="L510" s="8">
        <v>2</v>
      </c>
      <c r="M5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10" s="8" t="str" cm="1">
        <f t="array" ref="N510">_xlfn.IFS(HR_Analytics56[[#This Row],[PerformanceRating]]=3,"Good",HR_Analytics56[[#This Row],[PerformanceRating]]=4, "Excellent")</f>
        <v>Good</v>
      </c>
      <c r="O510" s="8" t="str">
        <f>IF(HR_Analytics56[[#This Row],[MonthlyIncome]]&lt;3000,"&lt; ₹3,000",IF(HR_Analytics56[[#This Row],[MonthlyIncome]]&lt;=7000,"₹ 3,000 - ₹ 7,000","&gt; ₹7,000"))</f>
        <v>&gt; ₹7,000</v>
      </c>
      <c r="P510" s="8" t="str" cm="1">
        <f t="array" ref="P5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1" spans="1:16" x14ac:dyDescent="0.8">
      <c r="A511" s="5" t="s">
        <v>581</v>
      </c>
      <c r="B511" s="8">
        <v>32</v>
      </c>
      <c r="C511" s="5" t="s">
        <v>40</v>
      </c>
      <c r="D511" s="5" t="s">
        <v>42</v>
      </c>
      <c r="E511" s="5" t="s">
        <v>53</v>
      </c>
      <c r="F511" s="5" t="s">
        <v>60</v>
      </c>
      <c r="G511" s="8">
        <v>3</v>
      </c>
      <c r="H511" s="8">
        <v>2432</v>
      </c>
      <c r="I511" s="5" t="s">
        <v>40</v>
      </c>
      <c r="J511" s="8">
        <v>3</v>
      </c>
      <c r="K511" s="8">
        <v>2</v>
      </c>
      <c r="L511" s="8">
        <v>4</v>
      </c>
      <c r="M5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11" s="8" t="str" cm="1">
        <f t="array" ref="N511">_xlfn.IFS(HR_Analytics56[[#This Row],[PerformanceRating]]=3,"Good",HR_Analytics56[[#This Row],[PerformanceRating]]=4, "Excellent")</f>
        <v>Good</v>
      </c>
      <c r="O511" s="8" t="str">
        <f>IF(HR_Analytics56[[#This Row],[MonthlyIncome]]&lt;3000,"&lt; ₹3,000",IF(HR_Analytics56[[#This Row],[MonthlyIncome]]&lt;=7000,"₹ 3,000 - ₹ 7,000","&gt; ₹7,000"))</f>
        <v>&lt; ₹3,000</v>
      </c>
      <c r="P511" s="8" t="str" cm="1">
        <f t="array" ref="P5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2" spans="1:16" x14ac:dyDescent="0.8">
      <c r="A512" s="5" t="s">
        <v>582</v>
      </c>
      <c r="B512" s="8">
        <v>32</v>
      </c>
      <c r="C512" s="5" t="s">
        <v>49</v>
      </c>
      <c r="D512" s="5" t="s">
        <v>42</v>
      </c>
      <c r="E512" s="5" t="s">
        <v>53</v>
      </c>
      <c r="F512" s="5" t="s">
        <v>161</v>
      </c>
      <c r="G512" s="8">
        <v>4</v>
      </c>
      <c r="H512" s="8">
        <v>6667</v>
      </c>
      <c r="I512" s="5" t="s">
        <v>49</v>
      </c>
      <c r="J512" s="8">
        <v>3</v>
      </c>
      <c r="K512" s="8">
        <v>6</v>
      </c>
      <c r="L512" s="8">
        <v>5</v>
      </c>
      <c r="M5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2" s="8" t="str" cm="1">
        <f t="array" ref="N512">_xlfn.IFS(HR_Analytics56[[#This Row],[PerformanceRating]]=3,"Good",HR_Analytics56[[#This Row],[PerformanceRating]]=4, "Excellent")</f>
        <v>Good</v>
      </c>
      <c r="O512" s="8" t="str">
        <f>IF(HR_Analytics56[[#This Row],[MonthlyIncome]]&lt;3000,"&lt; ₹3,000",IF(HR_Analytics56[[#This Row],[MonthlyIncome]]&lt;=7000,"₹ 3,000 - ₹ 7,000","&gt; ₹7,000"))</f>
        <v>₹ 3,000 - ₹ 7,000</v>
      </c>
      <c r="P512" s="8" t="str" cm="1">
        <f t="array" ref="P5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3" spans="1:16" x14ac:dyDescent="0.8">
      <c r="A513" s="5" t="s">
        <v>583</v>
      </c>
      <c r="B513" s="8">
        <v>32</v>
      </c>
      <c r="C513" s="5" t="s">
        <v>49</v>
      </c>
      <c r="D513" s="5" t="s">
        <v>42</v>
      </c>
      <c r="E513" s="5" t="s">
        <v>44</v>
      </c>
      <c r="F513" s="5" t="s">
        <v>112</v>
      </c>
      <c r="G513" s="8">
        <v>4</v>
      </c>
      <c r="H513" s="8">
        <v>9679</v>
      </c>
      <c r="I513" s="5" t="s">
        <v>49</v>
      </c>
      <c r="J513" s="8">
        <v>4</v>
      </c>
      <c r="K513" s="8">
        <v>1</v>
      </c>
      <c r="L513" s="8">
        <v>1</v>
      </c>
      <c r="M5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3" s="8" t="str" cm="1">
        <f t="array" ref="N513">_xlfn.IFS(HR_Analytics56[[#This Row],[PerformanceRating]]=3,"Good",HR_Analytics56[[#This Row],[PerformanceRating]]=4, "Excellent")</f>
        <v>Excellent</v>
      </c>
      <c r="O513" s="8" t="str">
        <f>IF(HR_Analytics56[[#This Row],[MonthlyIncome]]&lt;3000,"&lt; ₹3,000",IF(HR_Analytics56[[#This Row],[MonthlyIncome]]&lt;=7000,"₹ 3,000 - ₹ 7,000","&gt; ₹7,000"))</f>
        <v>&gt; ₹7,000</v>
      </c>
      <c r="P513" s="8" t="str" cm="1">
        <f t="array" ref="P5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4" spans="1:16" x14ac:dyDescent="0.8">
      <c r="A514" s="5" t="s">
        <v>584</v>
      </c>
      <c r="B514" s="8">
        <v>32</v>
      </c>
      <c r="C514" s="5" t="s">
        <v>49</v>
      </c>
      <c r="D514" s="5" t="s">
        <v>42</v>
      </c>
      <c r="E514" s="5" t="s">
        <v>53</v>
      </c>
      <c r="F514" s="5" t="s">
        <v>45</v>
      </c>
      <c r="G514" s="8">
        <v>2</v>
      </c>
      <c r="H514" s="8">
        <v>2837</v>
      </c>
      <c r="I514" s="5" t="s">
        <v>49</v>
      </c>
      <c r="J514" s="8">
        <v>3</v>
      </c>
      <c r="K514" s="8">
        <v>3</v>
      </c>
      <c r="L514" s="8">
        <v>6</v>
      </c>
      <c r="M5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4" s="8" t="str" cm="1">
        <f t="array" ref="N514">_xlfn.IFS(HR_Analytics56[[#This Row],[PerformanceRating]]=3,"Good",HR_Analytics56[[#This Row],[PerformanceRating]]=4, "Excellent")</f>
        <v>Good</v>
      </c>
      <c r="O514" s="8" t="str">
        <f>IF(HR_Analytics56[[#This Row],[MonthlyIncome]]&lt;3000,"&lt; ₹3,000",IF(HR_Analytics56[[#This Row],[MonthlyIncome]]&lt;=7000,"₹ 3,000 - ₹ 7,000","&gt; ₹7,000"))</f>
        <v>&lt; ₹3,000</v>
      </c>
      <c r="P514" s="8" t="str" cm="1">
        <f t="array" ref="P5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5" spans="1:16" x14ac:dyDescent="0.8">
      <c r="A515" s="5" t="s">
        <v>585</v>
      </c>
      <c r="B515" s="8">
        <v>32</v>
      </c>
      <c r="C515" s="5" t="s">
        <v>49</v>
      </c>
      <c r="D515" s="5" t="s">
        <v>51</v>
      </c>
      <c r="E515" s="5" t="s">
        <v>44</v>
      </c>
      <c r="F515" s="5" t="s">
        <v>54</v>
      </c>
      <c r="G515" s="8">
        <v>2</v>
      </c>
      <c r="H515" s="8">
        <v>2269</v>
      </c>
      <c r="I515" s="5" t="s">
        <v>49</v>
      </c>
      <c r="J515" s="8">
        <v>3</v>
      </c>
      <c r="K515" s="8">
        <v>2</v>
      </c>
      <c r="L515" s="8">
        <v>2</v>
      </c>
      <c r="M5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5" s="8" t="str" cm="1">
        <f t="array" ref="N515">_xlfn.IFS(HR_Analytics56[[#This Row],[PerformanceRating]]=3,"Good",HR_Analytics56[[#This Row],[PerformanceRating]]=4, "Excellent")</f>
        <v>Good</v>
      </c>
      <c r="O515" s="8" t="str">
        <f>IF(HR_Analytics56[[#This Row],[MonthlyIncome]]&lt;3000,"&lt; ₹3,000",IF(HR_Analytics56[[#This Row],[MonthlyIncome]]&lt;=7000,"₹ 3,000 - ₹ 7,000","&gt; ₹7,000"))</f>
        <v>&lt; ₹3,000</v>
      </c>
      <c r="P515" s="8" t="str" cm="1">
        <f t="array" ref="P5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6" spans="1:16" x14ac:dyDescent="0.8">
      <c r="A516" s="5" t="s">
        <v>586</v>
      </c>
      <c r="B516" s="8">
        <v>32</v>
      </c>
      <c r="C516" s="5" t="s">
        <v>49</v>
      </c>
      <c r="D516" s="5" t="s">
        <v>51</v>
      </c>
      <c r="E516" s="5" t="s">
        <v>53</v>
      </c>
      <c r="F516" s="5" t="s">
        <v>137</v>
      </c>
      <c r="G516" s="8">
        <v>4</v>
      </c>
      <c r="H516" s="8">
        <v>10422</v>
      </c>
      <c r="I516" s="5" t="s">
        <v>49</v>
      </c>
      <c r="J516" s="8">
        <v>3</v>
      </c>
      <c r="K516" s="8">
        <v>3</v>
      </c>
      <c r="L516" s="8">
        <v>14</v>
      </c>
      <c r="M5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6" s="8" t="str" cm="1">
        <f t="array" ref="N516">_xlfn.IFS(HR_Analytics56[[#This Row],[PerformanceRating]]=3,"Good",HR_Analytics56[[#This Row],[PerformanceRating]]=4, "Excellent")</f>
        <v>Good</v>
      </c>
      <c r="O516" s="8" t="str">
        <f>IF(HR_Analytics56[[#This Row],[MonthlyIncome]]&lt;3000,"&lt; ₹3,000",IF(HR_Analytics56[[#This Row],[MonthlyIncome]]&lt;=7000,"₹ 3,000 - ₹ 7,000","&gt; ₹7,000"))</f>
        <v>&gt; ₹7,000</v>
      </c>
      <c r="P516" s="8" t="str" cm="1">
        <f t="array" ref="P5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7" spans="1:16" x14ac:dyDescent="0.8">
      <c r="A517" s="5" t="s">
        <v>587</v>
      </c>
      <c r="B517" s="8">
        <v>32</v>
      </c>
      <c r="C517" s="5" t="s">
        <v>49</v>
      </c>
      <c r="D517" s="5" t="s">
        <v>42</v>
      </c>
      <c r="E517" s="5" t="s">
        <v>44</v>
      </c>
      <c r="F517" s="5" t="s">
        <v>60</v>
      </c>
      <c r="G517" s="8">
        <v>1</v>
      </c>
      <c r="H517" s="8">
        <v>2439</v>
      </c>
      <c r="I517" s="5" t="s">
        <v>49</v>
      </c>
      <c r="J517" s="8">
        <v>3</v>
      </c>
      <c r="K517" s="8">
        <v>4</v>
      </c>
      <c r="L517" s="8">
        <v>4</v>
      </c>
      <c r="M5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7" s="8" t="str" cm="1">
        <f t="array" ref="N517">_xlfn.IFS(HR_Analytics56[[#This Row],[PerformanceRating]]=3,"Good",HR_Analytics56[[#This Row],[PerformanceRating]]=4, "Excellent")</f>
        <v>Good</v>
      </c>
      <c r="O517" s="8" t="str">
        <f>IF(HR_Analytics56[[#This Row],[MonthlyIncome]]&lt;3000,"&lt; ₹3,000",IF(HR_Analytics56[[#This Row],[MonthlyIncome]]&lt;=7000,"₹ 3,000 - ₹ 7,000","&gt; ₹7,000"))</f>
        <v>&lt; ₹3,000</v>
      </c>
      <c r="P517" s="8" t="str" cm="1">
        <f t="array" ref="P5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8" spans="1:16" x14ac:dyDescent="0.8">
      <c r="A518" s="5" t="s">
        <v>588</v>
      </c>
      <c r="B518" s="8">
        <v>33</v>
      </c>
      <c r="C518" s="5" t="s">
        <v>49</v>
      </c>
      <c r="D518" s="5" t="s">
        <v>42</v>
      </c>
      <c r="E518" s="5" t="s">
        <v>53</v>
      </c>
      <c r="F518" s="5" t="s">
        <v>60</v>
      </c>
      <c r="G518" s="8">
        <v>3</v>
      </c>
      <c r="H518" s="8">
        <v>2909</v>
      </c>
      <c r="I518" s="5" t="s">
        <v>40</v>
      </c>
      <c r="J518" s="8">
        <v>3</v>
      </c>
      <c r="K518" s="8">
        <v>3</v>
      </c>
      <c r="L518" s="8">
        <v>8</v>
      </c>
      <c r="M5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18" s="8" t="str" cm="1">
        <f t="array" ref="N518">_xlfn.IFS(HR_Analytics56[[#This Row],[PerformanceRating]]=3,"Good",HR_Analytics56[[#This Row],[PerformanceRating]]=4, "Excellent")</f>
        <v>Good</v>
      </c>
      <c r="O518" s="8" t="str">
        <f>IF(HR_Analytics56[[#This Row],[MonthlyIncome]]&lt;3000,"&lt; ₹3,000",IF(HR_Analytics56[[#This Row],[MonthlyIncome]]&lt;=7000,"₹ 3,000 - ₹ 7,000","&gt; ₹7,000"))</f>
        <v>&lt; ₹3,000</v>
      </c>
      <c r="P518" s="8" t="str" cm="1">
        <f t="array" ref="P5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19" spans="1:16" x14ac:dyDescent="0.8">
      <c r="A519" s="5" t="s">
        <v>589</v>
      </c>
      <c r="B519" s="8">
        <v>33</v>
      </c>
      <c r="C519" s="5" t="s">
        <v>49</v>
      </c>
      <c r="D519" s="5" t="s">
        <v>42</v>
      </c>
      <c r="E519" s="5" t="s">
        <v>44</v>
      </c>
      <c r="F519" s="5" t="s">
        <v>45</v>
      </c>
      <c r="G519" s="8">
        <v>4</v>
      </c>
      <c r="H519" s="8">
        <v>2496</v>
      </c>
      <c r="I519" s="5" t="s">
        <v>49</v>
      </c>
      <c r="J519" s="8">
        <v>3</v>
      </c>
      <c r="K519" s="8">
        <v>3</v>
      </c>
      <c r="L519" s="8">
        <v>1</v>
      </c>
      <c r="M5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19" s="8" t="str" cm="1">
        <f t="array" ref="N519">_xlfn.IFS(HR_Analytics56[[#This Row],[PerformanceRating]]=3,"Good",HR_Analytics56[[#This Row],[PerformanceRating]]=4, "Excellent")</f>
        <v>Good</v>
      </c>
      <c r="O519" s="8" t="str">
        <f>IF(HR_Analytics56[[#This Row],[MonthlyIncome]]&lt;3000,"&lt; ₹3,000",IF(HR_Analytics56[[#This Row],[MonthlyIncome]]&lt;=7000,"₹ 3,000 - ₹ 7,000","&gt; ₹7,000"))</f>
        <v>&lt; ₹3,000</v>
      </c>
      <c r="P519" s="8" t="str" cm="1">
        <f t="array" ref="P5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0" spans="1:16" x14ac:dyDescent="0.8">
      <c r="A520" s="5" t="s">
        <v>590</v>
      </c>
      <c r="B520" s="8">
        <v>33</v>
      </c>
      <c r="C520" s="5" t="s">
        <v>49</v>
      </c>
      <c r="D520" s="5" t="s">
        <v>51</v>
      </c>
      <c r="E520" s="5" t="s">
        <v>53</v>
      </c>
      <c r="F520" s="5" t="s">
        <v>137</v>
      </c>
      <c r="G520" s="8">
        <v>1</v>
      </c>
      <c r="H520" s="8">
        <v>5376</v>
      </c>
      <c r="I520" s="5" t="s">
        <v>49</v>
      </c>
      <c r="J520" s="8">
        <v>3</v>
      </c>
      <c r="K520" s="8">
        <v>3</v>
      </c>
      <c r="L520" s="8">
        <v>5</v>
      </c>
      <c r="M5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0" s="8" t="str" cm="1">
        <f t="array" ref="N520">_xlfn.IFS(HR_Analytics56[[#This Row],[PerformanceRating]]=3,"Good",HR_Analytics56[[#This Row],[PerformanceRating]]=4, "Excellent")</f>
        <v>Good</v>
      </c>
      <c r="O520" s="8" t="str">
        <f>IF(HR_Analytics56[[#This Row],[MonthlyIncome]]&lt;3000,"&lt; ₹3,000",IF(HR_Analytics56[[#This Row],[MonthlyIncome]]&lt;=7000,"₹ 3,000 - ₹ 7,000","&gt; ₹7,000"))</f>
        <v>₹ 3,000 - ₹ 7,000</v>
      </c>
      <c r="P520" s="8" t="str" cm="1">
        <f t="array" ref="P5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1" spans="1:16" x14ac:dyDescent="0.8">
      <c r="A521" s="5" t="s">
        <v>591</v>
      </c>
      <c r="B521" s="8">
        <v>33</v>
      </c>
      <c r="C521" s="5" t="s">
        <v>49</v>
      </c>
      <c r="D521" s="5" t="s">
        <v>42</v>
      </c>
      <c r="E521" s="5" t="s">
        <v>53</v>
      </c>
      <c r="F521" s="5" t="s">
        <v>252</v>
      </c>
      <c r="G521" s="8">
        <v>4</v>
      </c>
      <c r="H521" s="8">
        <v>13458</v>
      </c>
      <c r="I521" s="5" t="s">
        <v>40</v>
      </c>
      <c r="J521" s="8">
        <v>3</v>
      </c>
      <c r="K521" s="8">
        <v>1</v>
      </c>
      <c r="L521" s="8">
        <v>15</v>
      </c>
      <c r="M5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21" s="8" t="str" cm="1">
        <f t="array" ref="N521">_xlfn.IFS(HR_Analytics56[[#This Row],[PerformanceRating]]=3,"Good",HR_Analytics56[[#This Row],[PerformanceRating]]=4, "Excellent")</f>
        <v>Good</v>
      </c>
      <c r="O521" s="8" t="str">
        <f>IF(HR_Analytics56[[#This Row],[MonthlyIncome]]&lt;3000,"&lt; ₹3,000",IF(HR_Analytics56[[#This Row],[MonthlyIncome]]&lt;=7000,"₹ 3,000 - ₹ 7,000","&gt; ₹7,000"))</f>
        <v>&gt; ₹7,000</v>
      </c>
      <c r="P521" s="8" t="str" cm="1">
        <f t="array" ref="P5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2" spans="1:16" x14ac:dyDescent="0.8">
      <c r="A522" s="5" t="s">
        <v>592</v>
      </c>
      <c r="B522" s="8">
        <v>33</v>
      </c>
      <c r="C522" s="5" t="s">
        <v>49</v>
      </c>
      <c r="D522" s="5" t="s">
        <v>51</v>
      </c>
      <c r="E522" s="5" t="s">
        <v>44</v>
      </c>
      <c r="F522" s="5" t="s">
        <v>137</v>
      </c>
      <c r="G522" s="8">
        <v>2</v>
      </c>
      <c r="H522" s="8">
        <v>6146</v>
      </c>
      <c r="I522" s="5" t="s">
        <v>49</v>
      </c>
      <c r="J522" s="8">
        <v>3</v>
      </c>
      <c r="K522" s="8">
        <v>2</v>
      </c>
      <c r="L522" s="8">
        <v>7</v>
      </c>
      <c r="M5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2" s="8" t="str" cm="1">
        <f t="array" ref="N522">_xlfn.IFS(HR_Analytics56[[#This Row],[PerformanceRating]]=3,"Good",HR_Analytics56[[#This Row],[PerformanceRating]]=4, "Excellent")</f>
        <v>Good</v>
      </c>
      <c r="O522" s="8" t="str">
        <f>IF(HR_Analytics56[[#This Row],[MonthlyIncome]]&lt;3000,"&lt; ₹3,000",IF(HR_Analytics56[[#This Row],[MonthlyIncome]]&lt;=7000,"₹ 3,000 - ₹ 7,000","&gt; ₹7,000"))</f>
        <v>₹ 3,000 - ₹ 7,000</v>
      </c>
      <c r="P522" s="8" t="str" cm="1">
        <f t="array" ref="P5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3" spans="1:16" x14ac:dyDescent="0.8">
      <c r="A523" s="5" t="s">
        <v>593</v>
      </c>
      <c r="B523" s="8">
        <v>33</v>
      </c>
      <c r="C523" s="5" t="s">
        <v>49</v>
      </c>
      <c r="D523" s="5" t="s">
        <v>42</v>
      </c>
      <c r="E523" s="5" t="s">
        <v>44</v>
      </c>
      <c r="F523" s="5" t="s">
        <v>60</v>
      </c>
      <c r="G523" s="8">
        <v>4</v>
      </c>
      <c r="H523" s="8">
        <v>2500</v>
      </c>
      <c r="I523" s="5" t="s">
        <v>49</v>
      </c>
      <c r="J523" s="8">
        <v>3</v>
      </c>
      <c r="K523" s="8">
        <v>2</v>
      </c>
      <c r="L523" s="8">
        <v>3</v>
      </c>
      <c r="M5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3" s="8" t="str" cm="1">
        <f t="array" ref="N523">_xlfn.IFS(HR_Analytics56[[#This Row],[PerformanceRating]]=3,"Good",HR_Analytics56[[#This Row],[PerformanceRating]]=4, "Excellent")</f>
        <v>Good</v>
      </c>
      <c r="O523" s="8" t="str">
        <f>IF(HR_Analytics56[[#This Row],[MonthlyIncome]]&lt;3000,"&lt; ₹3,000",IF(HR_Analytics56[[#This Row],[MonthlyIncome]]&lt;=7000,"₹ 3,000 - ₹ 7,000","&gt; ₹7,000"))</f>
        <v>&lt; ₹3,000</v>
      </c>
      <c r="P523" s="8" t="str" cm="1">
        <f t="array" ref="P5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4" spans="1:16" x14ac:dyDescent="0.8">
      <c r="A524" s="5" t="s">
        <v>594</v>
      </c>
      <c r="B524" s="8">
        <v>33</v>
      </c>
      <c r="C524" s="5" t="s">
        <v>49</v>
      </c>
      <c r="D524" s="5" t="s">
        <v>42</v>
      </c>
      <c r="E524" s="5" t="s">
        <v>53</v>
      </c>
      <c r="F524" s="5" t="s">
        <v>60</v>
      </c>
      <c r="G524" s="8">
        <v>2</v>
      </c>
      <c r="H524" s="8">
        <v>2756</v>
      </c>
      <c r="I524" s="5" t="s">
        <v>49</v>
      </c>
      <c r="J524" s="8">
        <v>3</v>
      </c>
      <c r="K524" s="8">
        <v>5</v>
      </c>
      <c r="L524" s="8">
        <v>8</v>
      </c>
      <c r="M5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4" s="8" t="str" cm="1">
        <f t="array" ref="N524">_xlfn.IFS(HR_Analytics56[[#This Row],[PerformanceRating]]=3,"Good",HR_Analytics56[[#This Row],[PerformanceRating]]=4, "Excellent")</f>
        <v>Good</v>
      </c>
      <c r="O524" s="8" t="str">
        <f>IF(HR_Analytics56[[#This Row],[MonthlyIncome]]&lt;3000,"&lt; ₹3,000",IF(HR_Analytics56[[#This Row],[MonthlyIncome]]&lt;=7000,"₹ 3,000 - ₹ 7,000","&gt; ₹7,000"))</f>
        <v>&lt; ₹3,000</v>
      </c>
      <c r="P524" s="8" t="str" cm="1">
        <f t="array" ref="P5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5" spans="1:16" x14ac:dyDescent="0.8">
      <c r="A525" s="5" t="s">
        <v>595</v>
      </c>
      <c r="B525" s="8">
        <v>33</v>
      </c>
      <c r="C525" s="5" t="s">
        <v>49</v>
      </c>
      <c r="D525" s="5" t="s">
        <v>42</v>
      </c>
      <c r="E525" s="5" t="s">
        <v>53</v>
      </c>
      <c r="F525" s="5" t="s">
        <v>60</v>
      </c>
      <c r="G525" s="8">
        <v>2</v>
      </c>
      <c r="H525" s="8">
        <v>2622</v>
      </c>
      <c r="I525" s="5" t="s">
        <v>49</v>
      </c>
      <c r="J525" s="8">
        <v>4</v>
      </c>
      <c r="K525" s="8">
        <v>3</v>
      </c>
      <c r="L525" s="8">
        <v>3</v>
      </c>
      <c r="M5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5" s="8" t="str" cm="1">
        <f t="array" ref="N525">_xlfn.IFS(HR_Analytics56[[#This Row],[PerformanceRating]]=3,"Good",HR_Analytics56[[#This Row],[PerformanceRating]]=4, "Excellent")</f>
        <v>Excellent</v>
      </c>
      <c r="O525" s="8" t="str">
        <f>IF(HR_Analytics56[[#This Row],[MonthlyIncome]]&lt;3000,"&lt; ₹3,000",IF(HR_Analytics56[[#This Row],[MonthlyIncome]]&lt;=7000,"₹ 3,000 - ₹ 7,000","&gt; ₹7,000"))</f>
        <v>&lt; ₹3,000</v>
      </c>
      <c r="P525" s="8" t="str" cm="1">
        <f t="array" ref="P52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26" spans="1:16" x14ac:dyDescent="0.8">
      <c r="A526" s="5" t="s">
        <v>596</v>
      </c>
      <c r="B526" s="8">
        <v>33</v>
      </c>
      <c r="C526" s="5" t="s">
        <v>40</v>
      </c>
      <c r="D526" s="5" t="s">
        <v>42</v>
      </c>
      <c r="E526" s="5" t="s">
        <v>44</v>
      </c>
      <c r="F526" s="5" t="s">
        <v>45</v>
      </c>
      <c r="G526" s="8">
        <v>4</v>
      </c>
      <c r="H526" s="8">
        <v>2436</v>
      </c>
      <c r="I526" s="5" t="s">
        <v>40</v>
      </c>
      <c r="J526" s="8">
        <v>3</v>
      </c>
      <c r="K526" s="8">
        <v>2</v>
      </c>
      <c r="L526" s="8">
        <v>5</v>
      </c>
      <c r="M5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26" s="8" t="str" cm="1">
        <f t="array" ref="N526">_xlfn.IFS(HR_Analytics56[[#This Row],[PerformanceRating]]=3,"Good",HR_Analytics56[[#This Row],[PerformanceRating]]=4, "Excellent")</f>
        <v>Good</v>
      </c>
      <c r="O526" s="8" t="str">
        <f>IF(HR_Analytics56[[#This Row],[MonthlyIncome]]&lt;3000,"&lt; ₹3,000",IF(HR_Analytics56[[#This Row],[MonthlyIncome]]&lt;=7000,"₹ 3,000 - ₹ 7,000","&gt; ₹7,000"))</f>
        <v>&lt; ₹3,000</v>
      </c>
      <c r="P526" s="8" t="str" cm="1">
        <f t="array" ref="P5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7" spans="1:16" x14ac:dyDescent="0.8">
      <c r="A527" s="5" t="s">
        <v>597</v>
      </c>
      <c r="B527" s="8">
        <v>33</v>
      </c>
      <c r="C527" s="5" t="s">
        <v>40</v>
      </c>
      <c r="D527" s="5" t="s">
        <v>42</v>
      </c>
      <c r="E527" s="5" t="s">
        <v>53</v>
      </c>
      <c r="F527" s="5" t="s">
        <v>45</v>
      </c>
      <c r="G527" s="8">
        <v>1</v>
      </c>
      <c r="H527" s="8">
        <v>2707</v>
      </c>
      <c r="I527" s="5" t="s">
        <v>49</v>
      </c>
      <c r="J527" s="8">
        <v>4</v>
      </c>
      <c r="K527" s="8">
        <v>3</v>
      </c>
      <c r="L527" s="8">
        <v>9</v>
      </c>
      <c r="M5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27" s="8" t="str" cm="1">
        <f t="array" ref="N527">_xlfn.IFS(HR_Analytics56[[#This Row],[PerformanceRating]]=3,"Good",HR_Analytics56[[#This Row],[PerformanceRating]]=4, "Excellent")</f>
        <v>Excellent</v>
      </c>
      <c r="O527" s="8" t="str">
        <f>IF(HR_Analytics56[[#This Row],[MonthlyIncome]]&lt;3000,"&lt; ₹3,000",IF(HR_Analytics56[[#This Row],[MonthlyIncome]]&lt;=7000,"₹ 3,000 - ₹ 7,000","&gt; ₹7,000"))</f>
        <v>&lt; ₹3,000</v>
      </c>
      <c r="P527" s="8" t="str" cm="1">
        <f t="array" ref="P52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28" spans="1:16" x14ac:dyDescent="0.8">
      <c r="A528" s="5" t="s">
        <v>598</v>
      </c>
      <c r="B528" s="8">
        <v>33</v>
      </c>
      <c r="C528" s="5" t="s">
        <v>49</v>
      </c>
      <c r="D528" s="5" t="s">
        <v>42</v>
      </c>
      <c r="E528" s="5" t="s">
        <v>53</v>
      </c>
      <c r="F528" s="5" t="s">
        <v>60</v>
      </c>
      <c r="G528" s="8">
        <v>4</v>
      </c>
      <c r="H528" s="8">
        <v>2911</v>
      </c>
      <c r="I528" s="5" t="s">
        <v>49</v>
      </c>
      <c r="J528" s="8">
        <v>3</v>
      </c>
      <c r="K528" s="8">
        <v>2</v>
      </c>
      <c r="L528" s="8">
        <v>2</v>
      </c>
      <c r="M5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8" s="8" t="str" cm="1">
        <f t="array" ref="N528">_xlfn.IFS(HR_Analytics56[[#This Row],[PerformanceRating]]=3,"Good",HR_Analytics56[[#This Row],[PerformanceRating]]=4, "Excellent")</f>
        <v>Good</v>
      </c>
      <c r="O528" s="8" t="str">
        <f>IF(HR_Analytics56[[#This Row],[MonthlyIncome]]&lt;3000,"&lt; ₹3,000",IF(HR_Analytics56[[#This Row],[MonthlyIncome]]&lt;=7000,"₹ 3,000 - ₹ 7,000","&gt; ₹7,000"))</f>
        <v>&lt; ₹3,000</v>
      </c>
      <c r="P528" s="8" t="str" cm="1">
        <f t="array" ref="P5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29" spans="1:16" x14ac:dyDescent="0.8">
      <c r="A529" s="5" t="s">
        <v>599</v>
      </c>
      <c r="B529" s="8">
        <v>33</v>
      </c>
      <c r="C529" s="5" t="s">
        <v>49</v>
      </c>
      <c r="D529" s="5" t="s">
        <v>42</v>
      </c>
      <c r="E529" s="5" t="s">
        <v>53</v>
      </c>
      <c r="F529" s="5" t="s">
        <v>442</v>
      </c>
      <c r="G529" s="8">
        <v>2</v>
      </c>
      <c r="H529" s="8">
        <v>11878</v>
      </c>
      <c r="I529" s="5" t="s">
        <v>49</v>
      </c>
      <c r="J529" s="8">
        <v>3</v>
      </c>
      <c r="K529" s="8">
        <v>2</v>
      </c>
      <c r="L529" s="8">
        <v>10</v>
      </c>
      <c r="M5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29" s="8" t="str" cm="1">
        <f t="array" ref="N529">_xlfn.IFS(HR_Analytics56[[#This Row],[PerformanceRating]]=3,"Good",HR_Analytics56[[#This Row],[PerformanceRating]]=4, "Excellent")</f>
        <v>Good</v>
      </c>
      <c r="O529" s="8" t="str">
        <f>IF(HR_Analytics56[[#This Row],[MonthlyIncome]]&lt;3000,"&lt; ₹3,000",IF(HR_Analytics56[[#This Row],[MonthlyIncome]]&lt;=7000,"₹ 3,000 - ₹ 7,000","&gt; ₹7,000"))</f>
        <v>&gt; ₹7,000</v>
      </c>
      <c r="P529" s="8" t="str" cm="1">
        <f t="array" ref="P5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0" spans="1:16" x14ac:dyDescent="0.8">
      <c r="A530" s="5" t="s">
        <v>600</v>
      </c>
      <c r="B530" s="8">
        <v>33</v>
      </c>
      <c r="C530" s="5" t="s">
        <v>49</v>
      </c>
      <c r="D530" s="5" t="s">
        <v>51</v>
      </c>
      <c r="E530" s="5" t="s">
        <v>44</v>
      </c>
      <c r="F530" s="5" t="s">
        <v>137</v>
      </c>
      <c r="G530" s="8">
        <v>4</v>
      </c>
      <c r="H530" s="8">
        <v>4682</v>
      </c>
      <c r="I530" s="5" t="s">
        <v>49</v>
      </c>
      <c r="J530" s="8">
        <v>3</v>
      </c>
      <c r="K530" s="8">
        <v>6</v>
      </c>
      <c r="L530" s="8">
        <v>7</v>
      </c>
      <c r="M5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0" s="8" t="str" cm="1">
        <f t="array" ref="N530">_xlfn.IFS(HR_Analytics56[[#This Row],[PerformanceRating]]=3,"Good",HR_Analytics56[[#This Row],[PerformanceRating]]=4, "Excellent")</f>
        <v>Good</v>
      </c>
      <c r="O530" s="8" t="str">
        <f>IF(HR_Analytics56[[#This Row],[MonthlyIncome]]&lt;3000,"&lt; ₹3,000",IF(HR_Analytics56[[#This Row],[MonthlyIncome]]&lt;=7000,"₹ 3,000 - ₹ 7,000","&gt; ₹7,000"))</f>
        <v>₹ 3,000 - ₹ 7,000</v>
      </c>
      <c r="P530" s="8" t="str" cm="1">
        <f t="array" ref="P5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1" spans="1:16" x14ac:dyDescent="0.8">
      <c r="A531" s="5" t="s">
        <v>601</v>
      </c>
      <c r="B531" s="8">
        <v>33</v>
      </c>
      <c r="C531" s="5" t="s">
        <v>40</v>
      </c>
      <c r="D531" s="5" t="s">
        <v>51</v>
      </c>
      <c r="E531" s="5" t="s">
        <v>53</v>
      </c>
      <c r="F531" s="5" t="s">
        <v>54</v>
      </c>
      <c r="G531" s="8">
        <v>3</v>
      </c>
      <c r="H531" s="8">
        <v>2851</v>
      </c>
      <c r="I531" s="5" t="s">
        <v>40</v>
      </c>
      <c r="J531" s="8">
        <v>3</v>
      </c>
      <c r="K531" s="8">
        <v>2</v>
      </c>
      <c r="L531" s="8">
        <v>1</v>
      </c>
      <c r="M5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31" s="8" t="str" cm="1">
        <f t="array" ref="N531">_xlfn.IFS(HR_Analytics56[[#This Row],[PerformanceRating]]=3,"Good",HR_Analytics56[[#This Row],[PerformanceRating]]=4, "Excellent")</f>
        <v>Good</v>
      </c>
      <c r="O531" s="8" t="str">
        <f>IF(HR_Analytics56[[#This Row],[MonthlyIncome]]&lt;3000,"&lt; ₹3,000",IF(HR_Analytics56[[#This Row],[MonthlyIncome]]&lt;=7000,"₹ 3,000 - ₹ 7,000","&gt; ₹7,000"))</f>
        <v>&lt; ₹3,000</v>
      </c>
      <c r="P531" s="8" t="str" cm="1">
        <f t="array" ref="P5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2" spans="1:16" x14ac:dyDescent="0.8">
      <c r="A532" s="5" t="s">
        <v>602</v>
      </c>
      <c r="B532" s="8">
        <v>33</v>
      </c>
      <c r="C532" s="5" t="s">
        <v>40</v>
      </c>
      <c r="D532" s="5" t="s">
        <v>42</v>
      </c>
      <c r="E532" s="5" t="s">
        <v>44</v>
      </c>
      <c r="F532" s="5" t="s">
        <v>442</v>
      </c>
      <c r="G532" s="8">
        <v>3</v>
      </c>
      <c r="H532" s="8">
        <v>13610</v>
      </c>
      <c r="I532" s="5" t="s">
        <v>40</v>
      </c>
      <c r="J532" s="8">
        <v>3</v>
      </c>
      <c r="K532" s="8">
        <v>2</v>
      </c>
      <c r="L532" s="8">
        <v>7</v>
      </c>
      <c r="M5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32" s="8" t="str" cm="1">
        <f t="array" ref="N532">_xlfn.IFS(HR_Analytics56[[#This Row],[PerformanceRating]]=3,"Good",HR_Analytics56[[#This Row],[PerformanceRating]]=4, "Excellent")</f>
        <v>Good</v>
      </c>
      <c r="O532" s="8" t="str">
        <f>IF(HR_Analytics56[[#This Row],[MonthlyIncome]]&lt;3000,"&lt; ₹3,000",IF(HR_Analytics56[[#This Row],[MonthlyIncome]]&lt;=7000,"₹ 3,000 - ₹ 7,000","&gt; ₹7,000"))</f>
        <v>&gt; ₹7,000</v>
      </c>
      <c r="P532" s="8" t="str" cm="1">
        <f t="array" ref="P5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3" spans="1:16" x14ac:dyDescent="0.8">
      <c r="A533" s="5" t="s">
        <v>603</v>
      </c>
      <c r="B533" s="8">
        <v>33</v>
      </c>
      <c r="C533" s="5" t="s">
        <v>40</v>
      </c>
      <c r="D533" s="5" t="s">
        <v>42</v>
      </c>
      <c r="E533" s="5" t="s">
        <v>44</v>
      </c>
      <c r="F533" s="5" t="s">
        <v>45</v>
      </c>
      <c r="G533" s="8">
        <v>4</v>
      </c>
      <c r="H533" s="8">
        <v>3408</v>
      </c>
      <c r="I533" s="5" t="s">
        <v>49</v>
      </c>
      <c r="J533" s="8">
        <v>3</v>
      </c>
      <c r="K533" s="8">
        <v>2</v>
      </c>
      <c r="L533" s="8">
        <v>4</v>
      </c>
      <c r="M5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33" s="8" t="str" cm="1">
        <f t="array" ref="N533">_xlfn.IFS(HR_Analytics56[[#This Row],[PerformanceRating]]=3,"Good",HR_Analytics56[[#This Row],[PerformanceRating]]=4, "Excellent")</f>
        <v>Good</v>
      </c>
      <c r="O533" s="8" t="str">
        <f>IF(HR_Analytics56[[#This Row],[MonthlyIncome]]&lt;3000,"&lt; ₹3,000",IF(HR_Analytics56[[#This Row],[MonthlyIncome]]&lt;=7000,"₹ 3,000 - ₹ 7,000","&gt; ₹7,000"))</f>
        <v>₹ 3,000 - ₹ 7,000</v>
      </c>
      <c r="P533" s="8" t="str" cm="1">
        <f t="array" ref="P5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4" spans="1:16" x14ac:dyDescent="0.8">
      <c r="A534" s="5" t="s">
        <v>604</v>
      </c>
      <c r="B534" s="8">
        <v>33</v>
      </c>
      <c r="C534" s="5" t="s">
        <v>49</v>
      </c>
      <c r="D534" s="5" t="s">
        <v>42</v>
      </c>
      <c r="E534" s="5" t="s">
        <v>53</v>
      </c>
      <c r="F534" s="5" t="s">
        <v>252</v>
      </c>
      <c r="G534" s="8">
        <v>3</v>
      </c>
      <c r="H534" s="8">
        <v>16184</v>
      </c>
      <c r="I534" s="5" t="s">
        <v>49</v>
      </c>
      <c r="J534" s="8">
        <v>3</v>
      </c>
      <c r="K534" s="8">
        <v>2</v>
      </c>
      <c r="L534" s="8">
        <v>6</v>
      </c>
      <c r="M5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4" s="8" t="str" cm="1">
        <f t="array" ref="N534">_xlfn.IFS(HR_Analytics56[[#This Row],[PerformanceRating]]=3,"Good",HR_Analytics56[[#This Row],[PerformanceRating]]=4, "Excellent")</f>
        <v>Good</v>
      </c>
      <c r="O534" s="8" t="str">
        <f>IF(HR_Analytics56[[#This Row],[MonthlyIncome]]&lt;3000,"&lt; ₹3,000",IF(HR_Analytics56[[#This Row],[MonthlyIncome]]&lt;=7000,"₹ 3,000 - ₹ 7,000","&gt; ₹7,000"))</f>
        <v>&gt; ₹7,000</v>
      </c>
      <c r="P534" s="8" t="str" cm="1">
        <f t="array" ref="P5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5" spans="1:16" x14ac:dyDescent="0.8">
      <c r="A535" s="5" t="s">
        <v>605</v>
      </c>
      <c r="B535" s="8">
        <v>33</v>
      </c>
      <c r="C535" s="5" t="s">
        <v>49</v>
      </c>
      <c r="D535" s="5" t="s">
        <v>51</v>
      </c>
      <c r="E535" s="5" t="s">
        <v>44</v>
      </c>
      <c r="F535" s="5" t="s">
        <v>137</v>
      </c>
      <c r="G535" s="8">
        <v>3</v>
      </c>
      <c r="H535" s="8">
        <v>7104</v>
      </c>
      <c r="I535" s="5" t="s">
        <v>49</v>
      </c>
      <c r="J535" s="8">
        <v>3</v>
      </c>
      <c r="K535" s="8">
        <v>3</v>
      </c>
      <c r="L535" s="8">
        <v>5</v>
      </c>
      <c r="M5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5" s="8" t="str" cm="1">
        <f t="array" ref="N535">_xlfn.IFS(HR_Analytics56[[#This Row],[PerformanceRating]]=3,"Good",HR_Analytics56[[#This Row],[PerformanceRating]]=4, "Excellent")</f>
        <v>Good</v>
      </c>
      <c r="O535" s="8" t="str">
        <f>IF(HR_Analytics56[[#This Row],[MonthlyIncome]]&lt;3000,"&lt; ₹3,000",IF(HR_Analytics56[[#This Row],[MonthlyIncome]]&lt;=7000,"₹ 3,000 - ₹ 7,000","&gt; ₹7,000"))</f>
        <v>&gt; ₹7,000</v>
      </c>
      <c r="P535" s="8" t="str" cm="1">
        <f t="array" ref="P5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6" spans="1:16" x14ac:dyDescent="0.8">
      <c r="A536" s="5" t="s">
        <v>606</v>
      </c>
      <c r="B536" s="8">
        <v>33</v>
      </c>
      <c r="C536" s="5" t="s">
        <v>49</v>
      </c>
      <c r="D536" s="5" t="s">
        <v>42</v>
      </c>
      <c r="E536" s="5" t="s">
        <v>44</v>
      </c>
      <c r="F536" s="5" t="s">
        <v>161</v>
      </c>
      <c r="G536" s="8">
        <v>4</v>
      </c>
      <c r="H536" s="8">
        <v>7725</v>
      </c>
      <c r="I536" s="5" t="s">
        <v>49</v>
      </c>
      <c r="J536" s="8">
        <v>4</v>
      </c>
      <c r="K536" s="8">
        <v>2</v>
      </c>
      <c r="L536" s="8">
        <v>13</v>
      </c>
      <c r="M5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6" s="8" t="str" cm="1">
        <f t="array" ref="N536">_xlfn.IFS(HR_Analytics56[[#This Row],[PerformanceRating]]=3,"Good",HR_Analytics56[[#This Row],[PerformanceRating]]=4, "Excellent")</f>
        <v>Excellent</v>
      </c>
      <c r="O536" s="8" t="str">
        <f>IF(HR_Analytics56[[#This Row],[MonthlyIncome]]&lt;3000,"&lt; ₹3,000",IF(HR_Analytics56[[#This Row],[MonthlyIncome]]&lt;=7000,"₹ 3,000 - ₹ 7,000","&gt; ₹7,000"))</f>
        <v>&gt; ₹7,000</v>
      </c>
      <c r="P536" s="8" t="str" cm="1">
        <f t="array" ref="P5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7" spans="1:16" x14ac:dyDescent="0.8">
      <c r="A537" s="5" t="s">
        <v>607</v>
      </c>
      <c r="B537" s="8">
        <v>33</v>
      </c>
      <c r="C537" s="5" t="s">
        <v>40</v>
      </c>
      <c r="D537" s="5" t="s">
        <v>42</v>
      </c>
      <c r="E537" s="5" t="s">
        <v>44</v>
      </c>
      <c r="F537" s="5" t="s">
        <v>60</v>
      </c>
      <c r="G537" s="8">
        <v>1</v>
      </c>
      <c r="H537" s="8">
        <v>3348</v>
      </c>
      <c r="I537" s="5" t="s">
        <v>40</v>
      </c>
      <c r="J537" s="8">
        <v>3</v>
      </c>
      <c r="K537" s="8">
        <v>3</v>
      </c>
      <c r="L537" s="8">
        <v>10</v>
      </c>
      <c r="M5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37" s="8" t="str" cm="1">
        <f t="array" ref="N537">_xlfn.IFS(HR_Analytics56[[#This Row],[PerformanceRating]]=3,"Good",HR_Analytics56[[#This Row],[PerformanceRating]]=4, "Excellent")</f>
        <v>Good</v>
      </c>
      <c r="O537" s="8" t="str">
        <f>IF(HR_Analytics56[[#This Row],[MonthlyIncome]]&lt;3000,"&lt; ₹3,000",IF(HR_Analytics56[[#This Row],[MonthlyIncome]]&lt;=7000,"₹ 3,000 - ₹ 7,000","&gt; ₹7,000"))</f>
        <v>₹ 3,000 - ₹ 7,000</v>
      </c>
      <c r="P537" s="8" t="str" cm="1">
        <f t="array" ref="P5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8" spans="1:16" x14ac:dyDescent="0.8">
      <c r="A538" s="5" t="s">
        <v>608</v>
      </c>
      <c r="B538" s="8">
        <v>33</v>
      </c>
      <c r="C538" s="5" t="s">
        <v>40</v>
      </c>
      <c r="D538" s="5" t="s">
        <v>42</v>
      </c>
      <c r="E538" s="5" t="s">
        <v>44</v>
      </c>
      <c r="F538" s="5" t="s">
        <v>60</v>
      </c>
      <c r="G538" s="8">
        <v>4</v>
      </c>
      <c r="H538" s="8">
        <v>2686</v>
      </c>
      <c r="I538" s="5" t="s">
        <v>40</v>
      </c>
      <c r="J538" s="8">
        <v>3</v>
      </c>
      <c r="K538" s="8">
        <v>2</v>
      </c>
      <c r="L538" s="8">
        <v>10</v>
      </c>
      <c r="M5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38" s="8" t="str" cm="1">
        <f t="array" ref="N538">_xlfn.IFS(HR_Analytics56[[#This Row],[PerformanceRating]]=3,"Good",HR_Analytics56[[#This Row],[PerformanceRating]]=4, "Excellent")</f>
        <v>Good</v>
      </c>
      <c r="O538" s="8" t="str">
        <f>IF(HR_Analytics56[[#This Row],[MonthlyIncome]]&lt;3000,"&lt; ₹3,000",IF(HR_Analytics56[[#This Row],[MonthlyIncome]]&lt;=7000,"₹ 3,000 - ₹ 7,000","&gt; ₹7,000"))</f>
        <v>&lt; ₹3,000</v>
      </c>
      <c r="P538" s="8" t="str" cm="1">
        <f t="array" ref="P5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39" spans="1:16" x14ac:dyDescent="0.8">
      <c r="A539" s="5" t="s">
        <v>609</v>
      </c>
      <c r="B539" s="8">
        <v>33</v>
      </c>
      <c r="C539" s="5" t="s">
        <v>49</v>
      </c>
      <c r="D539" s="5" t="s">
        <v>42</v>
      </c>
      <c r="E539" s="5" t="s">
        <v>44</v>
      </c>
      <c r="F539" s="5" t="s">
        <v>252</v>
      </c>
      <c r="G539" s="8">
        <v>3</v>
      </c>
      <c r="H539" s="8">
        <v>11691</v>
      </c>
      <c r="I539" s="5" t="s">
        <v>49</v>
      </c>
      <c r="J539" s="8">
        <v>3</v>
      </c>
      <c r="K539" s="8">
        <v>3</v>
      </c>
      <c r="L539" s="8">
        <v>13</v>
      </c>
      <c r="M5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39" s="8" t="str" cm="1">
        <f t="array" ref="N539">_xlfn.IFS(HR_Analytics56[[#This Row],[PerformanceRating]]=3,"Good",HR_Analytics56[[#This Row],[PerformanceRating]]=4, "Excellent")</f>
        <v>Good</v>
      </c>
      <c r="O539" s="8" t="str">
        <f>IF(HR_Analytics56[[#This Row],[MonthlyIncome]]&lt;3000,"&lt; ₹3,000",IF(HR_Analytics56[[#This Row],[MonthlyIncome]]&lt;=7000,"₹ 3,000 - ₹ 7,000","&gt; ₹7,000"))</f>
        <v>&gt; ₹7,000</v>
      </c>
      <c r="P539" s="8" t="str" cm="1">
        <f t="array" ref="P5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0" spans="1:16" x14ac:dyDescent="0.8">
      <c r="A540" s="5" t="s">
        <v>610</v>
      </c>
      <c r="B540" s="8">
        <v>33</v>
      </c>
      <c r="C540" s="5" t="s">
        <v>40</v>
      </c>
      <c r="D540" s="5" t="s">
        <v>51</v>
      </c>
      <c r="E540" s="5" t="s">
        <v>53</v>
      </c>
      <c r="F540" s="5" t="s">
        <v>137</v>
      </c>
      <c r="G540" s="8">
        <v>1</v>
      </c>
      <c r="H540" s="8">
        <v>5324</v>
      </c>
      <c r="I540" s="5" t="s">
        <v>49</v>
      </c>
      <c r="J540" s="8">
        <v>3</v>
      </c>
      <c r="K540" s="8">
        <v>3</v>
      </c>
      <c r="L540" s="8">
        <v>3</v>
      </c>
      <c r="M5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40" s="8" t="str" cm="1">
        <f t="array" ref="N540">_xlfn.IFS(HR_Analytics56[[#This Row],[PerformanceRating]]=3,"Good",HR_Analytics56[[#This Row],[PerformanceRating]]=4, "Excellent")</f>
        <v>Good</v>
      </c>
      <c r="O540" s="8" t="str">
        <f>IF(HR_Analytics56[[#This Row],[MonthlyIncome]]&lt;3000,"&lt; ₹3,000",IF(HR_Analytics56[[#This Row],[MonthlyIncome]]&lt;=7000,"₹ 3,000 - ₹ 7,000","&gt; ₹7,000"))</f>
        <v>₹ 3,000 - ₹ 7,000</v>
      </c>
      <c r="P540" s="8" t="str" cm="1">
        <f t="array" ref="P5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1" spans="1:16" x14ac:dyDescent="0.8">
      <c r="A541" s="5" t="s">
        <v>611</v>
      </c>
      <c r="B541" s="8">
        <v>33</v>
      </c>
      <c r="C541" s="5" t="s">
        <v>49</v>
      </c>
      <c r="D541" s="5" t="s">
        <v>51</v>
      </c>
      <c r="E541" s="5" t="s">
        <v>44</v>
      </c>
      <c r="F541" s="5" t="s">
        <v>137</v>
      </c>
      <c r="G541" s="8">
        <v>1</v>
      </c>
      <c r="H541" s="8">
        <v>4037</v>
      </c>
      <c r="I541" s="5" t="s">
        <v>49</v>
      </c>
      <c r="J541" s="8">
        <v>4</v>
      </c>
      <c r="K541" s="8">
        <v>5</v>
      </c>
      <c r="L541" s="8">
        <v>9</v>
      </c>
      <c r="M5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1" s="8" t="str" cm="1">
        <f t="array" ref="N541">_xlfn.IFS(HR_Analytics56[[#This Row],[PerformanceRating]]=3,"Good",HR_Analytics56[[#This Row],[PerformanceRating]]=4, "Excellent")</f>
        <v>Excellent</v>
      </c>
      <c r="O541" s="8" t="str">
        <f>IF(HR_Analytics56[[#This Row],[MonthlyIncome]]&lt;3000,"&lt; ₹3,000",IF(HR_Analytics56[[#This Row],[MonthlyIncome]]&lt;=7000,"₹ 3,000 - ₹ 7,000","&gt; ₹7,000"))</f>
        <v>₹ 3,000 - ₹ 7,000</v>
      </c>
      <c r="P541" s="8" t="str" cm="1">
        <f t="array" ref="P54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42" spans="1:16" x14ac:dyDescent="0.8">
      <c r="A542" s="5" t="s">
        <v>612</v>
      </c>
      <c r="B542" s="8">
        <v>33</v>
      </c>
      <c r="C542" s="5" t="s">
        <v>49</v>
      </c>
      <c r="D542" s="5" t="s">
        <v>71</v>
      </c>
      <c r="E542" s="5" t="s">
        <v>44</v>
      </c>
      <c r="F542" s="5" t="s">
        <v>71</v>
      </c>
      <c r="G542" s="8">
        <v>2</v>
      </c>
      <c r="H542" s="8">
        <v>2277</v>
      </c>
      <c r="I542" s="5" t="s">
        <v>40</v>
      </c>
      <c r="J542" s="8">
        <v>3</v>
      </c>
      <c r="K542" s="8">
        <v>4</v>
      </c>
      <c r="L542" s="8">
        <v>4</v>
      </c>
      <c r="M5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42" s="8" t="str" cm="1">
        <f t="array" ref="N542">_xlfn.IFS(HR_Analytics56[[#This Row],[PerformanceRating]]=3,"Good",HR_Analytics56[[#This Row],[PerformanceRating]]=4, "Excellent")</f>
        <v>Good</v>
      </c>
      <c r="O542" s="8" t="str">
        <f>IF(HR_Analytics56[[#This Row],[MonthlyIncome]]&lt;3000,"&lt; ₹3,000",IF(HR_Analytics56[[#This Row],[MonthlyIncome]]&lt;=7000,"₹ 3,000 - ₹ 7,000","&gt; ₹7,000"))</f>
        <v>&lt; ₹3,000</v>
      </c>
      <c r="P542" s="8" t="str" cm="1">
        <f t="array" ref="P5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3" spans="1:16" x14ac:dyDescent="0.8">
      <c r="A543" s="5" t="s">
        <v>613</v>
      </c>
      <c r="B543" s="8">
        <v>33</v>
      </c>
      <c r="C543" s="5" t="s">
        <v>49</v>
      </c>
      <c r="D543" s="5" t="s">
        <v>42</v>
      </c>
      <c r="E543" s="5" t="s">
        <v>44</v>
      </c>
      <c r="F543" s="5" t="s">
        <v>60</v>
      </c>
      <c r="G543" s="8">
        <v>1</v>
      </c>
      <c r="H543" s="8">
        <v>2799</v>
      </c>
      <c r="I543" s="5" t="s">
        <v>40</v>
      </c>
      <c r="J543" s="8">
        <v>3</v>
      </c>
      <c r="K543" s="8">
        <v>1</v>
      </c>
      <c r="L543" s="8">
        <v>3</v>
      </c>
      <c r="M5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43" s="8" t="str" cm="1">
        <f t="array" ref="N543">_xlfn.IFS(HR_Analytics56[[#This Row],[PerformanceRating]]=3,"Good",HR_Analytics56[[#This Row],[PerformanceRating]]=4, "Excellent")</f>
        <v>Good</v>
      </c>
      <c r="O543" s="8" t="str">
        <f>IF(HR_Analytics56[[#This Row],[MonthlyIncome]]&lt;3000,"&lt; ₹3,000",IF(HR_Analytics56[[#This Row],[MonthlyIncome]]&lt;=7000,"₹ 3,000 - ₹ 7,000","&gt; ₹7,000"))</f>
        <v>&lt; ₹3,000</v>
      </c>
      <c r="P543" s="8" t="str" cm="1">
        <f t="array" ref="P5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4" spans="1:16" x14ac:dyDescent="0.8">
      <c r="A544" s="5" t="s">
        <v>614</v>
      </c>
      <c r="B544" s="8">
        <v>33</v>
      </c>
      <c r="C544" s="5" t="s">
        <v>49</v>
      </c>
      <c r="D544" s="5" t="s">
        <v>42</v>
      </c>
      <c r="E544" s="5" t="s">
        <v>53</v>
      </c>
      <c r="F544" s="5" t="s">
        <v>161</v>
      </c>
      <c r="G544" s="8">
        <v>4</v>
      </c>
      <c r="H544" s="8">
        <v>6949</v>
      </c>
      <c r="I544" s="5" t="s">
        <v>49</v>
      </c>
      <c r="J544" s="8">
        <v>3</v>
      </c>
      <c r="K544" s="8">
        <v>3</v>
      </c>
      <c r="L544" s="8">
        <v>5</v>
      </c>
      <c r="M5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4" s="8" t="str" cm="1">
        <f t="array" ref="N544">_xlfn.IFS(HR_Analytics56[[#This Row],[PerformanceRating]]=3,"Good",HR_Analytics56[[#This Row],[PerformanceRating]]=4, "Excellent")</f>
        <v>Good</v>
      </c>
      <c r="O544" s="8" t="str">
        <f>IF(HR_Analytics56[[#This Row],[MonthlyIncome]]&lt;3000,"&lt; ₹3,000",IF(HR_Analytics56[[#This Row],[MonthlyIncome]]&lt;=7000,"₹ 3,000 - ₹ 7,000","&gt; ₹7,000"))</f>
        <v>₹ 3,000 - ₹ 7,000</v>
      </c>
      <c r="P544" s="8" t="str" cm="1">
        <f t="array" ref="P5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5" spans="1:16" x14ac:dyDescent="0.8">
      <c r="A545" s="5" t="s">
        <v>615</v>
      </c>
      <c r="B545" s="8">
        <v>33</v>
      </c>
      <c r="C545" s="5" t="s">
        <v>49</v>
      </c>
      <c r="D545" s="5" t="s">
        <v>51</v>
      </c>
      <c r="E545" s="5" t="s">
        <v>44</v>
      </c>
      <c r="F545" s="5" t="s">
        <v>442</v>
      </c>
      <c r="G545" s="8">
        <v>3</v>
      </c>
      <c r="H545" s="8">
        <v>17444</v>
      </c>
      <c r="I545" s="5" t="s">
        <v>49</v>
      </c>
      <c r="J545" s="8">
        <v>3</v>
      </c>
      <c r="K545" s="8">
        <v>2</v>
      </c>
      <c r="L545" s="8">
        <v>10</v>
      </c>
      <c r="M5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5" s="8" t="str" cm="1">
        <f t="array" ref="N545">_xlfn.IFS(HR_Analytics56[[#This Row],[PerformanceRating]]=3,"Good",HR_Analytics56[[#This Row],[PerformanceRating]]=4, "Excellent")</f>
        <v>Good</v>
      </c>
      <c r="O545" s="8" t="str">
        <f>IF(HR_Analytics56[[#This Row],[MonthlyIncome]]&lt;3000,"&lt; ₹3,000",IF(HR_Analytics56[[#This Row],[MonthlyIncome]]&lt;=7000,"₹ 3,000 - ₹ 7,000","&gt; ₹7,000"))</f>
        <v>&gt; ₹7,000</v>
      </c>
      <c r="P545" s="8" t="str" cm="1">
        <f t="array" ref="P5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6" spans="1:16" x14ac:dyDescent="0.8">
      <c r="A546" s="5" t="s">
        <v>616</v>
      </c>
      <c r="B546" s="8">
        <v>33</v>
      </c>
      <c r="C546" s="5" t="s">
        <v>49</v>
      </c>
      <c r="D546" s="5" t="s">
        <v>42</v>
      </c>
      <c r="E546" s="5" t="s">
        <v>53</v>
      </c>
      <c r="F546" s="5" t="s">
        <v>60</v>
      </c>
      <c r="G546" s="8">
        <v>4</v>
      </c>
      <c r="H546" s="8">
        <v>3452</v>
      </c>
      <c r="I546" s="5" t="s">
        <v>49</v>
      </c>
      <c r="J546" s="8">
        <v>3</v>
      </c>
      <c r="K546" s="8">
        <v>4</v>
      </c>
      <c r="L546" s="8">
        <v>3</v>
      </c>
      <c r="M5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6" s="8" t="str" cm="1">
        <f t="array" ref="N546">_xlfn.IFS(HR_Analytics56[[#This Row],[PerformanceRating]]=3,"Good",HR_Analytics56[[#This Row],[PerformanceRating]]=4, "Excellent")</f>
        <v>Good</v>
      </c>
      <c r="O546" s="8" t="str">
        <f>IF(HR_Analytics56[[#This Row],[MonthlyIncome]]&lt;3000,"&lt; ₹3,000",IF(HR_Analytics56[[#This Row],[MonthlyIncome]]&lt;=7000,"₹ 3,000 - ₹ 7,000","&gt; ₹7,000"))</f>
        <v>₹ 3,000 - ₹ 7,000</v>
      </c>
      <c r="P546" s="8" t="str" cm="1">
        <f t="array" ref="P5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7" spans="1:16" x14ac:dyDescent="0.8">
      <c r="A547" s="5" t="s">
        <v>617</v>
      </c>
      <c r="B547" s="8">
        <v>33</v>
      </c>
      <c r="C547" s="5" t="s">
        <v>49</v>
      </c>
      <c r="D547" s="5" t="s">
        <v>42</v>
      </c>
      <c r="E547" s="5" t="s">
        <v>53</v>
      </c>
      <c r="F547" s="5" t="s">
        <v>161</v>
      </c>
      <c r="G547" s="8">
        <v>2</v>
      </c>
      <c r="H547" s="8">
        <v>5488</v>
      </c>
      <c r="I547" s="5" t="s">
        <v>40</v>
      </c>
      <c r="J547" s="8">
        <v>3</v>
      </c>
      <c r="K547" s="8">
        <v>2</v>
      </c>
      <c r="L547" s="8">
        <v>6</v>
      </c>
      <c r="M5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47" s="8" t="str" cm="1">
        <f t="array" ref="N547">_xlfn.IFS(HR_Analytics56[[#This Row],[PerformanceRating]]=3,"Good",HR_Analytics56[[#This Row],[PerformanceRating]]=4, "Excellent")</f>
        <v>Good</v>
      </c>
      <c r="O547" s="8" t="str">
        <f>IF(HR_Analytics56[[#This Row],[MonthlyIncome]]&lt;3000,"&lt; ₹3,000",IF(HR_Analytics56[[#This Row],[MonthlyIncome]]&lt;=7000,"₹ 3,000 - ₹ 7,000","&gt; ₹7,000"))</f>
        <v>₹ 3,000 - ₹ 7,000</v>
      </c>
      <c r="P547" s="8" t="str" cm="1">
        <f t="array" ref="P5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8" spans="1:16" x14ac:dyDescent="0.8">
      <c r="A548" s="5" t="s">
        <v>618</v>
      </c>
      <c r="B548" s="8">
        <v>33</v>
      </c>
      <c r="C548" s="5" t="s">
        <v>49</v>
      </c>
      <c r="D548" s="5" t="s">
        <v>51</v>
      </c>
      <c r="E548" s="5" t="s">
        <v>53</v>
      </c>
      <c r="F548" s="5" t="s">
        <v>54</v>
      </c>
      <c r="G548" s="8">
        <v>4</v>
      </c>
      <c r="H548" s="8">
        <v>2342</v>
      </c>
      <c r="I548" s="5" t="s">
        <v>49</v>
      </c>
      <c r="J548" s="8">
        <v>3</v>
      </c>
      <c r="K548" s="8">
        <v>2</v>
      </c>
      <c r="L548" s="8">
        <v>2</v>
      </c>
      <c r="M5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8" s="8" t="str" cm="1">
        <f t="array" ref="N548">_xlfn.IFS(HR_Analytics56[[#This Row],[PerformanceRating]]=3,"Good",HR_Analytics56[[#This Row],[PerformanceRating]]=4, "Excellent")</f>
        <v>Good</v>
      </c>
      <c r="O548" s="8" t="str">
        <f>IF(HR_Analytics56[[#This Row],[MonthlyIncome]]&lt;3000,"&lt; ₹3,000",IF(HR_Analytics56[[#This Row],[MonthlyIncome]]&lt;=7000,"₹ 3,000 - ₹ 7,000","&gt; ₹7,000"))</f>
        <v>&lt; ₹3,000</v>
      </c>
      <c r="P548" s="8" t="str" cm="1">
        <f t="array" ref="P5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49" spans="1:16" x14ac:dyDescent="0.8">
      <c r="A549" s="5" t="s">
        <v>619</v>
      </c>
      <c r="B549" s="8">
        <v>33</v>
      </c>
      <c r="C549" s="5" t="s">
        <v>49</v>
      </c>
      <c r="D549" s="5" t="s">
        <v>42</v>
      </c>
      <c r="E549" s="5" t="s">
        <v>44</v>
      </c>
      <c r="F549" s="5" t="s">
        <v>161</v>
      </c>
      <c r="G549" s="8">
        <v>4</v>
      </c>
      <c r="H549" s="8">
        <v>7119</v>
      </c>
      <c r="I549" s="5" t="s">
        <v>49</v>
      </c>
      <c r="J549" s="8">
        <v>3</v>
      </c>
      <c r="K549" s="8">
        <v>2</v>
      </c>
      <c r="L549" s="8">
        <v>3</v>
      </c>
      <c r="M5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49" s="8" t="str" cm="1">
        <f t="array" ref="N549">_xlfn.IFS(HR_Analytics56[[#This Row],[PerformanceRating]]=3,"Good",HR_Analytics56[[#This Row],[PerformanceRating]]=4, "Excellent")</f>
        <v>Good</v>
      </c>
      <c r="O549" s="8" t="str">
        <f>IF(HR_Analytics56[[#This Row],[MonthlyIncome]]&lt;3000,"&lt; ₹3,000",IF(HR_Analytics56[[#This Row],[MonthlyIncome]]&lt;=7000,"₹ 3,000 - ₹ 7,000","&gt; ₹7,000"))</f>
        <v>&gt; ₹7,000</v>
      </c>
      <c r="P549" s="8" t="str" cm="1">
        <f t="array" ref="P5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0" spans="1:16" x14ac:dyDescent="0.8">
      <c r="A550" s="5" t="s">
        <v>620</v>
      </c>
      <c r="B550" s="8">
        <v>33</v>
      </c>
      <c r="C550" s="5" t="s">
        <v>40</v>
      </c>
      <c r="D550" s="5" t="s">
        <v>42</v>
      </c>
      <c r="E550" s="5" t="s">
        <v>53</v>
      </c>
      <c r="F550" s="5" t="s">
        <v>60</v>
      </c>
      <c r="G550" s="8">
        <v>3</v>
      </c>
      <c r="H550" s="8">
        <v>4508</v>
      </c>
      <c r="I550" s="5" t="s">
        <v>49</v>
      </c>
      <c r="J550" s="8">
        <v>4</v>
      </c>
      <c r="K550" s="8">
        <v>4</v>
      </c>
      <c r="L550" s="8">
        <v>13</v>
      </c>
      <c r="M5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50" s="8" t="str" cm="1">
        <f t="array" ref="N550">_xlfn.IFS(HR_Analytics56[[#This Row],[PerformanceRating]]=3,"Good",HR_Analytics56[[#This Row],[PerformanceRating]]=4, "Excellent")</f>
        <v>Excellent</v>
      </c>
      <c r="O550" s="8" t="str">
        <f>IF(HR_Analytics56[[#This Row],[MonthlyIncome]]&lt;3000,"&lt; ₹3,000",IF(HR_Analytics56[[#This Row],[MonthlyIncome]]&lt;=7000,"₹ 3,000 - ₹ 7,000","&gt; ₹7,000"))</f>
        <v>₹ 3,000 - ₹ 7,000</v>
      </c>
      <c r="P550" s="8" t="str" cm="1">
        <f t="array" ref="P55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51" spans="1:16" x14ac:dyDescent="0.8">
      <c r="A551" s="5" t="s">
        <v>621</v>
      </c>
      <c r="B551" s="8">
        <v>33</v>
      </c>
      <c r="C551" s="5" t="s">
        <v>40</v>
      </c>
      <c r="D551" s="5" t="s">
        <v>42</v>
      </c>
      <c r="E551" s="5" t="s">
        <v>44</v>
      </c>
      <c r="F551" s="5" t="s">
        <v>60</v>
      </c>
      <c r="G551" s="8">
        <v>2</v>
      </c>
      <c r="H551" s="8">
        <v>2313</v>
      </c>
      <c r="I551" s="5" t="s">
        <v>40</v>
      </c>
      <c r="J551" s="8">
        <v>4</v>
      </c>
      <c r="K551" s="8">
        <v>0</v>
      </c>
      <c r="L551" s="8">
        <v>2</v>
      </c>
      <c r="M5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51" s="8" t="str" cm="1">
        <f t="array" ref="N551">_xlfn.IFS(HR_Analytics56[[#This Row],[PerformanceRating]]=3,"Good",HR_Analytics56[[#This Row],[PerformanceRating]]=4, "Excellent")</f>
        <v>Excellent</v>
      </c>
      <c r="O551" s="8" t="str">
        <f>IF(HR_Analytics56[[#This Row],[MonthlyIncome]]&lt;3000,"&lt; ₹3,000",IF(HR_Analytics56[[#This Row],[MonthlyIncome]]&lt;=7000,"₹ 3,000 - ₹ 7,000","&gt; ₹7,000"))</f>
        <v>&lt; ₹3,000</v>
      </c>
      <c r="P551" s="8" t="str" cm="1">
        <f t="array" ref="P5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2" spans="1:16" x14ac:dyDescent="0.8">
      <c r="A552" s="5" t="s">
        <v>622</v>
      </c>
      <c r="B552" s="8">
        <v>33</v>
      </c>
      <c r="C552" s="5" t="s">
        <v>49</v>
      </c>
      <c r="D552" s="5" t="s">
        <v>51</v>
      </c>
      <c r="E552" s="5" t="s">
        <v>53</v>
      </c>
      <c r="F552" s="5" t="s">
        <v>137</v>
      </c>
      <c r="G552" s="8">
        <v>2</v>
      </c>
      <c r="H552" s="8">
        <v>4302</v>
      </c>
      <c r="I552" s="5" t="s">
        <v>49</v>
      </c>
      <c r="J552" s="8">
        <v>3</v>
      </c>
      <c r="K552" s="8">
        <v>3</v>
      </c>
      <c r="L552" s="8">
        <v>3</v>
      </c>
      <c r="M5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2" s="8" t="str" cm="1">
        <f t="array" ref="N552">_xlfn.IFS(HR_Analytics56[[#This Row],[PerformanceRating]]=3,"Good",HR_Analytics56[[#This Row],[PerformanceRating]]=4, "Excellent")</f>
        <v>Good</v>
      </c>
      <c r="O552" s="8" t="str">
        <f>IF(HR_Analytics56[[#This Row],[MonthlyIncome]]&lt;3000,"&lt; ₹3,000",IF(HR_Analytics56[[#This Row],[MonthlyIncome]]&lt;=7000,"₹ 3,000 - ₹ 7,000","&gt; ₹7,000"))</f>
        <v>₹ 3,000 - ₹ 7,000</v>
      </c>
      <c r="P552" s="8" t="str" cm="1">
        <f t="array" ref="P5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3" spans="1:16" x14ac:dyDescent="0.8">
      <c r="A553" s="5" t="s">
        <v>623</v>
      </c>
      <c r="B553" s="8">
        <v>33</v>
      </c>
      <c r="C553" s="5" t="s">
        <v>40</v>
      </c>
      <c r="D553" s="5" t="s">
        <v>51</v>
      </c>
      <c r="E553" s="5" t="s">
        <v>53</v>
      </c>
      <c r="F553" s="5" t="s">
        <v>137</v>
      </c>
      <c r="G553" s="8">
        <v>1</v>
      </c>
      <c r="H553" s="8">
        <v>8224</v>
      </c>
      <c r="I553" s="5" t="s">
        <v>40</v>
      </c>
      <c r="J553" s="8">
        <v>3</v>
      </c>
      <c r="K553" s="8">
        <v>3</v>
      </c>
      <c r="L553" s="8">
        <v>5</v>
      </c>
      <c r="M5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53" s="8" t="str" cm="1">
        <f t="array" ref="N553">_xlfn.IFS(HR_Analytics56[[#This Row],[PerformanceRating]]=3,"Good",HR_Analytics56[[#This Row],[PerformanceRating]]=4, "Excellent")</f>
        <v>Good</v>
      </c>
      <c r="O553" s="8" t="str">
        <f>IF(HR_Analytics56[[#This Row],[MonthlyIncome]]&lt;3000,"&lt; ₹3,000",IF(HR_Analytics56[[#This Row],[MonthlyIncome]]&lt;=7000,"₹ 3,000 - ₹ 7,000","&gt; ₹7,000"))</f>
        <v>&gt; ₹7,000</v>
      </c>
      <c r="P553" s="8" t="str" cm="1">
        <f t="array" ref="P5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4" spans="1:16" x14ac:dyDescent="0.8">
      <c r="A554" s="5" t="s">
        <v>624</v>
      </c>
      <c r="B554" s="8">
        <v>33</v>
      </c>
      <c r="C554" s="5" t="s">
        <v>49</v>
      </c>
      <c r="D554" s="5" t="s">
        <v>71</v>
      </c>
      <c r="E554" s="5" t="s">
        <v>44</v>
      </c>
      <c r="F554" s="5" t="s">
        <v>71</v>
      </c>
      <c r="G554" s="8">
        <v>3</v>
      </c>
      <c r="H554" s="8">
        <v>3600</v>
      </c>
      <c r="I554" s="5" t="s">
        <v>49</v>
      </c>
      <c r="J554" s="8">
        <v>3</v>
      </c>
      <c r="K554" s="8">
        <v>2</v>
      </c>
      <c r="L554" s="8">
        <v>5</v>
      </c>
      <c r="M5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4" s="8" t="str" cm="1">
        <f t="array" ref="N554">_xlfn.IFS(HR_Analytics56[[#This Row],[PerformanceRating]]=3,"Good",HR_Analytics56[[#This Row],[PerformanceRating]]=4, "Excellent")</f>
        <v>Good</v>
      </c>
      <c r="O554" s="8" t="str">
        <f>IF(HR_Analytics56[[#This Row],[MonthlyIncome]]&lt;3000,"&lt; ₹3,000",IF(HR_Analytics56[[#This Row],[MonthlyIncome]]&lt;=7000,"₹ 3,000 - ₹ 7,000","&gt; ₹7,000"))</f>
        <v>₹ 3,000 - ₹ 7,000</v>
      </c>
      <c r="P554" s="8" t="str" cm="1">
        <f t="array" ref="P5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5" spans="1:16" x14ac:dyDescent="0.8">
      <c r="A555" s="5" t="s">
        <v>625</v>
      </c>
      <c r="B555" s="8">
        <v>33</v>
      </c>
      <c r="C555" s="5" t="s">
        <v>49</v>
      </c>
      <c r="D555" s="5" t="s">
        <v>51</v>
      </c>
      <c r="E555" s="5" t="s">
        <v>53</v>
      </c>
      <c r="F555" s="5" t="s">
        <v>137</v>
      </c>
      <c r="G555" s="8">
        <v>3</v>
      </c>
      <c r="H555" s="8">
        <v>4539</v>
      </c>
      <c r="I555" s="5" t="s">
        <v>49</v>
      </c>
      <c r="J555" s="8">
        <v>3</v>
      </c>
      <c r="K555" s="8">
        <v>3</v>
      </c>
      <c r="L555" s="8">
        <v>10</v>
      </c>
      <c r="M5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5" s="8" t="str" cm="1">
        <f t="array" ref="N555">_xlfn.IFS(HR_Analytics56[[#This Row],[PerformanceRating]]=3,"Good",HR_Analytics56[[#This Row],[PerformanceRating]]=4, "Excellent")</f>
        <v>Good</v>
      </c>
      <c r="O555" s="8" t="str">
        <f>IF(HR_Analytics56[[#This Row],[MonthlyIncome]]&lt;3000,"&lt; ₹3,000",IF(HR_Analytics56[[#This Row],[MonthlyIncome]]&lt;=7000,"₹ 3,000 - ₹ 7,000","&gt; ₹7,000"))</f>
        <v>₹ 3,000 - ₹ 7,000</v>
      </c>
      <c r="P555" s="8" t="str" cm="1">
        <f t="array" ref="P5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6" spans="1:16" x14ac:dyDescent="0.8">
      <c r="A556" s="5" t="s">
        <v>626</v>
      </c>
      <c r="B556" s="8">
        <v>33</v>
      </c>
      <c r="C556" s="5" t="s">
        <v>49</v>
      </c>
      <c r="D556" s="5" t="s">
        <v>42</v>
      </c>
      <c r="E556" s="5" t="s">
        <v>44</v>
      </c>
      <c r="F556" s="5" t="s">
        <v>60</v>
      </c>
      <c r="G556" s="8">
        <v>4</v>
      </c>
      <c r="H556" s="8">
        <v>2781</v>
      </c>
      <c r="I556" s="5" t="s">
        <v>49</v>
      </c>
      <c r="J556" s="8">
        <v>3</v>
      </c>
      <c r="K556" s="8">
        <v>5</v>
      </c>
      <c r="L556" s="8">
        <v>14</v>
      </c>
      <c r="M5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6" s="8" t="str" cm="1">
        <f t="array" ref="N556">_xlfn.IFS(HR_Analytics56[[#This Row],[PerformanceRating]]=3,"Good",HR_Analytics56[[#This Row],[PerformanceRating]]=4, "Excellent")</f>
        <v>Good</v>
      </c>
      <c r="O556" s="8" t="str">
        <f>IF(HR_Analytics56[[#This Row],[MonthlyIncome]]&lt;3000,"&lt; ₹3,000",IF(HR_Analytics56[[#This Row],[MonthlyIncome]]&lt;=7000,"₹ 3,000 - ₹ 7,000","&gt; ₹7,000"))</f>
        <v>&lt; ₹3,000</v>
      </c>
      <c r="P556" s="8" t="str" cm="1">
        <f t="array" ref="P5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7" spans="1:16" x14ac:dyDescent="0.8">
      <c r="A557" s="5" t="s">
        <v>627</v>
      </c>
      <c r="B557" s="8">
        <v>33</v>
      </c>
      <c r="C557" s="5" t="s">
        <v>49</v>
      </c>
      <c r="D557" s="5" t="s">
        <v>51</v>
      </c>
      <c r="E557" s="5" t="s">
        <v>44</v>
      </c>
      <c r="F557" s="5" t="s">
        <v>137</v>
      </c>
      <c r="G557" s="8">
        <v>3</v>
      </c>
      <c r="H557" s="8">
        <v>8380</v>
      </c>
      <c r="I557" s="5" t="s">
        <v>40</v>
      </c>
      <c r="J557" s="8">
        <v>3</v>
      </c>
      <c r="K557" s="8">
        <v>3</v>
      </c>
      <c r="L557" s="8">
        <v>9</v>
      </c>
      <c r="M5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57" s="8" t="str" cm="1">
        <f t="array" ref="N557">_xlfn.IFS(HR_Analytics56[[#This Row],[PerformanceRating]]=3,"Good",HR_Analytics56[[#This Row],[PerformanceRating]]=4, "Excellent")</f>
        <v>Good</v>
      </c>
      <c r="O557" s="8" t="str">
        <f>IF(HR_Analytics56[[#This Row],[MonthlyIncome]]&lt;3000,"&lt; ₹3,000",IF(HR_Analytics56[[#This Row],[MonthlyIncome]]&lt;=7000,"₹ 3,000 - ₹ 7,000","&gt; ₹7,000"))</f>
        <v>&gt; ₹7,000</v>
      </c>
      <c r="P557" s="8" t="str" cm="1">
        <f t="array" ref="P5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8" spans="1:16" x14ac:dyDescent="0.8">
      <c r="A558" s="5" t="s">
        <v>628</v>
      </c>
      <c r="B558" s="8">
        <v>33</v>
      </c>
      <c r="C558" s="5" t="s">
        <v>49</v>
      </c>
      <c r="D558" s="5" t="s">
        <v>51</v>
      </c>
      <c r="E558" s="5" t="s">
        <v>44</v>
      </c>
      <c r="F558" s="5" t="s">
        <v>137</v>
      </c>
      <c r="G558" s="8">
        <v>4</v>
      </c>
      <c r="H558" s="8">
        <v>9998</v>
      </c>
      <c r="I558" s="5" t="s">
        <v>49</v>
      </c>
      <c r="J558" s="8">
        <v>3</v>
      </c>
      <c r="K558" s="8">
        <v>2</v>
      </c>
      <c r="L558" s="8">
        <v>5</v>
      </c>
      <c r="M5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8" s="8" t="str" cm="1">
        <f t="array" ref="N558">_xlfn.IFS(HR_Analytics56[[#This Row],[PerformanceRating]]=3,"Good",HR_Analytics56[[#This Row],[PerformanceRating]]=4, "Excellent")</f>
        <v>Good</v>
      </c>
      <c r="O558" s="8" t="str">
        <f>IF(HR_Analytics56[[#This Row],[MonthlyIncome]]&lt;3000,"&lt; ₹3,000",IF(HR_Analytics56[[#This Row],[MonthlyIncome]]&lt;=7000,"₹ 3,000 - ₹ 7,000","&gt; ₹7,000"))</f>
        <v>&gt; ₹7,000</v>
      </c>
      <c r="P558" s="8" t="str" cm="1">
        <f t="array" ref="P5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59" spans="1:16" x14ac:dyDescent="0.8">
      <c r="A559" s="5" t="s">
        <v>629</v>
      </c>
      <c r="B559" s="8">
        <v>33</v>
      </c>
      <c r="C559" s="5" t="s">
        <v>49</v>
      </c>
      <c r="D559" s="5" t="s">
        <v>51</v>
      </c>
      <c r="E559" s="5" t="s">
        <v>44</v>
      </c>
      <c r="F559" s="5" t="s">
        <v>137</v>
      </c>
      <c r="G559" s="8">
        <v>1</v>
      </c>
      <c r="H559" s="8">
        <v>4373</v>
      </c>
      <c r="I559" s="5" t="s">
        <v>49</v>
      </c>
      <c r="J559" s="8">
        <v>3</v>
      </c>
      <c r="K559" s="8">
        <v>2</v>
      </c>
      <c r="L559" s="8">
        <v>4</v>
      </c>
      <c r="M5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59" s="8" t="str" cm="1">
        <f t="array" ref="N559">_xlfn.IFS(HR_Analytics56[[#This Row],[PerformanceRating]]=3,"Good",HR_Analytics56[[#This Row],[PerformanceRating]]=4, "Excellent")</f>
        <v>Good</v>
      </c>
      <c r="O559" s="8" t="str">
        <f>IF(HR_Analytics56[[#This Row],[MonthlyIncome]]&lt;3000,"&lt; ₹3,000",IF(HR_Analytics56[[#This Row],[MonthlyIncome]]&lt;=7000,"₹ 3,000 - ₹ 7,000","&gt; ₹7,000"))</f>
        <v>₹ 3,000 - ₹ 7,000</v>
      </c>
      <c r="P559" s="8" t="str" cm="1">
        <f t="array" ref="P5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0" spans="1:16" x14ac:dyDescent="0.8">
      <c r="A560" s="5" t="s">
        <v>630</v>
      </c>
      <c r="B560" s="8">
        <v>33</v>
      </c>
      <c r="C560" s="5" t="s">
        <v>49</v>
      </c>
      <c r="D560" s="5" t="s">
        <v>42</v>
      </c>
      <c r="E560" s="5" t="s">
        <v>53</v>
      </c>
      <c r="F560" s="5" t="s">
        <v>45</v>
      </c>
      <c r="G560" s="8">
        <v>2</v>
      </c>
      <c r="H560" s="8">
        <v>3838</v>
      </c>
      <c r="I560" s="5" t="s">
        <v>49</v>
      </c>
      <c r="J560" s="8">
        <v>3</v>
      </c>
      <c r="K560" s="8">
        <v>5</v>
      </c>
      <c r="L560" s="8">
        <v>5</v>
      </c>
      <c r="M5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0" s="8" t="str" cm="1">
        <f t="array" ref="N560">_xlfn.IFS(HR_Analytics56[[#This Row],[PerformanceRating]]=3,"Good",HR_Analytics56[[#This Row],[PerformanceRating]]=4, "Excellent")</f>
        <v>Good</v>
      </c>
      <c r="O560" s="8" t="str">
        <f>IF(HR_Analytics56[[#This Row],[MonthlyIncome]]&lt;3000,"&lt; ₹3,000",IF(HR_Analytics56[[#This Row],[MonthlyIncome]]&lt;=7000,"₹ 3,000 - ₹ 7,000","&gt; ₹7,000"))</f>
        <v>₹ 3,000 - ₹ 7,000</v>
      </c>
      <c r="P560" s="8" t="str" cm="1">
        <f t="array" ref="P5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1" spans="1:16" x14ac:dyDescent="0.8">
      <c r="A561" s="5" t="s">
        <v>631</v>
      </c>
      <c r="B561" s="8">
        <v>33</v>
      </c>
      <c r="C561" s="5" t="s">
        <v>49</v>
      </c>
      <c r="D561" s="5" t="s">
        <v>42</v>
      </c>
      <c r="E561" s="5" t="s">
        <v>44</v>
      </c>
      <c r="F561" s="5" t="s">
        <v>161</v>
      </c>
      <c r="G561" s="8">
        <v>3</v>
      </c>
      <c r="H561" s="8">
        <v>6388</v>
      </c>
      <c r="I561" s="5" t="s">
        <v>40</v>
      </c>
      <c r="J561" s="8">
        <v>3</v>
      </c>
      <c r="K561" s="8">
        <v>6</v>
      </c>
      <c r="L561" s="8">
        <v>0</v>
      </c>
      <c r="M5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61" s="8" t="str" cm="1">
        <f t="array" ref="N561">_xlfn.IFS(HR_Analytics56[[#This Row],[PerformanceRating]]=3,"Good",HR_Analytics56[[#This Row],[PerformanceRating]]=4, "Excellent")</f>
        <v>Good</v>
      </c>
      <c r="O561" s="8" t="str">
        <f>IF(HR_Analytics56[[#This Row],[MonthlyIncome]]&lt;3000,"&lt; ₹3,000",IF(HR_Analytics56[[#This Row],[MonthlyIncome]]&lt;=7000,"₹ 3,000 - ₹ 7,000","&gt; ₹7,000"))</f>
        <v>₹ 3,000 - ₹ 7,000</v>
      </c>
      <c r="P561" s="8" t="str" cm="1">
        <f t="array" ref="P5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2" spans="1:16" x14ac:dyDescent="0.8">
      <c r="A562" s="5" t="s">
        <v>632</v>
      </c>
      <c r="B562" s="8">
        <v>33</v>
      </c>
      <c r="C562" s="5" t="s">
        <v>49</v>
      </c>
      <c r="D562" s="5" t="s">
        <v>42</v>
      </c>
      <c r="E562" s="5" t="s">
        <v>44</v>
      </c>
      <c r="F562" s="5" t="s">
        <v>112</v>
      </c>
      <c r="G562" s="8">
        <v>2</v>
      </c>
      <c r="H562" s="8">
        <v>4320</v>
      </c>
      <c r="I562" s="5" t="s">
        <v>49</v>
      </c>
      <c r="J562" s="8">
        <v>3</v>
      </c>
      <c r="K562" s="8">
        <v>2</v>
      </c>
      <c r="L562" s="8">
        <v>5</v>
      </c>
      <c r="M5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2" s="8" t="str" cm="1">
        <f t="array" ref="N562">_xlfn.IFS(HR_Analytics56[[#This Row],[PerformanceRating]]=3,"Good",HR_Analytics56[[#This Row],[PerformanceRating]]=4, "Excellent")</f>
        <v>Good</v>
      </c>
      <c r="O562" s="8" t="str">
        <f>IF(HR_Analytics56[[#This Row],[MonthlyIncome]]&lt;3000,"&lt; ₹3,000",IF(HR_Analytics56[[#This Row],[MonthlyIncome]]&lt;=7000,"₹ 3,000 - ₹ 7,000","&gt; ₹7,000"))</f>
        <v>₹ 3,000 - ₹ 7,000</v>
      </c>
      <c r="P562" s="8" t="str" cm="1">
        <f t="array" ref="P5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3" spans="1:16" x14ac:dyDescent="0.8">
      <c r="A563" s="5" t="s">
        <v>633</v>
      </c>
      <c r="B563" s="8">
        <v>33</v>
      </c>
      <c r="C563" s="5" t="s">
        <v>49</v>
      </c>
      <c r="D563" s="5" t="s">
        <v>42</v>
      </c>
      <c r="E563" s="5" t="s">
        <v>44</v>
      </c>
      <c r="F563" s="5" t="s">
        <v>45</v>
      </c>
      <c r="G563" s="8">
        <v>3</v>
      </c>
      <c r="H563" s="8">
        <v>5207</v>
      </c>
      <c r="I563" s="5" t="s">
        <v>40</v>
      </c>
      <c r="J563" s="8">
        <v>3</v>
      </c>
      <c r="K563" s="8">
        <v>3</v>
      </c>
      <c r="L563" s="8">
        <v>15</v>
      </c>
      <c r="M5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63" s="8" t="str" cm="1">
        <f t="array" ref="N563">_xlfn.IFS(HR_Analytics56[[#This Row],[PerformanceRating]]=3,"Good",HR_Analytics56[[#This Row],[PerformanceRating]]=4, "Excellent")</f>
        <v>Good</v>
      </c>
      <c r="O563" s="8" t="str">
        <f>IF(HR_Analytics56[[#This Row],[MonthlyIncome]]&lt;3000,"&lt; ₹3,000",IF(HR_Analytics56[[#This Row],[MonthlyIncome]]&lt;=7000,"₹ 3,000 - ₹ 7,000","&gt; ₹7,000"))</f>
        <v>₹ 3,000 - ₹ 7,000</v>
      </c>
      <c r="P563" s="8" t="str" cm="1">
        <f t="array" ref="P5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4" spans="1:16" x14ac:dyDescent="0.8">
      <c r="A564" s="5" t="s">
        <v>634</v>
      </c>
      <c r="B564" s="8">
        <v>33</v>
      </c>
      <c r="C564" s="5" t="s">
        <v>49</v>
      </c>
      <c r="D564" s="5" t="s">
        <v>51</v>
      </c>
      <c r="E564" s="5" t="s">
        <v>44</v>
      </c>
      <c r="F564" s="5" t="s">
        <v>137</v>
      </c>
      <c r="G564" s="8">
        <v>1</v>
      </c>
      <c r="H564" s="8">
        <v>6392</v>
      </c>
      <c r="I564" s="5" t="s">
        <v>49</v>
      </c>
      <c r="J564" s="8">
        <v>3</v>
      </c>
      <c r="K564" s="8">
        <v>6</v>
      </c>
      <c r="L564" s="8">
        <v>2</v>
      </c>
      <c r="M5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4" s="8" t="str" cm="1">
        <f t="array" ref="N564">_xlfn.IFS(HR_Analytics56[[#This Row],[PerformanceRating]]=3,"Good",HR_Analytics56[[#This Row],[PerformanceRating]]=4, "Excellent")</f>
        <v>Good</v>
      </c>
      <c r="O564" s="8" t="str">
        <f>IF(HR_Analytics56[[#This Row],[MonthlyIncome]]&lt;3000,"&lt; ₹3,000",IF(HR_Analytics56[[#This Row],[MonthlyIncome]]&lt;=7000,"₹ 3,000 - ₹ 7,000","&gt; ₹7,000"))</f>
        <v>₹ 3,000 - ₹ 7,000</v>
      </c>
      <c r="P564" s="8" t="str" cm="1">
        <f t="array" ref="P5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5" spans="1:16" x14ac:dyDescent="0.8">
      <c r="A565" s="5" t="s">
        <v>635</v>
      </c>
      <c r="B565" s="8">
        <v>33</v>
      </c>
      <c r="C565" s="5" t="s">
        <v>49</v>
      </c>
      <c r="D565" s="5" t="s">
        <v>51</v>
      </c>
      <c r="E565" s="5" t="s">
        <v>44</v>
      </c>
      <c r="F565" s="5" t="s">
        <v>137</v>
      </c>
      <c r="G565" s="8">
        <v>4</v>
      </c>
      <c r="H565" s="8">
        <v>5505</v>
      </c>
      <c r="I565" s="5" t="s">
        <v>49</v>
      </c>
      <c r="J565" s="8">
        <v>3</v>
      </c>
      <c r="K565" s="8">
        <v>5</v>
      </c>
      <c r="L565" s="8">
        <v>6</v>
      </c>
      <c r="M5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5" s="8" t="str" cm="1">
        <f t="array" ref="N565">_xlfn.IFS(HR_Analytics56[[#This Row],[PerformanceRating]]=3,"Good",HR_Analytics56[[#This Row],[PerformanceRating]]=4, "Excellent")</f>
        <v>Good</v>
      </c>
      <c r="O565" s="8" t="str">
        <f>IF(HR_Analytics56[[#This Row],[MonthlyIncome]]&lt;3000,"&lt; ₹3,000",IF(HR_Analytics56[[#This Row],[MonthlyIncome]]&lt;=7000,"₹ 3,000 - ₹ 7,000","&gt; ₹7,000"))</f>
        <v>₹ 3,000 - ₹ 7,000</v>
      </c>
      <c r="P565" s="8" t="str" cm="1">
        <f t="array" ref="P5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6" spans="1:16" x14ac:dyDescent="0.8">
      <c r="A566" s="5" t="s">
        <v>636</v>
      </c>
      <c r="B566" s="8">
        <v>33</v>
      </c>
      <c r="C566" s="5" t="s">
        <v>49</v>
      </c>
      <c r="D566" s="5" t="s">
        <v>51</v>
      </c>
      <c r="E566" s="5" t="s">
        <v>53</v>
      </c>
      <c r="F566" s="5" t="s">
        <v>137</v>
      </c>
      <c r="G566" s="8">
        <v>4</v>
      </c>
      <c r="H566" s="8">
        <v>5368</v>
      </c>
      <c r="I566" s="5" t="s">
        <v>40</v>
      </c>
      <c r="J566" s="8">
        <v>4</v>
      </c>
      <c r="K566" s="8">
        <v>2</v>
      </c>
      <c r="L566" s="8">
        <v>6</v>
      </c>
      <c r="M5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66" s="8" t="str" cm="1">
        <f t="array" ref="N566">_xlfn.IFS(HR_Analytics56[[#This Row],[PerformanceRating]]=3,"Good",HR_Analytics56[[#This Row],[PerformanceRating]]=4, "Excellent")</f>
        <v>Excellent</v>
      </c>
      <c r="O566" s="8" t="str">
        <f>IF(HR_Analytics56[[#This Row],[MonthlyIncome]]&lt;3000,"&lt; ₹3,000",IF(HR_Analytics56[[#This Row],[MonthlyIncome]]&lt;=7000,"₹ 3,000 - ₹ 7,000","&gt; ₹7,000"))</f>
        <v>₹ 3,000 - ₹ 7,000</v>
      </c>
      <c r="P566" s="8" t="str" cm="1">
        <f t="array" ref="P5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7" spans="1:16" x14ac:dyDescent="0.8">
      <c r="A567" s="5" t="s">
        <v>637</v>
      </c>
      <c r="B567" s="8">
        <v>33</v>
      </c>
      <c r="C567" s="5" t="s">
        <v>49</v>
      </c>
      <c r="D567" s="5" t="s">
        <v>42</v>
      </c>
      <c r="E567" s="5" t="s">
        <v>44</v>
      </c>
      <c r="F567" s="5" t="s">
        <v>45</v>
      </c>
      <c r="G567" s="8">
        <v>2</v>
      </c>
      <c r="H567" s="8">
        <v>2028</v>
      </c>
      <c r="I567" s="5" t="s">
        <v>49</v>
      </c>
      <c r="J567" s="8">
        <v>3</v>
      </c>
      <c r="K567" s="8">
        <v>6</v>
      </c>
      <c r="L567" s="8">
        <v>14</v>
      </c>
      <c r="M5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7" s="8" t="str" cm="1">
        <f t="array" ref="N567">_xlfn.IFS(HR_Analytics56[[#This Row],[PerformanceRating]]=3,"Good",HR_Analytics56[[#This Row],[PerformanceRating]]=4, "Excellent")</f>
        <v>Good</v>
      </c>
      <c r="O567" s="8" t="str">
        <f>IF(HR_Analytics56[[#This Row],[MonthlyIncome]]&lt;3000,"&lt; ₹3,000",IF(HR_Analytics56[[#This Row],[MonthlyIncome]]&lt;=7000,"₹ 3,000 - ₹ 7,000","&gt; ₹7,000"))</f>
        <v>&lt; ₹3,000</v>
      </c>
      <c r="P567" s="8" t="str" cm="1">
        <f t="array" ref="P5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8" spans="1:16" x14ac:dyDescent="0.8">
      <c r="A568" s="5" t="s">
        <v>638</v>
      </c>
      <c r="B568" s="8">
        <v>33</v>
      </c>
      <c r="C568" s="5" t="s">
        <v>49</v>
      </c>
      <c r="D568" s="5" t="s">
        <v>51</v>
      </c>
      <c r="E568" s="5" t="s">
        <v>53</v>
      </c>
      <c r="F568" s="5" t="s">
        <v>137</v>
      </c>
      <c r="G568" s="8">
        <v>2</v>
      </c>
      <c r="H568" s="8">
        <v>5147</v>
      </c>
      <c r="I568" s="5" t="s">
        <v>49</v>
      </c>
      <c r="J568" s="8">
        <v>3</v>
      </c>
      <c r="K568" s="8">
        <v>2</v>
      </c>
      <c r="L568" s="8">
        <v>11</v>
      </c>
      <c r="M5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68" s="8" t="str" cm="1">
        <f t="array" ref="N568">_xlfn.IFS(HR_Analytics56[[#This Row],[PerformanceRating]]=3,"Good",HR_Analytics56[[#This Row],[PerformanceRating]]=4, "Excellent")</f>
        <v>Good</v>
      </c>
      <c r="O568" s="8" t="str">
        <f>IF(HR_Analytics56[[#This Row],[MonthlyIncome]]&lt;3000,"&lt; ₹3,000",IF(HR_Analytics56[[#This Row],[MonthlyIncome]]&lt;=7000,"₹ 3,000 - ₹ 7,000","&gt; ₹7,000"))</f>
        <v>₹ 3,000 - ₹ 7,000</v>
      </c>
      <c r="P568" s="8" t="str" cm="1">
        <f t="array" ref="P5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69" spans="1:16" x14ac:dyDescent="0.8">
      <c r="A569" s="5" t="s">
        <v>639</v>
      </c>
      <c r="B569" s="8">
        <v>33</v>
      </c>
      <c r="C569" s="5" t="s">
        <v>40</v>
      </c>
      <c r="D569" s="5" t="s">
        <v>51</v>
      </c>
      <c r="E569" s="5" t="s">
        <v>53</v>
      </c>
      <c r="F569" s="5" t="s">
        <v>137</v>
      </c>
      <c r="G569" s="8">
        <v>1</v>
      </c>
      <c r="H569" s="8">
        <v>8564</v>
      </c>
      <c r="I569" s="5" t="s">
        <v>40</v>
      </c>
      <c r="J569" s="8">
        <v>4</v>
      </c>
      <c r="K569" s="8">
        <v>2</v>
      </c>
      <c r="L569" s="8">
        <v>0</v>
      </c>
      <c r="M5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69" s="8" t="str" cm="1">
        <f t="array" ref="N569">_xlfn.IFS(HR_Analytics56[[#This Row],[PerformanceRating]]=3,"Good",HR_Analytics56[[#This Row],[PerformanceRating]]=4, "Excellent")</f>
        <v>Excellent</v>
      </c>
      <c r="O569" s="8" t="str">
        <f>IF(HR_Analytics56[[#This Row],[MonthlyIncome]]&lt;3000,"&lt; ₹3,000",IF(HR_Analytics56[[#This Row],[MonthlyIncome]]&lt;=7000,"₹ 3,000 - ₹ 7,000","&gt; ₹7,000"))</f>
        <v>&gt; ₹7,000</v>
      </c>
      <c r="P569" s="8" t="str" cm="1">
        <f t="array" ref="P5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0" spans="1:16" x14ac:dyDescent="0.8">
      <c r="A570" s="5" t="s">
        <v>640</v>
      </c>
      <c r="B570" s="8">
        <v>33</v>
      </c>
      <c r="C570" s="5" t="s">
        <v>49</v>
      </c>
      <c r="D570" s="5" t="s">
        <v>42</v>
      </c>
      <c r="E570" s="5" t="s">
        <v>44</v>
      </c>
      <c r="F570" s="5" t="s">
        <v>60</v>
      </c>
      <c r="G570" s="8">
        <v>2</v>
      </c>
      <c r="H570" s="8">
        <v>3055</v>
      </c>
      <c r="I570" s="5" t="s">
        <v>49</v>
      </c>
      <c r="J570" s="8">
        <v>3</v>
      </c>
      <c r="K570" s="8">
        <v>2</v>
      </c>
      <c r="L570" s="8">
        <v>9</v>
      </c>
      <c r="M5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0" s="8" t="str" cm="1">
        <f t="array" ref="N570">_xlfn.IFS(HR_Analytics56[[#This Row],[PerformanceRating]]=3,"Good",HR_Analytics56[[#This Row],[PerformanceRating]]=4, "Excellent")</f>
        <v>Good</v>
      </c>
      <c r="O570" s="8" t="str">
        <f>IF(HR_Analytics56[[#This Row],[MonthlyIncome]]&lt;3000,"&lt; ₹3,000",IF(HR_Analytics56[[#This Row],[MonthlyIncome]]&lt;=7000,"₹ 3,000 - ₹ 7,000","&gt; ₹7,000"))</f>
        <v>₹ 3,000 - ₹ 7,000</v>
      </c>
      <c r="P570" s="8" t="str" cm="1">
        <f t="array" ref="P5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1" spans="1:16" x14ac:dyDescent="0.8">
      <c r="A571" s="5" t="s">
        <v>641</v>
      </c>
      <c r="B571" s="8">
        <v>33</v>
      </c>
      <c r="C571" s="5" t="s">
        <v>49</v>
      </c>
      <c r="D571" s="5" t="s">
        <v>42</v>
      </c>
      <c r="E571" s="5" t="s">
        <v>44</v>
      </c>
      <c r="F571" s="5" t="s">
        <v>60</v>
      </c>
      <c r="G571" s="8">
        <v>1</v>
      </c>
      <c r="H571" s="8">
        <v>3143</v>
      </c>
      <c r="I571" s="5" t="s">
        <v>49</v>
      </c>
      <c r="J571" s="8">
        <v>3</v>
      </c>
      <c r="K571" s="8">
        <v>1</v>
      </c>
      <c r="L571" s="8">
        <v>10</v>
      </c>
      <c r="M5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1" s="8" t="str" cm="1">
        <f t="array" ref="N571">_xlfn.IFS(HR_Analytics56[[#This Row],[PerformanceRating]]=3,"Good",HR_Analytics56[[#This Row],[PerformanceRating]]=4, "Excellent")</f>
        <v>Good</v>
      </c>
      <c r="O571" s="8" t="str">
        <f>IF(HR_Analytics56[[#This Row],[MonthlyIncome]]&lt;3000,"&lt; ₹3,000",IF(HR_Analytics56[[#This Row],[MonthlyIncome]]&lt;=7000,"₹ 3,000 - ₹ 7,000","&gt; ₹7,000"))</f>
        <v>₹ 3,000 - ₹ 7,000</v>
      </c>
      <c r="P571" s="8" t="str" cm="1">
        <f t="array" ref="P5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2" spans="1:16" x14ac:dyDescent="0.8">
      <c r="A572" s="5" t="s">
        <v>642</v>
      </c>
      <c r="B572" s="8">
        <v>33</v>
      </c>
      <c r="C572" s="5" t="s">
        <v>49</v>
      </c>
      <c r="D572" s="5" t="s">
        <v>51</v>
      </c>
      <c r="E572" s="5" t="s">
        <v>44</v>
      </c>
      <c r="F572" s="5" t="s">
        <v>137</v>
      </c>
      <c r="G572" s="8">
        <v>3</v>
      </c>
      <c r="H572" s="8">
        <v>5487</v>
      </c>
      <c r="I572" s="5" t="s">
        <v>49</v>
      </c>
      <c r="J572" s="8">
        <v>3</v>
      </c>
      <c r="K572" s="8">
        <v>2</v>
      </c>
      <c r="L572" s="8">
        <v>10</v>
      </c>
      <c r="M5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2" s="8" t="str" cm="1">
        <f t="array" ref="N572">_xlfn.IFS(HR_Analytics56[[#This Row],[PerformanceRating]]=3,"Good",HR_Analytics56[[#This Row],[PerformanceRating]]=4, "Excellent")</f>
        <v>Good</v>
      </c>
      <c r="O572" s="8" t="str">
        <f>IF(HR_Analytics56[[#This Row],[MonthlyIncome]]&lt;3000,"&lt; ₹3,000",IF(HR_Analytics56[[#This Row],[MonthlyIncome]]&lt;=7000,"₹ 3,000 - ₹ 7,000","&gt; ₹7,000"))</f>
        <v>₹ 3,000 - ₹ 7,000</v>
      </c>
      <c r="P572" s="8" t="str" cm="1">
        <f t="array" ref="P5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3" spans="1:16" x14ac:dyDescent="0.8">
      <c r="A573" s="5" t="s">
        <v>643</v>
      </c>
      <c r="B573" s="8">
        <v>33</v>
      </c>
      <c r="C573" s="5" t="s">
        <v>49</v>
      </c>
      <c r="D573" s="5" t="s">
        <v>42</v>
      </c>
      <c r="E573" s="5" t="s">
        <v>44</v>
      </c>
      <c r="F573" s="5" t="s">
        <v>161</v>
      </c>
      <c r="G573" s="8">
        <v>3</v>
      </c>
      <c r="H573" s="8">
        <v>5968</v>
      </c>
      <c r="I573" s="5" t="s">
        <v>49</v>
      </c>
      <c r="J573" s="8">
        <v>4</v>
      </c>
      <c r="K573" s="8">
        <v>2</v>
      </c>
      <c r="L573" s="8">
        <v>9</v>
      </c>
      <c r="M5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3" s="8" t="str" cm="1">
        <f t="array" ref="N573">_xlfn.IFS(HR_Analytics56[[#This Row],[PerformanceRating]]=3,"Good",HR_Analytics56[[#This Row],[PerformanceRating]]=4, "Excellent")</f>
        <v>Excellent</v>
      </c>
      <c r="O573" s="8" t="str">
        <f>IF(HR_Analytics56[[#This Row],[MonthlyIncome]]&lt;3000,"&lt; ₹3,000",IF(HR_Analytics56[[#This Row],[MonthlyIncome]]&lt;=7000,"₹ 3,000 - ₹ 7,000","&gt; ₹7,000"))</f>
        <v>₹ 3,000 - ₹ 7,000</v>
      </c>
      <c r="P573" s="8" t="str" cm="1">
        <f t="array" ref="P5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4" spans="1:16" x14ac:dyDescent="0.8">
      <c r="A574" s="5" t="s">
        <v>644</v>
      </c>
      <c r="B574" s="8">
        <v>33</v>
      </c>
      <c r="C574" s="5" t="s">
        <v>49</v>
      </c>
      <c r="D574" s="5" t="s">
        <v>42</v>
      </c>
      <c r="E574" s="5" t="s">
        <v>44</v>
      </c>
      <c r="F574" s="5" t="s">
        <v>45</v>
      </c>
      <c r="G574" s="8">
        <v>3</v>
      </c>
      <c r="H574" s="8">
        <v>2008</v>
      </c>
      <c r="I574" s="5" t="s">
        <v>49</v>
      </c>
      <c r="J574" s="8">
        <v>3</v>
      </c>
      <c r="K574" s="8">
        <v>2</v>
      </c>
      <c r="L574" s="8">
        <v>1</v>
      </c>
      <c r="M5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4" s="8" t="str" cm="1">
        <f t="array" ref="N574">_xlfn.IFS(HR_Analytics56[[#This Row],[PerformanceRating]]=3,"Good",HR_Analytics56[[#This Row],[PerformanceRating]]=4, "Excellent")</f>
        <v>Good</v>
      </c>
      <c r="O574" s="8" t="str">
        <f>IF(HR_Analytics56[[#This Row],[MonthlyIncome]]&lt;3000,"&lt; ₹3,000",IF(HR_Analytics56[[#This Row],[MonthlyIncome]]&lt;=7000,"₹ 3,000 - ₹ 7,000","&gt; ₹7,000"))</f>
        <v>&lt; ₹3,000</v>
      </c>
      <c r="P574" s="8" t="str" cm="1">
        <f t="array" ref="P5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5" spans="1:16" x14ac:dyDescent="0.8">
      <c r="A575" s="5" t="s">
        <v>645</v>
      </c>
      <c r="B575" s="8">
        <v>33</v>
      </c>
      <c r="C575" s="5" t="s">
        <v>49</v>
      </c>
      <c r="D575" s="5" t="s">
        <v>42</v>
      </c>
      <c r="E575" s="5" t="s">
        <v>53</v>
      </c>
      <c r="F575" s="5" t="s">
        <v>161</v>
      </c>
      <c r="G575" s="8">
        <v>4</v>
      </c>
      <c r="H575" s="8">
        <v>4878</v>
      </c>
      <c r="I575" s="5" t="s">
        <v>40</v>
      </c>
      <c r="J575" s="8">
        <v>3</v>
      </c>
      <c r="K575" s="8">
        <v>6</v>
      </c>
      <c r="L575" s="8">
        <v>9</v>
      </c>
      <c r="M5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75" s="8" t="str" cm="1">
        <f t="array" ref="N575">_xlfn.IFS(HR_Analytics56[[#This Row],[PerformanceRating]]=3,"Good",HR_Analytics56[[#This Row],[PerformanceRating]]=4, "Excellent")</f>
        <v>Good</v>
      </c>
      <c r="O575" s="8" t="str">
        <f>IF(HR_Analytics56[[#This Row],[MonthlyIncome]]&lt;3000,"&lt; ₹3,000",IF(HR_Analytics56[[#This Row],[MonthlyIncome]]&lt;=7000,"₹ 3,000 - ₹ 7,000","&gt; ₹7,000"))</f>
        <v>₹ 3,000 - ₹ 7,000</v>
      </c>
      <c r="P575" s="8" t="str" cm="1">
        <f t="array" ref="P5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6" spans="1:16" x14ac:dyDescent="0.8">
      <c r="A576" s="5" t="s">
        <v>646</v>
      </c>
      <c r="B576" s="8">
        <v>34</v>
      </c>
      <c r="C576" s="5" t="s">
        <v>49</v>
      </c>
      <c r="D576" s="5" t="s">
        <v>42</v>
      </c>
      <c r="E576" s="5" t="s">
        <v>44</v>
      </c>
      <c r="F576" s="5" t="s">
        <v>45</v>
      </c>
      <c r="G576" s="8">
        <v>4</v>
      </c>
      <c r="H576" s="8">
        <v>2661</v>
      </c>
      <c r="I576" s="5" t="s">
        <v>49</v>
      </c>
      <c r="J576" s="8">
        <v>3</v>
      </c>
      <c r="K576" s="8">
        <v>2</v>
      </c>
      <c r="L576" s="8">
        <v>2</v>
      </c>
      <c r="M5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6" s="8" t="str" cm="1">
        <f t="array" ref="N576">_xlfn.IFS(HR_Analytics56[[#This Row],[PerformanceRating]]=3,"Good",HR_Analytics56[[#This Row],[PerformanceRating]]=4, "Excellent")</f>
        <v>Good</v>
      </c>
      <c r="O576" s="8" t="str">
        <f>IF(HR_Analytics56[[#This Row],[MonthlyIncome]]&lt;3000,"&lt; ₹3,000",IF(HR_Analytics56[[#This Row],[MonthlyIncome]]&lt;=7000,"₹ 3,000 - ₹ 7,000","&gt; ₹7,000"))</f>
        <v>&lt; ₹3,000</v>
      </c>
      <c r="P576" s="8" t="str" cm="1">
        <f t="array" ref="P5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7" spans="1:16" x14ac:dyDescent="0.8">
      <c r="A577" s="5" t="s">
        <v>647</v>
      </c>
      <c r="B577" s="8">
        <v>34</v>
      </c>
      <c r="C577" s="5" t="s">
        <v>49</v>
      </c>
      <c r="D577" s="5" t="s">
        <v>42</v>
      </c>
      <c r="E577" s="5" t="s">
        <v>53</v>
      </c>
      <c r="F577" s="5" t="s">
        <v>252</v>
      </c>
      <c r="G577" s="8">
        <v>2</v>
      </c>
      <c r="H577" s="8">
        <v>11994</v>
      </c>
      <c r="I577" s="5" t="s">
        <v>49</v>
      </c>
      <c r="J577" s="8">
        <v>3</v>
      </c>
      <c r="K577" s="8">
        <v>4</v>
      </c>
      <c r="L577" s="8">
        <v>12</v>
      </c>
      <c r="M5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7" s="8" t="str" cm="1">
        <f t="array" ref="N577">_xlfn.IFS(HR_Analytics56[[#This Row],[PerformanceRating]]=3,"Good",HR_Analytics56[[#This Row],[PerformanceRating]]=4, "Excellent")</f>
        <v>Good</v>
      </c>
      <c r="O577" s="8" t="str">
        <f>IF(HR_Analytics56[[#This Row],[MonthlyIncome]]&lt;3000,"&lt; ₹3,000",IF(HR_Analytics56[[#This Row],[MonthlyIncome]]&lt;=7000,"₹ 3,000 - ₹ 7,000","&gt; ₹7,000"))</f>
        <v>&gt; ₹7,000</v>
      </c>
      <c r="P577" s="8" t="str" cm="1">
        <f t="array" ref="P5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8" spans="1:16" x14ac:dyDescent="0.8">
      <c r="A578" s="5" t="s">
        <v>648</v>
      </c>
      <c r="B578" s="8">
        <v>34</v>
      </c>
      <c r="C578" s="5" t="s">
        <v>40</v>
      </c>
      <c r="D578" s="5" t="s">
        <v>42</v>
      </c>
      <c r="E578" s="5" t="s">
        <v>44</v>
      </c>
      <c r="F578" s="5" t="s">
        <v>60</v>
      </c>
      <c r="G578" s="8">
        <v>1</v>
      </c>
      <c r="H578" s="8">
        <v>2960</v>
      </c>
      <c r="I578" s="5" t="s">
        <v>49</v>
      </c>
      <c r="J578" s="8">
        <v>3</v>
      </c>
      <c r="K578" s="8">
        <v>2</v>
      </c>
      <c r="L578" s="8">
        <v>4</v>
      </c>
      <c r="M5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78" s="8" t="str" cm="1">
        <f t="array" ref="N578">_xlfn.IFS(HR_Analytics56[[#This Row],[PerformanceRating]]=3,"Good",HR_Analytics56[[#This Row],[PerformanceRating]]=4, "Excellent")</f>
        <v>Good</v>
      </c>
      <c r="O578" s="8" t="str">
        <f>IF(HR_Analytics56[[#This Row],[MonthlyIncome]]&lt;3000,"&lt; ₹3,000",IF(HR_Analytics56[[#This Row],[MonthlyIncome]]&lt;=7000,"₹ 3,000 - ₹ 7,000","&gt; ₹7,000"))</f>
        <v>&lt; ₹3,000</v>
      </c>
      <c r="P578" s="8" t="str" cm="1">
        <f t="array" ref="P5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79" spans="1:16" x14ac:dyDescent="0.8">
      <c r="A579" s="5" t="s">
        <v>649</v>
      </c>
      <c r="B579" s="8">
        <v>34</v>
      </c>
      <c r="C579" s="5" t="s">
        <v>49</v>
      </c>
      <c r="D579" s="5" t="s">
        <v>51</v>
      </c>
      <c r="E579" s="5" t="s">
        <v>44</v>
      </c>
      <c r="F579" s="5" t="s">
        <v>137</v>
      </c>
      <c r="G579" s="8">
        <v>3</v>
      </c>
      <c r="H579" s="8">
        <v>4568</v>
      </c>
      <c r="I579" s="5" t="s">
        <v>49</v>
      </c>
      <c r="J579" s="8">
        <v>4</v>
      </c>
      <c r="K579" s="8">
        <v>2</v>
      </c>
      <c r="L579" s="8">
        <v>9</v>
      </c>
      <c r="M5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79" s="8" t="str" cm="1">
        <f t="array" ref="N579">_xlfn.IFS(HR_Analytics56[[#This Row],[PerformanceRating]]=3,"Good",HR_Analytics56[[#This Row],[PerformanceRating]]=4, "Excellent")</f>
        <v>Excellent</v>
      </c>
      <c r="O579" s="8" t="str">
        <f>IF(HR_Analytics56[[#This Row],[MonthlyIncome]]&lt;3000,"&lt; ₹3,000",IF(HR_Analytics56[[#This Row],[MonthlyIncome]]&lt;=7000,"₹ 3,000 - ₹ 7,000","&gt; ₹7,000"))</f>
        <v>₹ 3,000 - ₹ 7,000</v>
      </c>
      <c r="P579" s="8" t="str" cm="1">
        <f t="array" ref="P5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0" spans="1:16" x14ac:dyDescent="0.8">
      <c r="A580" s="5" t="s">
        <v>650</v>
      </c>
      <c r="B580" s="8">
        <v>34</v>
      </c>
      <c r="C580" s="5" t="s">
        <v>49</v>
      </c>
      <c r="D580" s="5" t="s">
        <v>42</v>
      </c>
      <c r="E580" s="5" t="s">
        <v>44</v>
      </c>
      <c r="F580" s="5" t="s">
        <v>112</v>
      </c>
      <c r="G580" s="8">
        <v>2</v>
      </c>
      <c r="H580" s="8">
        <v>4325</v>
      </c>
      <c r="I580" s="5" t="s">
        <v>49</v>
      </c>
      <c r="J580" s="8">
        <v>3</v>
      </c>
      <c r="K580" s="8">
        <v>2</v>
      </c>
      <c r="L580" s="8">
        <v>5</v>
      </c>
      <c r="M5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0" s="8" t="str" cm="1">
        <f t="array" ref="N580">_xlfn.IFS(HR_Analytics56[[#This Row],[PerformanceRating]]=3,"Good",HR_Analytics56[[#This Row],[PerformanceRating]]=4, "Excellent")</f>
        <v>Good</v>
      </c>
      <c r="O580" s="8" t="str">
        <f>IF(HR_Analytics56[[#This Row],[MonthlyIncome]]&lt;3000,"&lt; ₹3,000",IF(HR_Analytics56[[#This Row],[MonthlyIncome]]&lt;=7000,"₹ 3,000 - ₹ 7,000","&gt; ₹7,000"))</f>
        <v>₹ 3,000 - ₹ 7,000</v>
      </c>
      <c r="P580" s="8" t="str" cm="1">
        <f t="array" ref="P5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1" spans="1:16" x14ac:dyDescent="0.8">
      <c r="A581" s="5" t="s">
        <v>651</v>
      </c>
      <c r="B581" s="8">
        <v>34</v>
      </c>
      <c r="C581" s="5" t="s">
        <v>49</v>
      </c>
      <c r="D581" s="5" t="s">
        <v>42</v>
      </c>
      <c r="E581" s="5" t="s">
        <v>53</v>
      </c>
      <c r="F581" s="5" t="s">
        <v>60</v>
      </c>
      <c r="G581" s="8">
        <v>3</v>
      </c>
      <c r="H581" s="8">
        <v>4809</v>
      </c>
      <c r="I581" s="5" t="s">
        <v>49</v>
      </c>
      <c r="J581" s="8">
        <v>3</v>
      </c>
      <c r="K581" s="8">
        <v>3</v>
      </c>
      <c r="L581" s="8">
        <v>16</v>
      </c>
      <c r="M5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1" s="8" t="str" cm="1">
        <f t="array" ref="N581">_xlfn.IFS(HR_Analytics56[[#This Row],[PerformanceRating]]=3,"Good",HR_Analytics56[[#This Row],[PerformanceRating]]=4, "Excellent")</f>
        <v>Good</v>
      </c>
      <c r="O581" s="8" t="str">
        <f>IF(HR_Analytics56[[#This Row],[MonthlyIncome]]&lt;3000,"&lt; ₹3,000",IF(HR_Analytics56[[#This Row],[MonthlyIncome]]&lt;=7000,"₹ 3,000 - ₹ 7,000","&gt; ₹7,000"))</f>
        <v>₹ 3,000 - ₹ 7,000</v>
      </c>
      <c r="P581" s="8" t="str" cm="1">
        <f t="array" ref="P5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2" spans="1:16" x14ac:dyDescent="0.8">
      <c r="A582" s="5" t="s">
        <v>652</v>
      </c>
      <c r="B582" s="8">
        <v>34</v>
      </c>
      <c r="C582" s="5" t="s">
        <v>40</v>
      </c>
      <c r="D582" s="5" t="s">
        <v>42</v>
      </c>
      <c r="E582" s="5" t="s">
        <v>44</v>
      </c>
      <c r="F582" s="5" t="s">
        <v>45</v>
      </c>
      <c r="G582" s="8">
        <v>3</v>
      </c>
      <c r="H582" s="8">
        <v>6074</v>
      </c>
      <c r="I582" s="5" t="s">
        <v>40</v>
      </c>
      <c r="J582" s="8">
        <v>4</v>
      </c>
      <c r="K582" s="8">
        <v>3</v>
      </c>
      <c r="L582" s="8">
        <v>9</v>
      </c>
      <c r="M5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82" s="8" t="str" cm="1">
        <f t="array" ref="N582">_xlfn.IFS(HR_Analytics56[[#This Row],[PerformanceRating]]=3,"Good",HR_Analytics56[[#This Row],[PerformanceRating]]=4, "Excellent")</f>
        <v>Excellent</v>
      </c>
      <c r="O582" s="8" t="str">
        <f>IF(HR_Analytics56[[#This Row],[MonthlyIncome]]&lt;3000,"&lt; ₹3,000",IF(HR_Analytics56[[#This Row],[MonthlyIncome]]&lt;=7000,"₹ 3,000 - ₹ 7,000","&gt; ₹7,000"))</f>
        <v>₹ 3,000 - ₹ 7,000</v>
      </c>
      <c r="P582" s="8" t="str" cm="1">
        <f t="array" ref="P58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583" spans="1:16" x14ac:dyDescent="0.8">
      <c r="A583" s="5" t="s">
        <v>653</v>
      </c>
      <c r="B583" s="8">
        <v>34</v>
      </c>
      <c r="C583" s="5" t="s">
        <v>49</v>
      </c>
      <c r="D583" s="5" t="s">
        <v>42</v>
      </c>
      <c r="E583" s="5" t="s">
        <v>53</v>
      </c>
      <c r="F583" s="5" t="s">
        <v>60</v>
      </c>
      <c r="G583" s="8">
        <v>2</v>
      </c>
      <c r="H583" s="8">
        <v>4505</v>
      </c>
      <c r="I583" s="5" t="s">
        <v>49</v>
      </c>
      <c r="J583" s="8">
        <v>3</v>
      </c>
      <c r="K583" s="8">
        <v>3</v>
      </c>
      <c r="L583" s="8">
        <v>1</v>
      </c>
      <c r="M5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3" s="8" t="str" cm="1">
        <f t="array" ref="N583">_xlfn.IFS(HR_Analytics56[[#This Row],[PerformanceRating]]=3,"Good",HR_Analytics56[[#This Row],[PerformanceRating]]=4, "Excellent")</f>
        <v>Good</v>
      </c>
      <c r="O583" s="8" t="str">
        <f>IF(HR_Analytics56[[#This Row],[MonthlyIncome]]&lt;3000,"&lt; ₹3,000",IF(HR_Analytics56[[#This Row],[MonthlyIncome]]&lt;=7000,"₹ 3,000 - ₹ 7,000","&gt; ₹7,000"))</f>
        <v>₹ 3,000 - ₹ 7,000</v>
      </c>
      <c r="P583" s="8" t="str" cm="1">
        <f t="array" ref="P5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4" spans="1:16" x14ac:dyDescent="0.8">
      <c r="A584" s="5" t="s">
        <v>654</v>
      </c>
      <c r="B584" s="8">
        <v>34</v>
      </c>
      <c r="C584" s="5" t="s">
        <v>49</v>
      </c>
      <c r="D584" s="5" t="s">
        <v>42</v>
      </c>
      <c r="E584" s="5" t="s">
        <v>53</v>
      </c>
      <c r="F584" s="5" t="s">
        <v>442</v>
      </c>
      <c r="G584" s="8">
        <v>1</v>
      </c>
      <c r="H584" s="8">
        <v>11631</v>
      </c>
      <c r="I584" s="5" t="s">
        <v>49</v>
      </c>
      <c r="J584" s="8">
        <v>3</v>
      </c>
      <c r="K584" s="8">
        <v>6</v>
      </c>
      <c r="L584" s="8">
        <v>11</v>
      </c>
      <c r="M5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4" s="8" t="str" cm="1">
        <f t="array" ref="N584">_xlfn.IFS(HR_Analytics56[[#This Row],[PerformanceRating]]=3,"Good",HR_Analytics56[[#This Row],[PerformanceRating]]=4, "Excellent")</f>
        <v>Good</v>
      </c>
      <c r="O584" s="8" t="str">
        <f>IF(HR_Analytics56[[#This Row],[MonthlyIncome]]&lt;3000,"&lt; ₹3,000",IF(HR_Analytics56[[#This Row],[MonthlyIncome]]&lt;=7000,"₹ 3,000 - ₹ 7,000","&gt; ₹7,000"))</f>
        <v>&gt; ₹7,000</v>
      </c>
      <c r="P584" s="8" t="str" cm="1">
        <f t="array" ref="P5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5" spans="1:16" x14ac:dyDescent="0.8">
      <c r="A585" s="5" t="s">
        <v>655</v>
      </c>
      <c r="B585" s="8">
        <v>34</v>
      </c>
      <c r="C585" s="5" t="s">
        <v>49</v>
      </c>
      <c r="D585" s="5" t="s">
        <v>51</v>
      </c>
      <c r="E585" s="5" t="s">
        <v>53</v>
      </c>
      <c r="F585" s="5" t="s">
        <v>54</v>
      </c>
      <c r="G585" s="8">
        <v>3</v>
      </c>
      <c r="H585" s="8">
        <v>2231</v>
      </c>
      <c r="I585" s="5" t="s">
        <v>49</v>
      </c>
      <c r="J585" s="8">
        <v>3</v>
      </c>
      <c r="K585" s="8">
        <v>3</v>
      </c>
      <c r="L585" s="8">
        <v>4</v>
      </c>
      <c r="M5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5" s="8" t="str" cm="1">
        <f t="array" ref="N585">_xlfn.IFS(HR_Analytics56[[#This Row],[PerformanceRating]]=3,"Good",HR_Analytics56[[#This Row],[PerformanceRating]]=4, "Excellent")</f>
        <v>Good</v>
      </c>
      <c r="O585" s="8" t="str">
        <f>IF(HR_Analytics56[[#This Row],[MonthlyIncome]]&lt;3000,"&lt; ₹3,000",IF(HR_Analytics56[[#This Row],[MonthlyIncome]]&lt;=7000,"₹ 3,000 - ₹ 7,000","&gt; ₹7,000"))</f>
        <v>&lt; ₹3,000</v>
      </c>
      <c r="P585" s="8" t="str" cm="1">
        <f t="array" ref="P5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6" spans="1:16" x14ac:dyDescent="0.8">
      <c r="A586" s="5" t="s">
        <v>656</v>
      </c>
      <c r="B586" s="8">
        <v>34</v>
      </c>
      <c r="C586" s="5" t="s">
        <v>49</v>
      </c>
      <c r="D586" s="5" t="s">
        <v>42</v>
      </c>
      <c r="E586" s="5" t="s">
        <v>53</v>
      </c>
      <c r="F586" s="5" t="s">
        <v>60</v>
      </c>
      <c r="G586" s="8">
        <v>2</v>
      </c>
      <c r="H586" s="8">
        <v>2311</v>
      </c>
      <c r="I586" s="5" t="s">
        <v>49</v>
      </c>
      <c r="J586" s="8">
        <v>3</v>
      </c>
      <c r="K586" s="8">
        <v>3</v>
      </c>
      <c r="L586" s="8">
        <v>3</v>
      </c>
      <c r="M5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6" s="8" t="str" cm="1">
        <f t="array" ref="N586">_xlfn.IFS(HR_Analytics56[[#This Row],[PerformanceRating]]=3,"Good",HR_Analytics56[[#This Row],[PerformanceRating]]=4, "Excellent")</f>
        <v>Good</v>
      </c>
      <c r="O586" s="8" t="str">
        <f>IF(HR_Analytics56[[#This Row],[MonthlyIncome]]&lt;3000,"&lt; ₹3,000",IF(HR_Analytics56[[#This Row],[MonthlyIncome]]&lt;=7000,"₹ 3,000 - ₹ 7,000","&gt; ₹7,000"))</f>
        <v>&lt; ₹3,000</v>
      </c>
      <c r="P586" s="8" t="str" cm="1">
        <f t="array" ref="P5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7" spans="1:16" x14ac:dyDescent="0.8">
      <c r="A587" s="5" t="s">
        <v>657</v>
      </c>
      <c r="B587" s="8">
        <v>34</v>
      </c>
      <c r="C587" s="5" t="s">
        <v>49</v>
      </c>
      <c r="D587" s="5" t="s">
        <v>42</v>
      </c>
      <c r="E587" s="5" t="s">
        <v>44</v>
      </c>
      <c r="F587" s="5" t="s">
        <v>112</v>
      </c>
      <c r="G587" s="8">
        <v>3</v>
      </c>
      <c r="H587" s="8">
        <v>9547</v>
      </c>
      <c r="I587" s="5" t="s">
        <v>49</v>
      </c>
      <c r="J587" s="8">
        <v>3</v>
      </c>
      <c r="K587" s="8">
        <v>2</v>
      </c>
      <c r="L587" s="8">
        <v>10</v>
      </c>
      <c r="M5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7" s="8" t="str" cm="1">
        <f t="array" ref="N587">_xlfn.IFS(HR_Analytics56[[#This Row],[PerformanceRating]]=3,"Good",HR_Analytics56[[#This Row],[PerformanceRating]]=4, "Excellent")</f>
        <v>Good</v>
      </c>
      <c r="O587" s="8" t="str">
        <f>IF(HR_Analytics56[[#This Row],[MonthlyIncome]]&lt;3000,"&lt; ₹3,000",IF(HR_Analytics56[[#This Row],[MonthlyIncome]]&lt;=7000,"₹ 3,000 - ₹ 7,000","&gt; ₹7,000"))</f>
        <v>&gt; ₹7,000</v>
      </c>
      <c r="P587" s="8" t="str" cm="1">
        <f t="array" ref="P5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8" spans="1:16" x14ac:dyDescent="0.8">
      <c r="A588" s="5" t="s">
        <v>658</v>
      </c>
      <c r="B588" s="8">
        <v>34</v>
      </c>
      <c r="C588" s="5" t="s">
        <v>49</v>
      </c>
      <c r="D588" s="5" t="s">
        <v>42</v>
      </c>
      <c r="E588" s="5" t="s">
        <v>44</v>
      </c>
      <c r="F588" s="5" t="s">
        <v>60</v>
      </c>
      <c r="G588" s="8">
        <v>3</v>
      </c>
      <c r="H588" s="8">
        <v>3815</v>
      </c>
      <c r="I588" s="5" t="s">
        <v>40</v>
      </c>
      <c r="J588" s="8">
        <v>3</v>
      </c>
      <c r="K588" s="8">
        <v>4</v>
      </c>
      <c r="L588" s="8">
        <v>5</v>
      </c>
      <c r="M5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88" s="8" t="str" cm="1">
        <f t="array" ref="N588">_xlfn.IFS(HR_Analytics56[[#This Row],[PerformanceRating]]=3,"Good",HR_Analytics56[[#This Row],[PerformanceRating]]=4, "Excellent")</f>
        <v>Good</v>
      </c>
      <c r="O588" s="8" t="str">
        <f>IF(HR_Analytics56[[#This Row],[MonthlyIncome]]&lt;3000,"&lt; ₹3,000",IF(HR_Analytics56[[#This Row],[MonthlyIncome]]&lt;=7000,"₹ 3,000 - ₹ 7,000","&gt; ₹7,000"))</f>
        <v>₹ 3,000 - ₹ 7,000</v>
      </c>
      <c r="P588" s="8" t="str" cm="1">
        <f t="array" ref="P5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89" spans="1:16" x14ac:dyDescent="0.8">
      <c r="A589" s="5" t="s">
        <v>659</v>
      </c>
      <c r="B589" s="8">
        <v>34</v>
      </c>
      <c r="C589" s="5" t="s">
        <v>49</v>
      </c>
      <c r="D589" s="5" t="s">
        <v>42</v>
      </c>
      <c r="E589" s="5" t="s">
        <v>44</v>
      </c>
      <c r="F589" s="5" t="s">
        <v>112</v>
      </c>
      <c r="G589" s="8">
        <v>1</v>
      </c>
      <c r="H589" s="8">
        <v>5957</v>
      </c>
      <c r="I589" s="5" t="s">
        <v>49</v>
      </c>
      <c r="J589" s="8">
        <v>3</v>
      </c>
      <c r="K589" s="8">
        <v>3</v>
      </c>
      <c r="L589" s="8">
        <v>11</v>
      </c>
      <c r="M5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89" s="8" t="str" cm="1">
        <f t="array" ref="N589">_xlfn.IFS(HR_Analytics56[[#This Row],[PerformanceRating]]=3,"Good",HR_Analytics56[[#This Row],[PerformanceRating]]=4, "Excellent")</f>
        <v>Good</v>
      </c>
      <c r="O589" s="8" t="str">
        <f>IF(HR_Analytics56[[#This Row],[MonthlyIncome]]&lt;3000,"&lt; ₹3,000",IF(HR_Analytics56[[#This Row],[MonthlyIncome]]&lt;=7000,"₹ 3,000 - ₹ 7,000","&gt; ₹7,000"))</f>
        <v>₹ 3,000 - ₹ 7,000</v>
      </c>
      <c r="P589" s="8" t="str" cm="1">
        <f t="array" ref="P5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0" spans="1:16" x14ac:dyDescent="0.8">
      <c r="A590" s="5" t="s">
        <v>660</v>
      </c>
      <c r="B590" s="8">
        <v>34</v>
      </c>
      <c r="C590" s="5" t="s">
        <v>40</v>
      </c>
      <c r="D590" s="5" t="s">
        <v>51</v>
      </c>
      <c r="E590" s="5" t="s">
        <v>44</v>
      </c>
      <c r="F590" s="5" t="s">
        <v>137</v>
      </c>
      <c r="G590" s="8">
        <v>4</v>
      </c>
      <c r="H590" s="8">
        <v>5304</v>
      </c>
      <c r="I590" s="5" t="s">
        <v>40</v>
      </c>
      <c r="J590" s="8">
        <v>3</v>
      </c>
      <c r="K590" s="8">
        <v>3</v>
      </c>
      <c r="L590" s="8">
        <v>5</v>
      </c>
      <c r="M5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90" s="8" t="str" cm="1">
        <f t="array" ref="N590">_xlfn.IFS(HR_Analytics56[[#This Row],[PerformanceRating]]=3,"Good",HR_Analytics56[[#This Row],[PerformanceRating]]=4, "Excellent")</f>
        <v>Good</v>
      </c>
      <c r="O590" s="8" t="str">
        <f>IF(HR_Analytics56[[#This Row],[MonthlyIncome]]&lt;3000,"&lt; ₹3,000",IF(HR_Analytics56[[#This Row],[MonthlyIncome]]&lt;=7000,"₹ 3,000 - ₹ 7,000","&gt; ₹7,000"))</f>
        <v>₹ 3,000 - ₹ 7,000</v>
      </c>
      <c r="P590" s="8" t="str" cm="1">
        <f t="array" ref="P5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1" spans="1:16" x14ac:dyDescent="0.8">
      <c r="A591" s="5" t="s">
        <v>661</v>
      </c>
      <c r="B591" s="8">
        <v>34</v>
      </c>
      <c r="C591" s="5" t="s">
        <v>49</v>
      </c>
      <c r="D591" s="5" t="s">
        <v>51</v>
      </c>
      <c r="E591" s="5" t="s">
        <v>53</v>
      </c>
      <c r="F591" s="5" t="s">
        <v>137</v>
      </c>
      <c r="G591" s="8">
        <v>3</v>
      </c>
      <c r="H591" s="8">
        <v>6538</v>
      </c>
      <c r="I591" s="5" t="s">
        <v>49</v>
      </c>
      <c r="J591" s="8">
        <v>3</v>
      </c>
      <c r="K591" s="8">
        <v>3</v>
      </c>
      <c r="L591" s="8">
        <v>3</v>
      </c>
      <c r="M5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1" s="8" t="str" cm="1">
        <f t="array" ref="N591">_xlfn.IFS(HR_Analytics56[[#This Row],[PerformanceRating]]=3,"Good",HR_Analytics56[[#This Row],[PerformanceRating]]=4, "Excellent")</f>
        <v>Good</v>
      </c>
      <c r="O591" s="8" t="str">
        <f>IF(HR_Analytics56[[#This Row],[MonthlyIncome]]&lt;3000,"&lt; ₹3,000",IF(HR_Analytics56[[#This Row],[MonthlyIncome]]&lt;=7000,"₹ 3,000 - ₹ 7,000","&gt; ₹7,000"))</f>
        <v>₹ 3,000 - ₹ 7,000</v>
      </c>
      <c r="P591" s="8" t="str" cm="1">
        <f t="array" ref="P5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2" spans="1:16" x14ac:dyDescent="0.8">
      <c r="A592" s="5" t="s">
        <v>662</v>
      </c>
      <c r="B592" s="8">
        <v>34</v>
      </c>
      <c r="C592" s="5" t="s">
        <v>40</v>
      </c>
      <c r="D592" s="5" t="s">
        <v>51</v>
      </c>
      <c r="E592" s="5" t="s">
        <v>53</v>
      </c>
      <c r="F592" s="5" t="s">
        <v>54</v>
      </c>
      <c r="G592" s="8">
        <v>3</v>
      </c>
      <c r="H592" s="8">
        <v>2351</v>
      </c>
      <c r="I592" s="5" t="s">
        <v>49</v>
      </c>
      <c r="J592" s="8">
        <v>3</v>
      </c>
      <c r="K592" s="8">
        <v>3</v>
      </c>
      <c r="L592" s="8">
        <v>2</v>
      </c>
      <c r="M5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92" s="8" t="str" cm="1">
        <f t="array" ref="N592">_xlfn.IFS(HR_Analytics56[[#This Row],[PerformanceRating]]=3,"Good",HR_Analytics56[[#This Row],[PerformanceRating]]=4, "Excellent")</f>
        <v>Good</v>
      </c>
      <c r="O592" s="8" t="str">
        <f>IF(HR_Analytics56[[#This Row],[MonthlyIncome]]&lt;3000,"&lt; ₹3,000",IF(HR_Analytics56[[#This Row],[MonthlyIncome]]&lt;=7000,"₹ 3,000 - ₹ 7,000","&gt; ₹7,000"))</f>
        <v>&lt; ₹3,000</v>
      </c>
      <c r="P592" s="8" t="str" cm="1">
        <f t="array" ref="P5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3" spans="1:16" x14ac:dyDescent="0.8">
      <c r="A593" s="5" t="s">
        <v>663</v>
      </c>
      <c r="B593" s="8">
        <v>34</v>
      </c>
      <c r="C593" s="5" t="s">
        <v>49</v>
      </c>
      <c r="D593" s="5" t="s">
        <v>42</v>
      </c>
      <c r="E593" s="5" t="s">
        <v>44</v>
      </c>
      <c r="F593" s="5" t="s">
        <v>60</v>
      </c>
      <c r="G593" s="8">
        <v>3</v>
      </c>
      <c r="H593" s="8">
        <v>2768</v>
      </c>
      <c r="I593" s="5" t="s">
        <v>49</v>
      </c>
      <c r="J593" s="8">
        <v>3</v>
      </c>
      <c r="K593" s="8">
        <v>3</v>
      </c>
      <c r="L593" s="8">
        <v>7</v>
      </c>
      <c r="M5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3" s="8" t="str" cm="1">
        <f t="array" ref="N593">_xlfn.IFS(HR_Analytics56[[#This Row],[PerformanceRating]]=3,"Good",HR_Analytics56[[#This Row],[PerformanceRating]]=4, "Excellent")</f>
        <v>Good</v>
      </c>
      <c r="O593" s="8" t="str">
        <f>IF(HR_Analytics56[[#This Row],[MonthlyIncome]]&lt;3000,"&lt; ₹3,000",IF(HR_Analytics56[[#This Row],[MonthlyIncome]]&lt;=7000,"₹ 3,000 - ₹ 7,000","&gt; ₹7,000"))</f>
        <v>&lt; ₹3,000</v>
      </c>
      <c r="P593" s="8" t="str" cm="1">
        <f t="array" ref="P5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4" spans="1:16" x14ac:dyDescent="0.8">
      <c r="A594" s="5" t="s">
        <v>664</v>
      </c>
      <c r="B594" s="8">
        <v>34</v>
      </c>
      <c r="C594" s="5" t="s">
        <v>40</v>
      </c>
      <c r="D594" s="5" t="s">
        <v>71</v>
      </c>
      <c r="E594" s="5" t="s">
        <v>53</v>
      </c>
      <c r="F594" s="5" t="s">
        <v>71</v>
      </c>
      <c r="G594" s="8">
        <v>1</v>
      </c>
      <c r="H594" s="8">
        <v>9950</v>
      </c>
      <c r="I594" s="5" t="s">
        <v>40</v>
      </c>
      <c r="J594" s="8">
        <v>3</v>
      </c>
      <c r="K594" s="8">
        <v>2</v>
      </c>
      <c r="L594" s="8">
        <v>3</v>
      </c>
      <c r="M5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594" s="8" t="str" cm="1">
        <f t="array" ref="N594">_xlfn.IFS(HR_Analytics56[[#This Row],[PerformanceRating]]=3,"Good",HR_Analytics56[[#This Row],[PerformanceRating]]=4, "Excellent")</f>
        <v>Good</v>
      </c>
      <c r="O594" s="8" t="str">
        <f>IF(HR_Analytics56[[#This Row],[MonthlyIncome]]&lt;3000,"&lt; ₹3,000",IF(HR_Analytics56[[#This Row],[MonthlyIncome]]&lt;=7000,"₹ 3,000 - ₹ 7,000","&gt; ₹7,000"))</f>
        <v>&gt; ₹7,000</v>
      </c>
      <c r="P594" s="8" t="str" cm="1">
        <f t="array" ref="P5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5" spans="1:16" x14ac:dyDescent="0.8">
      <c r="A595" s="5" t="s">
        <v>665</v>
      </c>
      <c r="B595" s="8">
        <v>34</v>
      </c>
      <c r="C595" s="5" t="s">
        <v>49</v>
      </c>
      <c r="D595" s="5" t="s">
        <v>51</v>
      </c>
      <c r="E595" s="5" t="s">
        <v>44</v>
      </c>
      <c r="F595" s="5" t="s">
        <v>137</v>
      </c>
      <c r="G595" s="8">
        <v>4</v>
      </c>
      <c r="H595" s="8">
        <v>5337</v>
      </c>
      <c r="I595" s="5" t="s">
        <v>49</v>
      </c>
      <c r="J595" s="8">
        <v>3</v>
      </c>
      <c r="K595" s="8">
        <v>3</v>
      </c>
      <c r="L595" s="8">
        <v>10</v>
      </c>
      <c r="M5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5" s="8" t="str" cm="1">
        <f t="array" ref="N595">_xlfn.IFS(HR_Analytics56[[#This Row],[PerformanceRating]]=3,"Good",HR_Analytics56[[#This Row],[PerformanceRating]]=4, "Excellent")</f>
        <v>Good</v>
      </c>
      <c r="O595" s="8" t="str">
        <f>IF(HR_Analytics56[[#This Row],[MonthlyIncome]]&lt;3000,"&lt; ₹3,000",IF(HR_Analytics56[[#This Row],[MonthlyIncome]]&lt;=7000,"₹ 3,000 - ₹ 7,000","&gt; ₹7,000"))</f>
        <v>₹ 3,000 - ₹ 7,000</v>
      </c>
      <c r="P595" s="8" t="str" cm="1">
        <f t="array" ref="P5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6" spans="1:16" x14ac:dyDescent="0.8">
      <c r="A596" s="5" t="s">
        <v>666</v>
      </c>
      <c r="B596" s="8">
        <v>34</v>
      </c>
      <c r="C596" s="5" t="s">
        <v>49</v>
      </c>
      <c r="D596" s="5" t="s">
        <v>42</v>
      </c>
      <c r="E596" s="5" t="s">
        <v>44</v>
      </c>
      <c r="F596" s="5" t="s">
        <v>60</v>
      </c>
      <c r="G596" s="8">
        <v>4</v>
      </c>
      <c r="H596" s="8">
        <v>3622</v>
      </c>
      <c r="I596" s="5" t="s">
        <v>40</v>
      </c>
      <c r="J596" s="8">
        <v>3</v>
      </c>
      <c r="K596" s="8">
        <v>3</v>
      </c>
      <c r="L596" s="8">
        <v>6</v>
      </c>
      <c r="M5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96" s="8" t="str" cm="1">
        <f t="array" ref="N596">_xlfn.IFS(HR_Analytics56[[#This Row],[PerformanceRating]]=3,"Good",HR_Analytics56[[#This Row],[PerformanceRating]]=4, "Excellent")</f>
        <v>Good</v>
      </c>
      <c r="O596" s="8" t="str">
        <f>IF(HR_Analytics56[[#This Row],[MonthlyIncome]]&lt;3000,"&lt; ₹3,000",IF(HR_Analytics56[[#This Row],[MonthlyIncome]]&lt;=7000,"₹ 3,000 - ₹ 7,000","&gt; ₹7,000"))</f>
        <v>₹ 3,000 - ₹ 7,000</v>
      </c>
      <c r="P596" s="8" t="str" cm="1">
        <f t="array" ref="P5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7" spans="1:16" x14ac:dyDescent="0.8">
      <c r="A597" s="5" t="s">
        <v>667</v>
      </c>
      <c r="B597" s="8">
        <v>34</v>
      </c>
      <c r="C597" s="5" t="s">
        <v>49</v>
      </c>
      <c r="D597" s="5" t="s">
        <v>51</v>
      </c>
      <c r="E597" s="5" t="s">
        <v>53</v>
      </c>
      <c r="F597" s="5" t="s">
        <v>54</v>
      </c>
      <c r="G597" s="8">
        <v>3</v>
      </c>
      <c r="H597" s="8">
        <v>2579</v>
      </c>
      <c r="I597" s="5" t="s">
        <v>40</v>
      </c>
      <c r="J597" s="8">
        <v>3</v>
      </c>
      <c r="K597" s="8">
        <v>3</v>
      </c>
      <c r="L597" s="8">
        <v>8</v>
      </c>
      <c r="M5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597" s="8" t="str" cm="1">
        <f t="array" ref="N597">_xlfn.IFS(HR_Analytics56[[#This Row],[PerformanceRating]]=3,"Good",HR_Analytics56[[#This Row],[PerformanceRating]]=4, "Excellent")</f>
        <v>Good</v>
      </c>
      <c r="O597" s="8" t="str">
        <f>IF(HR_Analytics56[[#This Row],[MonthlyIncome]]&lt;3000,"&lt; ₹3,000",IF(HR_Analytics56[[#This Row],[MonthlyIncome]]&lt;=7000,"₹ 3,000 - ₹ 7,000","&gt; ₹7,000"))</f>
        <v>&lt; ₹3,000</v>
      </c>
      <c r="P597" s="8" t="str" cm="1">
        <f t="array" ref="P5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8" spans="1:16" x14ac:dyDescent="0.8">
      <c r="A598" s="5" t="s">
        <v>668</v>
      </c>
      <c r="B598" s="8">
        <v>34</v>
      </c>
      <c r="C598" s="5" t="s">
        <v>49</v>
      </c>
      <c r="D598" s="5" t="s">
        <v>42</v>
      </c>
      <c r="E598" s="5" t="s">
        <v>44</v>
      </c>
      <c r="F598" s="5" t="s">
        <v>60</v>
      </c>
      <c r="G598" s="8">
        <v>4</v>
      </c>
      <c r="H598" s="8">
        <v>2691</v>
      </c>
      <c r="I598" s="5" t="s">
        <v>49</v>
      </c>
      <c r="J598" s="8">
        <v>3</v>
      </c>
      <c r="K598" s="8">
        <v>4</v>
      </c>
      <c r="L598" s="8">
        <v>10</v>
      </c>
      <c r="M5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8" s="8" t="str" cm="1">
        <f t="array" ref="N598">_xlfn.IFS(HR_Analytics56[[#This Row],[PerformanceRating]]=3,"Good",HR_Analytics56[[#This Row],[PerformanceRating]]=4, "Excellent")</f>
        <v>Good</v>
      </c>
      <c r="O598" s="8" t="str">
        <f>IF(HR_Analytics56[[#This Row],[MonthlyIncome]]&lt;3000,"&lt; ₹3,000",IF(HR_Analytics56[[#This Row],[MonthlyIncome]]&lt;=7000,"₹ 3,000 - ₹ 7,000","&gt; ₹7,000"))</f>
        <v>&lt; ₹3,000</v>
      </c>
      <c r="P598" s="8" t="str" cm="1">
        <f t="array" ref="P5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599" spans="1:16" x14ac:dyDescent="0.8">
      <c r="A599" s="5" t="s">
        <v>669</v>
      </c>
      <c r="B599" s="8">
        <v>34</v>
      </c>
      <c r="C599" s="5" t="s">
        <v>49</v>
      </c>
      <c r="D599" s="5" t="s">
        <v>42</v>
      </c>
      <c r="E599" s="5" t="s">
        <v>53</v>
      </c>
      <c r="F599" s="5" t="s">
        <v>161</v>
      </c>
      <c r="G599" s="8">
        <v>2</v>
      </c>
      <c r="H599" s="8">
        <v>8621</v>
      </c>
      <c r="I599" s="5" t="s">
        <v>49</v>
      </c>
      <c r="J599" s="8">
        <v>3</v>
      </c>
      <c r="K599" s="8">
        <v>3</v>
      </c>
      <c r="L599" s="8">
        <v>8</v>
      </c>
      <c r="M5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599" s="8" t="str" cm="1">
        <f t="array" ref="N599">_xlfn.IFS(HR_Analytics56[[#This Row],[PerformanceRating]]=3,"Good",HR_Analytics56[[#This Row],[PerformanceRating]]=4, "Excellent")</f>
        <v>Good</v>
      </c>
      <c r="O599" s="8" t="str">
        <f>IF(HR_Analytics56[[#This Row],[MonthlyIncome]]&lt;3000,"&lt; ₹3,000",IF(HR_Analytics56[[#This Row],[MonthlyIncome]]&lt;=7000,"₹ 3,000 - ₹ 7,000","&gt; ₹7,000"))</f>
        <v>&gt; ₹7,000</v>
      </c>
      <c r="P599" s="8" t="str" cm="1">
        <f t="array" ref="P5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0" spans="1:16" x14ac:dyDescent="0.8">
      <c r="A600" s="5" t="s">
        <v>670</v>
      </c>
      <c r="B600" s="8">
        <v>34</v>
      </c>
      <c r="C600" s="5" t="s">
        <v>49</v>
      </c>
      <c r="D600" s="5" t="s">
        <v>42</v>
      </c>
      <c r="E600" s="5" t="s">
        <v>53</v>
      </c>
      <c r="F600" s="5" t="s">
        <v>161</v>
      </c>
      <c r="G600" s="8">
        <v>3</v>
      </c>
      <c r="H600" s="8">
        <v>6142</v>
      </c>
      <c r="I600" s="5" t="s">
        <v>49</v>
      </c>
      <c r="J600" s="8">
        <v>3</v>
      </c>
      <c r="K600" s="8">
        <v>2</v>
      </c>
      <c r="L600" s="8">
        <v>5</v>
      </c>
      <c r="M6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0" s="8" t="str" cm="1">
        <f t="array" ref="N600">_xlfn.IFS(HR_Analytics56[[#This Row],[PerformanceRating]]=3,"Good",HR_Analytics56[[#This Row],[PerformanceRating]]=4, "Excellent")</f>
        <v>Good</v>
      </c>
      <c r="O600" s="8" t="str">
        <f>IF(HR_Analytics56[[#This Row],[MonthlyIncome]]&lt;3000,"&lt; ₹3,000",IF(HR_Analytics56[[#This Row],[MonthlyIncome]]&lt;=7000,"₹ 3,000 - ₹ 7,000","&gt; ₹7,000"))</f>
        <v>₹ 3,000 - ₹ 7,000</v>
      </c>
      <c r="P600" s="8" t="str" cm="1">
        <f t="array" ref="P6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1" spans="1:16" x14ac:dyDescent="0.8">
      <c r="A601" s="5" t="s">
        <v>671</v>
      </c>
      <c r="B601" s="8">
        <v>34</v>
      </c>
      <c r="C601" s="5" t="s">
        <v>49</v>
      </c>
      <c r="D601" s="5" t="s">
        <v>42</v>
      </c>
      <c r="E601" s="5" t="s">
        <v>53</v>
      </c>
      <c r="F601" s="5" t="s">
        <v>112</v>
      </c>
      <c r="G601" s="8">
        <v>1</v>
      </c>
      <c r="H601" s="8">
        <v>5121</v>
      </c>
      <c r="I601" s="5" t="s">
        <v>49</v>
      </c>
      <c r="J601" s="8">
        <v>3</v>
      </c>
      <c r="K601" s="8">
        <v>3</v>
      </c>
      <c r="L601" s="8">
        <v>0</v>
      </c>
      <c r="M6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1" s="8" t="str" cm="1">
        <f t="array" ref="N601">_xlfn.IFS(HR_Analytics56[[#This Row],[PerformanceRating]]=3,"Good",HR_Analytics56[[#This Row],[PerformanceRating]]=4, "Excellent")</f>
        <v>Good</v>
      </c>
      <c r="O601" s="8" t="str">
        <f>IF(HR_Analytics56[[#This Row],[MonthlyIncome]]&lt;3000,"&lt; ₹3,000",IF(HR_Analytics56[[#This Row],[MonthlyIncome]]&lt;=7000,"₹ 3,000 - ₹ 7,000","&gt; ₹7,000"))</f>
        <v>₹ 3,000 - ₹ 7,000</v>
      </c>
      <c r="P601" s="8" t="str" cm="1">
        <f t="array" ref="P6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2" spans="1:16" x14ac:dyDescent="0.8">
      <c r="A602" s="5" t="s">
        <v>672</v>
      </c>
      <c r="B602" s="8">
        <v>34</v>
      </c>
      <c r="C602" s="5" t="s">
        <v>49</v>
      </c>
      <c r="D602" s="5" t="s">
        <v>51</v>
      </c>
      <c r="E602" s="5" t="s">
        <v>44</v>
      </c>
      <c r="F602" s="5" t="s">
        <v>137</v>
      </c>
      <c r="G602" s="8">
        <v>4</v>
      </c>
      <c r="H602" s="8">
        <v>6274</v>
      </c>
      <c r="I602" s="5" t="s">
        <v>49</v>
      </c>
      <c r="J602" s="8">
        <v>4</v>
      </c>
      <c r="K602" s="8">
        <v>5</v>
      </c>
      <c r="L602" s="8">
        <v>6</v>
      </c>
      <c r="M6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2" s="8" t="str" cm="1">
        <f t="array" ref="N602">_xlfn.IFS(HR_Analytics56[[#This Row],[PerformanceRating]]=3,"Good",HR_Analytics56[[#This Row],[PerformanceRating]]=4, "Excellent")</f>
        <v>Excellent</v>
      </c>
      <c r="O602" s="8" t="str">
        <f>IF(HR_Analytics56[[#This Row],[MonthlyIncome]]&lt;3000,"&lt; ₹3,000",IF(HR_Analytics56[[#This Row],[MonthlyIncome]]&lt;=7000,"₹ 3,000 - ₹ 7,000","&gt; ₹7,000"))</f>
        <v>₹ 3,000 - ₹ 7,000</v>
      </c>
      <c r="P602" s="8" t="str" cm="1">
        <f t="array" ref="P60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03" spans="1:16" x14ac:dyDescent="0.8">
      <c r="A603" s="5" t="s">
        <v>673</v>
      </c>
      <c r="B603" s="8">
        <v>34</v>
      </c>
      <c r="C603" s="5" t="s">
        <v>49</v>
      </c>
      <c r="D603" s="5" t="s">
        <v>42</v>
      </c>
      <c r="E603" s="5" t="s">
        <v>53</v>
      </c>
      <c r="F603" s="5" t="s">
        <v>60</v>
      </c>
      <c r="G603" s="8">
        <v>4</v>
      </c>
      <c r="H603" s="8">
        <v>3280</v>
      </c>
      <c r="I603" s="5" t="s">
        <v>49</v>
      </c>
      <c r="J603" s="8">
        <v>3</v>
      </c>
      <c r="K603" s="8">
        <v>2</v>
      </c>
      <c r="L603" s="8">
        <v>4</v>
      </c>
      <c r="M6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3" s="8" t="str" cm="1">
        <f t="array" ref="N603">_xlfn.IFS(HR_Analytics56[[#This Row],[PerformanceRating]]=3,"Good",HR_Analytics56[[#This Row],[PerformanceRating]]=4, "Excellent")</f>
        <v>Good</v>
      </c>
      <c r="O603" s="8" t="str">
        <f>IF(HR_Analytics56[[#This Row],[MonthlyIncome]]&lt;3000,"&lt; ₹3,000",IF(HR_Analytics56[[#This Row],[MonthlyIncome]]&lt;=7000,"₹ 3,000 - ₹ 7,000","&gt; ₹7,000"))</f>
        <v>₹ 3,000 - ₹ 7,000</v>
      </c>
      <c r="P603" s="8" t="str" cm="1">
        <f t="array" ref="P6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4" spans="1:16" x14ac:dyDescent="0.8">
      <c r="A604" s="5" t="s">
        <v>674</v>
      </c>
      <c r="B604" s="8">
        <v>34</v>
      </c>
      <c r="C604" s="5" t="s">
        <v>49</v>
      </c>
      <c r="D604" s="5" t="s">
        <v>42</v>
      </c>
      <c r="E604" s="5" t="s">
        <v>53</v>
      </c>
      <c r="F604" s="5" t="s">
        <v>60</v>
      </c>
      <c r="G604" s="8">
        <v>1</v>
      </c>
      <c r="H604" s="8">
        <v>4381</v>
      </c>
      <c r="I604" s="5" t="s">
        <v>49</v>
      </c>
      <c r="J604" s="8">
        <v>3</v>
      </c>
      <c r="K604" s="8">
        <v>3</v>
      </c>
      <c r="L604" s="8">
        <v>6</v>
      </c>
      <c r="M6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4" s="8" t="str" cm="1">
        <f t="array" ref="N604">_xlfn.IFS(HR_Analytics56[[#This Row],[PerformanceRating]]=3,"Good",HR_Analytics56[[#This Row],[PerformanceRating]]=4, "Excellent")</f>
        <v>Good</v>
      </c>
      <c r="O604" s="8" t="str">
        <f>IF(HR_Analytics56[[#This Row],[MonthlyIncome]]&lt;3000,"&lt; ₹3,000",IF(HR_Analytics56[[#This Row],[MonthlyIncome]]&lt;=7000,"₹ 3,000 - ₹ 7,000","&gt; ₹7,000"))</f>
        <v>₹ 3,000 - ₹ 7,000</v>
      </c>
      <c r="P604" s="8" t="str" cm="1">
        <f t="array" ref="P6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5" spans="1:16" x14ac:dyDescent="0.8">
      <c r="A605" s="5" t="s">
        <v>675</v>
      </c>
      <c r="B605" s="8">
        <v>34</v>
      </c>
      <c r="C605" s="5" t="s">
        <v>49</v>
      </c>
      <c r="D605" s="5" t="s">
        <v>51</v>
      </c>
      <c r="E605" s="5" t="s">
        <v>53</v>
      </c>
      <c r="F605" s="5" t="s">
        <v>137</v>
      </c>
      <c r="G605" s="8">
        <v>1</v>
      </c>
      <c r="H605" s="8">
        <v>6500</v>
      </c>
      <c r="I605" s="5" t="s">
        <v>49</v>
      </c>
      <c r="J605" s="8">
        <v>3</v>
      </c>
      <c r="K605" s="8">
        <v>1</v>
      </c>
      <c r="L605" s="8">
        <v>3</v>
      </c>
      <c r="M6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5" s="8" t="str" cm="1">
        <f t="array" ref="N605">_xlfn.IFS(HR_Analytics56[[#This Row],[PerformanceRating]]=3,"Good",HR_Analytics56[[#This Row],[PerformanceRating]]=4, "Excellent")</f>
        <v>Good</v>
      </c>
      <c r="O605" s="8" t="str">
        <f>IF(HR_Analytics56[[#This Row],[MonthlyIncome]]&lt;3000,"&lt; ₹3,000",IF(HR_Analytics56[[#This Row],[MonthlyIncome]]&lt;=7000,"₹ 3,000 - ₹ 7,000","&gt; ₹7,000"))</f>
        <v>₹ 3,000 - ₹ 7,000</v>
      </c>
      <c r="P605" s="8" t="str" cm="1">
        <f t="array" ref="P6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6" spans="1:16" x14ac:dyDescent="0.8">
      <c r="A606" s="5" t="s">
        <v>676</v>
      </c>
      <c r="B606" s="8">
        <v>34</v>
      </c>
      <c r="C606" s="5" t="s">
        <v>49</v>
      </c>
      <c r="D606" s="5" t="s">
        <v>42</v>
      </c>
      <c r="E606" s="5" t="s">
        <v>53</v>
      </c>
      <c r="F606" s="5" t="s">
        <v>60</v>
      </c>
      <c r="G606" s="8">
        <v>4</v>
      </c>
      <c r="H606" s="8">
        <v>2553</v>
      </c>
      <c r="I606" s="5" t="s">
        <v>49</v>
      </c>
      <c r="J606" s="8">
        <v>3</v>
      </c>
      <c r="K606" s="8">
        <v>3</v>
      </c>
      <c r="L606" s="8">
        <v>5</v>
      </c>
      <c r="M6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6" s="8" t="str" cm="1">
        <f t="array" ref="N606">_xlfn.IFS(HR_Analytics56[[#This Row],[PerformanceRating]]=3,"Good",HR_Analytics56[[#This Row],[PerformanceRating]]=4, "Excellent")</f>
        <v>Good</v>
      </c>
      <c r="O606" s="8" t="str">
        <f>IF(HR_Analytics56[[#This Row],[MonthlyIncome]]&lt;3000,"&lt; ₹3,000",IF(HR_Analytics56[[#This Row],[MonthlyIncome]]&lt;=7000,"₹ 3,000 - ₹ 7,000","&gt; ₹7,000"))</f>
        <v>&lt; ₹3,000</v>
      </c>
      <c r="P606" s="8" t="str" cm="1">
        <f t="array" ref="P6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7" spans="1:16" x14ac:dyDescent="0.8">
      <c r="A607" s="5" t="s">
        <v>677</v>
      </c>
      <c r="B607" s="8">
        <v>34</v>
      </c>
      <c r="C607" s="5" t="s">
        <v>49</v>
      </c>
      <c r="D607" s="5" t="s">
        <v>71</v>
      </c>
      <c r="E607" s="5" t="s">
        <v>44</v>
      </c>
      <c r="F607" s="5" t="s">
        <v>71</v>
      </c>
      <c r="G607" s="8">
        <v>4</v>
      </c>
      <c r="H607" s="8">
        <v>3737</v>
      </c>
      <c r="I607" s="5" t="s">
        <v>49</v>
      </c>
      <c r="J607" s="8">
        <v>3</v>
      </c>
      <c r="K607" s="8">
        <v>1</v>
      </c>
      <c r="L607" s="8">
        <v>3</v>
      </c>
      <c r="M6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7" s="8" t="str" cm="1">
        <f t="array" ref="N607">_xlfn.IFS(HR_Analytics56[[#This Row],[PerformanceRating]]=3,"Good",HR_Analytics56[[#This Row],[PerformanceRating]]=4, "Excellent")</f>
        <v>Good</v>
      </c>
      <c r="O607" s="8" t="str">
        <f>IF(HR_Analytics56[[#This Row],[MonthlyIncome]]&lt;3000,"&lt; ₹3,000",IF(HR_Analytics56[[#This Row],[MonthlyIncome]]&lt;=7000,"₹ 3,000 - ₹ 7,000","&gt; ₹7,000"))</f>
        <v>₹ 3,000 - ₹ 7,000</v>
      </c>
      <c r="P607" s="8" t="str" cm="1">
        <f t="array" ref="P6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8" spans="1:16" x14ac:dyDescent="0.8">
      <c r="A608" s="5" t="s">
        <v>678</v>
      </c>
      <c r="B608" s="8">
        <v>34</v>
      </c>
      <c r="C608" s="5" t="s">
        <v>49</v>
      </c>
      <c r="D608" s="5" t="s">
        <v>42</v>
      </c>
      <c r="E608" s="5" t="s">
        <v>44</v>
      </c>
      <c r="F608" s="5" t="s">
        <v>45</v>
      </c>
      <c r="G608" s="8">
        <v>2</v>
      </c>
      <c r="H608" s="8">
        <v>2008</v>
      </c>
      <c r="I608" s="5" t="s">
        <v>49</v>
      </c>
      <c r="J608" s="8">
        <v>3</v>
      </c>
      <c r="K608" s="8">
        <v>3</v>
      </c>
      <c r="L608" s="8">
        <v>1</v>
      </c>
      <c r="M6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8" s="8" t="str" cm="1">
        <f t="array" ref="N608">_xlfn.IFS(HR_Analytics56[[#This Row],[PerformanceRating]]=3,"Good",HR_Analytics56[[#This Row],[PerformanceRating]]=4, "Excellent")</f>
        <v>Good</v>
      </c>
      <c r="O608" s="8" t="str">
        <f>IF(HR_Analytics56[[#This Row],[MonthlyIncome]]&lt;3000,"&lt; ₹3,000",IF(HR_Analytics56[[#This Row],[MonthlyIncome]]&lt;=7000,"₹ 3,000 - ₹ 7,000","&gt; ₹7,000"))</f>
        <v>&lt; ₹3,000</v>
      </c>
      <c r="P608" s="8" t="str" cm="1">
        <f t="array" ref="P6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09" spans="1:16" x14ac:dyDescent="0.8">
      <c r="A609" s="5" t="s">
        <v>679</v>
      </c>
      <c r="B609" s="8">
        <v>34</v>
      </c>
      <c r="C609" s="5" t="s">
        <v>49</v>
      </c>
      <c r="D609" s="5" t="s">
        <v>51</v>
      </c>
      <c r="E609" s="5" t="s">
        <v>44</v>
      </c>
      <c r="F609" s="5" t="s">
        <v>137</v>
      </c>
      <c r="G609" s="8">
        <v>4</v>
      </c>
      <c r="H609" s="8">
        <v>9725</v>
      </c>
      <c r="I609" s="5" t="s">
        <v>49</v>
      </c>
      <c r="J609" s="8">
        <v>3</v>
      </c>
      <c r="K609" s="8">
        <v>2</v>
      </c>
      <c r="L609" s="8">
        <v>15</v>
      </c>
      <c r="M6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09" s="8" t="str" cm="1">
        <f t="array" ref="N609">_xlfn.IFS(HR_Analytics56[[#This Row],[PerformanceRating]]=3,"Good",HR_Analytics56[[#This Row],[PerformanceRating]]=4, "Excellent")</f>
        <v>Good</v>
      </c>
      <c r="O609" s="8" t="str">
        <f>IF(HR_Analytics56[[#This Row],[MonthlyIncome]]&lt;3000,"&lt; ₹3,000",IF(HR_Analytics56[[#This Row],[MonthlyIncome]]&lt;=7000,"₹ 3,000 - ₹ 7,000","&gt; ₹7,000"))</f>
        <v>&gt; ₹7,000</v>
      </c>
      <c r="P609" s="8" t="str" cm="1">
        <f t="array" ref="P6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0" spans="1:16" x14ac:dyDescent="0.8">
      <c r="A610" s="5" t="s">
        <v>680</v>
      </c>
      <c r="B610" s="8">
        <v>34</v>
      </c>
      <c r="C610" s="5" t="s">
        <v>49</v>
      </c>
      <c r="D610" s="5" t="s">
        <v>51</v>
      </c>
      <c r="E610" s="5" t="s">
        <v>53</v>
      </c>
      <c r="F610" s="5" t="s">
        <v>54</v>
      </c>
      <c r="G610" s="8">
        <v>3</v>
      </c>
      <c r="H610" s="8">
        <v>2220</v>
      </c>
      <c r="I610" s="5" t="s">
        <v>40</v>
      </c>
      <c r="J610" s="8">
        <v>3</v>
      </c>
      <c r="K610" s="8">
        <v>2</v>
      </c>
      <c r="L610" s="8">
        <v>1</v>
      </c>
      <c r="M6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10" s="8" t="str" cm="1">
        <f t="array" ref="N610">_xlfn.IFS(HR_Analytics56[[#This Row],[PerformanceRating]]=3,"Good",HR_Analytics56[[#This Row],[PerformanceRating]]=4, "Excellent")</f>
        <v>Good</v>
      </c>
      <c r="O610" s="8" t="str">
        <f>IF(HR_Analytics56[[#This Row],[MonthlyIncome]]&lt;3000,"&lt; ₹3,000",IF(HR_Analytics56[[#This Row],[MonthlyIncome]]&lt;=7000,"₹ 3,000 - ₹ 7,000","&gt; ₹7,000"))</f>
        <v>&lt; ₹3,000</v>
      </c>
      <c r="P610" s="8" t="str" cm="1">
        <f t="array" ref="P6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1" spans="1:16" x14ac:dyDescent="0.8">
      <c r="A611" s="5" t="s">
        <v>681</v>
      </c>
      <c r="B611" s="8">
        <v>34</v>
      </c>
      <c r="C611" s="5" t="s">
        <v>49</v>
      </c>
      <c r="D611" s="5" t="s">
        <v>42</v>
      </c>
      <c r="E611" s="5" t="s">
        <v>44</v>
      </c>
      <c r="F611" s="5" t="s">
        <v>161</v>
      </c>
      <c r="G611" s="8">
        <v>4</v>
      </c>
      <c r="H611" s="8">
        <v>7756</v>
      </c>
      <c r="I611" s="5" t="s">
        <v>49</v>
      </c>
      <c r="J611" s="8">
        <v>3</v>
      </c>
      <c r="K611" s="8">
        <v>1</v>
      </c>
      <c r="L611" s="8">
        <v>6</v>
      </c>
      <c r="M6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1" s="8" t="str" cm="1">
        <f t="array" ref="N611">_xlfn.IFS(HR_Analytics56[[#This Row],[PerformanceRating]]=3,"Good",HR_Analytics56[[#This Row],[PerformanceRating]]=4, "Excellent")</f>
        <v>Good</v>
      </c>
      <c r="O611" s="8" t="str">
        <f>IF(HR_Analytics56[[#This Row],[MonthlyIncome]]&lt;3000,"&lt; ₹3,000",IF(HR_Analytics56[[#This Row],[MonthlyIncome]]&lt;=7000,"₹ 3,000 - ₹ 7,000","&gt; ₹7,000"))</f>
        <v>&gt; ₹7,000</v>
      </c>
      <c r="P611" s="8" t="str" cm="1">
        <f t="array" ref="P6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2" spans="1:16" x14ac:dyDescent="0.8">
      <c r="A612" s="5" t="s">
        <v>682</v>
      </c>
      <c r="B612" s="8">
        <v>34</v>
      </c>
      <c r="C612" s="5" t="s">
        <v>49</v>
      </c>
      <c r="D612" s="5" t="s">
        <v>42</v>
      </c>
      <c r="E612" s="5" t="s">
        <v>44</v>
      </c>
      <c r="F612" s="5" t="s">
        <v>60</v>
      </c>
      <c r="G612" s="8">
        <v>4</v>
      </c>
      <c r="H612" s="8">
        <v>2979</v>
      </c>
      <c r="I612" s="5" t="s">
        <v>49</v>
      </c>
      <c r="J612" s="8">
        <v>3</v>
      </c>
      <c r="K612" s="8">
        <v>2</v>
      </c>
      <c r="L612" s="8">
        <v>0</v>
      </c>
      <c r="M6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2" s="8" t="str" cm="1">
        <f t="array" ref="N612">_xlfn.IFS(HR_Analytics56[[#This Row],[PerformanceRating]]=3,"Good",HR_Analytics56[[#This Row],[PerformanceRating]]=4, "Excellent")</f>
        <v>Good</v>
      </c>
      <c r="O612" s="8" t="str">
        <f>IF(HR_Analytics56[[#This Row],[MonthlyIncome]]&lt;3000,"&lt; ₹3,000",IF(HR_Analytics56[[#This Row],[MonthlyIncome]]&lt;=7000,"₹ 3,000 - ₹ 7,000","&gt; ₹7,000"))</f>
        <v>&lt; ₹3,000</v>
      </c>
      <c r="P612" s="8" t="str" cm="1">
        <f t="array" ref="P6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3" spans="1:16" x14ac:dyDescent="0.8">
      <c r="A613" s="5" t="s">
        <v>683</v>
      </c>
      <c r="B613" s="8">
        <v>34</v>
      </c>
      <c r="C613" s="5" t="s">
        <v>49</v>
      </c>
      <c r="D613" s="5" t="s">
        <v>42</v>
      </c>
      <c r="E613" s="5" t="s">
        <v>44</v>
      </c>
      <c r="F613" s="5" t="s">
        <v>112</v>
      </c>
      <c r="G613" s="8">
        <v>3</v>
      </c>
      <c r="H613" s="8">
        <v>4033</v>
      </c>
      <c r="I613" s="5" t="s">
        <v>49</v>
      </c>
      <c r="J613" s="8">
        <v>3</v>
      </c>
      <c r="K613" s="8">
        <v>3</v>
      </c>
      <c r="L613" s="8">
        <v>3</v>
      </c>
      <c r="M6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3" s="8" t="str" cm="1">
        <f t="array" ref="N613">_xlfn.IFS(HR_Analytics56[[#This Row],[PerformanceRating]]=3,"Good",HR_Analytics56[[#This Row],[PerformanceRating]]=4, "Excellent")</f>
        <v>Good</v>
      </c>
      <c r="O613" s="8" t="str">
        <f>IF(HR_Analytics56[[#This Row],[MonthlyIncome]]&lt;3000,"&lt; ₹3,000",IF(HR_Analytics56[[#This Row],[MonthlyIncome]]&lt;=7000,"₹ 3,000 - ₹ 7,000","&gt; ₹7,000"))</f>
        <v>₹ 3,000 - ₹ 7,000</v>
      </c>
      <c r="P613" s="8" t="str" cm="1">
        <f t="array" ref="P6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4" spans="1:16" x14ac:dyDescent="0.8">
      <c r="A614" s="5" t="s">
        <v>684</v>
      </c>
      <c r="B614" s="8">
        <v>34</v>
      </c>
      <c r="C614" s="5" t="s">
        <v>49</v>
      </c>
      <c r="D614" s="5" t="s">
        <v>51</v>
      </c>
      <c r="E614" s="5" t="s">
        <v>53</v>
      </c>
      <c r="F614" s="5" t="s">
        <v>137</v>
      </c>
      <c r="G614" s="8">
        <v>3</v>
      </c>
      <c r="H614" s="8">
        <v>5714</v>
      </c>
      <c r="I614" s="5" t="s">
        <v>49</v>
      </c>
      <c r="J614" s="8">
        <v>4</v>
      </c>
      <c r="K614" s="8">
        <v>3</v>
      </c>
      <c r="L614" s="8">
        <v>6</v>
      </c>
      <c r="M6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4" s="8" t="str" cm="1">
        <f t="array" ref="N614">_xlfn.IFS(HR_Analytics56[[#This Row],[PerformanceRating]]=3,"Good",HR_Analytics56[[#This Row],[PerformanceRating]]=4, "Excellent")</f>
        <v>Excellent</v>
      </c>
      <c r="O614" s="8" t="str">
        <f>IF(HR_Analytics56[[#This Row],[MonthlyIncome]]&lt;3000,"&lt; ₹3,000",IF(HR_Analytics56[[#This Row],[MonthlyIncome]]&lt;=7000,"₹ 3,000 - ₹ 7,000","&gt; ₹7,000"))</f>
        <v>₹ 3,000 - ₹ 7,000</v>
      </c>
      <c r="P614" s="8" t="str" cm="1">
        <f t="array" ref="P61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15" spans="1:16" x14ac:dyDescent="0.8">
      <c r="A615" s="5" t="s">
        <v>685</v>
      </c>
      <c r="B615" s="8">
        <v>34</v>
      </c>
      <c r="C615" s="5" t="s">
        <v>49</v>
      </c>
      <c r="D615" s="5" t="s">
        <v>42</v>
      </c>
      <c r="E615" s="5" t="s">
        <v>44</v>
      </c>
      <c r="F615" s="5" t="s">
        <v>161</v>
      </c>
      <c r="G615" s="8">
        <v>1</v>
      </c>
      <c r="H615" s="8">
        <v>5343</v>
      </c>
      <c r="I615" s="5" t="s">
        <v>49</v>
      </c>
      <c r="J615" s="8">
        <v>4</v>
      </c>
      <c r="K615" s="8">
        <v>3</v>
      </c>
      <c r="L615" s="8">
        <v>13</v>
      </c>
      <c r="M6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5" s="8" t="str" cm="1">
        <f t="array" ref="N615">_xlfn.IFS(HR_Analytics56[[#This Row],[PerformanceRating]]=3,"Good",HR_Analytics56[[#This Row],[PerformanceRating]]=4, "Excellent")</f>
        <v>Excellent</v>
      </c>
      <c r="O615" s="8" t="str">
        <f>IF(HR_Analytics56[[#This Row],[MonthlyIncome]]&lt;3000,"&lt; ₹3,000",IF(HR_Analytics56[[#This Row],[MonthlyIncome]]&lt;=7000,"₹ 3,000 - ₹ 7,000","&gt; ₹7,000"))</f>
        <v>₹ 3,000 - ₹ 7,000</v>
      </c>
      <c r="P615" s="8" t="str" cm="1">
        <f t="array" ref="P61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16" spans="1:16" x14ac:dyDescent="0.8">
      <c r="A616" s="5" t="s">
        <v>686</v>
      </c>
      <c r="B616" s="8">
        <v>34</v>
      </c>
      <c r="C616" s="5" t="s">
        <v>49</v>
      </c>
      <c r="D616" s="5" t="s">
        <v>42</v>
      </c>
      <c r="E616" s="5" t="s">
        <v>53</v>
      </c>
      <c r="F616" s="5" t="s">
        <v>60</v>
      </c>
      <c r="G616" s="8">
        <v>3</v>
      </c>
      <c r="H616" s="8">
        <v>2585</v>
      </c>
      <c r="I616" s="5" t="s">
        <v>49</v>
      </c>
      <c r="J616" s="8">
        <v>3</v>
      </c>
      <c r="K616" s="8">
        <v>5</v>
      </c>
      <c r="L616" s="8">
        <v>1</v>
      </c>
      <c r="M6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6" s="8" t="str" cm="1">
        <f t="array" ref="N616">_xlfn.IFS(HR_Analytics56[[#This Row],[PerformanceRating]]=3,"Good",HR_Analytics56[[#This Row],[PerformanceRating]]=4, "Excellent")</f>
        <v>Good</v>
      </c>
      <c r="O616" s="8" t="str">
        <f>IF(HR_Analytics56[[#This Row],[MonthlyIncome]]&lt;3000,"&lt; ₹3,000",IF(HR_Analytics56[[#This Row],[MonthlyIncome]]&lt;=7000,"₹ 3,000 - ₹ 7,000","&gt; ₹7,000"))</f>
        <v>&lt; ₹3,000</v>
      </c>
      <c r="P616" s="8" t="str" cm="1">
        <f t="array" ref="P6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7" spans="1:16" x14ac:dyDescent="0.8">
      <c r="A617" s="5" t="s">
        <v>687</v>
      </c>
      <c r="B617" s="8">
        <v>34</v>
      </c>
      <c r="C617" s="5" t="s">
        <v>49</v>
      </c>
      <c r="D617" s="5" t="s">
        <v>51</v>
      </c>
      <c r="E617" s="5" t="s">
        <v>53</v>
      </c>
      <c r="F617" s="5" t="s">
        <v>137</v>
      </c>
      <c r="G617" s="8">
        <v>1</v>
      </c>
      <c r="H617" s="8">
        <v>4538</v>
      </c>
      <c r="I617" s="5" t="s">
        <v>40</v>
      </c>
      <c r="J617" s="8">
        <v>3</v>
      </c>
      <c r="K617" s="8">
        <v>3</v>
      </c>
      <c r="L617" s="8">
        <v>3</v>
      </c>
      <c r="M6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17" s="8" t="str" cm="1">
        <f t="array" ref="N617">_xlfn.IFS(HR_Analytics56[[#This Row],[PerformanceRating]]=3,"Good",HR_Analytics56[[#This Row],[PerformanceRating]]=4, "Excellent")</f>
        <v>Good</v>
      </c>
      <c r="O617" s="8" t="str">
        <f>IF(HR_Analytics56[[#This Row],[MonthlyIncome]]&lt;3000,"&lt; ₹3,000",IF(HR_Analytics56[[#This Row],[MonthlyIncome]]&lt;=7000,"₹ 3,000 - ₹ 7,000","&gt; ₹7,000"))</f>
        <v>₹ 3,000 - ₹ 7,000</v>
      </c>
      <c r="P617" s="8" t="str" cm="1">
        <f t="array" ref="P6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8" spans="1:16" x14ac:dyDescent="0.8">
      <c r="A618" s="5" t="s">
        <v>688</v>
      </c>
      <c r="B618" s="8">
        <v>34</v>
      </c>
      <c r="C618" s="5" t="s">
        <v>49</v>
      </c>
      <c r="D618" s="5" t="s">
        <v>42</v>
      </c>
      <c r="E618" s="5" t="s">
        <v>53</v>
      </c>
      <c r="F618" s="5" t="s">
        <v>45</v>
      </c>
      <c r="G618" s="8">
        <v>2</v>
      </c>
      <c r="H618" s="8">
        <v>4444</v>
      </c>
      <c r="I618" s="5" t="s">
        <v>49</v>
      </c>
      <c r="J618" s="8">
        <v>3</v>
      </c>
      <c r="K618" s="8">
        <v>2</v>
      </c>
      <c r="L618" s="8">
        <v>11</v>
      </c>
      <c r="M6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8" s="8" t="str" cm="1">
        <f t="array" ref="N618">_xlfn.IFS(HR_Analytics56[[#This Row],[PerformanceRating]]=3,"Good",HR_Analytics56[[#This Row],[PerformanceRating]]=4, "Excellent")</f>
        <v>Good</v>
      </c>
      <c r="O618" s="8" t="str">
        <f>IF(HR_Analytics56[[#This Row],[MonthlyIncome]]&lt;3000,"&lt; ₹3,000",IF(HR_Analytics56[[#This Row],[MonthlyIncome]]&lt;=7000,"₹ 3,000 - ₹ 7,000","&gt; ₹7,000"))</f>
        <v>₹ 3,000 - ₹ 7,000</v>
      </c>
      <c r="P618" s="8" t="str" cm="1">
        <f t="array" ref="P6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19" spans="1:16" x14ac:dyDescent="0.8">
      <c r="A619" s="5" t="s">
        <v>689</v>
      </c>
      <c r="B619" s="8">
        <v>34</v>
      </c>
      <c r="C619" s="5" t="s">
        <v>49</v>
      </c>
      <c r="D619" s="5" t="s">
        <v>71</v>
      </c>
      <c r="E619" s="5" t="s">
        <v>44</v>
      </c>
      <c r="F619" s="5" t="s">
        <v>71</v>
      </c>
      <c r="G619" s="8">
        <v>2</v>
      </c>
      <c r="H619" s="8">
        <v>4490</v>
      </c>
      <c r="I619" s="5" t="s">
        <v>49</v>
      </c>
      <c r="J619" s="8">
        <v>3</v>
      </c>
      <c r="K619" s="8">
        <v>5</v>
      </c>
      <c r="L619" s="8">
        <v>10</v>
      </c>
      <c r="M6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19" s="8" t="str" cm="1">
        <f t="array" ref="N619">_xlfn.IFS(HR_Analytics56[[#This Row],[PerformanceRating]]=3,"Good",HR_Analytics56[[#This Row],[PerformanceRating]]=4, "Excellent")</f>
        <v>Good</v>
      </c>
      <c r="O619" s="8" t="str">
        <f>IF(HR_Analytics56[[#This Row],[MonthlyIncome]]&lt;3000,"&lt; ₹3,000",IF(HR_Analytics56[[#This Row],[MonthlyIncome]]&lt;=7000,"₹ 3,000 - ₹ 7,000","&gt; ₹7,000"))</f>
        <v>₹ 3,000 - ₹ 7,000</v>
      </c>
      <c r="P619" s="8" t="str" cm="1">
        <f t="array" ref="P6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0" spans="1:16" x14ac:dyDescent="0.8">
      <c r="A620" s="5" t="s">
        <v>690</v>
      </c>
      <c r="B620" s="8">
        <v>34</v>
      </c>
      <c r="C620" s="5" t="s">
        <v>49</v>
      </c>
      <c r="D620" s="5" t="s">
        <v>42</v>
      </c>
      <c r="E620" s="5" t="s">
        <v>44</v>
      </c>
      <c r="F620" s="5" t="s">
        <v>161</v>
      </c>
      <c r="G620" s="8">
        <v>4</v>
      </c>
      <c r="H620" s="8">
        <v>8500</v>
      </c>
      <c r="I620" s="5" t="s">
        <v>49</v>
      </c>
      <c r="J620" s="8">
        <v>3</v>
      </c>
      <c r="K620" s="8">
        <v>0</v>
      </c>
      <c r="L620" s="8">
        <v>9</v>
      </c>
      <c r="M6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0" s="8" t="str" cm="1">
        <f t="array" ref="N620">_xlfn.IFS(HR_Analytics56[[#This Row],[PerformanceRating]]=3,"Good",HR_Analytics56[[#This Row],[PerformanceRating]]=4, "Excellent")</f>
        <v>Good</v>
      </c>
      <c r="O620" s="8" t="str">
        <f>IF(HR_Analytics56[[#This Row],[MonthlyIncome]]&lt;3000,"&lt; ₹3,000",IF(HR_Analytics56[[#This Row],[MonthlyIncome]]&lt;=7000,"₹ 3,000 - ₹ 7,000","&gt; ₹7,000"))</f>
        <v>&gt; ₹7,000</v>
      </c>
      <c r="P620" s="8" t="str" cm="1">
        <f t="array" ref="P6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1" spans="1:16" x14ac:dyDescent="0.8">
      <c r="A621" s="5" t="s">
        <v>691</v>
      </c>
      <c r="B621" s="8">
        <v>34</v>
      </c>
      <c r="C621" s="5" t="s">
        <v>49</v>
      </c>
      <c r="D621" s="5" t="s">
        <v>51</v>
      </c>
      <c r="E621" s="5" t="s">
        <v>53</v>
      </c>
      <c r="F621" s="5" t="s">
        <v>137</v>
      </c>
      <c r="G621" s="8">
        <v>1</v>
      </c>
      <c r="H621" s="8">
        <v>6125</v>
      </c>
      <c r="I621" s="5" t="s">
        <v>49</v>
      </c>
      <c r="J621" s="8">
        <v>3</v>
      </c>
      <c r="K621" s="8">
        <v>6</v>
      </c>
      <c r="L621" s="8">
        <v>10</v>
      </c>
      <c r="M6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1" s="8" t="str" cm="1">
        <f t="array" ref="N621">_xlfn.IFS(HR_Analytics56[[#This Row],[PerformanceRating]]=3,"Good",HR_Analytics56[[#This Row],[PerformanceRating]]=4, "Excellent")</f>
        <v>Good</v>
      </c>
      <c r="O621" s="8" t="str">
        <f>IF(HR_Analytics56[[#This Row],[MonthlyIncome]]&lt;3000,"&lt; ₹3,000",IF(HR_Analytics56[[#This Row],[MonthlyIncome]]&lt;=7000,"₹ 3,000 - ₹ 7,000","&gt; ₹7,000"))</f>
        <v>₹ 3,000 - ₹ 7,000</v>
      </c>
      <c r="P621" s="8" t="str" cm="1">
        <f t="array" ref="P6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2" spans="1:16" x14ac:dyDescent="0.8">
      <c r="A622" s="5" t="s">
        <v>692</v>
      </c>
      <c r="B622" s="8">
        <v>34</v>
      </c>
      <c r="C622" s="5" t="s">
        <v>49</v>
      </c>
      <c r="D622" s="5" t="s">
        <v>42</v>
      </c>
      <c r="E622" s="5" t="s">
        <v>53</v>
      </c>
      <c r="F622" s="5" t="s">
        <v>60</v>
      </c>
      <c r="G622" s="8">
        <v>3</v>
      </c>
      <c r="H622" s="8">
        <v>2029</v>
      </c>
      <c r="I622" s="5" t="s">
        <v>49</v>
      </c>
      <c r="J622" s="8">
        <v>4</v>
      </c>
      <c r="K622" s="8">
        <v>2</v>
      </c>
      <c r="L622" s="8">
        <v>5</v>
      </c>
      <c r="M6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2" s="8" t="str" cm="1">
        <f t="array" ref="N622">_xlfn.IFS(HR_Analytics56[[#This Row],[PerformanceRating]]=3,"Good",HR_Analytics56[[#This Row],[PerformanceRating]]=4, "Excellent")</f>
        <v>Excellent</v>
      </c>
      <c r="O622" s="8" t="str">
        <f>IF(HR_Analytics56[[#This Row],[MonthlyIncome]]&lt;3000,"&lt; ₹3,000",IF(HR_Analytics56[[#This Row],[MonthlyIncome]]&lt;=7000,"₹ 3,000 - ₹ 7,000","&gt; ₹7,000"))</f>
        <v>&lt; ₹3,000</v>
      </c>
      <c r="P622" s="8" t="str" cm="1">
        <f t="array" ref="P6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3" spans="1:16" x14ac:dyDescent="0.8">
      <c r="A623" s="5" t="s">
        <v>693</v>
      </c>
      <c r="B623" s="8">
        <v>34</v>
      </c>
      <c r="C623" s="5" t="s">
        <v>49</v>
      </c>
      <c r="D623" s="5" t="s">
        <v>42</v>
      </c>
      <c r="E623" s="5" t="s">
        <v>44</v>
      </c>
      <c r="F623" s="5" t="s">
        <v>45</v>
      </c>
      <c r="G623" s="8">
        <v>3</v>
      </c>
      <c r="H623" s="8">
        <v>5429</v>
      </c>
      <c r="I623" s="5" t="s">
        <v>49</v>
      </c>
      <c r="J623" s="8">
        <v>3</v>
      </c>
      <c r="K623" s="8">
        <v>1</v>
      </c>
      <c r="L623" s="8">
        <v>8</v>
      </c>
      <c r="M6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3" s="8" t="str" cm="1">
        <f t="array" ref="N623">_xlfn.IFS(HR_Analytics56[[#This Row],[PerformanceRating]]=3,"Good",HR_Analytics56[[#This Row],[PerformanceRating]]=4, "Excellent")</f>
        <v>Good</v>
      </c>
      <c r="O623" s="8" t="str">
        <f>IF(HR_Analytics56[[#This Row],[MonthlyIncome]]&lt;3000,"&lt; ₹3,000",IF(HR_Analytics56[[#This Row],[MonthlyIncome]]&lt;=7000,"₹ 3,000 - ₹ 7,000","&gt; ₹7,000"))</f>
        <v>₹ 3,000 - ₹ 7,000</v>
      </c>
      <c r="P623" s="8" t="str" cm="1">
        <f t="array" ref="P6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4" spans="1:16" x14ac:dyDescent="0.8">
      <c r="A624" s="5" t="s">
        <v>694</v>
      </c>
      <c r="B624" s="8">
        <v>34</v>
      </c>
      <c r="C624" s="5" t="s">
        <v>49</v>
      </c>
      <c r="D624" s="5" t="s">
        <v>42</v>
      </c>
      <c r="E624" s="5" t="s">
        <v>53</v>
      </c>
      <c r="F624" s="5" t="s">
        <v>161</v>
      </c>
      <c r="G624" s="8">
        <v>4</v>
      </c>
      <c r="H624" s="8">
        <v>6687</v>
      </c>
      <c r="I624" s="5" t="s">
        <v>49</v>
      </c>
      <c r="J624" s="8">
        <v>3</v>
      </c>
      <c r="K624" s="8">
        <v>2</v>
      </c>
      <c r="L624" s="8">
        <v>14</v>
      </c>
      <c r="M6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4" s="8" t="str" cm="1">
        <f t="array" ref="N624">_xlfn.IFS(HR_Analytics56[[#This Row],[PerformanceRating]]=3,"Good",HR_Analytics56[[#This Row],[PerformanceRating]]=4, "Excellent")</f>
        <v>Good</v>
      </c>
      <c r="O624" s="8" t="str">
        <f>IF(HR_Analytics56[[#This Row],[MonthlyIncome]]&lt;3000,"&lt; ₹3,000",IF(HR_Analytics56[[#This Row],[MonthlyIncome]]&lt;=7000,"₹ 3,000 - ₹ 7,000","&gt; ₹7,000"))</f>
        <v>₹ 3,000 - ₹ 7,000</v>
      </c>
      <c r="P624" s="8" t="str" cm="1">
        <f t="array" ref="P6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5" spans="1:16" x14ac:dyDescent="0.8">
      <c r="A625" s="5" t="s">
        <v>695</v>
      </c>
      <c r="B625" s="8">
        <v>34</v>
      </c>
      <c r="C625" s="5" t="s">
        <v>49</v>
      </c>
      <c r="D625" s="5" t="s">
        <v>42</v>
      </c>
      <c r="E625" s="5" t="s">
        <v>44</v>
      </c>
      <c r="F625" s="5" t="s">
        <v>60</v>
      </c>
      <c r="G625" s="8">
        <v>1</v>
      </c>
      <c r="H625" s="8">
        <v>2996</v>
      </c>
      <c r="I625" s="5" t="s">
        <v>49</v>
      </c>
      <c r="J625" s="8">
        <v>3</v>
      </c>
      <c r="K625" s="8">
        <v>2</v>
      </c>
      <c r="L625" s="8">
        <v>4</v>
      </c>
      <c r="M6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5" s="8" t="str" cm="1">
        <f t="array" ref="N625">_xlfn.IFS(HR_Analytics56[[#This Row],[PerformanceRating]]=3,"Good",HR_Analytics56[[#This Row],[PerformanceRating]]=4, "Excellent")</f>
        <v>Good</v>
      </c>
      <c r="O625" s="8" t="str">
        <f>IF(HR_Analytics56[[#This Row],[MonthlyIncome]]&lt;3000,"&lt; ₹3,000",IF(HR_Analytics56[[#This Row],[MonthlyIncome]]&lt;=7000,"₹ 3,000 - ₹ 7,000","&gt; ₹7,000"))</f>
        <v>&lt; ₹3,000</v>
      </c>
      <c r="P625" s="8" t="str" cm="1">
        <f t="array" ref="P6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6" spans="1:16" x14ac:dyDescent="0.8">
      <c r="A626" s="5" t="s">
        <v>696</v>
      </c>
      <c r="B626" s="8">
        <v>34</v>
      </c>
      <c r="C626" s="5" t="s">
        <v>49</v>
      </c>
      <c r="D626" s="5" t="s">
        <v>42</v>
      </c>
      <c r="E626" s="5" t="s">
        <v>53</v>
      </c>
      <c r="F626" s="5" t="s">
        <v>45</v>
      </c>
      <c r="G626" s="8">
        <v>2</v>
      </c>
      <c r="H626" s="8">
        <v>3294</v>
      </c>
      <c r="I626" s="5" t="s">
        <v>49</v>
      </c>
      <c r="J626" s="8">
        <v>3</v>
      </c>
      <c r="K626" s="8">
        <v>2</v>
      </c>
      <c r="L626" s="8">
        <v>5</v>
      </c>
      <c r="M6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6" s="8" t="str" cm="1">
        <f t="array" ref="N626">_xlfn.IFS(HR_Analytics56[[#This Row],[PerformanceRating]]=3,"Good",HR_Analytics56[[#This Row],[PerformanceRating]]=4, "Excellent")</f>
        <v>Good</v>
      </c>
      <c r="O626" s="8" t="str">
        <f>IF(HR_Analytics56[[#This Row],[MonthlyIncome]]&lt;3000,"&lt; ₹3,000",IF(HR_Analytics56[[#This Row],[MonthlyIncome]]&lt;=7000,"₹ 3,000 - ₹ 7,000","&gt; ₹7,000"))</f>
        <v>₹ 3,000 - ₹ 7,000</v>
      </c>
      <c r="P626" s="8" t="str" cm="1">
        <f t="array" ref="P6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7" spans="1:16" x14ac:dyDescent="0.8">
      <c r="A627" s="5" t="s">
        <v>697</v>
      </c>
      <c r="B627" s="8">
        <v>34</v>
      </c>
      <c r="C627" s="5" t="s">
        <v>40</v>
      </c>
      <c r="D627" s="5" t="s">
        <v>71</v>
      </c>
      <c r="E627" s="5" t="s">
        <v>53</v>
      </c>
      <c r="F627" s="5" t="s">
        <v>71</v>
      </c>
      <c r="G627" s="8">
        <v>3</v>
      </c>
      <c r="H627" s="8">
        <v>2742</v>
      </c>
      <c r="I627" s="5" t="s">
        <v>49</v>
      </c>
      <c r="J627" s="8">
        <v>3</v>
      </c>
      <c r="K627" s="8">
        <v>0</v>
      </c>
      <c r="L627" s="8">
        <v>2</v>
      </c>
      <c r="M6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27" s="8" t="str" cm="1">
        <f t="array" ref="N627">_xlfn.IFS(HR_Analytics56[[#This Row],[PerformanceRating]]=3,"Good",HR_Analytics56[[#This Row],[PerformanceRating]]=4, "Excellent")</f>
        <v>Good</v>
      </c>
      <c r="O627" s="8" t="str">
        <f>IF(HR_Analytics56[[#This Row],[MonthlyIncome]]&lt;3000,"&lt; ₹3,000",IF(HR_Analytics56[[#This Row],[MonthlyIncome]]&lt;=7000,"₹ 3,000 - ₹ 7,000","&gt; ₹7,000"))</f>
        <v>&lt; ₹3,000</v>
      </c>
      <c r="P627" s="8" t="str" cm="1">
        <f t="array" ref="P6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8" spans="1:16" x14ac:dyDescent="0.8">
      <c r="A628" s="5" t="s">
        <v>698</v>
      </c>
      <c r="B628" s="8">
        <v>34</v>
      </c>
      <c r="C628" s="5" t="s">
        <v>49</v>
      </c>
      <c r="D628" s="5" t="s">
        <v>51</v>
      </c>
      <c r="E628" s="5" t="s">
        <v>44</v>
      </c>
      <c r="F628" s="5" t="s">
        <v>137</v>
      </c>
      <c r="G628" s="8">
        <v>1</v>
      </c>
      <c r="H628" s="8">
        <v>4759</v>
      </c>
      <c r="I628" s="5" t="s">
        <v>49</v>
      </c>
      <c r="J628" s="8">
        <v>3</v>
      </c>
      <c r="K628" s="8">
        <v>2</v>
      </c>
      <c r="L628" s="8">
        <v>13</v>
      </c>
      <c r="M6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8" s="8" t="str" cm="1">
        <f t="array" ref="N628">_xlfn.IFS(HR_Analytics56[[#This Row],[PerformanceRating]]=3,"Good",HR_Analytics56[[#This Row],[PerformanceRating]]=4, "Excellent")</f>
        <v>Good</v>
      </c>
      <c r="O628" s="8" t="str">
        <f>IF(HR_Analytics56[[#This Row],[MonthlyIncome]]&lt;3000,"&lt; ₹3,000",IF(HR_Analytics56[[#This Row],[MonthlyIncome]]&lt;=7000,"₹ 3,000 - ₹ 7,000","&gt; ₹7,000"))</f>
        <v>₹ 3,000 - ₹ 7,000</v>
      </c>
      <c r="P628" s="8" t="str" cm="1">
        <f t="array" ref="P6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29" spans="1:16" x14ac:dyDescent="0.8">
      <c r="A629" s="5" t="s">
        <v>699</v>
      </c>
      <c r="B629" s="8">
        <v>34</v>
      </c>
      <c r="C629" s="5" t="s">
        <v>49</v>
      </c>
      <c r="D629" s="5" t="s">
        <v>42</v>
      </c>
      <c r="E629" s="5" t="s">
        <v>44</v>
      </c>
      <c r="F629" s="5" t="s">
        <v>252</v>
      </c>
      <c r="G629" s="8">
        <v>1</v>
      </c>
      <c r="H629" s="8">
        <v>17007</v>
      </c>
      <c r="I629" s="5" t="s">
        <v>49</v>
      </c>
      <c r="J629" s="8">
        <v>3</v>
      </c>
      <c r="K629" s="8">
        <v>3</v>
      </c>
      <c r="L629" s="8">
        <v>14</v>
      </c>
      <c r="M6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29" s="8" t="str" cm="1">
        <f t="array" ref="N629">_xlfn.IFS(HR_Analytics56[[#This Row],[PerformanceRating]]=3,"Good",HR_Analytics56[[#This Row],[PerformanceRating]]=4, "Excellent")</f>
        <v>Good</v>
      </c>
      <c r="O629" s="8" t="str">
        <f>IF(HR_Analytics56[[#This Row],[MonthlyIncome]]&lt;3000,"&lt; ₹3,000",IF(HR_Analytics56[[#This Row],[MonthlyIncome]]&lt;=7000,"₹ 3,000 - ₹ 7,000","&gt; ₹7,000"))</f>
        <v>&gt; ₹7,000</v>
      </c>
      <c r="P629" s="8" t="str" cm="1">
        <f t="array" ref="P6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0" spans="1:16" x14ac:dyDescent="0.8">
      <c r="A630" s="5" t="s">
        <v>700</v>
      </c>
      <c r="B630" s="8">
        <v>34</v>
      </c>
      <c r="C630" s="5" t="s">
        <v>40</v>
      </c>
      <c r="D630" s="5" t="s">
        <v>51</v>
      </c>
      <c r="E630" s="5" t="s">
        <v>53</v>
      </c>
      <c r="F630" s="5" t="s">
        <v>137</v>
      </c>
      <c r="G630" s="8">
        <v>2</v>
      </c>
      <c r="H630" s="8">
        <v>4599</v>
      </c>
      <c r="I630" s="5" t="s">
        <v>40</v>
      </c>
      <c r="J630" s="8">
        <v>4</v>
      </c>
      <c r="K630" s="8">
        <v>2</v>
      </c>
      <c r="L630" s="8">
        <v>15</v>
      </c>
      <c r="M6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30" s="8" t="str" cm="1">
        <f t="array" ref="N630">_xlfn.IFS(HR_Analytics56[[#This Row],[PerformanceRating]]=3,"Good",HR_Analytics56[[#This Row],[PerformanceRating]]=4, "Excellent")</f>
        <v>Excellent</v>
      </c>
      <c r="O630" s="8" t="str">
        <f>IF(HR_Analytics56[[#This Row],[MonthlyIncome]]&lt;3000,"&lt; ₹3,000",IF(HR_Analytics56[[#This Row],[MonthlyIncome]]&lt;=7000,"₹ 3,000 - ₹ 7,000","&gt; ₹7,000"))</f>
        <v>₹ 3,000 - ₹ 7,000</v>
      </c>
      <c r="P630" s="8" t="str" cm="1">
        <f t="array" ref="P6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1" spans="1:16" x14ac:dyDescent="0.8">
      <c r="A631" s="5" t="s">
        <v>701</v>
      </c>
      <c r="B631" s="8">
        <v>34</v>
      </c>
      <c r="C631" s="5" t="s">
        <v>49</v>
      </c>
      <c r="D631" s="5" t="s">
        <v>51</v>
      </c>
      <c r="E631" s="5" t="s">
        <v>44</v>
      </c>
      <c r="F631" s="5" t="s">
        <v>137</v>
      </c>
      <c r="G631" s="8">
        <v>3</v>
      </c>
      <c r="H631" s="8">
        <v>7083</v>
      </c>
      <c r="I631" s="5" t="s">
        <v>40</v>
      </c>
      <c r="J631" s="8">
        <v>3</v>
      </c>
      <c r="K631" s="8">
        <v>3</v>
      </c>
      <c r="L631" s="8">
        <v>10</v>
      </c>
      <c r="M6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31" s="8" t="str" cm="1">
        <f t="array" ref="N631">_xlfn.IFS(HR_Analytics56[[#This Row],[PerformanceRating]]=3,"Good",HR_Analytics56[[#This Row],[PerformanceRating]]=4, "Excellent")</f>
        <v>Good</v>
      </c>
      <c r="O631" s="8" t="str">
        <f>IF(HR_Analytics56[[#This Row],[MonthlyIncome]]&lt;3000,"&lt; ₹3,000",IF(HR_Analytics56[[#This Row],[MonthlyIncome]]&lt;=7000,"₹ 3,000 - ₹ 7,000","&gt; ₹7,000"))</f>
        <v>&gt; ₹7,000</v>
      </c>
      <c r="P631" s="8" t="str" cm="1">
        <f t="array" ref="P6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2" spans="1:16" x14ac:dyDescent="0.8">
      <c r="A632" s="5" t="s">
        <v>702</v>
      </c>
      <c r="B632" s="8">
        <v>34</v>
      </c>
      <c r="C632" s="5" t="s">
        <v>49</v>
      </c>
      <c r="D632" s="5" t="s">
        <v>51</v>
      </c>
      <c r="E632" s="5" t="s">
        <v>44</v>
      </c>
      <c r="F632" s="5" t="s">
        <v>54</v>
      </c>
      <c r="G632" s="8">
        <v>3</v>
      </c>
      <c r="H632" s="8">
        <v>2308</v>
      </c>
      <c r="I632" s="5" t="s">
        <v>40</v>
      </c>
      <c r="J632" s="8">
        <v>4</v>
      </c>
      <c r="K632" s="8">
        <v>4</v>
      </c>
      <c r="L632" s="8">
        <v>11</v>
      </c>
      <c r="M6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32" s="8" t="str" cm="1">
        <f t="array" ref="N632">_xlfn.IFS(HR_Analytics56[[#This Row],[PerformanceRating]]=3,"Good",HR_Analytics56[[#This Row],[PerformanceRating]]=4, "Excellent")</f>
        <v>Excellent</v>
      </c>
      <c r="O632" s="8" t="str">
        <f>IF(HR_Analytics56[[#This Row],[MonthlyIncome]]&lt;3000,"&lt; ₹3,000",IF(HR_Analytics56[[#This Row],[MonthlyIncome]]&lt;=7000,"₹ 3,000 - ₹ 7,000","&gt; ₹7,000"))</f>
        <v>&lt; ₹3,000</v>
      </c>
      <c r="P632" s="8" t="str" cm="1">
        <f t="array" ref="P63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33" spans="1:16" x14ac:dyDescent="0.8">
      <c r="A633" s="5" t="s">
        <v>703</v>
      </c>
      <c r="B633" s="8">
        <v>34</v>
      </c>
      <c r="C633" s="5" t="s">
        <v>49</v>
      </c>
      <c r="D633" s="5" t="s">
        <v>42</v>
      </c>
      <c r="E633" s="5" t="s">
        <v>44</v>
      </c>
      <c r="F633" s="5" t="s">
        <v>60</v>
      </c>
      <c r="G633" s="8">
        <v>4</v>
      </c>
      <c r="H633" s="8">
        <v>2972</v>
      </c>
      <c r="I633" s="5" t="s">
        <v>49</v>
      </c>
      <c r="J633" s="8">
        <v>3</v>
      </c>
      <c r="K633" s="8">
        <v>4</v>
      </c>
      <c r="L633" s="8">
        <v>1</v>
      </c>
      <c r="M6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3" s="8" t="str" cm="1">
        <f t="array" ref="N633">_xlfn.IFS(HR_Analytics56[[#This Row],[PerformanceRating]]=3,"Good",HR_Analytics56[[#This Row],[PerformanceRating]]=4, "Excellent")</f>
        <v>Good</v>
      </c>
      <c r="O633" s="8" t="str">
        <f>IF(HR_Analytics56[[#This Row],[MonthlyIncome]]&lt;3000,"&lt; ₹3,000",IF(HR_Analytics56[[#This Row],[MonthlyIncome]]&lt;=7000,"₹ 3,000 - ₹ 7,000","&gt; ₹7,000"))</f>
        <v>&lt; ₹3,000</v>
      </c>
      <c r="P633" s="8" t="str" cm="1">
        <f t="array" ref="P6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4" spans="1:16" x14ac:dyDescent="0.8">
      <c r="A634" s="5" t="s">
        <v>704</v>
      </c>
      <c r="B634" s="8">
        <v>34</v>
      </c>
      <c r="C634" s="5" t="s">
        <v>49</v>
      </c>
      <c r="D634" s="5" t="s">
        <v>42</v>
      </c>
      <c r="E634" s="5" t="s">
        <v>44</v>
      </c>
      <c r="F634" s="5" t="s">
        <v>60</v>
      </c>
      <c r="G634" s="8">
        <v>4</v>
      </c>
      <c r="H634" s="8">
        <v>5484</v>
      </c>
      <c r="I634" s="5" t="s">
        <v>49</v>
      </c>
      <c r="J634" s="8">
        <v>3</v>
      </c>
      <c r="K634" s="8">
        <v>3</v>
      </c>
      <c r="L634" s="8">
        <v>2</v>
      </c>
      <c r="M6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4" s="8" t="str" cm="1">
        <f t="array" ref="N634">_xlfn.IFS(HR_Analytics56[[#This Row],[PerformanceRating]]=3,"Good",HR_Analytics56[[#This Row],[PerformanceRating]]=4, "Excellent")</f>
        <v>Good</v>
      </c>
      <c r="O634" s="8" t="str">
        <f>IF(HR_Analytics56[[#This Row],[MonthlyIncome]]&lt;3000,"&lt; ₹3,000",IF(HR_Analytics56[[#This Row],[MonthlyIncome]]&lt;=7000,"₹ 3,000 - ₹ 7,000","&gt; ₹7,000"))</f>
        <v>₹ 3,000 - ₹ 7,000</v>
      </c>
      <c r="P634" s="8" t="str" cm="1">
        <f t="array" ref="P6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5" spans="1:16" x14ac:dyDescent="0.8">
      <c r="A635" s="5" t="s">
        <v>705</v>
      </c>
      <c r="B635" s="8">
        <v>34</v>
      </c>
      <c r="C635" s="5" t="s">
        <v>49</v>
      </c>
      <c r="D635" s="5" t="s">
        <v>42</v>
      </c>
      <c r="E635" s="5" t="s">
        <v>44</v>
      </c>
      <c r="F635" s="5" t="s">
        <v>161</v>
      </c>
      <c r="G635" s="8">
        <v>3</v>
      </c>
      <c r="H635" s="8">
        <v>5063</v>
      </c>
      <c r="I635" s="5" t="s">
        <v>49</v>
      </c>
      <c r="J635" s="8">
        <v>3</v>
      </c>
      <c r="K635" s="8">
        <v>3</v>
      </c>
      <c r="L635" s="8">
        <v>8</v>
      </c>
      <c r="M6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5" s="8" t="str" cm="1">
        <f t="array" ref="N635">_xlfn.IFS(HR_Analytics56[[#This Row],[PerformanceRating]]=3,"Good",HR_Analytics56[[#This Row],[PerformanceRating]]=4, "Excellent")</f>
        <v>Good</v>
      </c>
      <c r="O635" s="8" t="str">
        <f>IF(HR_Analytics56[[#This Row],[MonthlyIncome]]&lt;3000,"&lt; ₹3,000",IF(HR_Analytics56[[#This Row],[MonthlyIncome]]&lt;=7000,"₹ 3,000 - ₹ 7,000","&gt; ₹7,000"))</f>
        <v>₹ 3,000 - ₹ 7,000</v>
      </c>
      <c r="P635" s="8" t="str" cm="1">
        <f t="array" ref="P6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6" spans="1:16" x14ac:dyDescent="0.8">
      <c r="A636" s="5" t="s">
        <v>706</v>
      </c>
      <c r="B636" s="8">
        <v>34</v>
      </c>
      <c r="C636" s="5" t="s">
        <v>49</v>
      </c>
      <c r="D636" s="5" t="s">
        <v>42</v>
      </c>
      <c r="E636" s="5" t="s">
        <v>44</v>
      </c>
      <c r="F636" s="5" t="s">
        <v>112</v>
      </c>
      <c r="G636" s="8">
        <v>4</v>
      </c>
      <c r="H636" s="8">
        <v>4724</v>
      </c>
      <c r="I636" s="5" t="s">
        <v>49</v>
      </c>
      <c r="J636" s="8">
        <v>3</v>
      </c>
      <c r="K636" s="8">
        <v>3</v>
      </c>
      <c r="L636" s="8">
        <v>9</v>
      </c>
      <c r="M6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6" s="8" t="str" cm="1">
        <f t="array" ref="N636">_xlfn.IFS(HR_Analytics56[[#This Row],[PerformanceRating]]=3,"Good",HR_Analytics56[[#This Row],[PerformanceRating]]=4, "Excellent")</f>
        <v>Good</v>
      </c>
      <c r="O636" s="8" t="str">
        <f>IF(HR_Analytics56[[#This Row],[MonthlyIncome]]&lt;3000,"&lt; ₹3,000",IF(HR_Analytics56[[#This Row],[MonthlyIncome]]&lt;=7000,"₹ 3,000 - ₹ 7,000","&gt; ₹7,000"))</f>
        <v>₹ 3,000 - ₹ 7,000</v>
      </c>
      <c r="P636" s="8" t="str" cm="1">
        <f t="array" ref="P6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7" spans="1:16" x14ac:dyDescent="0.8">
      <c r="A637" s="5" t="s">
        <v>707</v>
      </c>
      <c r="B637" s="8">
        <v>34</v>
      </c>
      <c r="C637" s="5" t="s">
        <v>49</v>
      </c>
      <c r="D637" s="5" t="s">
        <v>42</v>
      </c>
      <c r="E637" s="5" t="s">
        <v>53</v>
      </c>
      <c r="F637" s="5" t="s">
        <v>60</v>
      </c>
      <c r="G637" s="8">
        <v>2</v>
      </c>
      <c r="H637" s="8">
        <v>5433</v>
      </c>
      <c r="I637" s="5" t="s">
        <v>49</v>
      </c>
      <c r="J637" s="8">
        <v>3</v>
      </c>
      <c r="K637" s="8">
        <v>2</v>
      </c>
      <c r="L637" s="8">
        <v>11</v>
      </c>
      <c r="M6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7" s="8" t="str" cm="1">
        <f t="array" ref="N637">_xlfn.IFS(HR_Analytics56[[#This Row],[PerformanceRating]]=3,"Good",HR_Analytics56[[#This Row],[PerformanceRating]]=4, "Excellent")</f>
        <v>Good</v>
      </c>
      <c r="O637" s="8" t="str">
        <f>IF(HR_Analytics56[[#This Row],[MonthlyIncome]]&lt;3000,"&lt; ₹3,000",IF(HR_Analytics56[[#This Row],[MonthlyIncome]]&lt;=7000,"₹ 3,000 - ₹ 7,000","&gt; ₹7,000"))</f>
        <v>₹ 3,000 - ₹ 7,000</v>
      </c>
      <c r="P637" s="8" t="str" cm="1">
        <f t="array" ref="P6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8" spans="1:16" x14ac:dyDescent="0.8">
      <c r="A638" s="5" t="s">
        <v>708</v>
      </c>
      <c r="B638" s="8">
        <v>34</v>
      </c>
      <c r="C638" s="5" t="s">
        <v>49</v>
      </c>
      <c r="D638" s="5" t="s">
        <v>42</v>
      </c>
      <c r="E638" s="5" t="s">
        <v>44</v>
      </c>
      <c r="F638" s="5" t="s">
        <v>45</v>
      </c>
      <c r="G638" s="8">
        <v>4</v>
      </c>
      <c r="H638" s="8">
        <v>3986</v>
      </c>
      <c r="I638" s="5" t="s">
        <v>49</v>
      </c>
      <c r="J638" s="8">
        <v>3</v>
      </c>
      <c r="K638" s="8">
        <v>3</v>
      </c>
      <c r="L638" s="8">
        <v>15</v>
      </c>
      <c r="M6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8" s="8" t="str" cm="1">
        <f t="array" ref="N638">_xlfn.IFS(HR_Analytics56[[#This Row],[PerformanceRating]]=3,"Good",HR_Analytics56[[#This Row],[PerformanceRating]]=4, "Excellent")</f>
        <v>Good</v>
      </c>
      <c r="O638" s="8" t="str">
        <f>IF(HR_Analytics56[[#This Row],[MonthlyIncome]]&lt;3000,"&lt; ₹3,000",IF(HR_Analytics56[[#This Row],[MonthlyIncome]]&lt;=7000,"₹ 3,000 - ₹ 7,000","&gt; ₹7,000"))</f>
        <v>₹ 3,000 - ₹ 7,000</v>
      </c>
      <c r="P638" s="8" t="str" cm="1">
        <f t="array" ref="P6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39" spans="1:16" x14ac:dyDescent="0.8">
      <c r="A639" s="5" t="s">
        <v>709</v>
      </c>
      <c r="B639" s="8">
        <v>34</v>
      </c>
      <c r="C639" s="5" t="s">
        <v>49</v>
      </c>
      <c r="D639" s="5" t="s">
        <v>42</v>
      </c>
      <c r="E639" s="5" t="s">
        <v>53</v>
      </c>
      <c r="F639" s="5" t="s">
        <v>60</v>
      </c>
      <c r="G639" s="8">
        <v>4</v>
      </c>
      <c r="H639" s="8">
        <v>2929</v>
      </c>
      <c r="I639" s="5" t="s">
        <v>49</v>
      </c>
      <c r="J639" s="8">
        <v>3</v>
      </c>
      <c r="K639" s="8">
        <v>3</v>
      </c>
      <c r="L639" s="8">
        <v>10</v>
      </c>
      <c r="M6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39" s="8" t="str" cm="1">
        <f t="array" ref="N639">_xlfn.IFS(HR_Analytics56[[#This Row],[PerformanceRating]]=3,"Good",HR_Analytics56[[#This Row],[PerformanceRating]]=4, "Excellent")</f>
        <v>Good</v>
      </c>
      <c r="O639" s="8" t="str">
        <f>IF(HR_Analytics56[[#This Row],[MonthlyIncome]]&lt;3000,"&lt; ₹3,000",IF(HR_Analytics56[[#This Row],[MonthlyIncome]]&lt;=7000,"₹ 3,000 - ₹ 7,000","&gt; ₹7,000"))</f>
        <v>&lt; ₹3,000</v>
      </c>
      <c r="P639" s="8" t="str" cm="1">
        <f t="array" ref="P6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0" spans="1:16" x14ac:dyDescent="0.8">
      <c r="A640" s="5" t="s">
        <v>710</v>
      </c>
      <c r="B640" s="8">
        <v>34</v>
      </c>
      <c r="C640" s="5" t="s">
        <v>49</v>
      </c>
      <c r="D640" s="5" t="s">
        <v>42</v>
      </c>
      <c r="E640" s="5" t="s">
        <v>44</v>
      </c>
      <c r="F640" s="5" t="s">
        <v>60</v>
      </c>
      <c r="G640" s="8">
        <v>4</v>
      </c>
      <c r="H640" s="8">
        <v>2932</v>
      </c>
      <c r="I640" s="5" t="s">
        <v>40</v>
      </c>
      <c r="J640" s="8">
        <v>3</v>
      </c>
      <c r="K640" s="8">
        <v>3</v>
      </c>
      <c r="L640" s="8">
        <v>5</v>
      </c>
      <c r="M6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0" s="8" t="str" cm="1">
        <f t="array" ref="N640">_xlfn.IFS(HR_Analytics56[[#This Row],[PerformanceRating]]=3,"Good",HR_Analytics56[[#This Row],[PerformanceRating]]=4, "Excellent")</f>
        <v>Good</v>
      </c>
      <c r="O640" s="8" t="str">
        <f>IF(HR_Analytics56[[#This Row],[MonthlyIncome]]&lt;3000,"&lt; ₹3,000",IF(HR_Analytics56[[#This Row],[MonthlyIncome]]&lt;=7000,"₹ 3,000 - ₹ 7,000","&gt; ₹7,000"))</f>
        <v>&lt; ₹3,000</v>
      </c>
      <c r="P640" s="8" t="str" cm="1">
        <f t="array" ref="P6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1" spans="1:16" x14ac:dyDescent="0.8">
      <c r="A641" s="5" t="s">
        <v>711</v>
      </c>
      <c r="B641" s="8">
        <v>34</v>
      </c>
      <c r="C641" s="5" t="s">
        <v>49</v>
      </c>
      <c r="D641" s="5" t="s">
        <v>51</v>
      </c>
      <c r="E641" s="5" t="s">
        <v>44</v>
      </c>
      <c r="F641" s="5" t="s">
        <v>137</v>
      </c>
      <c r="G641" s="8">
        <v>3</v>
      </c>
      <c r="H641" s="8">
        <v>4001</v>
      </c>
      <c r="I641" s="5" t="s">
        <v>40</v>
      </c>
      <c r="J641" s="8">
        <v>3</v>
      </c>
      <c r="K641" s="8">
        <v>3</v>
      </c>
      <c r="L641" s="8">
        <v>15</v>
      </c>
      <c r="M6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1" s="8" t="str" cm="1">
        <f t="array" ref="N641">_xlfn.IFS(HR_Analytics56[[#This Row],[PerformanceRating]]=3,"Good",HR_Analytics56[[#This Row],[PerformanceRating]]=4, "Excellent")</f>
        <v>Good</v>
      </c>
      <c r="O641" s="8" t="str">
        <f>IF(HR_Analytics56[[#This Row],[MonthlyIncome]]&lt;3000,"&lt; ₹3,000",IF(HR_Analytics56[[#This Row],[MonthlyIncome]]&lt;=7000,"₹ 3,000 - ₹ 7,000","&gt; ₹7,000"))</f>
        <v>₹ 3,000 - ₹ 7,000</v>
      </c>
      <c r="P641" s="8" t="str" cm="1">
        <f t="array" ref="P6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2" spans="1:16" x14ac:dyDescent="0.8">
      <c r="A642" s="5" t="s">
        <v>712</v>
      </c>
      <c r="B642" s="8">
        <v>34</v>
      </c>
      <c r="C642" s="5" t="s">
        <v>49</v>
      </c>
      <c r="D642" s="5" t="s">
        <v>51</v>
      </c>
      <c r="E642" s="5" t="s">
        <v>53</v>
      </c>
      <c r="F642" s="5" t="s">
        <v>137</v>
      </c>
      <c r="G642" s="8">
        <v>4</v>
      </c>
      <c r="H642" s="8">
        <v>6029</v>
      </c>
      <c r="I642" s="5" t="s">
        <v>49</v>
      </c>
      <c r="J642" s="8">
        <v>3</v>
      </c>
      <c r="K642" s="8">
        <v>3</v>
      </c>
      <c r="L642" s="8">
        <v>2</v>
      </c>
      <c r="M6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42" s="8" t="str" cm="1">
        <f t="array" ref="N642">_xlfn.IFS(HR_Analytics56[[#This Row],[PerformanceRating]]=3,"Good",HR_Analytics56[[#This Row],[PerformanceRating]]=4, "Excellent")</f>
        <v>Good</v>
      </c>
      <c r="O642" s="8" t="str">
        <f>IF(HR_Analytics56[[#This Row],[MonthlyIncome]]&lt;3000,"&lt; ₹3,000",IF(HR_Analytics56[[#This Row],[MonthlyIncome]]&lt;=7000,"₹ 3,000 - ₹ 7,000","&gt; ₹7,000"))</f>
        <v>₹ 3,000 - ₹ 7,000</v>
      </c>
      <c r="P642" s="8" t="str" cm="1">
        <f t="array" ref="P6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3" spans="1:16" x14ac:dyDescent="0.8">
      <c r="A643" s="5" t="s">
        <v>713</v>
      </c>
      <c r="B643" s="8">
        <v>34</v>
      </c>
      <c r="C643" s="5" t="s">
        <v>40</v>
      </c>
      <c r="D643" s="5" t="s">
        <v>42</v>
      </c>
      <c r="E643" s="5" t="s">
        <v>44</v>
      </c>
      <c r="F643" s="5" t="s">
        <v>45</v>
      </c>
      <c r="G643" s="8">
        <v>1</v>
      </c>
      <c r="H643" s="8">
        <v>5346</v>
      </c>
      <c r="I643" s="5" t="s">
        <v>49</v>
      </c>
      <c r="J643" s="8">
        <v>3</v>
      </c>
      <c r="K643" s="8">
        <v>3</v>
      </c>
      <c r="L643" s="8">
        <v>7</v>
      </c>
      <c r="M6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3" s="8" t="str" cm="1">
        <f t="array" ref="N643">_xlfn.IFS(HR_Analytics56[[#This Row],[PerformanceRating]]=3,"Good",HR_Analytics56[[#This Row],[PerformanceRating]]=4, "Excellent")</f>
        <v>Good</v>
      </c>
      <c r="O643" s="8" t="str">
        <f>IF(HR_Analytics56[[#This Row],[MonthlyIncome]]&lt;3000,"&lt; ₹3,000",IF(HR_Analytics56[[#This Row],[MonthlyIncome]]&lt;=7000,"₹ 3,000 - ₹ 7,000","&gt; ₹7,000"))</f>
        <v>₹ 3,000 - ₹ 7,000</v>
      </c>
      <c r="P643" s="8" t="str" cm="1">
        <f t="array" ref="P6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4" spans="1:16" x14ac:dyDescent="0.8">
      <c r="A644" s="5" t="s">
        <v>714</v>
      </c>
      <c r="B644" s="8">
        <v>34</v>
      </c>
      <c r="C644" s="5" t="s">
        <v>49</v>
      </c>
      <c r="D644" s="5" t="s">
        <v>51</v>
      </c>
      <c r="E644" s="5" t="s">
        <v>44</v>
      </c>
      <c r="F644" s="5" t="s">
        <v>137</v>
      </c>
      <c r="G644" s="8">
        <v>3</v>
      </c>
      <c r="H644" s="8">
        <v>6799</v>
      </c>
      <c r="I644" s="5" t="s">
        <v>49</v>
      </c>
      <c r="J644" s="8">
        <v>4</v>
      </c>
      <c r="K644" s="8">
        <v>5</v>
      </c>
      <c r="L644" s="8">
        <v>10</v>
      </c>
      <c r="M6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44" s="8" t="str" cm="1">
        <f t="array" ref="N644">_xlfn.IFS(HR_Analytics56[[#This Row],[PerformanceRating]]=3,"Good",HR_Analytics56[[#This Row],[PerformanceRating]]=4, "Excellent")</f>
        <v>Excellent</v>
      </c>
      <c r="O644" s="8" t="str">
        <f>IF(HR_Analytics56[[#This Row],[MonthlyIncome]]&lt;3000,"&lt; ₹3,000",IF(HR_Analytics56[[#This Row],[MonthlyIncome]]&lt;=7000,"₹ 3,000 - ₹ 7,000","&gt; ₹7,000"))</f>
        <v>₹ 3,000 - ₹ 7,000</v>
      </c>
      <c r="P644" s="8" t="str" cm="1">
        <f t="array" ref="P64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45" spans="1:16" x14ac:dyDescent="0.8">
      <c r="A645" s="5" t="s">
        <v>715</v>
      </c>
      <c r="B645" s="8">
        <v>34</v>
      </c>
      <c r="C645" s="5" t="s">
        <v>49</v>
      </c>
      <c r="D645" s="5" t="s">
        <v>51</v>
      </c>
      <c r="E645" s="5" t="s">
        <v>44</v>
      </c>
      <c r="F645" s="5" t="s">
        <v>137</v>
      </c>
      <c r="G645" s="8">
        <v>4</v>
      </c>
      <c r="H645" s="8">
        <v>9713</v>
      </c>
      <c r="I645" s="5" t="s">
        <v>40</v>
      </c>
      <c r="J645" s="8">
        <v>3</v>
      </c>
      <c r="K645" s="8">
        <v>3</v>
      </c>
      <c r="L645" s="8">
        <v>5</v>
      </c>
      <c r="M6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5" s="8" t="str" cm="1">
        <f t="array" ref="N645">_xlfn.IFS(HR_Analytics56[[#This Row],[PerformanceRating]]=3,"Good",HR_Analytics56[[#This Row],[PerformanceRating]]=4, "Excellent")</f>
        <v>Good</v>
      </c>
      <c r="O645" s="8" t="str">
        <f>IF(HR_Analytics56[[#This Row],[MonthlyIncome]]&lt;3000,"&lt; ₹3,000",IF(HR_Analytics56[[#This Row],[MonthlyIncome]]&lt;=7000,"₹ 3,000 - ₹ 7,000","&gt; ₹7,000"))</f>
        <v>&gt; ₹7,000</v>
      </c>
      <c r="P645" s="8" t="str" cm="1">
        <f t="array" ref="P6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6" spans="1:16" x14ac:dyDescent="0.8">
      <c r="A646" s="5" t="s">
        <v>716</v>
      </c>
      <c r="B646" s="8">
        <v>34</v>
      </c>
      <c r="C646" s="5" t="s">
        <v>40</v>
      </c>
      <c r="D646" s="5" t="s">
        <v>42</v>
      </c>
      <c r="E646" s="5" t="s">
        <v>44</v>
      </c>
      <c r="F646" s="5" t="s">
        <v>60</v>
      </c>
      <c r="G646" s="8">
        <v>1</v>
      </c>
      <c r="H646" s="8">
        <v>2307</v>
      </c>
      <c r="I646" s="5" t="s">
        <v>40</v>
      </c>
      <c r="J646" s="8">
        <v>4</v>
      </c>
      <c r="K646" s="8">
        <v>2</v>
      </c>
      <c r="L646" s="8">
        <v>5</v>
      </c>
      <c r="M6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46" s="8" t="str" cm="1">
        <f t="array" ref="N646">_xlfn.IFS(HR_Analytics56[[#This Row],[PerformanceRating]]=3,"Good",HR_Analytics56[[#This Row],[PerformanceRating]]=4, "Excellent")</f>
        <v>Excellent</v>
      </c>
      <c r="O646" s="8" t="str">
        <f>IF(HR_Analytics56[[#This Row],[MonthlyIncome]]&lt;3000,"&lt; ₹3,000",IF(HR_Analytics56[[#This Row],[MonthlyIncome]]&lt;=7000,"₹ 3,000 - ₹ 7,000","&gt; ₹7,000"))</f>
        <v>&lt; ₹3,000</v>
      </c>
      <c r="P646" s="8" t="str" cm="1">
        <f t="array" ref="P6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7" spans="1:16" x14ac:dyDescent="0.8">
      <c r="A647" s="5" t="s">
        <v>717</v>
      </c>
      <c r="B647" s="8">
        <v>34</v>
      </c>
      <c r="C647" s="5" t="s">
        <v>49</v>
      </c>
      <c r="D647" s="5" t="s">
        <v>51</v>
      </c>
      <c r="E647" s="5" t="s">
        <v>53</v>
      </c>
      <c r="F647" s="5" t="s">
        <v>137</v>
      </c>
      <c r="G647" s="8">
        <v>4</v>
      </c>
      <c r="H647" s="8">
        <v>8103</v>
      </c>
      <c r="I647" s="5" t="s">
        <v>40</v>
      </c>
      <c r="J647" s="8">
        <v>3</v>
      </c>
      <c r="K647" s="8">
        <v>3</v>
      </c>
      <c r="L647" s="8">
        <v>4</v>
      </c>
      <c r="M6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7" s="8" t="str" cm="1">
        <f t="array" ref="N647">_xlfn.IFS(HR_Analytics56[[#This Row],[PerformanceRating]]=3,"Good",HR_Analytics56[[#This Row],[PerformanceRating]]=4, "Excellent")</f>
        <v>Good</v>
      </c>
      <c r="O647" s="8" t="str">
        <f>IF(HR_Analytics56[[#This Row],[MonthlyIncome]]&lt;3000,"&lt; ₹3,000",IF(HR_Analytics56[[#This Row],[MonthlyIncome]]&lt;=7000,"₹ 3,000 - ₹ 7,000","&gt; ₹7,000"))</f>
        <v>&gt; ₹7,000</v>
      </c>
      <c r="P647" s="8" t="str" cm="1">
        <f t="array" ref="P6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8" spans="1:16" x14ac:dyDescent="0.8">
      <c r="A648" s="5" t="s">
        <v>718</v>
      </c>
      <c r="B648" s="8">
        <v>34</v>
      </c>
      <c r="C648" s="5" t="s">
        <v>49</v>
      </c>
      <c r="D648" s="5" t="s">
        <v>42</v>
      </c>
      <c r="E648" s="5" t="s">
        <v>44</v>
      </c>
      <c r="F648" s="5" t="s">
        <v>60</v>
      </c>
      <c r="G648" s="8">
        <v>4</v>
      </c>
      <c r="H648" s="8">
        <v>5747</v>
      </c>
      <c r="I648" s="5" t="s">
        <v>40</v>
      </c>
      <c r="J648" s="8">
        <v>3</v>
      </c>
      <c r="K648" s="8">
        <v>3</v>
      </c>
      <c r="L648" s="8">
        <v>15</v>
      </c>
      <c r="M6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48" s="8" t="str" cm="1">
        <f t="array" ref="N648">_xlfn.IFS(HR_Analytics56[[#This Row],[PerformanceRating]]=3,"Good",HR_Analytics56[[#This Row],[PerformanceRating]]=4, "Excellent")</f>
        <v>Good</v>
      </c>
      <c r="O648" s="8" t="str">
        <f>IF(HR_Analytics56[[#This Row],[MonthlyIncome]]&lt;3000,"&lt; ₹3,000",IF(HR_Analytics56[[#This Row],[MonthlyIncome]]&lt;=7000,"₹ 3,000 - ₹ 7,000","&gt; ₹7,000"))</f>
        <v>₹ 3,000 - ₹ 7,000</v>
      </c>
      <c r="P648" s="8" t="str" cm="1">
        <f t="array" ref="P6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49" spans="1:16" x14ac:dyDescent="0.8">
      <c r="A649" s="5" t="s">
        <v>719</v>
      </c>
      <c r="B649" s="8">
        <v>34</v>
      </c>
      <c r="C649" s="5" t="s">
        <v>49</v>
      </c>
      <c r="D649" s="5" t="s">
        <v>51</v>
      </c>
      <c r="E649" s="5" t="s">
        <v>44</v>
      </c>
      <c r="F649" s="5" t="s">
        <v>137</v>
      </c>
      <c r="G649" s="8">
        <v>4</v>
      </c>
      <c r="H649" s="8">
        <v>9888</v>
      </c>
      <c r="I649" s="5" t="s">
        <v>49</v>
      </c>
      <c r="J649" s="8">
        <v>4</v>
      </c>
      <c r="K649" s="8">
        <v>3</v>
      </c>
      <c r="L649" s="8">
        <v>14</v>
      </c>
      <c r="M6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49" s="8" t="str" cm="1">
        <f t="array" ref="N649">_xlfn.IFS(HR_Analytics56[[#This Row],[PerformanceRating]]=3,"Good",HR_Analytics56[[#This Row],[PerformanceRating]]=4, "Excellent")</f>
        <v>Excellent</v>
      </c>
      <c r="O649" s="8" t="str">
        <f>IF(HR_Analytics56[[#This Row],[MonthlyIncome]]&lt;3000,"&lt; ₹3,000",IF(HR_Analytics56[[#This Row],[MonthlyIncome]]&lt;=7000,"₹ 3,000 - ₹ 7,000","&gt; ₹7,000"))</f>
        <v>&gt; ₹7,000</v>
      </c>
      <c r="P649" s="8" t="str" cm="1">
        <f t="array" ref="P64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50" spans="1:16" x14ac:dyDescent="0.8">
      <c r="A650" s="5" t="s">
        <v>720</v>
      </c>
      <c r="B650" s="8">
        <v>34</v>
      </c>
      <c r="C650" s="5" t="s">
        <v>49</v>
      </c>
      <c r="D650" s="5" t="s">
        <v>51</v>
      </c>
      <c r="E650" s="5" t="s">
        <v>44</v>
      </c>
      <c r="F650" s="5" t="s">
        <v>137</v>
      </c>
      <c r="G650" s="8">
        <v>3</v>
      </c>
      <c r="H650" s="8">
        <v>8628</v>
      </c>
      <c r="I650" s="5" t="s">
        <v>49</v>
      </c>
      <c r="J650" s="8">
        <v>3</v>
      </c>
      <c r="K650" s="8">
        <v>2</v>
      </c>
      <c r="L650" s="8">
        <v>8</v>
      </c>
      <c r="M6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0" s="8" t="str" cm="1">
        <f t="array" ref="N650">_xlfn.IFS(HR_Analytics56[[#This Row],[PerformanceRating]]=3,"Good",HR_Analytics56[[#This Row],[PerformanceRating]]=4, "Excellent")</f>
        <v>Good</v>
      </c>
      <c r="O650" s="8" t="str">
        <f>IF(HR_Analytics56[[#This Row],[MonthlyIncome]]&lt;3000,"&lt; ₹3,000",IF(HR_Analytics56[[#This Row],[MonthlyIncome]]&lt;=7000,"₹ 3,000 - ₹ 7,000","&gt; ₹7,000"))</f>
        <v>&gt; ₹7,000</v>
      </c>
      <c r="P650" s="8" t="str" cm="1">
        <f t="array" ref="P6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1" spans="1:16" x14ac:dyDescent="0.8">
      <c r="A651" s="5" t="s">
        <v>721</v>
      </c>
      <c r="B651" s="8">
        <v>34</v>
      </c>
      <c r="C651" s="5" t="s">
        <v>49</v>
      </c>
      <c r="D651" s="5" t="s">
        <v>51</v>
      </c>
      <c r="E651" s="5" t="s">
        <v>53</v>
      </c>
      <c r="F651" s="5" t="s">
        <v>137</v>
      </c>
      <c r="G651" s="8">
        <v>3</v>
      </c>
      <c r="H651" s="8">
        <v>6712</v>
      </c>
      <c r="I651" s="5" t="s">
        <v>49</v>
      </c>
      <c r="J651" s="8">
        <v>4</v>
      </c>
      <c r="K651" s="8">
        <v>2</v>
      </c>
      <c r="L651" s="8">
        <v>8</v>
      </c>
      <c r="M6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1" s="8" t="str" cm="1">
        <f t="array" ref="N651">_xlfn.IFS(HR_Analytics56[[#This Row],[PerformanceRating]]=3,"Good",HR_Analytics56[[#This Row],[PerformanceRating]]=4, "Excellent")</f>
        <v>Excellent</v>
      </c>
      <c r="O651" s="8" t="str">
        <f>IF(HR_Analytics56[[#This Row],[MonthlyIncome]]&lt;3000,"&lt; ₹3,000",IF(HR_Analytics56[[#This Row],[MonthlyIncome]]&lt;=7000,"₹ 3,000 - ₹ 7,000","&gt; ₹7,000"))</f>
        <v>₹ 3,000 - ₹ 7,000</v>
      </c>
      <c r="P651" s="8" t="str" cm="1">
        <f t="array" ref="P6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2" spans="1:16" x14ac:dyDescent="0.8">
      <c r="A652" s="5" t="s">
        <v>722</v>
      </c>
      <c r="B652" s="8">
        <v>34</v>
      </c>
      <c r="C652" s="5" t="s">
        <v>49</v>
      </c>
      <c r="D652" s="5" t="s">
        <v>42</v>
      </c>
      <c r="E652" s="5" t="s">
        <v>44</v>
      </c>
      <c r="F652" s="5" t="s">
        <v>45</v>
      </c>
      <c r="G652" s="8">
        <v>3</v>
      </c>
      <c r="H652" s="8">
        <v>4404</v>
      </c>
      <c r="I652" s="5" t="s">
        <v>49</v>
      </c>
      <c r="J652" s="8">
        <v>3</v>
      </c>
      <c r="K652" s="8">
        <v>3</v>
      </c>
      <c r="L652" s="8">
        <v>4</v>
      </c>
      <c r="M6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2" s="8" t="str" cm="1">
        <f t="array" ref="N652">_xlfn.IFS(HR_Analytics56[[#This Row],[PerformanceRating]]=3,"Good",HR_Analytics56[[#This Row],[PerformanceRating]]=4, "Excellent")</f>
        <v>Good</v>
      </c>
      <c r="O652" s="8" t="str">
        <f>IF(HR_Analytics56[[#This Row],[MonthlyIncome]]&lt;3000,"&lt; ₹3,000",IF(HR_Analytics56[[#This Row],[MonthlyIncome]]&lt;=7000,"₹ 3,000 - ₹ 7,000","&gt; ₹7,000"))</f>
        <v>₹ 3,000 - ₹ 7,000</v>
      </c>
      <c r="P652" s="8" t="str" cm="1">
        <f t="array" ref="P6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3" spans="1:16" x14ac:dyDescent="0.8">
      <c r="A653" s="5" t="s">
        <v>723</v>
      </c>
      <c r="B653" s="8">
        <v>35</v>
      </c>
      <c r="C653" s="5" t="s">
        <v>49</v>
      </c>
      <c r="D653" s="5" t="s">
        <v>42</v>
      </c>
      <c r="E653" s="5" t="s">
        <v>44</v>
      </c>
      <c r="F653" s="5" t="s">
        <v>45</v>
      </c>
      <c r="G653" s="8">
        <v>2</v>
      </c>
      <c r="H653" s="8">
        <v>2426</v>
      </c>
      <c r="I653" s="5" t="s">
        <v>49</v>
      </c>
      <c r="J653" s="8">
        <v>3</v>
      </c>
      <c r="K653" s="8">
        <v>5</v>
      </c>
      <c r="L653" s="8">
        <v>5</v>
      </c>
      <c r="M6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3" s="8" t="str" cm="1">
        <f t="array" ref="N653">_xlfn.IFS(HR_Analytics56[[#This Row],[PerformanceRating]]=3,"Good",HR_Analytics56[[#This Row],[PerformanceRating]]=4, "Excellent")</f>
        <v>Good</v>
      </c>
      <c r="O653" s="8" t="str">
        <f>IF(HR_Analytics56[[#This Row],[MonthlyIncome]]&lt;3000,"&lt; ₹3,000",IF(HR_Analytics56[[#This Row],[MonthlyIncome]]&lt;=7000,"₹ 3,000 - ₹ 7,000","&gt; ₹7,000"))</f>
        <v>&lt; ₹3,000</v>
      </c>
      <c r="P653" s="8" t="str" cm="1">
        <f t="array" ref="P6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4" spans="1:16" x14ac:dyDescent="0.8">
      <c r="A654" s="5" t="s">
        <v>724</v>
      </c>
      <c r="B654" s="8">
        <v>35</v>
      </c>
      <c r="C654" s="5" t="s">
        <v>49</v>
      </c>
      <c r="D654" s="5" t="s">
        <v>51</v>
      </c>
      <c r="E654" s="5" t="s">
        <v>53</v>
      </c>
      <c r="F654" s="5" t="s">
        <v>54</v>
      </c>
      <c r="G654" s="8">
        <v>4</v>
      </c>
      <c r="H654" s="8">
        <v>2014</v>
      </c>
      <c r="I654" s="5" t="s">
        <v>49</v>
      </c>
      <c r="J654" s="8">
        <v>3</v>
      </c>
      <c r="K654" s="8">
        <v>3</v>
      </c>
      <c r="L654" s="8">
        <v>2</v>
      </c>
      <c r="M6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4" s="8" t="str" cm="1">
        <f t="array" ref="N654">_xlfn.IFS(HR_Analytics56[[#This Row],[PerformanceRating]]=3,"Good",HR_Analytics56[[#This Row],[PerformanceRating]]=4, "Excellent")</f>
        <v>Good</v>
      </c>
      <c r="O654" s="8" t="str">
        <f>IF(HR_Analytics56[[#This Row],[MonthlyIncome]]&lt;3000,"&lt; ₹3,000",IF(HR_Analytics56[[#This Row],[MonthlyIncome]]&lt;=7000,"₹ 3,000 - ₹ 7,000","&gt; ₹7,000"))</f>
        <v>&lt; ₹3,000</v>
      </c>
      <c r="P654" s="8" t="str" cm="1">
        <f t="array" ref="P6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5" spans="1:16" x14ac:dyDescent="0.8">
      <c r="A655" s="5" t="s">
        <v>725</v>
      </c>
      <c r="B655" s="8">
        <v>35</v>
      </c>
      <c r="C655" s="5" t="s">
        <v>49</v>
      </c>
      <c r="D655" s="5" t="s">
        <v>42</v>
      </c>
      <c r="E655" s="5" t="s">
        <v>44</v>
      </c>
      <c r="F655" s="5" t="s">
        <v>45</v>
      </c>
      <c r="G655" s="8">
        <v>4</v>
      </c>
      <c r="H655" s="8">
        <v>1951</v>
      </c>
      <c r="I655" s="5" t="s">
        <v>49</v>
      </c>
      <c r="J655" s="8">
        <v>3</v>
      </c>
      <c r="K655" s="8">
        <v>3</v>
      </c>
      <c r="L655" s="8">
        <v>1</v>
      </c>
      <c r="M6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5" s="8" t="str" cm="1">
        <f t="array" ref="N655">_xlfn.IFS(HR_Analytics56[[#This Row],[PerformanceRating]]=3,"Good",HR_Analytics56[[#This Row],[PerformanceRating]]=4, "Excellent")</f>
        <v>Good</v>
      </c>
      <c r="O655" s="8" t="str">
        <f>IF(HR_Analytics56[[#This Row],[MonthlyIncome]]&lt;3000,"&lt; ₹3,000",IF(HR_Analytics56[[#This Row],[MonthlyIncome]]&lt;=7000,"₹ 3,000 - ₹ 7,000","&gt; ₹7,000"))</f>
        <v>&lt; ₹3,000</v>
      </c>
      <c r="P655" s="8" t="str" cm="1">
        <f t="array" ref="P6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6" spans="1:16" x14ac:dyDescent="0.8">
      <c r="A656" s="5" t="s">
        <v>726</v>
      </c>
      <c r="B656" s="8">
        <v>35</v>
      </c>
      <c r="C656" s="5" t="s">
        <v>49</v>
      </c>
      <c r="D656" s="5" t="s">
        <v>42</v>
      </c>
      <c r="E656" s="5" t="s">
        <v>44</v>
      </c>
      <c r="F656" s="5" t="s">
        <v>45</v>
      </c>
      <c r="G656" s="8">
        <v>4</v>
      </c>
      <c r="H656" s="8">
        <v>2269</v>
      </c>
      <c r="I656" s="5" t="s">
        <v>49</v>
      </c>
      <c r="J656" s="8">
        <v>3</v>
      </c>
      <c r="K656" s="8">
        <v>2</v>
      </c>
      <c r="L656" s="8">
        <v>1</v>
      </c>
      <c r="M6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6" s="8" t="str" cm="1">
        <f t="array" ref="N656">_xlfn.IFS(HR_Analytics56[[#This Row],[PerformanceRating]]=3,"Good",HR_Analytics56[[#This Row],[PerformanceRating]]=4, "Excellent")</f>
        <v>Good</v>
      </c>
      <c r="O656" s="8" t="str">
        <f>IF(HR_Analytics56[[#This Row],[MonthlyIncome]]&lt;3000,"&lt; ₹3,000",IF(HR_Analytics56[[#This Row],[MonthlyIncome]]&lt;=7000,"₹ 3,000 - ₹ 7,000","&gt; ₹7,000"))</f>
        <v>&lt; ₹3,000</v>
      </c>
      <c r="P656" s="8" t="str" cm="1">
        <f t="array" ref="P6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7" spans="1:16" x14ac:dyDescent="0.8">
      <c r="A657" s="5" t="s">
        <v>727</v>
      </c>
      <c r="B657" s="8">
        <v>35</v>
      </c>
      <c r="C657" s="5" t="s">
        <v>49</v>
      </c>
      <c r="D657" s="5" t="s">
        <v>42</v>
      </c>
      <c r="E657" s="5" t="s">
        <v>44</v>
      </c>
      <c r="F657" s="5" t="s">
        <v>161</v>
      </c>
      <c r="G657" s="8">
        <v>1</v>
      </c>
      <c r="H657" s="8">
        <v>9884</v>
      </c>
      <c r="I657" s="5" t="s">
        <v>40</v>
      </c>
      <c r="J657" s="8">
        <v>3</v>
      </c>
      <c r="K657" s="8">
        <v>3</v>
      </c>
      <c r="L657" s="8">
        <v>4</v>
      </c>
      <c r="M6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57" s="8" t="str" cm="1">
        <f t="array" ref="N657">_xlfn.IFS(HR_Analytics56[[#This Row],[PerformanceRating]]=3,"Good",HR_Analytics56[[#This Row],[PerformanceRating]]=4, "Excellent")</f>
        <v>Good</v>
      </c>
      <c r="O657" s="8" t="str">
        <f>IF(HR_Analytics56[[#This Row],[MonthlyIncome]]&lt;3000,"&lt; ₹3,000",IF(HR_Analytics56[[#This Row],[MonthlyIncome]]&lt;=7000,"₹ 3,000 - ₹ 7,000","&gt; ₹7,000"))</f>
        <v>&gt; ₹7,000</v>
      </c>
      <c r="P657" s="8" t="str" cm="1">
        <f t="array" ref="P6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58" spans="1:16" x14ac:dyDescent="0.8">
      <c r="A658" s="5" t="s">
        <v>728</v>
      </c>
      <c r="B658" s="8">
        <v>35</v>
      </c>
      <c r="C658" s="5" t="s">
        <v>49</v>
      </c>
      <c r="D658" s="5" t="s">
        <v>51</v>
      </c>
      <c r="E658" s="5" t="s">
        <v>44</v>
      </c>
      <c r="F658" s="5" t="s">
        <v>137</v>
      </c>
      <c r="G658" s="8">
        <v>1</v>
      </c>
      <c r="H658" s="8">
        <v>9069</v>
      </c>
      <c r="I658" s="5" t="s">
        <v>49</v>
      </c>
      <c r="J658" s="8">
        <v>4</v>
      </c>
      <c r="K658" s="8">
        <v>3</v>
      </c>
      <c r="L658" s="8">
        <v>9</v>
      </c>
      <c r="M6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58" s="8" t="str" cm="1">
        <f t="array" ref="N658">_xlfn.IFS(HR_Analytics56[[#This Row],[PerformanceRating]]=3,"Good",HR_Analytics56[[#This Row],[PerformanceRating]]=4, "Excellent")</f>
        <v>Excellent</v>
      </c>
      <c r="O658" s="8" t="str">
        <f>IF(HR_Analytics56[[#This Row],[MonthlyIncome]]&lt;3000,"&lt; ₹3,000",IF(HR_Analytics56[[#This Row],[MonthlyIncome]]&lt;=7000,"₹ 3,000 - ₹ 7,000","&gt; ₹7,000"))</f>
        <v>&gt; ₹7,000</v>
      </c>
      <c r="P658" s="8" t="str" cm="1">
        <f t="array" ref="P65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59" spans="1:16" x14ac:dyDescent="0.8">
      <c r="A659" s="5" t="s">
        <v>729</v>
      </c>
      <c r="B659" s="8">
        <v>35</v>
      </c>
      <c r="C659" s="5" t="s">
        <v>49</v>
      </c>
      <c r="D659" s="5" t="s">
        <v>42</v>
      </c>
      <c r="E659" s="5" t="s">
        <v>53</v>
      </c>
      <c r="F659" s="5" t="s">
        <v>45</v>
      </c>
      <c r="G659" s="8">
        <v>1</v>
      </c>
      <c r="H659" s="8">
        <v>4014</v>
      </c>
      <c r="I659" s="5" t="s">
        <v>40</v>
      </c>
      <c r="J659" s="8">
        <v>3</v>
      </c>
      <c r="K659" s="8">
        <v>3</v>
      </c>
      <c r="L659" s="8">
        <v>2</v>
      </c>
      <c r="M6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59" s="8" t="str" cm="1">
        <f t="array" ref="N659">_xlfn.IFS(HR_Analytics56[[#This Row],[PerformanceRating]]=3,"Good",HR_Analytics56[[#This Row],[PerformanceRating]]=4, "Excellent")</f>
        <v>Good</v>
      </c>
      <c r="O659" s="8" t="str">
        <f>IF(HR_Analytics56[[#This Row],[MonthlyIncome]]&lt;3000,"&lt; ₹3,000",IF(HR_Analytics56[[#This Row],[MonthlyIncome]]&lt;=7000,"₹ 3,000 - ₹ 7,000","&gt; ₹7,000"))</f>
        <v>₹ 3,000 - ₹ 7,000</v>
      </c>
      <c r="P659" s="8" t="str" cm="1">
        <f t="array" ref="P6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0" spans="1:16" x14ac:dyDescent="0.8">
      <c r="A660" s="5" t="s">
        <v>730</v>
      </c>
      <c r="B660" s="8">
        <v>35</v>
      </c>
      <c r="C660" s="5" t="s">
        <v>49</v>
      </c>
      <c r="D660" s="5" t="s">
        <v>42</v>
      </c>
      <c r="E660" s="5" t="s">
        <v>44</v>
      </c>
      <c r="F660" s="5" t="s">
        <v>60</v>
      </c>
      <c r="G660" s="8">
        <v>1</v>
      </c>
      <c r="H660" s="8">
        <v>2194</v>
      </c>
      <c r="I660" s="5" t="s">
        <v>49</v>
      </c>
      <c r="J660" s="8">
        <v>3</v>
      </c>
      <c r="K660" s="8">
        <v>2</v>
      </c>
      <c r="L660" s="8">
        <v>3</v>
      </c>
      <c r="M6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0" s="8" t="str" cm="1">
        <f t="array" ref="N660">_xlfn.IFS(HR_Analytics56[[#This Row],[PerformanceRating]]=3,"Good",HR_Analytics56[[#This Row],[PerformanceRating]]=4, "Excellent")</f>
        <v>Good</v>
      </c>
      <c r="O660" s="8" t="str">
        <f>IF(HR_Analytics56[[#This Row],[MonthlyIncome]]&lt;3000,"&lt; ₹3,000",IF(HR_Analytics56[[#This Row],[MonthlyIncome]]&lt;=7000,"₹ 3,000 - ₹ 7,000","&gt; ₹7,000"))</f>
        <v>&lt; ₹3,000</v>
      </c>
      <c r="P660" s="8" t="str" cm="1">
        <f t="array" ref="P6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1" spans="1:16" x14ac:dyDescent="0.8">
      <c r="A661" s="5" t="s">
        <v>731</v>
      </c>
      <c r="B661" s="8">
        <v>35</v>
      </c>
      <c r="C661" s="5" t="s">
        <v>49</v>
      </c>
      <c r="D661" s="5" t="s">
        <v>51</v>
      </c>
      <c r="E661" s="5" t="s">
        <v>44</v>
      </c>
      <c r="F661" s="5" t="s">
        <v>137</v>
      </c>
      <c r="G661" s="8">
        <v>1</v>
      </c>
      <c r="H661" s="8">
        <v>4312</v>
      </c>
      <c r="I661" s="5" t="s">
        <v>49</v>
      </c>
      <c r="J661" s="8">
        <v>3</v>
      </c>
      <c r="K661" s="8">
        <v>2</v>
      </c>
      <c r="L661" s="8">
        <v>15</v>
      </c>
      <c r="M6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1" s="8" t="str" cm="1">
        <f t="array" ref="N661">_xlfn.IFS(HR_Analytics56[[#This Row],[PerformanceRating]]=3,"Good",HR_Analytics56[[#This Row],[PerformanceRating]]=4, "Excellent")</f>
        <v>Good</v>
      </c>
      <c r="O661" s="8" t="str">
        <f>IF(HR_Analytics56[[#This Row],[MonthlyIncome]]&lt;3000,"&lt; ₹3,000",IF(HR_Analytics56[[#This Row],[MonthlyIncome]]&lt;=7000,"₹ 3,000 - ₹ 7,000","&gt; ₹7,000"))</f>
        <v>₹ 3,000 - ₹ 7,000</v>
      </c>
      <c r="P661" s="8" t="str" cm="1">
        <f t="array" ref="P6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2" spans="1:16" x14ac:dyDescent="0.8">
      <c r="A662" s="5" t="s">
        <v>732</v>
      </c>
      <c r="B662" s="8">
        <v>35</v>
      </c>
      <c r="C662" s="5" t="s">
        <v>49</v>
      </c>
      <c r="D662" s="5" t="s">
        <v>42</v>
      </c>
      <c r="E662" s="5" t="s">
        <v>44</v>
      </c>
      <c r="F662" s="5" t="s">
        <v>60</v>
      </c>
      <c r="G662" s="8">
        <v>3</v>
      </c>
      <c r="H662" s="8">
        <v>2859</v>
      </c>
      <c r="I662" s="5" t="s">
        <v>49</v>
      </c>
      <c r="J662" s="8">
        <v>3</v>
      </c>
      <c r="K662" s="8">
        <v>3</v>
      </c>
      <c r="L662" s="8">
        <v>6</v>
      </c>
      <c r="M6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2" s="8" t="str" cm="1">
        <f t="array" ref="N662">_xlfn.IFS(HR_Analytics56[[#This Row],[PerformanceRating]]=3,"Good",HR_Analytics56[[#This Row],[PerformanceRating]]=4, "Excellent")</f>
        <v>Good</v>
      </c>
      <c r="O662" s="8" t="str">
        <f>IF(HR_Analytics56[[#This Row],[MonthlyIncome]]&lt;3000,"&lt; ₹3,000",IF(HR_Analytics56[[#This Row],[MonthlyIncome]]&lt;=7000,"₹ 3,000 - ₹ 7,000","&gt; ₹7,000"))</f>
        <v>&lt; ₹3,000</v>
      </c>
      <c r="P662" s="8" t="str" cm="1">
        <f t="array" ref="P6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3" spans="1:16" x14ac:dyDescent="0.8">
      <c r="A663" s="5" t="s">
        <v>733</v>
      </c>
      <c r="B663" s="8">
        <v>35</v>
      </c>
      <c r="C663" s="5" t="s">
        <v>49</v>
      </c>
      <c r="D663" s="5" t="s">
        <v>51</v>
      </c>
      <c r="E663" s="5" t="s">
        <v>44</v>
      </c>
      <c r="F663" s="5" t="s">
        <v>137</v>
      </c>
      <c r="G663" s="8">
        <v>2</v>
      </c>
      <c r="H663" s="8">
        <v>7295</v>
      </c>
      <c r="I663" s="5" t="s">
        <v>49</v>
      </c>
      <c r="J663" s="8">
        <v>3</v>
      </c>
      <c r="K663" s="8">
        <v>3</v>
      </c>
      <c r="L663" s="8">
        <v>10</v>
      </c>
      <c r="M6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3" s="8" t="str" cm="1">
        <f t="array" ref="N663">_xlfn.IFS(HR_Analytics56[[#This Row],[PerformanceRating]]=3,"Good",HR_Analytics56[[#This Row],[PerformanceRating]]=4, "Excellent")</f>
        <v>Good</v>
      </c>
      <c r="O663" s="8" t="str">
        <f>IF(HR_Analytics56[[#This Row],[MonthlyIncome]]&lt;3000,"&lt; ₹3,000",IF(HR_Analytics56[[#This Row],[MonthlyIncome]]&lt;=7000,"₹ 3,000 - ₹ 7,000","&gt; ₹7,000"))</f>
        <v>&gt; ₹7,000</v>
      </c>
      <c r="P663" s="8" t="str" cm="1">
        <f t="array" ref="P6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4" spans="1:16" x14ac:dyDescent="0.8">
      <c r="A664" s="5" t="s">
        <v>734</v>
      </c>
      <c r="B664" s="8">
        <v>35</v>
      </c>
      <c r="C664" s="5" t="s">
        <v>40</v>
      </c>
      <c r="D664" s="5" t="s">
        <v>42</v>
      </c>
      <c r="E664" s="5" t="s">
        <v>44</v>
      </c>
      <c r="F664" s="5" t="s">
        <v>112</v>
      </c>
      <c r="G664" s="8">
        <v>3</v>
      </c>
      <c r="H664" s="8">
        <v>5916</v>
      </c>
      <c r="I664" s="5" t="s">
        <v>40</v>
      </c>
      <c r="J664" s="8">
        <v>3</v>
      </c>
      <c r="K664" s="8">
        <v>1</v>
      </c>
      <c r="L664" s="8">
        <v>1</v>
      </c>
      <c r="M6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64" s="8" t="str" cm="1">
        <f t="array" ref="N664">_xlfn.IFS(HR_Analytics56[[#This Row],[PerformanceRating]]=3,"Good",HR_Analytics56[[#This Row],[PerformanceRating]]=4, "Excellent")</f>
        <v>Good</v>
      </c>
      <c r="O664" s="8" t="str">
        <f>IF(HR_Analytics56[[#This Row],[MonthlyIncome]]&lt;3000,"&lt; ₹3,000",IF(HR_Analytics56[[#This Row],[MonthlyIncome]]&lt;=7000,"₹ 3,000 - ₹ 7,000","&gt; ₹7,000"))</f>
        <v>₹ 3,000 - ₹ 7,000</v>
      </c>
      <c r="P664" s="8" t="str" cm="1">
        <f t="array" ref="P6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5" spans="1:16" x14ac:dyDescent="0.8">
      <c r="A665" s="5" t="s">
        <v>735</v>
      </c>
      <c r="B665" s="8">
        <v>35</v>
      </c>
      <c r="C665" s="5" t="s">
        <v>49</v>
      </c>
      <c r="D665" s="5" t="s">
        <v>42</v>
      </c>
      <c r="E665" s="5" t="s">
        <v>53</v>
      </c>
      <c r="F665" s="5" t="s">
        <v>45</v>
      </c>
      <c r="G665" s="8">
        <v>2</v>
      </c>
      <c r="H665" s="8">
        <v>4425</v>
      </c>
      <c r="I665" s="5" t="s">
        <v>49</v>
      </c>
      <c r="J665" s="8">
        <v>3</v>
      </c>
      <c r="K665" s="8">
        <v>5</v>
      </c>
      <c r="L665" s="8">
        <v>6</v>
      </c>
      <c r="M6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5" s="8" t="str" cm="1">
        <f t="array" ref="N665">_xlfn.IFS(HR_Analytics56[[#This Row],[PerformanceRating]]=3,"Good",HR_Analytics56[[#This Row],[PerformanceRating]]=4, "Excellent")</f>
        <v>Good</v>
      </c>
      <c r="O665" s="8" t="str">
        <f>IF(HR_Analytics56[[#This Row],[MonthlyIncome]]&lt;3000,"&lt; ₹3,000",IF(HR_Analytics56[[#This Row],[MonthlyIncome]]&lt;=7000,"₹ 3,000 - ₹ 7,000","&gt; ₹7,000"))</f>
        <v>₹ 3,000 - ₹ 7,000</v>
      </c>
      <c r="P665" s="8" t="str" cm="1">
        <f t="array" ref="P6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6" spans="1:16" x14ac:dyDescent="0.8">
      <c r="A666" s="5" t="s">
        <v>736</v>
      </c>
      <c r="B666" s="8">
        <v>35</v>
      </c>
      <c r="C666" s="5" t="s">
        <v>49</v>
      </c>
      <c r="D666" s="5" t="s">
        <v>51</v>
      </c>
      <c r="E666" s="5" t="s">
        <v>53</v>
      </c>
      <c r="F666" s="5" t="s">
        <v>137</v>
      </c>
      <c r="G666" s="8">
        <v>3</v>
      </c>
      <c r="H666" s="8">
        <v>8789</v>
      </c>
      <c r="I666" s="5" t="s">
        <v>49</v>
      </c>
      <c r="J666" s="8">
        <v>3</v>
      </c>
      <c r="K666" s="8">
        <v>3</v>
      </c>
      <c r="L666" s="8">
        <v>10</v>
      </c>
      <c r="M6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6" s="8" t="str" cm="1">
        <f t="array" ref="N666">_xlfn.IFS(HR_Analytics56[[#This Row],[PerformanceRating]]=3,"Good",HR_Analytics56[[#This Row],[PerformanceRating]]=4, "Excellent")</f>
        <v>Good</v>
      </c>
      <c r="O666" s="8" t="str">
        <f>IF(HR_Analytics56[[#This Row],[MonthlyIncome]]&lt;3000,"&lt; ₹3,000",IF(HR_Analytics56[[#This Row],[MonthlyIncome]]&lt;=7000,"₹ 3,000 - ₹ 7,000","&gt; ₹7,000"))</f>
        <v>&gt; ₹7,000</v>
      </c>
      <c r="P666" s="8" t="str" cm="1">
        <f t="array" ref="P6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7" spans="1:16" x14ac:dyDescent="0.8">
      <c r="A667" s="5" t="s">
        <v>737</v>
      </c>
      <c r="B667" s="8">
        <v>35</v>
      </c>
      <c r="C667" s="5" t="s">
        <v>49</v>
      </c>
      <c r="D667" s="5" t="s">
        <v>42</v>
      </c>
      <c r="E667" s="5" t="s">
        <v>53</v>
      </c>
      <c r="F667" s="5" t="s">
        <v>442</v>
      </c>
      <c r="G667" s="8">
        <v>2</v>
      </c>
      <c r="H667" s="8">
        <v>11996</v>
      </c>
      <c r="I667" s="5" t="s">
        <v>49</v>
      </c>
      <c r="J667" s="8">
        <v>3</v>
      </c>
      <c r="K667" s="8">
        <v>6</v>
      </c>
      <c r="L667" s="8">
        <v>7</v>
      </c>
      <c r="M6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7" s="8" t="str" cm="1">
        <f t="array" ref="N667">_xlfn.IFS(HR_Analytics56[[#This Row],[PerformanceRating]]=3,"Good",HR_Analytics56[[#This Row],[PerformanceRating]]=4, "Excellent")</f>
        <v>Good</v>
      </c>
      <c r="O667" s="8" t="str">
        <f>IF(HR_Analytics56[[#This Row],[MonthlyIncome]]&lt;3000,"&lt; ₹3,000",IF(HR_Analytics56[[#This Row],[MonthlyIncome]]&lt;=7000,"₹ 3,000 - ₹ 7,000","&gt; ₹7,000"))</f>
        <v>&gt; ₹7,000</v>
      </c>
      <c r="P667" s="8" t="str" cm="1">
        <f t="array" ref="P6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8" spans="1:16" x14ac:dyDescent="0.8">
      <c r="A668" s="5" t="s">
        <v>738</v>
      </c>
      <c r="B668" s="8">
        <v>35</v>
      </c>
      <c r="C668" s="5" t="s">
        <v>49</v>
      </c>
      <c r="D668" s="5" t="s">
        <v>51</v>
      </c>
      <c r="E668" s="5" t="s">
        <v>44</v>
      </c>
      <c r="F668" s="5" t="s">
        <v>137</v>
      </c>
      <c r="G668" s="8">
        <v>2</v>
      </c>
      <c r="H668" s="8">
        <v>8020</v>
      </c>
      <c r="I668" s="5" t="s">
        <v>49</v>
      </c>
      <c r="J668" s="8">
        <v>3</v>
      </c>
      <c r="K668" s="8">
        <v>3</v>
      </c>
      <c r="L668" s="8">
        <v>11</v>
      </c>
      <c r="M6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8" s="8" t="str" cm="1">
        <f t="array" ref="N668">_xlfn.IFS(HR_Analytics56[[#This Row],[PerformanceRating]]=3,"Good",HR_Analytics56[[#This Row],[PerformanceRating]]=4, "Excellent")</f>
        <v>Good</v>
      </c>
      <c r="O668" s="8" t="str">
        <f>IF(HR_Analytics56[[#This Row],[MonthlyIncome]]&lt;3000,"&lt; ₹3,000",IF(HR_Analytics56[[#This Row],[MonthlyIncome]]&lt;=7000,"₹ 3,000 - ₹ 7,000","&gt; ₹7,000"))</f>
        <v>&gt; ₹7,000</v>
      </c>
      <c r="P668" s="8" t="str" cm="1">
        <f t="array" ref="P6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69" spans="1:16" x14ac:dyDescent="0.8">
      <c r="A669" s="5" t="s">
        <v>739</v>
      </c>
      <c r="B669" s="8">
        <v>35</v>
      </c>
      <c r="C669" s="5" t="s">
        <v>49</v>
      </c>
      <c r="D669" s="5" t="s">
        <v>42</v>
      </c>
      <c r="E669" s="5" t="s">
        <v>44</v>
      </c>
      <c r="F669" s="5" t="s">
        <v>112</v>
      </c>
      <c r="G669" s="8">
        <v>2</v>
      </c>
      <c r="H669" s="8">
        <v>8095</v>
      </c>
      <c r="I669" s="5" t="s">
        <v>49</v>
      </c>
      <c r="J669" s="8">
        <v>3</v>
      </c>
      <c r="K669" s="8">
        <v>5</v>
      </c>
      <c r="L669" s="8">
        <v>16</v>
      </c>
      <c r="M6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69" s="8" t="str" cm="1">
        <f t="array" ref="N669">_xlfn.IFS(HR_Analytics56[[#This Row],[PerformanceRating]]=3,"Good",HR_Analytics56[[#This Row],[PerformanceRating]]=4, "Excellent")</f>
        <v>Good</v>
      </c>
      <c r="O669" s="8" t="str">
        <f>IF(HR_Analytics56[[#This Row],[MonthlyIncome]]&lt;3000,"&lt; ₹3,000",IF(HR_Analytics56[[#This Row],[MonthlyIncome]]&lt;=7000,"₹ 3,000 - ₹ 7,000","&gt; ₹7,000"))</f>
        <v>&gt; ₹7,000</v>
      </c>
      <c r="P669" s="8" t="str" cm="1">
        <f t="array" ref="P6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0" spans="1:16" x14ac:dyDescent="0.8">
      <c r="A670" s="5" t="s">
        <v>740</v>
      </c>
      <c r="B670" s="8">
        <v>35</v>
      </c>
      <c r="C670" s="5" t="s">
        <v>49</v>
      </c>
      <c r="D670" s="5" t="s">
        <v>42</v>
      </c>
      <c r="E670" s="5" t="s">
        <v>44</v>
      </c>
      <c r="F670" s="5" t="s">
        <v>161</v>
      </c>
      <c r="G670" s="8">
        <v>2</v>
      </c>
      <c r="H670" s="8">
        <v>6540</v>
      </c>
      <c r="I670" s="5" t="s">
        <v>49</v>
      </c>
      <c r="J670" s="8">
        <v>3</v>
      </c>
      <c r="K670" s="8">
        <v>5</v>
      </c>
      <c r="L670" s="8">
        <v>1</v>
      </c>
      <c r="M6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0" s="8" t="str" cm="1">
        <f t="array" ref="N670">_xlfn.IFS(HR_Analytics56[[#This Row],[PerformanceRating]]=3,"Good",HR_Analytics56[[#This Row],[PerformanceRating]]=4, "Excellent")</f>
        <v>Good</v>
      </c>
      <c r="O670" s="8" t="str">
        <f>IF(HR_Analytics56[[#This Row],[MonthlyIncome]]&lt;3000,"&lt; ₹3,000",IF(HR_Analytics56[[#This Row],[MonthlyIncome]]&lt;=7000,"₹ 3,000 - ₹ 7,000","&gt; ₹7,000"))</f>
        <v>₹ 3,000 - ₹ 7,000</v>
      </c>
      <c r="P670" s="8" t="str" cm="1">
        <f t="array" ref="P6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1" spans="1:16" x14ac:dyDescent="0.8">
      <c r="A671" s="5" t="s">
        <v>741</v>
      </c>
      <c r="B671" s="8">
        <v>35</v>
      </c>
      <c r="C671" s="5" t="s">
        <v>49</v>
      </c>
      <c r="D671" s="5" t="s">
        <v>42</v>
      </c>
      <c r="E671" s="5" t="s">
        <v>44</v>
      </c>
      <c r="F671" s="5" t="s">
        <v>45</v>
      </c>
      <c r="G671" s="8">
        <v>3</v>
      </c>
      <c r="H671" s="8">
        <v>4230</v>
      </c>
      <c r="I671" s="5" t="s">
        <v>49</v>
      </c>
      <c r="J671" s="8">
        <v>3</v>
      </c>
      <c r="K671" s="8">
        <v>2</v>
      </c>
      <c r="L671" s="8">
        <v>5</v>
      </c>
      <c r="M6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1" s="8" t="str" cm="1">
        <f t="array" ref="N671">_xlfn.IFS(HR_Analytics56[[#This Row],[PerformanceRating]]=3,"Good",HR_Analytics56[[#This Row],[PerformanceRating]]=4, "Excellent")</f>
        <v>Good</v>
      </c>
      <c r="O671" s="8" t="str">
        <f>IF(HR_Analytics56[[#This Row],[MonthlyIncome]]&lt;3000,"&lt; ₹3,000",IF(HR_Analytics56[[#This Row],[MonthlyIncome]]&lt;=7000,"₹ 3,000 - ₹ 7,000","&gt; ₹7,000"))</f>
        <v>₹ 3,000 - ₹ 7,000</v>
      </c>
      <c r="P671" s="8" t="str" cm="1">
        <f t="array" ref="P6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2" spans="1:16" x14ac:dyDescent="0.8">
      <c r="A672" s="5" t="s">
        <v>742</v>
      </c>
      <c r="B672" s="8">
        <v>35</v>
      </c>
      <c r="C672" s="5" t="s">
        <v>49</v>
      </c>
      <c r="D672" s="5" t="s">
        <v>42</v>
      </c>
      <c r="E672" s="5" t="s">
        <v>44</v>
      </c>
      <c r="F672" s="5" t="s">
        <v>161</v>
      </c>
      <c r="G672" s="8">
        <v>3</v>
      </c>
      <c r="H672" s="8">
        <v>7632</v>
      </c>
      <c r="I672" s="5" t="s">
        <v>40</v>
      </c>
      <c r="J672" s="8">
        <v>3</v>
      </c>
      <c r="K672" s="8">
        <v>2</v>
      </c>
      <c r="L672" s="8">
        <v>8</v>
      </c>
      <c r="M6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72" s="8" t="str" cm="1">
        <f t="array" ref="N672">_xlfn.IFS(HR_Analytics56[[#This Row],[PerformanceRating]]=3,"Good",HR_Analytics56[[#This Row],[PerformanceRating]]=4, "Excellent")</f>
        <v>Good</v>
      </c>
      <c r="O672" s="8" t="str">
        <f>IF(HR_Analytics56[[#This Row],[MonthlyIncome]]&lt;3000,"&lt; ₹3,000",IF(HR_Analytics56[[#This Row],[MonthlyIncome]]&lt;=7000,"₹ 3,000 - ₹ 7,000","&gt; ₹7,000"))</f>
        <v>&gt; ₹7,000</v>
      </c>
      <c r="P672" s="8" t="str" cm="1">
        <f t="array" ref="P6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3" spans="1:16" x14ac:dyDescent="0.8">
      <c r="A673" s="5" t="s">
        <v>743</v>
      </c>
      <c r="B673" s="8">
        <v>35</v>
      </c>
      <c r="C673" s="5" t="s">
        <v>49</v>
      </c>
      <c r="D673" s="5" t="s">
        <v>51</v>
      </c>
      <c r="E673" s="5" t="s">
        <v>44</v>
      </c>
      <c r="F673" s="5" t="s">
        <v>137</v>
      </c>
      <c r="G673" s="8">
        <v>3</v>
      </c>
      <c r="H673" s="8">
        <v>4717</v>
      </c>
      <c r="I673" s="5" t="s">
        <v>49</v>
      </c>
      <c r="J673" s="8">
        <v>3</v>
      </c>
      <c r="K673" s="8">
        <v>2</v>
      </c>
      <c r="L673" s="8">
        <v>11</v>
      </c>
      <c r="M6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3" s="8" t="str" cm="1">
        <f t="array" ref="N673">_xlfn.IFS(HR_Analytics56[[#This Row],[PerformanceRating]]=3,"Good",HR_Analytics56[[#This Row],[PerformanceRating]]=4, "Excellent")</f>
        <v>Good</v>
      </c>
      <c r="O673" s="8" t="str">
        <f>IF(HR_Analytics56[[#This Row],[MonthlyIncome]]&lt;3000,"&lt; ₹3,000",IF(HR_Analytics56[[#This Row],[MonthlyIncome]]&lt;=7000,"₹ 3,000 - ₹ 7,000","&gt; ₹7,000"))</f>
        <v>₹ 3,000 - ₹ 7,000</v>
      </c>
      <c r="P673" s="8" t="str" cm="1">
        <f t="array" ref="P6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4" spans="1:16" x14ac:dyDescent="0.8">
      <c r="A674" s="5" t="s">
        <v>744</v>
      </c>
      <c r="B674" s="8">
        <v>35</v>
      </c>
      <c r="C674" s="5" t="s">
        <v>49</v>
      </c>
      <c r="D674" s="5" t="s">
        <v>51</v>
      </c>
      <c r="E674" s="5" t="s">
        <v>53</v>
      </c>
      <c r="F674" s="5" t="s">
        <v>137</v>
      </c>
      <c r="G674" s="8">
        <v>3</v>
      </c>
      <c r="H674" s="8">
        <v>4859</v>
      </c>
      <c r="I674" s="5" t="s">
        <v>49</v>
      </c>
      <c r="J674" s="8">
        <v>3</v>
      </c>
      <c r="K674" s="8">
        <v>3</v>
      </c>
      <c r="L674" s="8">
        <v>5</v>
      </c>
      <c r="M6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4" s="8" t="str" cm="1">
        <f t="array" ref="N674">_xlfn.IFS(HR_Analytics56[[#This Row],[PerformanceRating]]=3,"Good",HR_Analytics56[[#This Row],[PerformanceRating]]=4, "Excellent")</f>
        <v>Good</v>
      </c>
      <c r="O674" s="8" t="str">
        <f>IF(HR_Analytics56[[#This Row],[MonthlyIncome]]&lt;3000,"&lt; ₹3,000",IF(HR_Analytics56[[#This Row],[MonthlyIncome]]&lt;=7000,"₹ 3,000 - ₹ 7,000","&gt; ₹7,000"))</f>
        <v>₹ 3,000 - ₹ 7,000</v>
      </c>
      <c r="P674" s="8" t="str" cm="1">
        <f t="array" ref="P6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5" spans="1:16" x14ac:dyDescent="0.8">
      <c r="A675" s="5" t="s">
        <v>745</v>
      </c>
      <c r="B675" s="8">
        <v>35</v>
      </c>
      <c r="C675" s="5" t="s">
        <v>49</v>
      </c>
      <c r="D675" s="5" t="s">
        <v>42</v>
      </c>
      <c r="E675" s="5" t="s">
        <v>44</v>
      </c>
      <c r="F675" s="5" t="s">
        <v>45</v>
      </c>
      <c r="G675" s="8">
        <v>4</v>
      </c>
      <c r="H675" s="8">
        <v>3681</v>
      </c>
      <c r="I675" s="5" t="s">
        <v>49</v>
      </c>
      <c r="J675" s="8">
        <v>3</v>
      </c>
      <c r="K675" s="8">
        <v>3</v>
      </c>
      <c r="L675" s="8">
        <v>3</v>
      </c>
      <c r="M6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5" s="8" t="str" cm="1">
        <f t="array" ref="N675">_xlfn.IFS(HR_Analytics56[[#This Row],[PerformanceRating]]=3,"Good",HR_Analytics56[[#This Row],[PerformanceRating]]=4, "Excellent")</f>
        <v>Good</v>
      </c>
      <c r="O675" s="8" t="str">
        <f>IF(HR_Analytics56[[#This Row],[MonthlyIncome]]&lt;3000,"&lt; ₹3,000",IF(HR_Analytics56[[#This Row],[MonthlyIncome]]&lt;=7000,"₹ 3,000 - ₹ 7,000","&gt; ₹7,000"))</f>
        <v>₹ 3,000 - ₹ 7,000</v>
      </c>
      <c r="P675" s="8" t="str" cm="1">
        <f t="array" ref="P6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6" spans="1:16" x14ac:dyDescent="0.8">
      <c r="A676" s="5" t="s">
        <v>746</v>
      </c>
      <c r="B676" s="8">
        <v>35</v>
      </c>
      <c r="C676" s="5" t="s">
        <v>49</v>
      </c>
      <c r="D676" s="5" t="s">
        <v>42</v>
      </c>
      <c r="E676" s="5" t="s">
        <v>44</v>
      </c>
      <c r="F676" s="5" t="s">
        <v>60</v>
      </c>
      <c r="G676" s="8">
        <v>4</v>
      </c>
      <c r="H676" s="8">
        <v>6646</v>
      </c>
      <c r="I676" s="5" t="s">
        <v>49</v>
      </c>
      <c r="J676" s="8">
        <v>3</v>
      </c>
      <c r="K676" s="8">
        <v>3</v>
      </c>
      <c r="L676" s="8">
        <v>17</v>
      </c>
      <c r="M6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6" s="8" t="str" cm="1">
        <f t="array" ref="N676">_xlfn.IFS(HR_Analytics56[[#This Row],[PerformanceRating]]=3,"Good",HR_Analytics56[[#This Row],[PerformanceRating]]=4, "Excellent")</f>
        <v>Good</v>
      </c>
      <c r="O676" s="8" t="str">
        <f>IF(HR_Analytics56[[#This Row],[MonthlyIncome]]&lt;3000,"&lt; ₹3,000",IF(HR_Analytics56[[#This Row],[MonthlyIncome]]&lt;=7000,"₹ 3,000 - ₹ 7,000","&gt; ₹7,000"))</f>
        <v>₹ 3,000 - ₹ 7,000</v>
      </c>
      <c r="P676" s="8" t="str" cm="1">
        <f t="array" ref="P6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7" spans="1:16" x14ac:dyDescent="0.8">
      <c r="A677" s="5" t="s">
        <v>747</v>
      </c>
      <c r="B677" s="8">
        <v>35</v>
      </c>
      <c r="C677" s="5" t="s">
        <v>49</v>
      </c>
      <c r="D677" s="5" t="s">
        <v>42</v>
      </c>
      <c r="E677" s="5" t="s">
        <v>44</v>
      </c>
      <c r="F677" s="5" t="s">
        <v>45</v>
      </c>
      <c r="G677" s="8">
        <v>3</v>
      </c>
      <c r="H677" s="8">
        <v>1281</v>
      </c>
      <c r="I677" s="5" t="s">
        <v>49</v>
      </c>
      <c r="J677" s="8">
        <v>3</v>
      </c>
      <c r="K677" s="8">
        <v>3</v>
      </c>
      <c r="L677" s="8">
        <v>1</v>
      </c>
      <c r="M6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7" s="8" t="str" cm="1">
        <f t="array" ref="N677">_xlfn.IFS(HR_Analytics56[[#This Row],[PerformanceRating]]=3,"Good",HR_Analytics56[[#This Row],[PerformanceRating]]=4, "Excellent")</f>
        <v>Good</v>
      </c>
      <c r="O677" s="8" t="str">
        <f>IF(HR_Analytics56[[#This Row],[MonthlyIncome]]&lt;3000,"&lt; ₹3,000",IF(HR_Analytics56[[#This Row],[MonthlyIncome]]&lt;=7000,"₹ 3,000 - ₹ 7,000","&gt; ₹7,000"))</f>
        <v>&lt; ₹3,000</v>
      </c>
      <c r="P677" s="8" t="str" cm="1">
        <f t="array" ref="P6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8" spans="1:16" x14ac:dyDescent="0.8">
      <c r="A678" s="5" t="s">
        <v>748</v>
      </c>
      <c r="B678" s="8">
        <v>35</v>
      </c>
      <c r="C678" s="5" t="s">
        <v>49</v>
      </c>
      <c r="D678" s="5" t="s">
        <v>42</v>
      </c>
      <c r="E678" s="5" t="s">
        <v>53</v>
      </c>
      <c r="F678" s="5" t="s">
        <v>161</v>
      </c>
      <c r="G678" s="8">
        <v>1</v>
      </c>
      <c r="H678" s="8">
        <v>5093</v>
      </c>
      <c r="I678" s="5" t="s">
        <v>49</v>
      </c>
      <c r="J678" s="8">
        <v>3</v>
      </c>
      <c r="K678" s="8">
        <v>2</v>
      </c>
      <c r="L678" s="8">
        <v>1</v>
      </c>
      <c r="M6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8" s="8" t="str" cm="1">
        <f t="array" ref="N678">_xlfn.IFS(HR_Analytics56[[#This Row],[PerformanceRating]]=3,"Good",HR_Analytics56[[#This Row],[PerformanceRating]]=4, "Excellent")</f>
        <v>Good</v>
      </c>
      <c r="O678" s="8" t="str">
        <f>IF(HR_Analytics56[[#This Row],[MonthlyIncome]]&lt;3000,"&lt; ₹3,000",IF(HR_Analytics56[[#This Row],[MonthlyIncome]]&lt;=7000,"₹ 3,000 - ₹ 7,000","&gt; ₹7,000"))</f>
        <v>₹ 3,000 - ₹ 7,000</v>
      </c>
      <c r="P678" s="8" t="str" cm="1">
        <f t="array" ref="P6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79" spans="1:16" x14ac:dyDescent="0.8">
      <c r="A679" s="5" t="s">
        <v>749</v>
      </c>
      <c r="B679" s="8">
        <v>35</v>
      </c>
      <c r="C679" s="5" t="s">
        <v>49</v>
      </c>
      <c r="D679" s="5" t="s">
        <v>51</v>
      </c>
      <c r="E679" s="5" t="s">
        <v>53</v>
      </c>
      <c r="F679" s="5" t="s">
        <v>54</v>
      </c>
      <c r="G679" s="8">
        <v>4</v>
      </c>
      <c r="H679" s="8">
        <v>2572</v>
      </c>
      <c r="I679" s="5" t="s">
        <v>49</v>
      </c>
      <c r="J679" s="8">
        <v>3</v>
      </c>
      <c r="K679" s="8">
        <v>1</v>
      </c>
      <c r="L679" s="8">
        <v>3</v>
      </c>
      <c r="M6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79" s="8" t="str" cm="1">
        <f t="array" ref="N679">_xlfn.IFS(HR_Analytics56[[#This Row],[PerformanceRating]]=3,"Good",HR_Analytics56[[#This Row],[PerformanceRating]]=4, "Excellent")</f>
        <v>Good</v>
      </c>
      <c r="O679" s="8" t="str">
        <f>IF(HR_Analytics56[[#This Row],[MonthlyIncome]]&lt;3000,"&lt; ₹3,000",IF(HR_Analytics56[[#This Row],[MonthlyIncome]]&lt;=7000,"₹ 3,000 - ₹ 7,000","&gt; ₹7,000"))</f>
        <v>&lt; ₹3,000</v>
      </c>
      <c r="P679" s="8" t="str" cm="1">
        <f t="array" ref="P6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0" spans="1:16" x14ac:dyDescent="0.8">
      <c r="A680" s="5" t="s">
        <v>750</v>
      </c>
      <c r="B680" s="8">
        <v>35</v>
      </c>
      <c r="C680" s="5" t="s">
        <v>49</v>
      </c>
      <c r="D680" s="5" t="s">
        <v>42</v>
      </c>
      <c r="E680" s="5" t="s">
        <v>53</v>
      </c>
      <c r="F680" s="5" t="s">
        <v>60</v>
      </c>
      <c r="G680" s="8">
        <v>3</v>
      </c>
      <c r="H680" s="8">
        <v>2506</v>
      </c>
      <c r="I680" s="5" t="s">
        <v>49</v>
      </c>
      <c r="J680" s="8">
        <v>3</v>
      </c>
      <c r="K680" s="8">
        <v>0</v>
      </c>
      <c r="L680" s="8">
        <v>2</v>
      </c>
      <c r="M6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0" s="8" t="str" cm="1">
        <f t="array" ref="N680">_xlfn.IFS(HR_Analytics56[[#This Row],[PerformanceRating]]=3,"Good",HR_Analytics56[[#This Row],[PerformanceRating]]=4, "Excellent")</f>
        <v>Good</v>
      </c>
      <c r="O680" s="8" t="str">
        <f>IF(HR_Analytics56[[#This Row],[MonthlyIncome]]&lt;3000,"&lt; ₹3,000",IF(HR_Analytics56[[#This Row],[MonthlyIncome]]&lt;=7000,"₹ 3,000 - ₹ 7,000","&gt; ₹7,000"))</f>
        <v>&lt; ₹3,000</v>
      </c>
      <c r="P680" s="8" t="str" cm="1">
        <f t="array" ref="P6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1" spans="1:16" x14ac:dyDescent="0.8">
      <c r="A681" s="5" t="s">
        <v>751</v>
      </c>
      <c r="B681" s="8">
        <v>35</v>
      </c>
      <c r="C681" s="5" t="s">
        <v>49</v>
      </c>
      <c r="D681" s="5" t="s">
        <v>42</v>
      </c>
      <c r="E681" s="5" t="s">
        <v>44</v>
      </c>
      <c r="F681" s="5" t="s">
        <v>112</v>
      </c>
      <c r="G681" s="8">
        <v>3</v>
      </c>
      <c r="H681" s="8">
        <v>10221</v>
      </c>
      <c r="I681" s="5" t="s">
        <v>49</v>
      </c>
      <c r="J681" s="8">
        <v>4</v>
      </c>
      <c r="K681" s="8">
        <v>3</v>
      </c>
      <c r="L681" s="8">
        <v>8</v>
      </c>
      <c r="M6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1" s="8" t="str" cm="1">
        <f t="array" ref="N681">_xlfn.IFS(HR_Analytics56[[#This Row],[PerformanceRating]]=3,"Good",HR_Analytics56[[#This Row],[PerformanceRating]]=4, "Excellent")</f>
        <v>Excellent</v>
      </c>
      <c r="O681" s="8" t="str">
        <f>IF(HR_Analytics56[[#This Row],[MonthlyIncome]]&lt;3000,"&lt; ₹3,000",IF(HR_Analytics56[[#This Row],[MonthlyIncome]]&lt;=7000,"₹ 3,000 - ₹ 7,000","&gt; ₹7,000"))</f>
        <v>&gt; ₹7,000</v>
      </c>
      <c r="P681" s="8" t="str" cm="1">
        <f t="array" ref="P68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82" spans="1:16" x14ac:dyDescent="0.8">
      <c r="A682" s="5" t="s">
        <v>752</v>
      </c>
      <c r="B682" s="8">
        <v>35</v>
      </c>
      <c r="C682" s="5" t="s">
        <v>49</v>
      </c>
      <c r="D682" s="5" t="s">
        <v>42</v>
      </c>
      <c r="E682" s="5" t="s">
        <v>53</v>
      </c>
      <c r="F682" s="5" t="s">
        <v>60</v>
      </c>
      <c r="G682" s="8">
        <v>1</v>
      </c>
      <c r="H682" s="8">
        <v>2559</v>
      </c>
      <c r="I682" s="5" t="s">
        <v>49</v>
      </c>
      <c r="J682" s="8">
        <v>3</v>
      </c>
      <c r="K682" s="8">
        <v>3</v>
      </c>
      <c r="L682" s="8">
        <v>6</v>
      </c>
      <c r="M6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2" s="8" t="str" cm="1">
        <f t="array" ref="N682">_xlfn.IFS(HR_Analytics56[[#This Row],[PerformanceRating]]=3,"Good",HR_Analytics56[[#This Row],[PerformanceRating]]=4, "Excellent")</f>
        <v>Good</v>
      </c>
      <c r="O682" s="8" t="str">
        <f>IF(HR_Analytics56[[#This Row],[MonthlyIncome]]&lt;3000,"&lt; ₹3,000",IF(HR_Analytics56[[#This Row],[MonthlyIncome]]&lt;=7000,"₹ 3,000 - ₹ 7,000","&gt; ₹7,000"))</f>
        <v>&lt; ₹3,000</v>
      </c>
      <c r="P682" s="8" t="str" cm="1">
        <f t="array" ref="P6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3" spans="1:16" x14ac:dyDescent="0.8">
      <c r="A683" s="5" t="s">
        <v>753</v>
      </c>
      <c r="B683" s="8">
        <v>35</v>
      </c>
      <c r="C683" s="5" t="s">
        <v>49</v>
      </c>
      <c r="D683" s="5" t="s">
        <v>42</v>
      </c>
      <c r="E683" s="5" t="s">
        <v>53</v>
      </c>
      <c r="F683" s="5" t="s">
        <v>112</v>
      </c>
      <c r="G683" s="8">
        <v>3</v>
      </c>
      <c r="H683" s="8">
        <v>10685</v>
      </c>
      <c r="I683" s="5" t="s">
        <v>40</v>
      </c>
      <c r="J683" s="8">
        <v>4</v>
      </c>
      <c r="K683" s="8">
        <v>2</v>
      </c>
      <c r="L683" s="8">
        <v>17</v>
      </c>
      <c r="M6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83" s="8" t="str" cm="1">
        <f t="array" ref="N683">_xlfn.IFS(HR_Analytics56[[#This Row],[PerformanceRating]]=3,"Good",HR_Analytics56[[#This Row],[PerformanceRating]]=4, "Excellent")</f>
        <v>Excellent</v>
      </c>
      <c r="O683" s="8" t="str">
        <f>IF(HR_Analytics56[[#This Row],[MonthlyIncome]]&lt;3000,"&lt; ₹3,000",IF(HR_Analytics56[[#This Row],[MonthlyIncome]]&lt;=7000,"₹ 3,000 - ₹ 7,000","&gt; ₹7,000"))</f>
        <v>&gt; ₹7,000</v>
      </c>
      <c r="P683" s="8" t="str" cm="1">
        <f t="array" ref="P6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4" spans="1:16" x14ac:dyDescent="0.8">
      <c r="A684" s="5" t="s">
        <v>754</v>
      </c>
      <c r="B684" s="8">
        <v>35</v>
      </c>
      <c r="C684" s="5" t="s">
        <v>40</v>
      </c>
      <c r="D684" s="5" t="s">
        <v>42</v>
      </c>
      <c r="E684" s="5" t="s">
        <v>53</v>
      </c>
      <c r="F684" s="5" t="s">
        <v>60</v>
      </c>
      <c r="G684" s="8">
        <v>2</v>
      </c>
      <c r="H684" s="8">
        <v>2022</v>
      </c>
      <c r="I684" s="5" t="s">
        <v>40</v>
      </c>
      <c r="J684" s="8">
        <v>3</v>
      </c>
      <c r="K684" s="8">
        <v>3</v>
      </c>
      <c r="L684" s="8">
        <v>10</v>
      </c>
      <c r="M6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84" s="8" t="str" cm="1">
        <f t="array" ref="N684">_xlfn.IFS(HR_Analytics56[[#This Row],[PerformanceRating]]=3,"Good",HR_Analytics56[[#This Row],[PerformanceRating]]=4, "Excellent")</f>
        <v>Good</v>
      </c>
      <c r="O684" s="8" t="str">
        <f>IF(HR_Analytics56[[#This Row],[MonthlyIncome]]&lt;3000,"&lt; ₹3,000",IF(HR_Analytics56[[#This Row],[MonthlyIncome]]&lt;=7000,"₹ 3,000 - ₹ 7,000","&gt; ₹7,000"))</f>
        <v>&lt; ₹3,000</v>
      </c>
      <c r="P684" s="8" t="str" cm="1">
        <f t="array" ref="P6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5" spans="1:16" x14ac:dyDescent="0.8">
      <c r="A685" s="5" t="s">
        <v>755</v>
      </c>
      <c r="B685" s="8">
        <v>35</v>
      </c>
      <c r="C685" s="5" t="s">
        <v>49</v>
      </c>
      <c r="D685" s="5" t="s">
        <v>42</v>
      </c>
      <c r="E685" s="5" t="s">
        <v>44</v>
      </c>
      <c r="F685" s="5" t="s">
        <v>112</v>
      </c>
      <c r="G685" s="8">
        <v>2</v>
      </c>
      <c r="H685" s="8">
        <v>10903</v>
      </c>
      <c r="I685" s="5" t="s">
        <v>49</v>
      </c>
      <c r="J685" s="8">
        <v>3</v>
      </c>
      <c r="K685" s="8">
        <v>2</v>
      </c>
      <c r="L685" s="8">
        <v>13</v>
      </c>
      <c r="M6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5" s="8" t="str" cm="1">
        <f t="array" ref="N685">_xlfn.IFS(HR_Analytics56[[#This Row],[PerformanceRating]]=3,"Good",HR_Analytics56[[#This Row],[PerformanceRating]]=4, "Excellent")</f>
        <v>Good</v>
      </c>
      <c r="O685" s="8" t="str">
        <f>IF(HR_Analytics56[[#This Row],[MonthlyIncome]]&lt;3000,"&lt; ₹3,000",IF(HR_Analytics56[[#This Row],[MonthlyIncome]]&lt;=7000,"₹ 3,000 - ₹ 7,000","&gt; ₹7,000"))</f>
        <v>&gt; ₹7,000</v>
      </c>
      <c r="P685" s="8" t="str" cm="1">
        <f t="array" ref="P6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6" spans="1:16" x14ac:dyDescent="0.8">
      <c r="A686" s="5" t="s">
        <v>756</v>
      </c>
      <c r="B686" s="8">
        <v>35</v>
      </c>
      <c r="C686" s="5" t="s">
        <v>49</v>
      </c>
      <c r="D686" s="5" t="s">
        <v>42</v>
      </c>
      <c r="E686" s="5" t="s">
        <v>53</v>
      </c>
      <c r="F686" s="5" t="s">
        <v>161</v>
      </c>
      <c r="G686" s="8">
        <v>4</v>
      </c>
      <c r="H686" s="8">
        <v>4014</v>
      </c>
      <c r="I686" s="5" t="s">
        <v>40</v>
      </c>
      <c r="J686" s="8">
        <v>4</v>
      </c>
      <c r="K686" s="8">
        <v>2</v>
      </c>
      <c r="L686" s="8">
        <v>10</v>
      </c>
      <c r="M6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86" s="8" t="str" cm="1">
        <f t="array" ref="N686">_xlfn.IFS(HR_Analytics56[[#This Row],[PerformanceRating]]=3,"Good",HR_Analytics56[[#This Row],[PerformanceRating]]=4, "Excellent")</f>
        <v>Excellent</v>
      </c>
      <c r="O686" s="8" t="str">
        <f>IF(HR_Analytics56[[#This Row],[MonthlyIncome]]&lt;3000,"&lt; ₹3,000",IF(HR_Analytics56[[#This Row],[MonthlyIncome]]&lt;=7000,"₹ 3,000 - ₹ 7,000","&gt; ₹7,000"))</f>
        <v>₹ 3,000 - ₹ 7,000</v>
      </c>
      <c r="P686" s="8" t="str" cm="1">
        <f t="array" ref="P6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7" spans="1:16" x14ac:dyDescent="0.8">
      <c r="A687" s="5" t="s">
        <v>757</v>
      </c>
      <c r="B687" s="8">
        <v>35</v>
      </c>
      <c r="C687" s="5" t="s">
        <v>49</v>
      </c>
      <c r="D687" s="5" t="s">
        <v>51</v>
      </c>
      <c r="E687" s="5" t="s">
        <v>53</v>
      </c>
      <c r="F687" s="5" t="s">
        <v>137</v>
      </c>
      <c r="G687" s="8">
        <v>3</v>
      </c>
      <c r="H687" s="8">
        <v>4601</v>
      </c>
      <c r="I687" s="5" t="s">
        <v>49</v>
      </c>
      <c r="J687" s="8">
        <v>3</v>
      </c>
      <c r="K687" s="8">
        <v>3</v>
      </c>
      <c r="L687" s="8">
        <v>5</v>
      </c>
      <c r="M6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7" s="8" t="str" cm="1">
        <f t="array" ref="N687">_xlfn.IFS(HR_Analytics56[[#This Row],[PerformanceRating]]=3,"Good",HR_Analytics56[[#This Row],[PerformanceRating]]=4, "Excellent")</f>
        <v>Good</v>
      </c>
      <c r="O687" s="8" t="str">
        <f>IF(HR_Analytics56[[#This Row],[MonthlyIncome]]&lt;3000,"&lt; ₹3,000",IF(HR_Analytics56[[#This Row],[MonthlyIncome]]&lt;=7000,"₹ 3,000 - ₹ 7,000","&gt; ₹7,000"))</f>
        <v>₹ 3,000 - ₹ 7,000</v>
      </c>
      <c r="P687" s="8" t="str" cm="1">
        <f t="array" ref="P6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8" spans="1:16" x14ac:dyDescent="0.8">
      <c r="A688" s="5" t="s">
        <v>758</v>
      </c>
      <c r="B688" s="8">
        <v>35</v>
      </c>
      <c r="C688" s="5" t="s">
        <v>49</v>
      </c>
      <c r="D688" s="5" t="s">
        <v>51</v>
      </c>
      <c r="E688" s="5" t="s">
        <v>44</v>
      </c>
      <c r="F688" s="5" t="s">
        <v>137</v>
      </c>
      <c r="G688" s="8">
        <v>4</v>
      </c>
      <c r="H688" s="8">
        <v>7823</v>
      </c>
      <c r="I688" s="5" t="s">
        <v>49</v>
      </c>
      <c r="J688" s="8">
        <v>3</v>
      </c>
      <c r="K688" s="8">
        <v>2</v>
      </c>
      <c r="L688" s="8">
        <v>10</v>
      </c>
      <c r="M6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88" s="8" t="str" cm="1">
        <f t="array" ref="N688">_xlfn.IFS(HR_Analytics56[[#This Row],[PerformanceRating]]=3,"Good",HR_Analytics56[[#This Row],[PerformanceRating]]=4, "Excellent")</f>
        <v>Good</v>
      </c>
      <c r="O688" s="8" t="str">
        <f>IF(HR_Analytics56[[#This Row],[MonthlyIncome]]&lt;3000,"&lt; ₹3,000",IF(HR_Analytics56[[#This Row],[MonthlyIncome]]&lt;=7000,"₹ 3,000 - ₹ 7,000","&gt; ₹7,000"))</f>
        <v>&gt; ₹7,000</v>
      </c>
      <c r="P688" s="8" t="str" cm="1">
        <f t="array" ref="P6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89" spans="1:16" x14ac:dyDescent="0.8">
      <c r="A689" s="5" t="s">
        <v>759</v>
      </c>
      <c r="B689" s="8">
        <v>35</v>
      </c>
      <c r="C689" s="5" t="s">
        <v>40</v>
      </c>
      <c r="D689" s="5" t="s">
        <v>42</v>
      </c>
      <c r="E689" s="5" t="s">
        <v>44</v>
      </c>
      <c r="F689" s="5" t="s">
        <v>45</v>
      </c>
      <c r="G689" s="8">
        <v>2</v>
      </c>
      <c r="H689" s="8">
        <v>3743</v>
      </c>
      <c r="I689" s="5" t="s">
        <v>40</v>
      </c>
      <c r="J689" s="8">
        <v>4</v>
      </c>
      <c r="K689" s="8">
        <v>2</v>
      </c>
      <c r="L689" s="8">
        <v>4</v>
      </c>
      <c r="M6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89" s="8" t="str" cm="1">
        <f t="array" ref="N689">_xlfn.IFS(HR_Analytics56[[#This Row],[PerformanceRating]]=3,"Good",HR_Analytics56[[#This Row],[PerformanceRating]]=4, "Excellent")</f>
        <v>Excellent</v>
      </c>
      <c r="O689" s="8" t="str">
        <f>IF(HR_Analytics56[[#This Row],[MonthlyIncome]]&lt;3000,"&lt; ₹3,000",IF(HR_Analytics56[[#This Row],[MonthlyIncome]]&lt;=7000,"₹ 3,000 - ₹ 7,000","&gt; ₹7,000"))</f>
        <v>₹ 3,000 - ₹ 7,000</v>
      </c>
      <c r="P689" s="8" t="str" cm="1">
        <f t="array" ref="P6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0" spans="1:16" x14ac:dyDescent="0.8">
      <c r="A690" s="5" t="s">
        <v>760</v>
      </c>
      <c r="B690" s="8">
        <v>35</v>
      </c>
      <c r="C690" s="5" t="s">
        <v>49</v>
      </c>
      <c r="D690" s="5" t="s">
        <v>42</v>
      </c>
      <c r="E690" s="5" t="s">
        <v>53</v>
      </c>
      <c r="F690" s="5" t="s">
        <v>161</v>
      </c>
      <c r="G690" s="8">
        <v>3</v>
      </c>
      <c r="H690" s="8">
        <v>10388</v>
      </c>
      <c r="I690" s="5" t="s">
        <v>40</v>
      </c>
      <c r="J690" s="8">
        <v>3</v>
      </c>
      <c r="K690" s="8">
        <v>3</v>
      </c>
      <c r="L690" s="8">
        <v>16</v>
      </c>
      <c r="M6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90" s="8" t="str" cm="1">
        <f t="array" ref="N690">_xlfn.IFS(HR_Analytics56[[#This Row],[PerformanceRating]]=3,"Good",HR_Analytics56[[#This Row],[PerformanceRating]]=4, "Excellent")</f>
        <v>Good</v>
      </c>
      <c r="O690" s="8" t="str">
        <f>IF(HR_Analytics56[[#This Row],[MonthlyIncome]]&lt;3000,"&lt; ₹3,000",IF(HR_Analytics56[[#This Row],[MonthlyIncome]]&lt;=7000,"₹ 3,000 - ₹ 7,000","&gt; ₹7,000"))</f>
        <v>&gt; ₹7,000</v>
      </c>
      <c r="P690" s="8" t="str" cm="1">
        <f t="array" ref="P6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1" spans="1:16" x14ac:dyDescent="0.8">
      <c r="A691" s="5" t="s">
        <v>761</v>
      </c>
      <c r="B691" s="8">
        <v>35</v>
      </c>
      <c r="C691" s="5" t="s">
        <v>49</v>
      </c>
      <c r="D691" s="5" t="s">
        <v>42</v>
      </c>
      <c r="E691" s="5" t="s">
        <v>44</v>
      </c>
      <c r="F691" s="5" t="s">
        <v>45</v>
      </c>
      <c r="G691" s="8">
        <v>4</v>
      </c>
      <c r="H691" s="8">
        <v>3917</v>
      </c>
      <c r="I691" s="5" t="s">
        <v>49</v>
      </c>
      <c r="J691" s="8">
        <v>4</v>
      </c>
      <c r="K691" s="8">
        <v>4</v>
      </c>
      <c r="L691" s="8">
        <v>3</v>
      </c>
      <c r="M6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1" s="8" t="str" cm="1">
        <f t="array" ref="N691">_xlfn.IFS(HR_Analytics56[[#This Row],[PerformanceRating]]=3,"Good",HR_Analytics56[[#This Row],[PerformanceRating]]=4, "Excellent")</f>
        <v>Excellent</v>
      </c>
      <c r="O691" s="8" t="str">
        <f>IF(HR_Analytics56[[#This Row],[MonthlyIncome]]&lt;3000,"&lt; ₹3,000",IF(HR_Analytics56[[#This Row],[MonthlyIncome]]&lt;=7000,"₹ 3,000 - ₹ 7,000","&gt; ₹7,000"))</f>
        <v>₹ 3,000 - ₹ 7,000</v>
      </c>
      <c r="P691" s="8" t="str" cm="1">
        <f t="array" ref="P69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692" spans="1:16" x14ac:dyDescent="0.8">
      <c r="A692" s="5" t="s">
        <v>762</v>
      </c>
      <c r="B692" s="8">
        <v>35</v>
      </c>
      <c r="C692" s="5" t="s">
        <v>40</v>
      </c>
      <c r="D692" s="5" t="s">
        <v>51</v>
      </c>
      <c r="E692" s="5" t="s">
        <v>44</v>
      </c>
      <c r="F692" s="5" t="s">
        <v>137</v>
      </c>
      <c r="G692" s="8">
        <v>1</v>
      </c>
      <c r="H692" s="8">
        <v>9582</v>
      </c>
      <c r="I692" s="5" t="s">
        <v>40</v>
      </c>
      <c r="J692" s="8">
        <v>4</v>
      </c>
      <c r="K692" s="8">
        <v>2</v>
      </c>
      <c r="L692" s="8">
        <v>8</v>
      </c>
      <c r="M6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692" s="8" t="str" cm="1">
        <f t="array" ref="N692">_xlfn.IFS(HR_Analytics56[[#This Row],[PerformanceRating]]=3,"Good",HR_Analytics56[[#This Row],[PerformanceRating]]=4, "Excellent")</f>
        <v>Excellent</v>
      </c>
      <c r="O692" s="8" t="str">
        <f>IF(HR_Analytics56[[#This Row],[MonthlyIncome]]&lt;3000,"&lt; ₹3,000",IF(HR_Analytics56[[#This Row],[MonthlyIncome]]&lt;=7000,"₹ 3,000 - ₹ 7,000","&gt; ₹7,000"))</f>
        <v>&gt; ₹7,000</v>
      </c>
      <c r="P692" s="8" t="str" cm="1">
        <f t="array" ref="P6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3" spans="1:16" x14ac:dyDescent="0.8">
      <c r="A693" s="5" t="s">
        <v>763</v>
      </c>
      <c r="B693" s="8">
        <v>35</v>
      </c>
      <c r="C693" s="5" t="s">
        <v>49</v>
      </c>
      <c r="D693" s="5" t="s">
        <v>51</v>
      </c>
      <c r="E693" s="5" t="s">
        <v>44</v>
      </c>
      <c r="F693" s="5" t="s">
        <v>137</v>
      </c>
      <c r="G693" s="8">
        <v>4</v>
      </c>
      <c r="H693" s="8">
        <v>4968</v>
      </c>
      <c r="I693" s="5" t="s">
        <v>49</v>
      </c>
      <c r="J693" s="8">
        <v>3</v>
      </c>
      <c r="K693" s="8">
        <v>3</v>
      </c>
      <c r="L693" s="8">
        <v>5</v>
      </c>
      <c r="M6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3" s="8" t="str" cm="1">
        <f t="array" ref="N693">_xlfn.IFS(HR_Analytics56[[#This Row],[PerformanceRating]]=3,"Good",HR_Analytics56[[#This Row],[PerformanceRating]]=4, "Excellent")</f>
        <v>Good</v>
      </c>
      <c r="O693" s="8" t="str">
        <f>IF(HR_Analytics56[[#This Row],[MonthlyIncome]]&lt;3000,"&lt; ₹3,000",IF(HR_Analytics56[[#This Row],[MonthlyIncome]]&lt;=7000,"₹ 3,000 - ₹ 7,000","&gt; ₹7,000"))</f>
        <v>₹ 3,000 - ₹ 7,000</v>
      </c>
      <c r="P693" s="8" t="str" cm="1">
        <f t="array" ref="P6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4" spans="1:16" x14ac:dyDescent="0.8">
      <c r="A694" s="5" t="s">
        <v>764</v>
      </c>
      <c r="B694" s="8">
        <v>35</v>
      </c>
      <c r="C694" s="5" t="s">
        <v>49</v>
      </c>
      <c r="D694" s="5" t="s">
        <v>71</v>
      </c>
      <c r="E694" s="5" t="s">
        <v>44</v>
      </c>
      <c r="F694" s="5" t="s">
        <v>71</v>
      </c>
      <c r="G694" s="8">
        <v>3</v>
      </c>
      <c r="H694" s="8">
        <v>4323</v>
      </c>
      <c r="I694" s="5" t="s">
        <v>49</v>
      </c>
      <c r="J694" s="8">
        <v>3</v>
      </c>
      <c r="K694" s="8">
        <v>2</v>
      </c>
      <c r="L694" s="8">
        <v>5</v>
      </c>
      <c r="M6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4" s="8" t="str" cm="1">
        <f t="array" ref="N694">_xlfn.IFS(HR_Analytics56[[#This Row],[PerformanceRating]]=3,"Good",HR_Analytics56[[#This Row],[PerformanceRating]]=4, "Excellent")</f>
        <v>Good</v>
      </c>
      <c r="O694" s="8" t="str">
        <f>IF(HR_Analytics56[[#This Row],[MonthlyIncome]]&lt;3000,"&lt; ₹3,000",IF(HR_Analytics56[[#This Row],[MonthlyIncome]]&lt;=7000,"₹ 3,000 - ₹ 7,000","&gt; ₹7,000"))</f>
        <v>₹ 3,000 - ₹ 7,000</v>
      </c>
      <c r="P694" s="8" t="str" cm="1">
        <f t="array" ref="P6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5" spans="1:16" x14ac:dyDescent="0.8">
      <c r="A695" s="5" t="s">
        <v>765</v>
      </c>
      <c r="B695" s="8">
        <v>35</v>
      </c>
      <c r="C695" s="5" t="s">
        <v>49</v>
      </c>
      <c r="D695" s="5" t="s">
        <v>42</v>
      </c>
      <c r="E695" s="5" t="s">
        <v>44</v>
      </c>
      <c r="F695" s="5" t="s">
        <v>45</v>
      </c>
      <c r="G695" s="8">
        <v>3</v>
      </c>
      <c r="H695" s="8">
        <v>2258</v>
      </c>
      <c r="I695" s="5" t="s">
        <v>49</v>
      </c>
      <c r="J695" s="8">
        <v>3</v>
      </c>
      <c r="K695" s="8">
        <v>2</v>
      </c>
      <c r="L695" s="8">
        <v>8</v>
      </c>
      <c r="M6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5" s="8" t="str" cm="1">
        <f t="array" ref="N695">_xlfn.IFS(HR_Analytics56[[#This Row],[PerformanceRating]]=3,"Good",HR_Analytics56[[#This Row],[PerformanceRating]]=4, "Excellent")</f>
        <v>Good</v>
      </c>
      <c r="O695" s="8" t="str">
        <f>IF(HR_Analytics56[[#This Row],[MonthlyIncome]]&lt;3000,"&lt; ₹3,000",IF(HR_Analytics56[[#This Row],[MonthlyIncome]]&lt;=7000,"₹ 3,000 - ₹ 7,000","&gt; ₹7,000"))</f>
        <v>&lt; ₹3,000</v>
      </c>
      <c r="P695" s="8" t="str" cm="1">
        <f t="array" ref="P6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6" spans="1:16" x14ac:dyDescent="0.8">
      <c r="A696" s="5" t="s">
        <v>766</v>
      </c>
      <c r="B696" s="8">
        <v>35</v>
      </c>
      <c r="C696" s="5" t="s">
        <v>49</v>
      </c>
      <c r="D696" s="5" t="s">
        <v>42</v>
      </c>
      <c r="E696" s="5" t="s">
        <v>44</v>
      </c>
      <c r="F696" s="5" t="s">
        <v>112</v>
      </c>
      <c r="G696" s="8">
        <v>2</v>
      </c>
      <c r="H696" s="8">
        <v>10274</v>
      </c>
      <c r="I696" s="5" t="s">
        <v>49</v>
      </c>
      <c r="J696" s="8">
        <v>3</v>
      </c>
      <c r="K696" s="8">
        <v>2</v>
      </c>
      <c r="L696" s="8">
        <v>7</v>
      </c>
      <c r="M6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6" s="8" t="str" cm="1">
        <f t="array" ref="N696">_xlfn.IFS(HR_Analytics56[[#This Row],[PerformanceRating]]=3,"Good",HR_Analytics56[[#This Row],[PerformanceRating]]=4, "Excellent")</f>
        <v>Good</v>
      </c>
      <c r="O696" s="8" t="str">
        <f>IF(HR_Analytics56[[#This Row],[MonthlyIncome]]&lt;3000,"&lt; ₹3,000",IF(HR_Analytics56[[#This Row],[MonthlyIncome]]&lt;=7000,"₹ 3,000 - ₹ 7,000","&gt; ₹7,000"))</f>
        <v>&gt; ₹7,000</v>
      </c>
      <c r="P696" s="8" t="str" cm="1">
        <f t="array" ref="P6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7" spans="1:16" x14ac:dyDescent="0.8">
      <c r="A697" s="5" t="s">
        <v>767</v>
      </c>
      <c r="B697" s="8">
        <v>35</v>
      </c>
      <c r="C697" s="5" t="s">
        <v>49</v>
      </c>
      <c r="D697" s="5" t="s">
        <v>42</v>
      </c>
      <c r="E697" s="5" t="s">
        <v>44</v>
      </c>
      <c r="F697" s="5" t="s">
        <v>45</v>
      </c>
      <c r="G697" s="8">
        <v>4</v>
      </c>
      <c r="H697" s="8">
        <v>2376</v>
      </c>
      <c r="I697" s="5" t="s">
        <v>49</v>
      </c>
      <c r="J697" s="8">
        <v>3</v>
      </c>
      <c r="K697" s="8">
        <v>2</v>
      </c>
      <c r="L697" s="8">
        <v>2</v>
      </c>
      <c r="M6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697" s="8" t="str" cm="1">
        <f t="array" ref="N697">_xlfn.IFS(HR_Analytics56[[#This Row],[PerformanceRating]]=3,"Good",HR_Analytics56[[#This Row],[PerformanceRating]]=4, "Excellent")</f>
        <v>Good</v>
      </c>
      <c r="O697" s="8" t="str">
        <f>IF(HR_Analytics56[[#This Row],[MonthlyIncome]]&lt;3000,"&lt; ₹3,000",IF(HR_Analytics56[[#This Row],[MonthlyIncome]]&lt;=7000,"₹ 3,000 - ₹ 7,000","&gt; ₹7,000"))</f>
        <v>&lt; ₹3,000</v>
      </c>
      <c r="P697" s="8" t="str" cm="1">
        <f t="array" ref="P6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8" spans="1:16" x14ac:dyDescent="0.8">
      <c r="A698" s="5" t="s">
        <v>768</v>
      </c>
      <c r="B698" s="8">
        <v>35</v>
      </c>
      <c r="C698" s="5" t="s">
        <v>49</v>
      </c>
      <c r="D698" s="5" t="s">
        <v>51</v>
      </c>
      <c r="E698" s="5" t="s">
        <v>44</v>
      </c>
      <c r="F698" s="5" t="s">
        <v>137</v>
      </c>
      <c r="G698" s="8">
        <v>1</v>
      </c>
      <c r="H698" s="8">
        <v>8966</v>
      </c>
      <c r="I698" s="5" t="s">
        <v>40</v>
      </c>
      <c r="J698" s="8">
        <v>3</v>
      </c>
      <c r="K698" s="8">
        <v>2</v>
      </c>
      <c r="L698" s="8">
        <v>7</v>
      </c>
      <c r="M6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98" s="8" t="str" cm="1">
        <f t="array" ref="N698">_xlfn.IFS(HR_Analytics56[[#This Row],[PerformanceRating]]=3,"Good",HR_Analytics56[[#This Row],[PerformanceRating]]=4, "Excellent")</f>
        <v>Good</v>
      </c>
      <c r="O698" s="8" t="str">
        <f>IF(HR_Analytics56[[#This Row],[MonthlyIncome]]&lt;3000,"&lt; ₹3,000",IF(HR_Analytics56[[#This Row],[MonthlyIncome]]&lt;=7000,"₹ 3,000 - ₹ 7,000","&gt; ₹7,000"))</f>
        <v>&gt; ₹7,000</v>
      </c>
      <c r="P698" s="8" t="str" cm="1">
        <f t="array" ref="P6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699" spans="1:16" x14ac:dyDescent="0.8">
      <c r="A699" s="5" t="s">
        <v>769</v>
      </c>
      <c r="B699" s="8">
        <v>35</v>
      </c>
      <c r="C699" s="5" t="s">
        <v>49</v>
      </c>
      <c r="D699" s="5" t="s">
        <v>51</v>
      </c>
      <c r="E699" s="5" t="s">
        <v>53</v>
      </c>
      <c r="F699" s="5" t="s">
        <v>137</v>
      </c>
      <c r="G699" s="8">
        <v>4</v>
      </c>
      <c r="H699" s="8">
        <v>10377</v>
      </c>
      <c r="I699" s="5" t="s">
        <v>40</v>
      </c>
      <c r="J699" s="8">
        <v>3</v>
      </c>
      <c r="K699" s="8">
        <v>6</v>
      </c>
      <c r="L699" s="8">
        <v>13</v>
      </c>
      <c r="M6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699" s="8" t="str" cm="1">
        <f t="array" ref="N699">_xlfn.IFS(HR_Analytics56[[#This Row],[PerformanceRating]]=3,"Good",HR_Analytics56[[#This Row],[PerformanceRating]]=4, "Excellent")</f>
        <v>Good</v>
      </c>
      <c r="O699" s="8" t="str">
        <f>IF(HR_Analytics56[[#This Row],[MonthlyIncome]]&lt;3000,"&lt; ₹3,000",IF(HR_Analytics56[[#This Row],[MonthlyIncome]]&lt;=7000,"₹ 3,000 - ₹ 7,000","&gt; ₹7,000"))</f>
        <v>&gt; ₹7,000</v>
      </c>
      <c r="P699" s="8" t="str" cm="1">
        <f t="array" ref="P6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0" spans="1:16" x14ac:dyDescent="0.8">
      <c r="A700" s="5" t="s">
        <v>770</v>
      </c>
      <c r="B700" s="8">
        <v>35</v>
      </c>
      <c r="C700" s="5" t="s">
        <v>49</v>
      </c>
      <c r="D700" s="5" t="s">
        <v>42</v>
      </c>
      <c r="E700" s="5" t="s">
        <v>44</v>
      </c>
      <c r="F700" s="5" t="s">
        <v>60</v>
      </c>
      <c r="G700" s="8">
        <v>3</v>
      </c>
      <c r="H700" s="8">
        <v>3506</v>
      </c>
      <c r="I700" s="5" t="s">
        <v>40</v>
      </c>
      <c r="J700" s="8">
        <v>3</v>
      </c>
      <c r="K700" s="8">
        <v>3</v>
      </c>
      <c r="L700" s="8">
        <v>3</v>
      </c>
      <c r="M7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00" s="8" t="str" cm="1">
        <f t="array" ref="N700">_xlfn.IFS(HR_Analytics56[[#This Row],[PerformanceRating]]=3,"Good",HR_Analytics56[[#This Row],[PerformanceRating]]=4, "Excellent")</f>
        <v>Good</v>
      </c>
      <c r="O700" s="8" t="str">
        <f>IF(HR_Analytics56[[#This Row],[MonthlyIncome]]&lt;3000,"&lt; ₹3,000",IF(HR_Analytics56[[#This Row],[MonthlyIncome]]&lt;=7000,"₹ 3,000 - ₹ 7,000","&gt; ₹7,000"))</f>
        <v>₹ 3,000 - ₹ 7,000</v>
      </c>
      <c r="P700" s="8" t="str" cm="1">
        <f t="array" ref="P7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1" spans="1:16" x14ac:dyDescent="0.8">
      <c r="A701" s="5" t="s">
        <v>771</v>
      </c>
      <c r="B701" s="8">
        <v>35</v>
      </c>
      <c r="C701" s="5" t="s">
        <v>49</v>
      </c>
      <c r="D701" s="5" t="s">
        <v>42</v>
      </c>
      <c r="E701" s="5" t="s">
        <v>44</v>
      </c>
      <c r="F701" s="5" t="s">
        <v>60</v>
      </c>
      <c r="G701" s="8">
        <v>3</v>
      </c>
      <c r="H701" s="8">
        <v>4249</v>
      </c>
      <c r="I701" s="5" t="s">
        <v>40</v>
      </c>
      <c r="J701" s="8">
        <v>3</v>
      </c>
      <c r="K701" s="8">
        <v>3</v>
      </c>
      <c r="L701" s="8">
        <v>9</v>
      </c>
      <c r="M7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01" s="8" t="str" cm="1">
        <f t="array" ref="N701">_xlfn.IFS(HR_Analytics56[[#This Row],[PerformanceRating]]=3,"Good",HR_Analytics56[[#This Row],[PerformanceRating]]=4, "Excellent")</f>
        <v>Good</v>
      </c>
      <c r="O701" s="8" t="str">
        <f>IF(HR_Analytics56[[#This Row],[MonthlyIncome]]&lt;3000,"&lt; ₹3,000",IF(HR_Analytics56[[#This Row],[MonthlyIncome]]&lt;=7000,"₹ 3,000 - ₹ 7,000","&gt; ₹7,000"))</f>
        <v>₹ 3,000 - ₹ 7,000</v>
      </c>
      <c r="P701" s="8" t="str" cm="1">
        <f t="array" ref="P7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2" spans="1:16" x14ac:dyDescent="0.8">
      <c r="A702" s="5" t="s">
        <v>772</v>
      </c>
      <c r="B702" s="8">
        <v>35</v>
      </c>
      <c r="C702" s="5" t="s">
        <v>49</v>
      </c>
      <c r="D702" s="5" t="s">
        <v>42</v>
      </c>
      <c r="E702" s="5" t="s">
        <v>53</v>
      </c>
      <c r="F702" s="5" t="s">
        <v>45</v>
      </c>
      <c r="G702" s="8">
        <v>4</v>
      </c>
      <c r="H702" s="8">
        <v>5363</v>
      </c>
      <c r="I702" s="5" t="s">
        <v>49</v>
      </c>
      <c r="J702" s="8">
        <v>3</v>
      </c>
      <c r="K702" s="8">
        <v>0</v>
      </c>
      <c r="L702" s="8">
        <v>9</v>
      </c>
      <c r="M7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2" s="8" t="str" cm="1">
        <f t="array" ref="N702">_xlfn.IFS(HR_Analytics56[[#This Row],[PerformanceRating]]=3,"Good",HR_Analytics56[[#This Row],[PerformanceRating]]=4, "Excellent")</f>
        <v>Good</v>
      </c>
      <c r="O702" s="8" t="str">
        <f>IF(HR_Analytics56[[#This Row],[MonthlyIncome]]&lt;3000,"&lt; ₹3,000",IF(HR_Analytics56[[#This Row],[MonthlyIncome]]&lt;=7000,"₹ 3,000 - ₹ 7,000","&gt; ₹7,000"))</f>
        <v>₹ 3,000 - ₹ 7,000</v>
      </c>
      <c r="P702" s="8" t="str" cm="1">
        <f t="array" ref="P7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3" spans="1:16" x14ac:dyDescent="0.8">
      <c r="A703" s="5" t="s">
        <v>773</v>
      </c>
      <c r="B703" s="8">
        <v>35</v>
      </c>
      <c r="C703" s="5" t="s">
        <v>40</v>
      </c>
      <c r="D703" s="5" t="s">
        <v>51</v>
      </c>
      <c r="E703" s="5" t="s">
        <v>53</v>
      </c>
      <c r="F703" s="5" t="s">
        <v>137</v>
      </c>
      <c r="G703" s="8">
        <v>3</v>
      </c>
      <c r="H703" s="8">
        <v>4614</v>
      </c>
      <c r="I703" s="5" t="s">
        <v>40</v>
      </c>
      <c r="J703" s="8">
        <v>3</v>
      </c>
      <c r="K703" s="8">
        <v>0</v>
      </c>
      <c r="L703" s="8">
        <v>4</v>
      </c>
      <c r="M7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03" s="8" t="str" cm="1">
        <f t="array" ref="N703">_xlfn.IFS(HR_Analytics56[[#This Row],[PerformanceRating]]=3,"Good",HR_Analytics56[[#This Row],[PerformanceRating]]=4, "Excellent")</f>
        <v>Good</v>
      </c>
      <c r="O703" s="8" t="str">
        <f>IF(HR_Analytics56[[#This Row],[MonthlyIncome]]&lt;3000,"&lt; ₹3,000",IF(HR_Analytics56[[#This Row],[MonthlyIncome]]&lt;=7000,"₹ 3,000 - ₹ 7,000","&gt; ₹7,000"))</f>
        <v>₹ 3,000 - ₹ 7,000</v>
      </c>
      <c r="P703" s="8" t="str" cm="1">
        <f t="array" ref="P7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4" spans="1:16" x14ac:dyDescent="0.8">
      <c r="A704" s="5" t="s">
        <v>774</v>
      </c>
      <c r="B704" s="8">
        <v>35</v>
      </c>
      <c r="C704" s="5" t="s">
        <v>49</v>
      </c>
      <c r="D704" s="5" t="s">
        <v>42</v>
      </c>
      <c r="E704" s="5" t="s">
        <v>44</v>
      </c>
      <c r="F704" s="5" t="s">
        <v>112</v>
      </c>
      <c r="G704" s="8">
        <v>4</v>
      </c>
      <c r="H704" s="8">
        <v>9362</v>
      </c>
      <c r="I704" s="5" t="s">
        <v>49</v>
      </c>
      <c r="J704" s="8">
        <v>3</v>
      </c>
      <c r="K704" s="8">
        <v>2</v>
      </c>
      <c r="L704" s="8">
        <v>2</v>
      </c>
      <c r="M7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4" s="8" t="str" cm="1">
        <f t="array" ref="N704">_xlfn.IFS(HR_Analytics56[[#This Row],[PerformanceRating]]=3,"Good",HR_Analytics56[[#This Row],[PerformanceRating]]=4, "Excellent")</f>
        <v>Good</v>
      </c>
      <c r="O704" s="8" t="str">
        <f>IF(HR_Analytics56[[#This Row],[MonthlyIncome]]&lt;3000,"&lt; ₹3,000",IF(HR_Analytics56[[#This Row],[MonthlyIncome]]&lt;=7000,"₹ 3,000 - ₹ 7,000","&gt; ₹7,000"))</f>
        <v>&gt; ₹7,000</v>
      </c>
      <c r="P704" s="8" t="str" cm="1">
        <f t="array" ref="P7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5" spans="1:16" x14ac:dyDescent="0.8">
      <c r="A705" s="5" t="s">
        <v>775</v>
      </c>
      <c r="B705" s="8">
        <v>35</v>
      </c>
      <c r="C705" s="5" t="s">
        <v>49</v>
      </c>
      <c r="D705" s="5" t="s">
        <v>51</v>
      </c>
      <c r="E705" s="5" t="s">
        <v>44</v>
      </c>
      <c r="F705" s="5" t="s">
        <v>54</v>
      </c>
      <c r="G705" s="8">
        <v>3</v>
      </c>
      <c r="H705" s="8">
        <v>2404</v>
      </c>
      <c r="I705" s="5" t="s">
        <v>49</v>
      </c>
      <c r="J705" s="8">
        <v>3</v>
      </c>
      <c r="K705" s="8">
        <v>3</v>
      </c>
      <c r="L705" s="8">
        <v>1</v>
      </c>
      <c r="M7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5" s="8" t="str" cm="1">
        <f t="array" ref="N705">_xlfn.IFS(HR_Analytics56[[#This Row],[PerformanceRating]]=3,"Good",HR_Analytics56[[#This Row],[PerformanceRating]]=4, "Excellent")</f>
        <v>Good</v>
      </c>
      <c r="O705" s="8" t="str">
        <f>IF(HR_Analytics56[[#This Row],[MonthlyIncome]]&lt;3000,"&lt; ₹3,000",IF(HR_Analytics56[[#This Row],[MonthlyIncome]]&lt;=7000,"₹ 3,000 - ₹ 7,000","&gt; ₹7,000"))</f>
        <v>&lt; ₹3,000</v>
      </c>
      <c r="P705" s="8" t="str" cm="1">
        <f t="array" ref="P7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6" spans="1:16" x14ac:dyDescent="0.8">
      <c r="A706" s="5" t="s">
        <v>776</v>
      </c>
      <c r="B706" s="8">
        <v>35</v>
      </c>
      <c r="C706" s="5" t="s">
        <v>49</v>
      </c>
      <c r="D706" s="5" t="s">
        <v>42</v>
      </c>
      <c r="E706" s="5" t="s">
        <v>53</v>
      </c>
      <c r="F706" s="5" t="s">
        <v>161</v>
      </c>
      <c r="G706" s="8">
        <v>2</v>
      </c>
      <c r="H706" s="8">
        <v>8606</v>
      </c>
      <c r="I706" s="5" t="s">
        <v>49</v>
      </c>
      <c r="J706" s="8">
        <v>3</v>
      </c>
      <c r="K706" s="8">
        <v>3</v>
      </c>
      <c r="L706" s="8">
        <v>11</v>
      </c>
      <c r="M7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6" s="8" t="str" cm="1">
        <f t="array" ref="N706">_xlfn.IFS(HR_Analytics56[[#This Row],[PerformanceRating]]=3,"Good",HR_Analytics56[[#This Row],[PerformanceRating]]=4, "Excellent")</f>
        <v>Good</v>
      </c>
      <c r="O706" s="8" t="str">
        <f>IF(HR_Analytics56[[#This Row],[MonthlyIncome]]&lt;3000,"&lt; ₹3,000",IF(HR_Analytics56[[#This Row],[MonthlyIncome]]&lt;=7000,"₹ 3,000 - ₹ 7,000","&gt; ₹7,000"))</f>
        <v>&gt; ₹7,000</v>
      </c>
      <c r="P706" s="8" t="str" cm="1">
        <f t="array" ref="P7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7" spans="1:16" x14ac:dyDescent="0.8">
      <c r="A707" s="5" t="s">
        <v>777</v>
      </c>
      <c r="B707" s="8">
        <v>35</v>
      </c>
      <c r="C707" s="5" t="s">
        <v>49</v>
      </c>
      <c r="D707" s="5" t="s">
        <v>51</v>
      </c>
      <c r="E707" s="5" t="s">
        <v>53</v>
      </c>
      <c r="F707" s="5" t="s">
        <v>54</v>
      </c>
      <c r="G707" s="8">
        <v>3</v>
      </c>
      <c r="H707" s="8">
        <v>2430</v>
      </c>
      <c r="I707" s="5" t="s">
        <v>49</v>
      </c>
      <c r="J707" s="8">
        <v>4</v>
      </c>
      <c r="K707" s="8">
        <v>5</v>
      </c>
      <c r="L707" s="8">
        <v>5</v>
      </c>
      <c r="M7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7" s="8" t="str" cm="1">
        <f t="array" ref="N707">_xlfn.IFS(HR_Analytics56[[#This Row],[PerformanceRating]]=3,"Good",HR_Analytics56[[#This Row],[PerformanceRating]]=4, "Excellent")</f>
        <v>Excellent</v>
      </c>
      <c r="O707" s="8" t="str">
        <f>IF(HR_Analytics56[[#This Row],[MonthlyIncome]]&lt;3000,"&lt; ₹3,000",IF(HR_Analytics56[[#This Row],[MonthlyIncome]]&lt;=7000,"₹ 3,000 - ₹ 7,000","&gt; ₹7,000"))</f>
        <v>&lt; ₹3,000</v>
      </c>
      <c r="P707" s="8" t="str" cm="1">
        <f t="array" ref="P70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08" spans="1:16" x14ac:dyDescent="0.8">
      <c r="A708" s="5" t="s">
        <v>778</v>
      </c>
      <c r="B708" s="8">
        <v>35</v>
      </c>
      <c r="C708" s="5" t="s">
        <v>49</v>
      </c>
      <c r="D708" s="5" t="s">
        <v>42</v>
      </c>
      <c r="E708" s="5" t="s">
        <v>44</v>
      </c>
      <c r="F708" s="5" t="s">
        <v>45</v>
      </c>
      <c r="G708" s="8">
        <v>1</v>
      </c>
      <c r="H708" s="8">
        <v>2450</v>
      </c>
      <c r="I708" s="5" t="s">
        <v>49</v>
      </c>
      <c r="J708" s="8">
        <v>3</v>
      </c>
      <c r="K708" s="8">
        <v>3</v>
      </c>
      <c r="L708" s="8">
        <v>3</v>
      </c>
      <c r="M7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08" s="8" t="str" cm="1">
        <f t="array" ref="N708">_xlfn.IFS(HR_Analytics56[[#This Row],[PerformanceRating]]=3,"Good",HR_Analytics56[[#This Row],[PerformanceRating]]=4, "Excellent")</f>
        <v>Good</v>
      </c>
      <c r="O708" s="8" t="str">
        <f>IF(HR_Analytics56[[#This Row],[MonthlyIncome]]&lt;3000,"&lt; ₹3,000",IF(HR_Analytics56[[#This Row],[MonthlyIncome]]&lt;=7000,"₹ 3,000 - ₹ 7,000","&gt; ₹7,000"))</f>
        <v>&lt; ₹3,000</v>
      </c>
      <c r="P708" s="8" t="str" cm="1">
        <f t="array" ref="P7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09" spans="1:16" x14ac:dyDescent="0.8">
      <c r="A709" s="5" t="s">
        <v>779</v>
      </c>
      <c r="B709" s="8">
        <v>35</v>
      </c>
      <c r="C709" s="5" t="s">
        <v>40</v>
      </c>
      <c r="D709" s="5" t="s">
        <v>42</v>
      </c>
      <c r="E709" s="5" t="s">
        <v>53</v>
      </c>
      <c r="F709" s="5" t="s">
        <v>45</v>
      </c>
      <c r="G709" s="8">
        <v>1</v>
      </c>
      <c r="H709" s="8">
        <v>2074</v>
      </c>
      <c r="I709" s="5" t="s">
        <v>40</v>
      </c>
      <c r="J709" s="8">
        <v>3</v>
      </c>
      <c r="K709" s="8">
        <v>2</v>
      </c>
      <c r="L709" s="8">
        <v>1</v>
      </c>
      <c r="M7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09" s="8" t="str" cm="1">
        <f t="array" ref="N709">_xlfn.IFS(HR_Analytics56[[#This Row],[PerformanceRating]]=3,"Good",HR_Analytics56[[#This Row],[PerformanceRating]]=4, "Excellent")</f>
        <v>Good</v>
      </c>
      <c r="O709" s="8" t="str">
        <f>IF(HR_Analytics56[[#This Row],[MonthlyIncome]]&lt;3000,"&lt; ₹3,000",IF(HR_Analytics56[[#This Row],[MonthlyIncome]]&lt;=7000,"₹ 3,000 - ₹ 7,000","&gt; ₹7,000"))</f>
        <v>&lt; ₹3,000</v>
      </c>
      <c r="P709" s="8" t="str" cm="1">
        <f t="array" ref="P7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0" spans="1:16" x14ac:dyDescent="0.8">
      <c r="A710" s="5" t="s">
        <v>780</v>
      </c>
      <c r="B710" s="8">
        <v>35</v>
      </c>
      <c r="C710" s="5" t="s">
        <v>49</v>
      </c>
      <c r="D710" s="5" t="s">
        <v>42</v>
      </c>
      <c r="E710" s="5" t="s">
        <v>53</v>
      </c>
      <c r="F710" s="5" t="s">
        <v>161</v>
      </c>
      <c r="G710" s="8">
        <v>3</v>
      </c>
      <c r="H710" s="8">
        <v>6142</v>
      </c>
      <c r="I710" s="5" t="s">
        <v>40</v>
      </c>
      <c r="J710" s="8">
        <v>3</v>
      </c>
      <c r="K710" s="8">
        <v>4</v>
      </c>
      <c r="L710" s="8">
        <v>5</v>
      </c>
      <c r="M7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10" s="8" t="str" cm="1">
        <f t="array" ref="N710">_xlfn.IFS(HR_Analytics56[[#This Row],[PerformanceRating]]=3,"Good",HR_Analytics56[[#This Row],[PerformanceRating]]=4, "Excellent")</f>
        <v>Good</v>
      </c>
      <c r="O710" s="8" t="str">
        <f>IF(HR_Analytics56[[#This Row],[MonthlyIncome]]&lt;3000,"&lt; ₹3,000",IF(HR_Analytics56[[#This Row],[MonthlyIncome]]&lt;=7000,"₹ 3,000 - ₹ 7,000","&gt; ₹7,000"))</f>
        <v>₹ 3,000 - ₹ 7,000</v>
      </c>
      <c r="P710" s="8" t="str" cm="1">
        <f t="array" ref="P7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1" spans="1:16" x14ac:dyDescent="0.8">
      <c r="A711" s="5" t="s">
        <v>781</v>
      </c>
      <c r="B711" s="8">
        <v>35</v>
      </c>
      <c r="C711" s="5" t="s">
        <v>49</v>
      </c>
      <c r="D711" s="5" t="s">
        <v>42</v>
      </c>
      <c r="E711" s="5" t="s">
        <v>44</v>
      </c>
      <c r="F711" s="5" t="s">
        <v>45</v>
      </c>
      <c r="G711" s="8">
        <v>3</v>
      </c>
      <c r="H711" s="8">
        <v>3407</v>
      </c>
      <c r="I711" s="5" t="s">
        <v>49</v>
      </c>
      <c r="J711" s="8">
        <v>3</v>
      </c>
      <c r="K711" s="8">
        <v>3</v>
      </c>
      <c r="L711" s="8">
        <v>10</v>
      </c>
      <c r="M7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1" s="8" t="str" cm="1">
        <f t="array" ref="N711">_xlfn.IFS(HR_Analytics56[[#This Row],[PerformanceRating]]=3,"Good",HR_Analytics56[[#This Row],[PerformanceRating]]=4, "Excellent")</f>
        <v>Good</v>
      </c>
      <c r="O711" s="8" t="str">
        <f>IF(HR_Analytics56[[#This Row],[MonthlyIncome]]&lt;3000,"&lt; ₹3,000",IF(HR_Analytics56[[#This Row],[MonthlyIncome]]&lt;=7000,"₹ 3,000 - ₹ 7,000","&gt; ₹7,000"))</f>
        <v>₹ 3,000 - ₹ 7,000</v>
      </c>
      <c r="P711" s="8" t="str" cm="1">
        <f t="array" ref="P7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2" spans="1:16" x14ac:dyDescent="0.8">
      <c r="A712" s="5" t="s">
        <v>782</v>
      </c>
      <c r="B712" s="8">
        <v>35</v>
      </c>
      <c r="C712" s="5" t="s">
        <v>49</v>
      </c>
      <c r="D712" s="5" t="s">
        <v>42</v>
      </c>
      <c r="E712" s="5" t="s">
        <v>44</v>
      </c>
      <c r="F712" s="5" t="s">
        <v>45</v>
      </c>
      <c r="G712" s="8">
        <v>4</v>
      </c>
      <c r="H712" s="8">
        <v>2690</v>
      </c>
      <c r="I712" s="5" t="s">
        <v>49</v>
      </c>
      <c r="J712" s="8">
        <v>3</v>
      </c>
      <c r="K712" s="8">
        <v>5</v>
      </c>
      <c r="L712" s="8">
        <v>1</v>
      </c>
      <c r="M7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2" s="8" t="str" cm="1">
        <f t="array" ref="N712">_xlfn.IFS(HR_Analytics56[[#This Row],[PerformanceRating]]=3,"Good",HR_Analytics56[[#This Row],[PerformanceRating]]=4, "Excellent")</f>
        <v>Good</v>
      </c>
      <c r="O712" s="8" t="str">
        <f>IF(HR_Analytics56[[#This Row],[MonthlyIncome]]&lt;3000,"&lt; ₹3,000",IF(HR_Analytics56[[#This Row],[MonthlyIncome]]&lt;=7000,"₹ 3,000 - ₹ 7,000","&gt; ₹7,000"))</f>
        <v>&lt; ₹3,000</v>
      </c>
      <c r="P712" s="8" t="str" cm="1">
        <f t="array" ref="P7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3" spans="1:16" x14ac:dyDescent="0.8">
      <c r="A713" s="5" t="s">
        <v>783</v>
      </c>
      <c r="B713" s="8">
        <v>35</v>
      </c>
      <c r="C713" s="5" t="s">
        <v>49</v>
      </c>
      <c r="D713" s="5" t="s">
        <v>42</v>
      </c>
      <c r="E713" s="5" t="s">
        <v>44</v>
      </c>
      <c r="F713" s="5" t="s">
        <v>60</v>
      </c>
      <c r="G713" s="8">
        <v>1</v>
      </c>
      <c r="H713" s="8">
        <v>5208</v>
      </c>
      <c r="I713" s="5" t="s">
        <v>49</v>
      </c>
      <c r="J713" s="8">
        <v>3</v>
      </c>
      <c r="K713" s="8">
        <v>2</v>
      </c>
      <c r="L713" s="8">
        <v>16</v>
      </c>
      <c r="M7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3" s="8" t="str" cm="1">
        <f t="array" ref="N713">_xlfn.IFS(HR_Analytics56[[#This Row],[PerformanceRating]]=3,"Good",HR_Analytics56[[#This Row],[PerformanceRating]]=4, "Excellent")</f>
        <v>Good</v>
      </c>
      <c r="O713" s="8" t="str">
        <f>IF(HR_Analytics56[[#This Row],[MonthlyIncome]]&lt;3000,"&lt; ₹3,000",IF(HR_Analytics56[[#This Row],[MonthlyIncome]]&lt;=7000,"₹ 3,000 - ₹ 7,000","&gt; ₹7,000"))</f>
        <v>₹ 3,000 - ₹ 7,000</v>
      </c>
      <c r="P713" s="8" t="str" cm="1">
        <f t="array" ref="P7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4" spans="1:16" x14ac:dyDescent="0.8">
      <c r="A714" s="5" t="s">
        <v>784</v>
      </c>
      <c r="B714" s="8">
        <v>35</v>
      </c>
      <c r="C714" s="5" t="s">
        <v>49</v>
      </c>
      <c r="D714" s="5" t="s">
        <v>42</v>
      </c>
      <c r="E714" s="5" t="s">
        <v>53</v>
      </c>
      <c r="F714" s="5" t="s">
        <v>161</v>
      </c>
      <c r="G714" s="8">
        <v>3</v>
      </c>
      <c r="H714" s="8">
        <v>4148</v>
      </c>
      <c r="I714" s="5" t="s">
        <v>49</v>
      </c>
      <c r="J714" s="8">
        <v>3</v>
      </c>
      <c r="K714" s="8">
        <v>5</v>
      </c>
      <c r="L714" s="8">
        <v>14</v>
      </c>
      <c r="M7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4" s="8" t="str" cm="1">
        <f t="array" ref="N714">_xlfn.IFS(HR_Analytics56[[#This Row],[PerformanceRating]]=3,"Good",HR_Analytics56[[#This Row],[PerformanceRating]]=4, "Excellent")</f>
        <v>Good</v>
      </c>
      <c r="O714" s="8" t="str">
        <f>IF(HR_Analytics56[[#This Row],[MonthlyIncome]]&lt;3000,"&lt; ₹3,000",IF(HR_Analytics56[[#This Row],[MonthlyIncome]]&lt;=7000,"₹ 3,000 - ₹ 7,000","&gt; ₹7,000"))</f>
        <v>₹ 3,000 - ₹ 7,000</v>
      </c>
      <c r="P714" s="8" t="str" cm="1">
        <f t="array" ref="P7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5" spans="1:16" x14ac:dyDescent="0.8">
      <c r="A715" s="5" t="s">
        <v>785</v>
      </c>
      <c r="B715" s="8">
        <v>35</v>
      </c>
      <c r="C715" s="5" t="s">
        <v>40</v>
      </c>
      <c r="D715" s="5" t="s">
        <v>51</v>
      </c>
      <c r="E715" s="5" t="s">
        <v>44</v>
      </c>
      <c r="F715" s="5" t="s">
        <v>137</v>
      </c>
      <c r="G715" s="8">
        <v>1</v>
      </c>
      <c r="H715" s="8">
        <v>10306</v>
      </c>
      <c r="I715" s="5" t="s">
        <v>49</v>
      </c>
      <c r="J715" s="8">
        <v>3</v>
      </c>
      <c r="K715" s="8">
        <v>3</v>
      </c>
      <c r="L715" s="8">
        <v>13</v>
      </c>
      <c r="M7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15" s="8" t="str" cm="1">
        <f t="array" ref="N715">_xlfn.IFS(HR_Analytics56[[#This Row],[PerformanceRating]]=3,"Good",HR_Analytics56[[#This Row],[PerformanceRating]]=4, "Excellent")</f>
        <v>Good</v>
      </c>
      <c r="O715" s="8" t="str">
        <f>IF(HR_Analytics56[[#This Row],[MonthlyIncome]]&lt;3000,"&lt; ₹3,000",IF(HR_Analytics56[[#This Row],[MonthlyIncome]]&lt;=7000,"₹ 3,000 - ₹ 7,000","&gt; ₹7,000"))</f>
        <v>&gt; ₹7,000</v>
      </c>
      <c r="P715" s="8" t="str" cm="1">
        <f t="array" ref="P7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6" spans="1:16" x14ac:dyDescent="0.8">
      <c r="A716" s="5" t="s">
        <v>786</v>
      </c>
      <c r="B716" s="8">
        <v>35</v>
      </c>
      <c r="C716" s="5" t="s">
        <v>40</v>
      </c>
      <c r="D716" s="5" t="s">
        <v>51</v>
      </c>
      <c r="E716" s="5" t="s">
        <v>44</v>
      </c>
      <c r="F716" s="5" t="s">
        <v>137</v>
      </c>
      <c r="G716" s="8">
        <v>4</v>
      </c>
      <c r="H716" s="8">
        <v>5440</v>
      </c>
      <c r="I716" s="5" t="s">
        <v>40</v>
      </c>
      <c r="J716" s="8">
        <v>3</v>
      </c>
      <c r="K716" s="8">
        <v>2</v>
      </c>
      <c r="L716" s="8">
        <v>2</v>
      </c>
      <c r="M7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16" s="8" t="str" cm="1">
        <f t="array" ref="N716">_xlfn.IFS(HR_Analytics56[[#This Row],[PerformanceRating]]=3,"Good",HR_Analytics56[[#This Row],[PerformanceRating]]=4, "Excellent")</f>
        <v>Good</v>
      </c>
      <c r="O716" s="8" t="str">
        <f>IF(HR_Analytics56[[#This Row],[MonthlyIncome]]&lt;3000,"&lt; ₹3,000",IF(HR_Analytics56[[#This Row],[MonthlyIncome]]&lt;=7000,"₹ 3,000 - ₹ 7,000","&gt; ₹7,000"))</f>
        <v>₹ 3,000 - ₹ 7,000</v>
      </c>
      <c r="P716" s="8" t="str" cm="1">
        <f t="array" ref="P7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7" spans="1:16" x14ac:dyDescent="0.8">
      <c r="A717" s="5" t="s">
        <v>787</v>
      </c>
      <c r="B717" s="8">
        <v>35</v>
      </c>
      <c r="C717" s="5" t="s">
        <v>40</v>
      </c>
      <c r="D717" s="5" t="s">
        <v>51</v>
      </c>
      <c r="E717" s="5" t="s">
        <v>44</v>
      </c>
      <c r="F717" s="5" t="s">
        <v>137</v>
      </c>
      <c r="G717" s="8">
        <v>4</v>
      </c>
      <c r="H717" s="8">
        <v>4581</v>
      </c>
      <c r="I717" s="5" t="s">
        <v>40</v>
      </c>
      <c r="J717" s="8">
        <v>4</v>
      </c>
      <c r="K717" s="8">
        <v>2</v>
      </c>
      <c r="L717" s="8">
        <v>11</v>
      </c>
      <c r="M7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17" s="8" t="str" cm="1">
        <f t="array" ref="N717">_xlfn.IFS(HR_Analytics56[[#This Row],[PerformanceRating]]=3,"Good",HR_Analytics56[[#This Row],[PerformanceRating]]=4, "Excellent")</f>
        <v>Excellent</v>
      </c>
      <c r="O717" s="8" t="str">
        <f>IF(HR_Analytics56[[#This Row],[MonthlyIncome]]&lt;3000,"&lt; ₹3,000",IF(HR_Analytics56[[#This Row],[MonthlyIncome]]&lt;=7000,"₹ 3,000 - ₹ 7,000","&gt; ₹7,000"))</f>
        <v>₹ 3,000 - ₹ 7,000</v>
      </c>
      <c r="P717" s="8" t="str" cm="1">
        <f t="array" ref="P7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8" spans="1:16" x14ac:dyDescent="0.8">
      <c r="A718" s="5" t="s">
        <v>788</v>
      </c>
      <c r="B718" s="8">
        <v>35</v>
      </c>
      <c r="C718" s="5" t="s">
        <v>49</v>
      </c>
      <c r="D718" s="5" t="s">
        <v>42</v>
      </c>
      <c r="E718" s="5" t="s">
        <v>44</v>
      </c>
      <c r="F718" s="5" t="s">
        <v>60</v>
      </c>
      <c r="G718" s="8">
        <v>4</v>
      </c>
      <c r="H718" s="8">
        <v>4930</v>
      </c>
      <c r="I718" s="5" t="s">
        <v>40</v>
      </c>
      <c r="J718" s="8">
        <v>3</v>
      </c>
      <c r="K718" s="8">
        <v>2</v>
      </c>
      <c r="L718" s="8">
        <v>5</v>
      </c>
      <c r="M7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18" s="8" t="str" cm="1">
        <f t="array" ref="N718">_xlfn.IFS(HR_Analytics56[[#This Row],[PerformanceRating]]=3,"Good",HR_Analytics56[[#This Row],[PerformanceRating]]=4, "Excellent")</f>
        <v>Good</v>
      </c>
      <c r="O718" s="8" t="str">
        <f>IF(HR_Analytics56[[#This Row],[MonthlyIncome]]&lt;3000,"&lt; ₹3,000",IF(HR_Analytics56[[#This Row],[MonthlyIncome]]&lt;=7000,"₹ 3,000 - ₹ 7,000","&gt; ₹7,000"))</f>
        <v>₹ 3,000 - ₹ 7,000</v>
      </c>
      <c r="P718" s="8" t="str" cm="1">
        <f t="array" ref="P7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19" spans="1:16" x14ac:dyDescent="0.8">
      <c r="A719" s="5" t="s">
        <v>789</v>
      </c>
      <c r="B719" s="8">
        <v>35</v>
      </c>
      <c r="C719" s="5" t="s">
        <v>49</v>
      </c>
      <c r="D719" s="5" t="s">
        <v>42</v>
      </c>
      <c r="E719" s="5" t="s">
        <v>44</v>
      </c>
      <c r="F719" s="5" t="s">
        <v>112</v>
      </c>
      <c r="G719" s="8">
        <v>3</v>
      </c>
      <c r="H719" s="8">
        <v>6883</v>
      </c>
      <c r="I719" s="5" t="s">
        <v>49</v>
      </c>
      <c r="J719" s="8">
        <v>3</v>
      </c>
      <c r="K719" s="8">
        <v>3</v>
      </c>
      <c r="L719" s="8">
        <v>7</v>
      </c>
      <c r="M7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19" s="8" t="str" cm="1">
        <f t="array" ref="N719">_xlfn.IFS(HR_Analytics56[[#This Row],[PerformanceRating]]=3,"Good",HR_Analytics56[[#This Row],[PerformanceRating]]=4, "Excellent")</f>
        <v>Good</v>
      </c>
      <c r="O719" s="8" t="str">
        <f>IF(HR_Analytics56[[#This Row],[MonthlyIncome]]&lt;3000,"&lt; ₹3,000",IF(HR_Analytics56[[#This Row],[MonthlyIncome]]&lt;=7000,"₹ 3,000 - ₹ 7,000","&gt; ₹7,000"))</f>
        <v>₹ 3,000 - ₹ 7,000</v>
      </c>
      <c r="P719" s="8" t="str" cm="1">
        <f t="array" ref="P7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0" spans="1:16" x14ac:dyDescent="0.8">
      <c r="A720" s="5" t="s">
        <v>790</v>
      </c>
      <c r="B720" s="8">
        <v>35</v>
      </c>
      <c r="C720" s="5" t="s">
        <v>40</v>
      </c>
      <c r="D720" s="5" t="s">
        <v>51</v>
      </c>
      <c r="E720" s="5" t="s">
        <v>44</v>
      </c>
      <c r="F720" s="5" t="s">
        <v>137</v>
      </c>
      <c r="G720" s="8">
        <v>4</v>
      </c>
      <c r="H720" s="8">
        <v>5813</v>
      </c>
      <c r="I720" s="5" t="s">
        <v>40</v>
      </c>
      <c r="J720" s="8">
        <v>3</v>
      </c>
      <c r="K720" s="8">
        <v>2</v>
      </c>
      <c r="L720" s="8">
        <v>10</v>
      </c>
      <c r="M7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20" s="8" t="str" cm="1">
        <f t="array" ref="N720">_xlfn.IFS(HR_Analytics56[[#This Row],[PerformanceRating]]=3,"Good",HR_Analytics56[[#This Row],[PerformanceRating]]=4, "Excellent")</f>
        <v>Good</v>
      </c>
      <c r="O720" s="8" t="str">
        <f>IF(HR_Analytics56[[#This Row],[MonthlyIncome]]&lt;3000,"&lt; ₹3,000",IF(HR_Analytics56[[#This Row],[MonthlyIncome]]&lt;=7000,"₹ 3,000 - ₹ 7,000","&gt; ₹7,000"))</f>
        <v>₹ 3,000 - ₹ 7,000</v>
      </c>
      <c r="P720" s="8" t="str" cm="1">
        <f t="array" ref="P7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1" spans="1:16" x14ac:dyDescent="0.8">
      <c r="A721" s="5" t="s">
        <v>791</v>
      </c>
      <c r="B721" s="8">
        <v>35</v>
      </c>
      <c r="C721" s="5" t="s">
        <v>49</v>
      </c>
      <c r="D721" s="5" t="s">
        <v>42</v>
      </c>
      <c r="E721" s="5" t="s">
        <v>44</v>
      </c>
      <c r="F721" s="5" t="s">
        <v>112</v>
      </c>
      <c r="G721" s="8">
        <v>4</v>
      </c>
      <c r="H721" s="8">
        <v>5762</v>
      </c>
      <c r="I721" s="5" t="s">
        <v>49</v>
      </c>
      <c r="J721" s="8">
        <v>3</v>
      </c>
      <c r="K721" s="8">
        <v>6</v>
      </c>
      <c r="L721" s="8">
        <v>7</v>
      </c>
      <c r="M7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21" s="8" t="str" cm="1">
        <f t="array" ref="N721">_xlfn.IFS(HR_Analytics56[[#This Row],[PerformanceRating]]=3,"Good",HR_Analytics56[[#This Row],[PerformanceRating]]=4, "Excellent")</f>
        <v>Good</v>
      </c>
      <c r="O721" s="8" t="str">
        <f>IF(HR_Analytics56[[#This Row],[MonthlyIncome]]&lt;3000,"&lt; ₹3,000",IF(HR_Analytics56[[#This Row],[MonthlyIncome]]&lt;=7000,"₹ 3,000 - ₹ 7,000","&gt; ₹7,000"))</f>
        <v>₹ 3,000 - ₹ 7,000</v>
      </c>
      <c r="P721" s="8" t="str" cm="1">
        <f t="array" ref="P7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2" spans="1:16" x14ac:dyDescent="0.8">
      <c r="A722" s="5" t="s">
        <v>792</v>
      </c>
      <c r="B722" s="8">
        <v>35</v>
      </c>
      <c r="C722" s="5" t="s">
        <v>49</v>
      </c>
      <c r="D722" s="5" t="s">
        <v>42</v>
      </c>
      <c r="E722" s="5" t="s">
        <v>44</v>
      </c>
      <c r="F722" s="5" t="s">
        <v>45</v>
      </c>
      <c r="G722" s="8">
        <v>3</v>
      </c>
      <c r="H722" s="8">
        <v>2705</v>
      </c>
      <c r="I722" s="5" t="s">
        <v>49</v>
      </c>
      <c r="J722" s="8">
        <v>3</v>
      </c>
      <c r="K722" s="8">
        <v>2</v>
      </c>
      <c r="L722" s="8">
        <v>5</v>
      </c>
      <c r="M7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22" s="8" t="str" cm="1">
        <f t="array" ref="N722">_xlfn.IFS(HR_Analytics56[[#This Row],[PerformanceRating]]=3,"Good",HR_Analytics56[[#This Row],[PerformanceRating]]=4, "Excellent")</f>
        <v>Good</v>
      </c>
      <c r="O722" s="8" t="str">
        <f>IF(HR_Analytics56[[#This Row],[MonthlyIncome]]&lt;3000,"&lt; ₹3,000",IF(HR_Analytics56[[#This Row],[MonthlyIncome]]&lt;=7000,"₹ 3,000 - ₹ 7,000","&gt; ₹7,000"))</f>
        <v>&lt; ₹3,000</v>
      </c>
      <c r="P722" s="8" t="str" cm="1">
        <f t="array" ref="P7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3" spans="1:16" x14ac:dyDescent="0.8">
      <c r="A723" s="5" t="s">
        <v>793</v>
      </c>
      <c r="B723" s="8">
        <v>35</v>
      </c>
      <c r="C723" s="5" t="s">
        <v>49</v>
      </c>
      <c r="D723" s="5" t="s">
        <v>42</v>
      </c>
      <c r="E723" s="5" t="s">
        <v>53</v>
      </c>
      <c r="F723" s="5" t="s">
        <v>112</v>
      </c>
      <c r="G723" s="8">
        <v>2</v>
      </c>
      <c r="H723" s="8">
        <v>4788</v>
      </c>
      <c r="I723" s="5" t="s">
        <v>40</v>
      </c>
      <c r="J723" s="8">
        <v>3</v>
      </c>
      <c r="K723" s="8">
        <v>2</v>
      </c>
      <c r="L723" s="8">
        <v>3</v>
      </c>
      <c r="M7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3" s="8" t="str" cm="1">
        <f t="array" ref="N723">_xlfn.IFS(HR_Analytics56[[#This Row],[PerformanceRating]]=3,"Good",HR_Analytics56[[#This Row],[PerformanceRating]]=4, "Excellent")</f>
        <v>Good</v>
      </c>
      <c r="O723" s="8" t="str">
        <f>IF(HR_Analytics56[[#This Row],[MonthlyIncome]]&lt;3000,"&lt; ₹3,000",IF(HR_Analytics56[[#This Row],[MonthlyIncome]]&lt;=7000,"₹ 3,000 - ₹ 7,000","&gt; ₹7,000"))</f>
        <v>₹ 3,000 - ₹ 7,000</v>
      </c>
      <c r="P723" s="8" t="str" cm="1">
        <f t="array" ref="P7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4" spans="1:16" x14ac:dyDescent="0.8">
      <c r="A724" s="5" t="s">
        <v>794</v>
      </c>
      <c r="B724" s="8">
        <v>35</v>
      </c>
      <c r="C724" s="5" t="s">
        <v>49</v>
      </c>
      <c r="D724" s="5" t="s">
        <v>51</v>
      </c>
      <c r="E724" s="5" t="s">
        <v>44</v>
      </c>
      <c r="F724" s="5" t="s">
        <v>137</v>
      </c>
      <c r="G724" s="8">
        <v>1</v>
      </c>
      <c r="H724" s="8">
        <v>5561</v>
      </c>
      <c r="I724" s="5" t="s">
        <v>49</v>
      </c>
      <c r="J724" s="8">
        <v>3</v>
      </c>
      <c r="K724" s="8">
        <v>2</v>
      </c>
      <c r="L724" s="8">
        <v>5</v>
      </c>
      <c r="M7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24" s="8" t="str" cm="1">
        <f t="array" ref="N724">_xlfn.IFS(HR_Analytics56[[#This Row],[PerformanceRating]]=3,"Good",HR_Analytics56[[#This Row],[PerformanceRating]]=4, "Excellent")</f>
        <v>Good</v>
      </c>
      <c r="O724" s="8" t="str">
        <f>IF(HR_Analytics56[[#This Row],[MonthlyIncome]]&lt;3000,"&lt; ₹3,000",IF(HR_Analytics56[[#This Row],[MonthlyIncome]]&lt;=7000,"₹ 3,000 - ₹ 7,000","&gt; ₹7,000"))</f>
        <v>₹ 3,000 - ₹ 7,000</v>
      </c>
      <c r="P724" s="8" t="str" cm="1">
        <f t="array" ref="P7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5" spans="1:16" x14ac:dyDescent="0.8">
      <c r="A725" s="5" t="s">
        <v>795</v>
      </c>
      <c r="B725" s="8">
        <v>35</v>
      </c>
      <c r="C725" s="5" t="s">
        <v>49</v>
      </c>
      <c r="D725" s="5" t="s">
        <v>51</v>
      </c>
      <c r="E725" s="5" t="s">
        <v>53</v>
      </c>
      <c r="F725" s="5" t="s">
        <v>137</v>
      </c>
      <c r="G725" s="8">
        <v>4</v>
      </c>
      <c r="H725" s="8">
        <v>5204</v>
      </c>
      <c r="I725" s="5" t="s">
        <v>40</v>
      </c>
      <c r="J725" s="8">
        <v>3</v>
      </c>
      <c r="K725" s="8">
        <v>2</v>
      </c>
      <c r="L725" s="8">
        <v>10</v>
      </c>
      <c r="M7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5" s="8" t="str" cm="1">
        <f t="array" ref="N725">_xlfn.IFS(HR_Analytics56[[#This Row],[PerformanceRating]]=3,"Good",HR_Analytics56[[#This Row],[PerformanceRating]]=4, "Excellent")</f>
        <v>Good</v>
      </c>
      <c r="O725" s="8" t="str">
        <f>IF(HR_Analytics56[[#This Row],[MonthlyIncome]]&lt;3000,"&lt; ₹3,000",IF(HR_Analytics56[[#This Row],[MonthlyIncome]]&lt;=7000,"₹ 3,000 - ₹ 7,000","&gt; ₹7,000"))</f>
        <v>₹ 3,000 - ₹ 7,000</v>
      </c>
      <c r="P725" s="8" t="str" cm="1">
        <f t="array" ref="P7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6" spans="1:16" x14ac:dyDescent="0.8">
      <c r="A726" s="5" t="s">
        <v>796</v>
      </c>
      <c r="B726" s="8">
        <v>35</v>
      </c>
      <c r="C726" s="5" t="s">
        <v>49</v>
      </c>
      <c r="D726" s="5" t="s">
        <v>42</v>
      </c>
      <c r="E726" s="5" t="s">
        <v>44</v>
      </c>
      <c r="F726" s="5" t="s">
        <v>45</v>
      </c>
      <c r="G726" s="8">
        <v>3</v>
      </c>
      <c r="H726" s="8">
        <v>2660</v>
      </c>
      <c r="I726" s="5" t="s">
        <v>40</v>
      </c>
      <c r="J726" s="8">
        <v>3</v>
      </c>
      <c r="K726" s="8">
        <v>3</v>
      </c>
      <c r="L726" s="8">
        <v>2</v>
      </c>
      <c r="M7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6" s="8" t="str" cm="1">
        <f t="array" ref="N726">_xlfn.IFS(HR_Analytics56[[#This Row],[PerformanceRating]]=3,"Good",HR_Analytics56[[#This Row],[PerformanceRating]]=4, "Excellent")</f>
        <v>Good</v>
      </c>
      <c r="O726" s="8" t="str">
        <f>IF(HR_Analytics56[[#This Row],[MonthlyIncome]]&lt;3000,"&lt; ₹3,000",IF(HR_Analytics56[[#This Row],[MonthlyIncome]]&lt;=7000,"₹ 3,000 - ₹ 7,000","&gt; ₹7,000"))</f>
        <v>&lt; ₹3,000</v>
      </c>
      <c r="P726" s="8" t="str" cm="1">
        <f t="array" ref="P7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7" spans="1:16" x14ac:dyDescent="0.8">
      <c r="A727" s="5" t="s">
        <v>797</v>
      </c>
      <c r="B727" s="8">
        <v>35</v>
      </c>
      <c r="C727" s="5" t="s">
        <v>49</v>
      </c>
      <c r="D727" s="5" t="s">
        <v>42</v>
      </c>
      <c r="E727" s="5" t="s">
        <v>44</v>
      </c>
      <c r="F727" s="5" t="s">
        <v>60</v>
      </c>
      <c r="G727" s="8">
        <v>3</v>
      </c>
      <c r="H727" s="8">
        <v>5098</v>
      </c>
      <c r="I727" s="5" t="s">
        <v>49</v>
      </c>
      <c r="J727" s="8">
        <v>3</v>
      </c>
      <c r="K727" s="8">
        <v>5</v>
      </c>
      <c r="L727" s="8">
        <v>10</v>
      </c>
      <c r="M7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27" s="8" t="str" cm="1">
        <f t="array" ref="N727">_xlfn.IFS(HR_Analytics56[[#This Row],[PerformanceRating]]=3,"Good",HR_Analytics56[[#This Row],[PerformanceRating]]=4, "Excellent")</f>
        <v>Good</v>
      </c>
      <c r="O727" s="8" t="str">
        <f>IF(HR_Analytics56[[#This Row],[MonthlyIncome]]&lt;3000,"&lt; ₹3,000",IF(HR_Analytics56[[#This Row],[MonthlyIncome]]&lt;=7000,"₹ 3,000 - ₹ 7,000","&gt; ₹7,000"))</f>
        <v>₹ 3,000 - ₹ 7,000</v>
      </c>
      <c r="P727" s="8" t="str" cm="1">
        <f t="array" ref="P7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8" spans="1:16" x14ac:dyDescent="0.8">
      <c r="A728" s="5" t="s">
        <v>798</v>
      </c>
      <c r="B728" s="8">
        <v>35</v>
      </c>
      <c r="C728" s="5" t="s">
        <v>49</v>
      </c>
      <c r="D728" s="5" t="s">
        <v>71</v>
      </c>
      <c r="E728" s="5" t="s">
        <v>53</v>
      </c>
      <c r="F728" s="5" t="s">
        <v>71</v>
      </c>
      <c r="G728" s="8">
        <v>4</v>
      </c>
      <c r="H728" s="8">
        <v>8837</v>
      </c>
      <c r="I728" s="5" t="s">
        <v>40</v>
      </c>
      <c r="J728" s="8">
        <v>3</v>
      </c>
      <c r="K728" s="8">
        <v>2</v>
      </c>
      <c r="L728" s="8">
        <v>9</v>
      </c>
      <c r="M7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8" s="8" t="str" cm="1">
        <f t="array" ref="N728">_xlfn.IFS(HR_Analytics56[[#This Row],[PerformanceRating]]=3,"Good",HR_Analytics56[[#This Row],[PerformanceRating]]=4, "Excellent")</f>
        <v>Good</v>
      </c>
      <c r="O728" s="8" t="str">
        <f>IF(HR_Analytics56[[#This Row],[MonthlyIncome]]&lt;3000,"&lt; ₹3,000",IF(HR_Analytics56[[#This Row],[MonthlyIncome]]&lt;=7000,"₹ 3,000 - ₹ 7,000","&gt; ₹7,000"))</f>
        <v>&gt; ₹7,000</v>
      </c>
      <c r="P728" s="8" t="str" cm="1">
        <f t="array" ref="P7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29" spans="1:16" x14ac:dyDescent="0.8">
      <c r="A729" s="5" t="s">
        <v>799</v>
      </c>
      <c r="B729" s="8">
        <v>35</v>
      </c>
      <c r="C729" s="5" t="s">
        <v>49</v>
      </c>
      <c r="D729" s="5" t="s">
        <v>42</v>
      </c>
      <c r="E729" s="5" t="s">
        <v>44</v>
      </c>
      <c r="F729" s="5" t="s">
        <v>161</v>
      </c>
      <c r="G729" s="8">
        <v>3</v>
      </c>
      <c r="H729" s="8">
        <v>5689</v>
      </c>
      <c r="I729" s="5" t="s">
        <v>40</v>
      </c>
      <c r="J729" s="8">
        <v>3</v>
      </c>
      <c r="K729" s="8">
        <v>2</v>
      </c>
      <c r="L729" s="8">
        <v>10</v>
      </c>
      <c r="M7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29" s="8" t="str" cm="1">
        <f t="array" ref="N729">_xlfn.IFS(HR_Analytics56[[#This Row],[PerformanceRating]]=3,"Good",HR_Analytics56[[#This Row],[PerformanceRating]]=4, "Excellent")</f>
        <v>Good</v>
      </c>
      <c r="O729" s="8" t="str">
        <f>IF(HR_Analytics56[[#This Row],[MonthlyIncome]]&lt;3000,"&lt; ₹3,000",IF(HR_Analytics56[[#This Row],[MonthlyIncome]]&lt;=7000,"₹ 3,000 - ₹ 7,000","&gt; ₹7,000"))</f>
        <v>₹ 3,000 - ₹ 7,000</v>
      </c>
      <c r="P729" s="8" t="str" cm="1">
        <f t="array" ref="P7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0" spans="1:16" x14ac:dyDescent="0.8">
      <c r="A730" s="5" t="s">
        <v>800</v>
      </c>
      <c r="B730" s="8">
        <v>35</v>
      </c>
      <c r="C730" s="5" t="s">
        <v>49</v>
      </c>
      <c r="D730" s="5" t="s">
        <v>42</v>
      </c>
      <c r="E730" s="5" t="s">
        <v>53</v>
      </c>
      <c r="F730" s="5" t="s">
        <v>60</v>
      </c>
      <c r="G730" s="8">
        <v>4</v>
      </c>
      <c r="H730" s="8">
        <v>2977</v>
      </c>
      <c r="I730" s="5" t="s">
        <v>49</v>
      </c>
      <c r="J730" s="8">
        <v>3</v>
      </c>
      <c r="K730" s="8">
        <v>5</v>
      </c>
      <c r="L730" s="8">
        <v>4</v>
      </c>
      <c r="M7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0" s="8" t="str" cm="1">
        <f t="array" ref="N730">_xlfn.IFS(HR_Analytics56[[#This Row],[PerformanceRating]]=3,"Good",HR_Analytics56[[#This Row],[PerformanceRating]]=4, "Excellent")</f>
        <v>Good</v>
      </c>
      <c r="O730" s="8" t="str">
        <f>IF(HR_Analytics56[[#This Row],[MonthlyIncome]]&lt;3000,"&lt; ₹3,000",IF(HR_Analytics56[[#This Row],[MonthlyIncome]]&lt;=7000,"₹ 3,000 - ₹ 7,000","&gt; ₹7,000"))</f>
        <v>&lt; ₹3,000</v>
      </c>
      <c r="P730" s="8" t="str" cm="1">
        <f t="array" ref="P7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1" spans="1:16" x14ac:dyDescent="0.8">
      <c r="A731" s="5" t="s">
        <v>801</v>
      </c>
      <c r="B731" s="8">
        <v>36</v>
      </c>
      <c r="C731" s="5" t="s">
        <v>49</v>
      </c>
      <c r="D731" s="5" t="s">
        <v>42</v>
      </c>
      <c r="E731" s="5" t="s">
        <v>44</v>
      </c>
      <c r="F731" s="5" t="s">
        <v>161</v>
      </c>
      <c r="G731" s="8">
        <v>3</v>
      </c>
      <c r="H731" s="8">
        <v>5237</v>
      </c>
      <c r="I731" s="5" t="s">
        <v>49</v>
      </c>
      <c r="J731" s="8">
        <v>3</v>
      </c>
      <c r="K731" s="8">
        <v>3</v>
      </c>
      <c r="L731" s="8">
        <v>7</v>
      </c>
      <c r="M7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1" s="8" t="str" cm="1">
        <f t="array" ref="N731">_xlfn.IFS(HR_Analytics56[[#This Row],[PerformanceRating]]=3,"Good",HR_Analytics56[[#This Row],[PerformanceRating]]=4, "Excellent")</f>
        <v>Good</v>
      </c>
      <c r="O731" s="8" t="str">
        <f>IF(HR_Analytics56[[#This Row],[MonthlyIncome]]&lt;3000,"&lt; ₹3,000",IF(HR_Analytics56[[#This Row],[MonthlyIncome]]&lt;=7000,"₹ 3,000 - ₹ 7,000","&gt; ₹7,000"))</f>
        <v>₹ 3,000 - ₹ 7,000</v>
      </c>
      <c r="P731" s="8" t="str" cm="1">
        <f t="array" ref="P7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2" spans="1:16" x14ac:dyDescent="0.8">
      <c r="A732" s="5" t="s">
        <v>803</v>
      </c>
      <c r="B732" s="8">
        <v>36</v>
      </c>
      <c r="C732" s="5" t="s">
        <v>40</v>
      </c>
      <c r="D732" s="5" t="s">
        <v>51</v>
      </c>
      <c r="E732" s="5" t="s">
        <v>44</v>
      </c>
      <c r="F732" s="5" t="s">
        <v>54</v>
      </c>
      <c r="G732" s="8">
        <v>1</v>
      </c>
      <c r="H732" s="8">
        <v>3407</v>
      </c>
      <c r="I732" s="5" t="s">
        <v>49</v>
      </c>
      <c r="J732" s="8">
        <v>4</v>
      </c>
      <c r="K732" s="8">
        <v>4</v>
      </c>
      <c r="L732" s="8">
        <v>5</v>
      </c>
      <c r="M7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32" s="8" t="str" cm="1">
        <f t="array" ref="N732">_xlfn.IFS(HR_Analytics56[[#This Row],[PerformanceRating]]=3,"Good",HR_Analytics56[[#This Row],[PerformanceRating]]=4, "Excellent")</f>
        <v>Excellent</v>
      </c>
      <c r="O732" s="8" t="str">
        <f>IF(HR_Analytics56[[#This Row],[MonthlyIncome]]&lt;3000,"&lt; ₹3,000",IF(HR_Analytics56[[#This Row],[MonthlyIncome]]&lt;=7000,"₹ 3,000 - ₹ 7,000","&gt; ₹7,000"))</f>
        <v>₹ 3,000 - ₹ 7,000</v>
      </c>
      <c r="P732" s="8" t="str" cm="1">
        <f t="array" ref="P73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33" spans="1:16" x14ac:dyDescent="0.8">
      <c r="A733" s="5" t="s">
        <v>804</v>
      </c>
      <c r="B733" s="8">
        <v>36</v>
      </c>
      <c r="C733" s="5" t="s">
        <v>49</v>
      </c>
      <c r="D733" s="5" t="s">
        <v>42</v>
      </c>
      <c r="E733" s="5" t="s">
        <v>53</v>
      </c>
      <c r="F733" s="5" t="s">
        <v>60</v>
      </c>
      <c r="G733" s="8">
        <v>1</v>
      </c>
      <c r="H733" s="8">
        <v>3419</v>
      </c>
      <c r="I733" s="5" t="s">
        <v>40</v>
      </c>
      <c r="J733" s="8">
        <v>3</v>
      </c>
      <c r="K733" s="8">
        <v>3</v>
      </c>
      <c r="L733" s="8">
        <v>1</v>
      </c>
      <c r="M7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33" s="8" t="str" cm="1">
        <f t="array" ref="N733">_xlfn.IFS(HR_Analytics56[[#This Row],[PerformanceRating]]=3,"Good",HR_Analytics56[[#This Row],[PerformanceRating]]=4, "Excellent")</f>
        <v>Good</v>
      </c>
      <c r="O733" s="8" t="str">
        <f>IF(HR_Analytics56[[#This Row],[MonthlyIncome]]&lt;3000,"&lt; ₹3,000",IF(HR_Analytics56[[#This Row],[MonthlyIncome]]&lt;=7000,"₹ 3,000 - ₹ 7,000","&gt; ₹7,000"))</f>
        <v>₹ 3,000 - ₹ 7,000</v>
      </c>
      <c r="P733" s="8" t="str" cm="1">
        <f t="array" ref="P7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4" spans="1:16" x14ac:dyDescent="0.8">
      <c r="A734" s="5" t="s">
        <v>805</v>
      </c>
      <c r="B734" s="8">
        <v>36</v>
      </c>
      <c r="C734" s="5" t="s">
        <v>49</v>
      </c>
      <c r="D734" s="5" t="s">
        <v>42</v>
      </c>
      <c r="E734" s="5" t="s">
        <v>53</v>
      </c>
      <c r="F734" s="5" t="s">
        <v>161</v>
      </c>
      <c r="G734" s="8">
        <v>3</v>
      </c>
      <c r="H734" s="8">
        <v>10096</v>
      </c>
      <c r="I734" s="5" t="s">
        <v>49</v>
      </c>
      <c r="J734" s="8">
        <v>3</v>
      </c>
      <c r="K734" s="8">
        <v>2</v>
      </c>
      <c r="L734" s="8">
        <v>17</v>
      </c>
      <c r="M7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4" s="8" t="str" cm="1">
        <f t="array" ref="N734">_xlfn.IFS(HR_Analytics56[[#This Row],[PerformanceRating]]=3,"Good",HR_Analytics56[[#This Row],[PerformanceRating]]=4, "Excellent")</f>
        <v>Good</v>
      </c>
      <c r="O734" s="8" t="str">
        <f>IF(HR_Analytics56[[#This Row],[MonthlyIncome]]&lt;3000,"&lt; ₹3,000",IF(HR_Analytics56[[#This Row],[MonthlyIncome]]&lt;=7000,"₹ 3,000 - ₹ 7,000","&gt; ₹7,000"))</f>
        <v>&gt; ₹7,000</v>
      </c>
      <c r="P734" s="8" t="str" cm="1">
        <f t="array" ref="P7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5" spans="1:16" x14ac:dyDescent="0.8">
      <c r="A735" s="5" t="s">
        <v>806</v>
      </c>
      <c r="B735" s="8">
        <v>36</v>
      </c>
      <c r="C735" s="5" t="s">
        <v>49</v>
      </c>
      <c r="D735" s="5" t="s">
        <v>42</v>
      </c>
      <c r="E735" s="5" t="s">
        <v>44</v>
      </c>
      <c r="F735" s="5" t="s">
        <v>112</v>
      </c>
      <c r="G735" s="8">
        <v>2</v>
      </c>
      <c r="H735" s="8">
        <v>6499</v>
      </c>
      <c r="I735" s="5" t="s">
        <v>49</v>
      </c>
      <c r="J735" s="8">
        <v>3</v>
      </c>
      <c r="K735" s="8">
        <v>3</v>
      </c>
      <c r="L735" s="8">
        <v>6</v>
      </c>
      <c r="M7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5" s="8" t="str" cm="1">
        <f t="array" ref="N735">_xlfn.IFS(HR_Analytics56[[#This Row],[PerformanceRating]]=3,"Good",HR_Analytics56[[#This Row],[PerformanceRating]]=4, "Excellent")</f>
        <v>Good</v>
      </c>
      <c r="O735" s="8" t="str">
        <f>IF(HR_Analytics56[[#This Row],[MonthlyIncome]]&lt;3000,"&lt; ₹3,000",IF(HR_Analytics56[[#This Row],[MonthlyIncome]]&lt;=7000,"₹ 3,000 - ₹ 7,000","&gt; ₹7,000"))</f>
        <v>₹ 3,000 - ₹ 7,000</v>
      </c>
      <c r="P735" s="8" t="str" cm="1">
        <f t="array" ref="P7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6" spans="1:16" x14ac:dyDescent="0.8">
      <c r="A736" s="5" t="s">
        <v>807</v>
      </c>
      <c r="B736" s="8">
        <v>36</v>
      </c>
      <c r="C736" s="5" t="s">
        <v>40</v>
      </c>
      <c r="D736" s="5" t="s">
        <v>42</v>
      </c>
      <c r="E736" s="5" t="s">
        <v>44</v>
      </c>
      <c r="F736" s="5" t="s">
        <v>60</v>
      </c>
      <c r="G736" s="8">
        <v>3</v>
      </c>
      <c r="H736" s="8">
        <v>3388</v>
      </c>
      <c r="I736" s="5" t="s">
        <v>40</v>
      </c>
      <c r="J736" s="8">
        <v>3</v>
      </c>
      <c r="K736" s="8">
        <v>0</v>
      </c>
      <c r="L736" s="8">
        <v>1</v>
      </c>
      <c r="M7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36" s="8" t="str" cm="1">
        <f t="array" ref="N736">_xlfn.IFS(HR_Analytics56[[#This Row],[PerformanceRating]]=3,"Good",HR_Analytics56[[#This Row],[PerformanceRating]]=4, "Excellent")</f>
        <v>Good</v>
      </c>
      <c r="O736" s="8" t="str">
        <f>IF(HR_Analytics56[[#This Row],[MonthlyIncome]]&lt;3000,"&lt; ₹3,000",IF(HR_Analytics56[[#This Row],[MonthlyIncome]]&lt;=7000,"₹ 3,000 - ₹ 7,000","&gt; ₹7,000"))</f>
        <v>₹ 3,000 - ₹ 7,000</v>
      </c>
      <c r="P736" s="8" t="str" cm="1">
        <f t="array" ref="P7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7" spans="1:16" x14ac:dyDescent="0.8">
      <c r="A737" s="5" t="s">
        <v>808</v>
      </c>
      <c r="B737" s="8">
        <v>36</v>
      </c>
      <c r="C737" s="5" t="s">
        <v>49</v>
      </c>
      <c r="D737" s="5" t="s">
        <v>42</v>
      </c>
      <c r="E737" s="5" t="s">
        <v>53</v>
      </c>
      <c r="F737" s="5" t="s">
        <v>45</v>
      </c>
      <c r="G737" s="8">
        <v>4</v>
      </c>
      <c r="H737" s="8">
        <v>3038</v>
      </c>
      <c r="I737" s="5" t="s">
        <v>49</v>
      </c>
      <c r="J737" s="8">
        <v>3</v>
      </c>
      <c r="K737" s="8">
        <v>3</v>
      </c>
      <c r="L737" s="8">
        <v>1</v>
      </c>
      <c r="M7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7" s="8" t="str" cm="1">
        <f t="array" ref="N737">_xlfn.IFS(HR_Analytics56[[#This Row],[PerformanceRating]]=3,"Good",HR_Analytics56[[#This Row],[PerformanceRating]]=4, "Excellent")</f>
        <v>Good</v>
      </c>
      <c r="O737" s="8" t="str">
        <f>IF(HR_Analytics56[[#This Row],[MonthlyIncome]]&lt;3000,"&lt; ₹3,000",IF(HR_Analytics56[[#This Row],[MonthlyIncome]]&lt;=7000,"₹ 3,000 - ₹ 7,000","&gt; ₹7,000"))</f>
        <v>₹ 3,000 - ₹ 7,000</v>
      </c>
      <c r="P737" s="8" t="str" cm="1">
        <f t="array" ref="P7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8" spans="1:16" x14ac:dyDescent="0.8">
      <c r="A738" s="5" t="s">
        <v>809</v>
      </c>
      <c r="B738" s="8">
        <v>36</v>
      </c>
      <c r="C738" s="5" t="s">
        <v>49</v>
      </c>
      <c r="D738" s="5" t="s">
        <v>51</v>
      </c>
      <c r="E738" s="5" t="s">
        <v>53</v>
      </c>
      <c r="F738" s="5" t="s">
        <v>137</v>
      </c>
      <c r="G738" s="8">
        <v>4</v>
      </c>
      <c r="H738" s="8">
        <v>9738</v>
      </c>
      <c r="I738" s="5" t="s">
        <v>49</v>
      </c>
      <c r="J738" s="8">
        <v>3</v>
      </c>
      <c r="K738" s="8">
        <v>6</v>
      </c>
      <c r="L738" s="8">
        <v>9</v>
      </c>
      <c r="M7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8" s="8" t="str" cm="1">
        <f t="array" ref="N738">_xlfn.IFS(HR_Analytics56[[#This Row],[PerformanceRating]]=3,"Good",HR_Analytics56[[#This Row],[PerformanceRating]]=4, "Excellent")</f>
        <v>Good</v>
      </c>
      <c r="O738" s="8" t="str">
        <f>IF(HR_Analytics56[[#This Row],[MonthlyIncome]]&lt;3000,"&lt; ₹3,000",IF(HR_Analytics56[[#This Row],[MonthlyIncome]]&lt;=7000,"₹ 3,000 - ₹ 7,000","&gt; ₹7,000"))</f>
        <v>&gt; ₹7,000</v>
      </c>
      <c r="P738" s="8" t="str" cm="1">
        <f t="array" ref="P7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39" spans="1:16" x14ac:dyDescent="0.8">
      <c r="A739" s="5" t="s">
        <v>810</v>
      </c>
      <c r="B739" s="8">
        <v>36</v>
      </c>
      <c r="C739" s="5" t="s">
        <v>49</v>
      </c>
      <c r="D739" s="5" t="s">
        <v>42</v>
      </c>
      <c r="E739" s="5" t="s">
        <v>53</v>
      </c>
      <c r="F739" s="5" t="s">
        <v>45</v>
      </c>
      <c r="G739" s="8">
        <v>4</v>
      </c>
      <c r="H739" s="8">
        <v>2835</v>
      </c>
      <c r="I739" s="5" t="s">
        <v>49</v>
      </c>
      <c r="J739" s="8">
        <v>4</v>
      </c>
      <c r="K739" s="8">
        <v>2</v>
      </c>
      <c r="L739" s="8">
        <v>1</v>
      </c>
      <c r="M7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39" s="8" t="str" cm="1">
        <f t="array" ref="N739">_xlfn.IFS(HR_Analytics56[[#This Row],[PerformanceRating]]=3,"Good",HR_Analytics56[[#This Row],[PerformanceRating]]=4, "Excellent")</f>
        <v>Excellent</v>
      </c>
      <c r="O739" s="8" t="str">
        <f>IF(HR_Analytics56[[#This Row],[MonthlyIncome]]&lt;3000,"&lt; ₹3,000",IF(HR_Analytics56[[#This Row],[MonthlyIncome]]&lt;=7000,"₹ 3,000 - ₹ 7,000","&gt; ₹7,000"))</f>
        <v>&lt; ₹3,000</v>
      </c>
      <c r="P739" s="8" t="str" cm="1">
        <f t="array" ref="P7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0" spans="1:16" x14ac:dyDescent="0.8">
      <c r="A740" s="5" t="s">
        <v>811</v>
      </c>
      <c r="B740" s="8">
        <v>36</v>
      </c>
      <c r="C740" s="5" t="s">
        <v>49</v>
      </c>
      <c r="D740" s="5" t="s">
        <v>42</v>
      </c>
      <c r="E740" s="5" t="s">
        <v>44</v>
      </c>
      <c r="F740" s="5" t="s">
        <v>112</v>
      </c>
      <c r="G740" s="8">
        <v>2</v>
      </c>
      <c r="H740" s="8">
        <v>4941</v>
      </c>
      <c r="I740" s="5" t="s">
        <v>49</v>
      </c>
      <c r="J740" s="8">
        <v>4</v>
      </c>
      <c r="K740" s="8">
        <v>0</v>
      </c>
      <c r="L740" s="8">
        <v>3</v>
      </c>
      <c r="M7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0" s="8" t="str" cm="1">
        <f t="array" ref="N740">_xlfn.IFS(HR_Analytics56[[#This Row],[PerformanceRating]]=3,"Good",HR_Analytics56[[#This Row],[PerformanceRating]]=4, "Excellent")</f>
        <v>Excellent</v>
      </c>
      <c r="O740" s="8" t="str">
        <f>IF(HR_Analytics56[[#This Row],[MonthlyIncome]]&lt;3000,"&lt; ₹3,000",IF(HR_Analytics56[[#This Row],[MonthlyIncome]]&lt;=7000,"₹ 3,000 - ₹ 7,000","&gt; ₹7,000"))</f>
        <v>₹ 3,000 - ₹ 7,000</v>
      </c>
      <c r="P740" s="8" t="str" cm="1">
        <f t="array" ref="P7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1" spans="1:16" x14ac:dyDescent="0.8">
      <c r="A741" s="5" t="s">
        <v>812</v>
      </c>
      <c r="B741" s="8">
        <v>36</v>
      </c>
      <c r="C741" s="5" t="s">
        <v>49</v>
      </c>
      <c r="D741" s="5" t="s">
        <v>42</v>
      </c>
      <c r="E741" s="5" t="s">
        <v>44</v>
      </c>
      <c r="F741" s="5" t="s">
        <v>45</v>
      </c>
      <c r="G741" s="8">
        <v>2</v>
      </c>
      <c r="H741" s="8">
        <v>2088</v>
      </c>
      <c r="I741" s="5" t="s">
        <v>49</v>
      </c>
      <c r="J741" s="8">
        <v>3</v>
      </c>
      <c r="K741" s="8">
        <v>3</v>
      </c>
      <c r="L741" s="8">
        <v>8</v>
      </c>
      <c r="M7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1" s="8" t="str" cm="1">
        <f t="array" ref="N741">_xlfn.IFS(HR_Analytics56[[#This Row],[PerformanceRating]]=3,"Good",HR_Analytics56[[#This Row],[PerformanceRating]]=4, "Excellent")</f>
        <v>Good</v>
      </c>
      <c r="O741" s="8" t="str">
        <f>IF(HR_Analytics56[[#This Row],[MonthlyIncome]]&lt;3000,"&lt; ₹3,000",IF(HR_Analytics56[[#This Row],[MonthlyIncome]]&lt;=7000,"₹ 3,000 - ₹ 7,000","&gt; ₹7,000"))</f>
        <v>&lt; ₹3,000</v>
      </c>
      <c r="P741" s="8" t="str" cm="1">
        <f t="array" ref="P7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2" spans="1:16" x14ac:dyDescent="0.8">
      <c r="A742" s="5" t="s">
        <v>813</v>
      </c>
      <c r="B742" s="8">
        <v>36</v>
      </c>
      <c r="C742" s="5" t="s">
        <v>49</v>
      </c>
      <c r="D742" s="5" t="s">
        <v>42</v>
      </c>
      <c r="E742" s="5" t="s">
        <v>53</v>
      </c>
      <c r="F742" s="5" t="s">
        <v>45</v>
      </c>
      <c r="G742" s="8">
        <v>4</v>
      </c>
      <c r="H742" s="8">
        <v>2153</v>
      </c>
      <c r="I742" s="5" t="s">
        <v>49</v>
      </c>
      <c r="J742" s="8">
        <v>3</v>
      </c>
      <c r="K742" s="8">
        <v>2</v>
      </c>
      <c r="L742" s="8">
        <v>8</v>
      </c>
      <c r="M7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2" s="8" t="str" cm="1">
        <f t="array" ref="N742">_xlfn.IFS(HR_Analytics56[[#This Row],[PerformanceRating]]=3,"Good",HR_Analytics56[[#This Row],[PerformanceRating]]=4, "Excellent")</f>
        <v>Good</v>
      </c>
      <c r="O742" s="8" t="str">
        <f>IF(HR_Analytics56[[#This Row],[MonthlyIncome]]&lt;3000,"&lt; ₹3,000",IF(HR_Analytics56[[#This Row],[MonthlyIncome]]&lt;=7000,"₹ 3,000 - ₹ 7,000","&gt; ₹7,000"))</f>
        <v>&lt; ₹3,000</v>
      </c>
      <c r="P742" s="8" t="str" cm="1">
        <f t="array" ref="P7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3" spans="1:16" x14ac:dyDescent="0.8">
      <c r="A743" s="5" t="s">
        <v>814</v>
      </c>
      <c r="B743" s="8">
        <v>36</v>
      </c>
      <c r="C743" s="5" t="s">
        <v>49</v>
      </c>
      <c r="D743" s="5" t="s">
        <v>42</v>
      </c>
      <c r="E743" s="5" t="s">
        <v>44</v>
      </c>
      <c r="F743" s="5" t="s">
        <v>45</v>
      </c>
      <c r="G743" s="8">
        <v>2</v>
      </c>
      <c r="H743" s="8">
        <v>5914</v>
      </c>
      <c r="I743" s="5" t="s">
        <v>49</v>
      </c>
      <c r="J743" s="8">
        <v>3</v>
      </c>
      <c r="K743" s="8">
        <v>3</v>
      </c>
      <c r="L743" s="8">
        <v>13</v>
      </c>
      <c r="M7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3" s="8" t="str" cm="1">
        <f t="array" ref="N743">_xlfn.IFS(HR_Analytics56[[#This Row],[PerformanceRating]]=3,"Good",HR_Analytics56[[#This Row],[PerformanceRating]]=4, "Excellent")</f>
        <v>Good</v>
      </c>
      <c r="O743" s="8" t="str">
        <f>IF(HR_Analytics56[[#This Row],[MonthlyIncome]]&lt;3000,"&lt; ₹3,000",IF(HR_Analytics56[[#This Row],[MonthlyIncome]]&lt;=7000,"₹ 3,000 - ₹ 7,000","&gt; ₹7,000"))</f>
        <v>₹ 3,000 - ₹ 7,000</v>
      </c>
      <c r="P743" s="8" t="str" cm="1">
        <f t="array" ref="P7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4" spans="1:16" x14ac:dyDescent="0.8">
      <c r="A744" s="5" t="s">
        <v>815</v>
      </c>
      <c r="B744" s="8">
        <v>36</v>
      </c>
      <c r="C744" s="5" t="s">
        <v>49</v>
      </c>
      <c r="D744" s="5" t="s">
        <v>42</v>
      </c>
      <c r="E744" s="5" t="s">
        <v>44</v>
      </c>
      <c r="F744" s="5" t="s">
        <v>45</v>
      </c>
      <c r="G744" s="8">
        <v>4</v>
      </c>
      <c r="H744" s="8">
        <v>3210</v>
      </c>
      <c r="I744" s="5" t="s">
        <v>49</v>
      </c>
      <c r="J744" s="8">
        <v>3</v>
      </c>
      <c r="K744" s="8">
        <v>4</v>
      </c>
      <c r="L744" s="8">
        <v>15</v>
      </c>
      <c r="M7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4" s="8" t="str" cm="1">
        <f t="array" ref="N744">_xlfn.IFS(HR_Analytics56[[#This Row],[PerformanceRating]]=3,"Good",HR_Analytics56[[#This Row],[PerformanceRating]]=4, "Excellent")</f>
        <v>Good</v>
      </c>
      <c r="O744" s="8" t="str">
        <f>IF(HR_Analytics56[[#This Row],[MonthlyIncome]]&lt;3000,"&lt; ₹3,000",IF(HR_Analytics56[[#This Row],[MonthlyIncome]]&lt;=7000,"₹ 3,000 - ₹ 7,000","&gt; ₹7,000"))</f>
        <v>₹ 3,000 - ₹ 7,000</v>
      </c>
      <c r="P744" s="8" t="str" cm="1">
        <f t="array" ref="P7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5" spans="1:16" x14ac:dyDescent="0.8">
      <c r="A745" s="5" t="s">
        <v>816</v>
      </c>
      <c r="B745" s="8">
        <v>36</v>
      </c>
      <c r="C745" s="5" t="s">
        <v>49</v>
      </c>
      <c r="D745" s="5" t="s">
        <v>42</v>
      </c>
      <c r="E745" s="5" t="s">
        <v>44</v>
      </c>
      <c r="F745" s="5" t="s">
        <v>60</v>
      </c>
      <c r="G745" s="8">
        <v>2</v>
      </c>
      <c r="H745" s="8">
        <v>4485</v>
      </c>
      <c r="I745" s="5" t="s">
        <v>49</v>
      </c>
      <c r="J745" s="8">
        <v>3</v>
      </c>
      <c r="K745" s="8">
        <v>2</v>
      </c>
      <c r="L745" s="8">
        <v>8</v>
      </c>
      <c r="M7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5" s="8" t="str" cm="1">
        <f t="array" ref="N745">_xlfn.IFS(HR_Analytics56[[#This Row],[PerformanceRating]]=3,"Good",HR_Analytics56[[#This Row],[PerformanceRating]]=4, "Excellent")</f>
        <v>Good</v>
      </c>
      <c r="O745" s="8" t="str">
        <f>IF(HR_Analytics56[[#This Row],[MonthlyIncome]]&lt;3000,"&lt; ₹3,000",IF(HR_Analytics56[[#This Row],[MonthlyIncome]]&lt;=7000,"₹ 3,000 - ₹ 7,000","&gt; ₹7,000"))</f>
        <v>₹ 3,000 - ₹ 7,000</v>
      </c>
      <c r="P745" s="8" t="str" cm="1">
        <f t="array" ref="P7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6" spans="1:16" x14ac:dyDescent="0.8">
      <c r="A746" s="5" t="s">
        <v>817</v>
      </c>
      <c r="B746" s="8">
        <v>36</v>
      </c>
      <c r="C746" s="5" t="s">
        <v>49</v>
      </c>
      <c r="D746" s="5" t="s">
        <v>42</v>
      </c>
      <c r="E746" s="5" t="s">
        <v>44</v>
      </c>
      <c r="F746" s="5" t="s">
        <v>45</v>
      </c>
      <c r="G746" s="8">
        <v>4</v>
      </c>
      <c r="H746" s="8">
        <v>3688</v>
      </c>
      <c r="I746" s="5" t="s">
        <v>49</v>
      </c>
      <c r="J746" s="8">
        <v>3</v>
      </c>
      <c r="K746" s="8">
        <v>2</v>
      </c>
      <c r="L746" s="8">
        <v>1</v>
      </c>
      <c r="M7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6" s="8" t="str" cm="1">
        <f t="array" ref="N746">_xlfn.IFS(HR_Analytics56[[#This Row],[PerformanceRating]]=3,"Good",HR_Analytics56[[#This Row],[PerformanceRating]]=4, "Excellent")</f>
        <v>Good</v>
      </c>
      <c r="O746" s="8" t="str">
        <f>IF(HR_Analytics56[[#This Row],[MonthlyIncome]]&lt;3000,"&lt; ₹3,000",IF(HR_Analytics56[[#This Row],[MonthlyIncome]]&lt;=7000,"₹ 3,000 - ₹ 7,000","&gt; ₹7,000"))</f>
        <v>₹ 3,000 - ₹ 7,000</v>
      </c>
      <c r="P746" s="8" t="str" cm="1">
        <f t="array" ref="P7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7" spans="1:16" x14ac:dyDescent="0.8">
      <c r="A747" s="5" t="s">
        <v>818</v>
      </c>
      <c r="B747" s="8">
        <v>36</v>
      </c>
      <c r="C747" s="5" t="s">
        <v>49</v>
      </c>
      <c r="D747" s="5" t="s">
        <v>42</v>
      </c>
      <c r="E747" s="5" t="s">
        <v>53</v>
      </c>
      <c r="F747" s="5" t="s">
        <v>45</v>
      </c>
      <c r="G747" s="8">
        <v>2</v>
      </c>
      <c r="H747" s="8">
        <v>5674</v>
      </c>
      <c r="I747" s="5" t="s">
        <v>49</v>
      </c>
      <c r="J747" s="8">
        <v>3</v>
      </c>
      <c r="K747" s="8">
        <v>3</v>
      </c>
      <c r="L747" s="8">
        <v>9</v>
      </c>
      <c r="M7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7" s="8" t="str" cm="1">
        <f t="array" ref="N747">_xlfn.IFS(HR_Analytics56[[#This Row],[PerformanceRating]]=3,"Good",HR_Analytics56[[#This Row],[PerformanceRating]]=4, "Excellent")</f>
        <v>Good</v>
      </c>
      <c r="O747" s="8" t="str">
        <f>IF(HR_Analytics56[[#This Row],[MonthlyIncome]]&lt;3000,"&lt; ₹3,000",IF(HR_Analytics56[[#This Row],[MonthlyIncome]]&lt;=7000,"₹ 3,000 - ₹ 7,000","&gt; ₹7,000"))</f>
        <v>₹ 3,000 - ₹ 7,000</v>
      </c>
      <c r="P747" s="8" t="str" cm="1">
        <f t="array" ref="P7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8" spans="1:16" x14ac:dyDescent="0.8">
      <c r="A748" s="5" t="s">
        <v>819</v>
      </c>
      <c r="B748" s="8">
        <v>36</v>
      </c>
      <c r="C748" s="5" t="s">
        <v>49</v>
      </c>
      <c r="D748" s="5" t="s">
        <v>51</v>
      </c>
      <c r="E748" s="5" t="s">
        <v>53</v>
      </c>
      <c r="F748" s="5" t="s">
        <v>137</v>
      </c>
      <c r="G748" s="8">
        <v>4</v>
      </c>
      <c r="H748" s="8">
        <v>6653</v>
      </c>
      <c r="I748" s="5" t="s">
        <v>49</v>
      </c>
      <c r="J748" s="8">
        <v>3</v>
      </c>
      <c r="K748" s="8">
        <v>6</v>
      </c>
      <c r="L748" s="8">
        <v>1</v>
      </c>
      <c r="M7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8" s="8" t="str" cm="1">
        <f t="array" ref="N748">_xlfn.IFS(HR_Analytics56[[#This Row],[PerformanceRating]]=3,"Good",HR_Analytics56[[#This Row],[PerformanceRating]]=4, "Excellent")</f>
        <v>Good</v>
      </c>
      <c r="O748" s="8" t="str">
        <f>IF(HR_Analytics56[[#This Row],[MonthlyIncome]]&lt;3000,"&lt; ₹3,000",IF(HR_Analytics56[[#This Row],[MonthlyIncome]]&lt;=7000,"₹ 3,000 - ₹ 7,000","&gt; ₹7,000"))</f>
        <v>₹ 3,000 - ₹ 7,000</v>
      </c>
      <c r="P748" s="8" t="str" cm="1">
        <f t="array" ref="P7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49" spans="1:16" x14ac:dyDescent="0.8">
      <c r="A749" s="5" t="s">
        <v>820</v>
      </c>
      <c r="B749" s="8">
        <v>36</v>
      </c>
      <c r="C749" s="5" t="s">
        <v>49</v>
      </c>
      <c r="D749" s="5" t="s">
        <v>51</v>
      </c>
      <c r="E749" s="5" t="s">
        <v>44</v>
      </c>
      <c r="F749" s="5" t="s">
        <v>137</v>
      </c>
      <c r="G749" s="8">
        <v>4</v>
      </c>
      <c r="H749" s="8">
        <v>9699</v>
      </c>
      <c r="I749" s="5" t="s">
        <v>49</v>
      </c>
      <c r="J749" s="8">
        <v>3</v>
      </c>
      <c r="K749" s="8">
        <v>2</v>
      </c>
      <c r="L749" s="8">
        <v>13</v>
      </c>
      <c r="M7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49" s="8" t="str" cm="1">
        <f t="array" ref="N749">_xlfn.IFS(HR_Analytics56[[#This Row],[PerformanceRating]]=3,"Good",HR_Analytics56[[#This Row],[PerformanceRating]]=4, "Excellent")</f>
        <v>Good</v>
      </c>
      <c r="O749" s="8" t="str">
        <f>IF(HR_Analytics56[[#This Row],[MonthlyIncome]]&lt;3000,"&lt; ₹3,000",IF(HR_Analytics56[[#This Row],[MonthlyIncome]]&lt;=7000,"₹ 3,000 - ₹ 7,000","&gt; ₹7,000"))</f>
        <v>&gt; ₹7,000</v>
      </c>
      <c r="P749" s="8" t="str" cm="1">
        <f t="array" ref="P7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0" spans="1:16" x14ac:dyDescent="0.8">
      <c r="A750" s="5" t="s">
        <v>821</v>
      </c>
      <c r="B750" s="8">
        <v>36</v>
      </c>
      <c r="C750" s="5" t="s">
        <v>49</v>
      </c>
      <c r="D750" s="5" t="s">
        <v>42</v>
      </c>
      <c r="E750" s="5" t="s">
        <v>53</v>
      </c>
      <c r="F750" s="5" t="s">
        <v>60</v>
      </c>
      <c r="G750" s="8">
        <v>3</v>
      </c>
      <c r="H750" s="8">
        <v>2543</v>
      </c>
      <c r="I750" s="5" t="s">
        <v>49</v>
      </c>
      <c r="J750" s="8">
        <v>3</v>
      </c>
      <c r="K750" s="8">
        <v>3</v>
      </c>
      <c r="L750" s="8">
        <v>2</v>
      </c>
      <c r="M7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0" s="8" t="str" cm="1">
        <f t="array" ref="N750">_xlfn.IFS(HR_Analytics56[[#This Row],[PerformanceRating]]=3,"Good",HR_Analytics56[[#This Row],[PerformanceRating]]=4, "Excellent")</f>
        <v>Good</v>
      </c>
      <c r="O750" s="8" t="str">
        <f>IF(HR_Analytics56[[#This Row],[MonthlyIncome]]&lt;3000,"&lt; ₹3,000",IF(HR_Analytics56[[#This Row],[MonthlyIncome]]&lt;=7000,"₹ 3,000 - ₹ 7,000","&gt; ₹7,000"))</f>
        <v>&lt; ₹3,000</v>
      </c>
      <c r="P750" s="8" t="str" cm="1">
        <f t="array" ref="P7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1" spans="1:16" x14ac:dyDescent="0.8">
      <c r="A751" s="5" t="s">
        <v>822</v>
      </c>
      <c r="B751" s="8">
        <v>36</v>
      </c>
      <c r="C751" s="5" t="s">
        <v>49</v>
      </c>
      <c r="D751" s="5" t="s">
        <v>51</v>
      </c>
      <c r="E751" s="5" t="s">
        <v>44</v>
      </c>
      <c r="F751" s="5" t="s">
        <v>137</v>
      </c>
      <c r="G751" s="8">
        <v>3</v>
      </c>
      <c r="H751" s="8">
        <v>7596</v>
      </c>
      <c r="I751" s="5" t="s">
        <v>49</v>
      </c>
      <c r="J751" s="8">
        <v>3</v>
      </c>
      <c r="K751" s="8">
        <v>2</v>
      </c>
      <c r="L751" s="8">
        <v>10</v>
      </c>
      <c r="M7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1" s="8" t="str" cm="1">
        <f t="array" ref="N751">_xlfn.IFS(HR_Analytics56[[#This Row],[PerformanceRating]]=3,"Good",HR_Analytics56[[#This Row],[PerformanceRating]]=4, "Excellent")</f>
        <v>Good</v>
      </c>
      <c r="O751" s="8" t="str">
        <f>IF(HR_Analytics56[[#This Row],[MonthlyIncome]]&lt;3000,"&lt; ₹3,000",IF(HR_Analytics56[[#This Row],[MonthlyIncome]]&lt;=7000,"₹ 3,000 - ₹ 7,000","&gt; ₹7,000"))</f>
        <v>&gt; ₹7,000</v>
      </c>
      <c r="P751" s="8" t="str" cm="1">
        <f t="array" ref="P7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2" spans="1:16" x14ac:dyDescent="0.8">
      <c r="A752" s="5" t="s">
        <v>823</v>
      </c>
      <c r="B752" s="8">
        <v>36</v>
      </c>
      <c r="C752" s="5" t="s">
        <v>49</v>
      </c>
      <c r="D752" s="5" t="s">
        <v>51</v>
      </c>
      <c r="E752" s="5" t="s">
        <v>44</v>
      </c>
      <c r="F752" s="5" t="s">
        <v>137</v>
      </c>
      <c r="G752" s="8">
        <v>4</v>
      </c>
      <c r="H752" s="8">
        <v>9980</v>
      </c>
      <c r="I752" s="5" t="s">
        <v>49</v>
      </c>
      <c r="J752" s="8">
        <v>3</v>
      </c>
      <c r="K752" s="8">
        <v>3</v>
      </c>
      <c r="L752" s="8">
        <v>10</v>
      </c>
      <c r="M7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2" s="8" t="str" cm="1">
        <f t="array" ref="N752">_xlfn.IFS(HR_Analytics56[[#This Row],[PerformanceRating]]=3,"Good",HR_Analytics56[[#This Row],[PerformanceRating]]=4, "Excellent")</f>
        <v>Good</v>
      </c>
      <c r="O752" s="8" t="str">
        <f>IF(HR_Analytics56[[#This Row],[MonthlyIncome]]&lt;3000,"&lt; ₹3,000",IF(HR_Analytics56[[#This Row],[MonthlyIncome]]&lt;=7000,"₹ 3,000 - ₹ 7,000","&gt; ₹7,000"))</f>
        <v>&gt; ₹7,000</v>
      </c>
      <c r="P752" s="8" t="str" cm="1">
        <f t="array" ref="P7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3" spans="1:16" x14ac:dyDescent="0.8">
      <c r="A753" s="5" t="s">
        <v>824</v>
      </c>
      <c r="B753" s="8">
        <v>36</v>
      </c>
      <c r="C753" s="5" t="s">
        <v>49</v>
      </c>
      <c r="D753" s="5" t="s">
        <v>42</v>
      </c>
      <c r="E753" s="5" t="s">
        <v>44</v>
      </c>
      <c r="F753" s="5" t="s">
        <v>112</v>
      </c>
      <c r="G753" s="8">
        <v>2</v>
      </c>
      <c r="H753" s="8">
        <v>8847</v>
      </c>
      <c r="I753" s="5" t="s">
        <v>40</v>
      </c>
      <c r="J753" s="8">
        <v>3</v>
      </c>
      <c r="K753" s="8">
        <v>2</v>
      </c>
      <c r="L753" s="8">
        <v>3</v>
      </c>
      <c r="M7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53" s="8" t="str" cm="1">
        <f t="array" ref="N753">_xlfn.IFS(HR_Analytics56[[#This Row],[PerformanceRating]]=3,"Good",HR_Analytics56[[#This Row],[PerformanceRating]]=4, "Excellent")</f>
        <v>Good</v>
      </c>
      <c r="O753" s="8" t="str">
        <f>IF(HR_Analytics56[[#This Row],[MonthlyIncome]]&lt;3000,"&lt; ₹3,000",IF(HR_Analytics56[[#This Row],[MonthlyIncome]]&lt;=7000,"₹ 3,000 - ₹ 7,000","&gt; ₹7,000"))</f>
        <v>&gt; ₹7,000</v>
      </c>
      <c r="P753" s="8" t="str" cm="1">
        <f t="array" ref="P7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4" spans="1:16" x14ac:dyDescent="0.8">
      <c r="A754" s="5" t="s">
        <v>825</v>
      </c>
      <c r="B754" s="8">
        <v>36</v>
      </c>
      <c r="C754" s="5" t="s">
        <v>49</v>
      </c>
      <c r="D754" s="5" t="s">
        <v>42</v>
      </c>
      <c r="E754" s="5" t="s">
        <v>53</v>
      </c>
      <c r="F754" s="5" t="s">
        <v>252</v>
      </c>
      <c r="G754" s="8">
        <v>1</v>
      </c>
      <c r="H754" s="8">
        <v>11713</v>
      </c>
      <c r="I754" s="5" t="s">
        <v>49</v>
      </c>
      <c r="J754" s="8">
        <v>3</v>
      </c>
      <c r="K754" s="8">
        <v>2</v>
      </c>
      <c r="L754" s="8">
        <v>8</v>
      </c>
      <c r="M7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4" s="8" t="str" cm="1">
        <f t="array" ref="N754">_xlfn.IFS(HR_Analytics56[[#This Row],[PerformanceRating]]=3,"Good",HR_Analytics56[[#This Row],[PerformanceRating]]=4, "Excellent")</f>
        <v>Good</v>
      </c>
      <c r="O754" s="8" t="str">
        <f>IF(HR_Analytics56[[#This Row],[MonthlyIncome]]&lt;3000,"&lt; ₹3,000",IF(HR_Analytics56[[#This Row],[MonthlyIncome]]&lt;=7000,"₹ 3,000 - ₹ 7,000","&gt; ₹7,000"))</f>
        <v>&gt; ₹7,000</v>
      </c>
      <c r="P754" s="8" t="str" cm="1">
        <f t="array" ref="P7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5" spans="1:16" x14ac:dyDescent="0.8">
      <c r="A755" s="5" t="s">
        <v>826</v>
      </c>
      <c r="B755" s="8">
        <v>36</v>
      </c>
      <c r="C755" s="5" t="s">
        <v>49</v>
      </c>
      <c r="D755" s="5" t="s">
        <v>51</v>
      </c>
      <c r="E755" s="5" t="s">
        <v>44</v>
      </c>
      <c r="F755" s="5" t="s">
        <v>137</v>
      </c>
      <c r="G755" s="8">
        <v>1</v>
      </c>
      <c r="H755" s="8">
        <v>7587</v>
      </c>
      <c r="I755" s="5" t="s">
        <v>49</v>
      </c>
      <c r="J755" s="8">
        <v>3</v>
      </c>
      <c r="K755" s="8">
        <v>1</v>
      </c>
      <c r="L755" s="8">
        <v>10</v>
      </c>
      <c r="M7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5" s="8" t="str" cm="1">
        <f t="array" ref="N755">_xlfn.IFS(HR_Analytics56[[#This Row],[PerformanceRating]]=3,"Good",HR_Analytics56[[#This Row],[PerformanceRating]]=4, "Excellent")</f>
        <v>Good</v>
      </c>
      <c r="O755" s="8" t="str">
        <f>IF(HR_Analytics56[[#This Row],[MonthlyIncome]]&lt;3000,"&lt; ₹3,000",IF(HR_Analytics56[[#This Row],[MonthlyIncome]]&lt;=7000,"₹ 3,000 - ₹ 7,000","&gt; ₹7,000"))</f>
        <v>&gt; ₹7,000</v>
      </c>
      <c r="P755" s="8" t="str" cm="1">
        <f t="array" ref="P7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6" spans="1:16" x14ac:dyDescent="0.8">
      <c r="A756" s="5" t="s">
        <v>827</v>
      </c>
      <c r="B756" s="8">
        <v>36</v>
      </c>
      <c r="C756" s="5" t="s">
        <v>49</v>
      </c>
      <c r="D756" s="5" t="s">
        <v>42</v>
      </c>
      <c r="E756" s="5" t="s">
        <v>53</v>
      </c>
      <c r="F756" s="5" t="s">
        <v>112</v>
      </c>
      <c r="G756" s="8">
        <v>2</v>
      </c>
      <c r="H756" s="8">
        <v>5228</v>
      </c>
      <c r="I756" s="5" t="s">
        <v>49</v>
      </c>
      <c r="J756" s="8">
        <v>3</v>
      </c>
      <c r="K756" s="8">
        <v>2</v>
      </c>
      <c r="L756" s="8">
        <v>9</v>
      </c>
      <c r="M7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6" s="8" t="str" cm="1">
        <f t="array" ref="N756">_xlfn.IFS(HR_Analytics56[[#This Row],[PerformanceRating]]=3,"Good",HR_Analytics56[[#This Row],[PerformanceRating]]=4, "Excellent")</f>
        <v>Good</v>
      </c>
      <c r="O756" s="8" t="str">
        <f>IF(HR_Analytics56[[#This Row],[MonthlyIncome]]&lt;3000,"&lt; ₹3,000",IF(HR_Analytics56[[#This Row],[MonthlyIncome]]&lt;=7000,"₹ 3,000 - ₹ 7,000","&gt; ₹7,000"))</f>
        <v>₹ 3,000 - ₹ 7,000</v>
      </c>
      <c r="P756" s="8" t="str" cm="1">
        <f t="array" ref="P7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7" spans="1:16" x14ac:dyDescent="0.8">
      <c r="A757" s="5" t="s">
        <v>828</v>
      </c>
      <c r="B757" s="8">
        <v>36</v>
      </c>
      <c r="C757" s="5" t="s">
        <v>49</v>
      </c>
      <c r="D757" s="5" t="s">
        <v>71</v>
      </c>
      <c r="E757" s="5" t="s">
        <v>44</v>
      </c>
      <c r="F757" s="5" t="s">
        <v>71</v>
      </c>
      <c r="G757" s="8">
        <v>2</v>
      </c>
      <c r="H757" s="8">
        <v>2143</v>
      </c>
      <c r="I757" s="5" t="s">
        <v>49</v>
      </c>
      <c r="J757" s="8">
        <v>3</v>
      </c>
      <c r="K757" s="8">
        <v>2</v>
      </c>
      <c r="L757" s="8">
        <v>5</v>
      </c>
      <c r="M7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7" s="8" t="str" cm="1">
        <f t="array" ref="N757">_xlfn.IFS(HR_Analytics56[[#This Row],[PerformanceRating]]=3,"Good",HR_Analytics56[[#This Row],[PerformanceRating]]=4, "Excellent")</f>
        <v>Good</v>
      </c>
      <c r="O757" s="8" t="str">
        <f>IF(HR_Analytics56[[#This Row],[MonthlyIncome]]&lt;3000,"&lt; ₹3,000",IF(HR_Analytics56[[#This Row],[MonthlyIncome]]&lt;=7000,"₹ 3,000 - ₹ 7,000","&gt; ₹7,000"))</f>
        <v>&lt; ₹3,000</v>
      </c>
      <c r="P757" s="8" t="str" cm="1">
        <f t="array" ref="P7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8" spans="1:16" x14ac:dyDescent="0.8">
      <c r="A758" s="5" t="s">
        <v>829</v>
      </c>
      <c r="B758" s="8">
        <v>36</v>
      </c>
      <c r="C758" s="5" t="s">
        <v>49</v>
      </c>
      <c r="D758" s="5" t="s">
        <v>51</v>
      </c>
      <c r="E758" s="5" t="s">
        <v>44</v>
      </c>
      <c r="F758" s="5" t="s">
        <v>137</v>
      </c>
      <c r="G758" s="8">
        <v>4</v>
      </c>
      <c r="H758" s="8">
        <v>6201</v>
      </c>
      <c r="I758" s="5" t="s">
        <v>40</v>
      </c>
      <c r="J758" s="8">
        <v>3</v>
      </c>
      <c r="K758" s="8">
        <v>1</v>
      </c>
      <c r="L758" s="8">
        <v>18</v>
      </c>
      <c r="M7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58" s="8" t="str" cm="1">
        <f t="array" ref="N758">_xlfn.IFS(HR_Analytics56[[#This Row],[PerformanceRating]]=3,"Good",HR_Analytics56[[#This Row],[PerformanceRating]]=4, "Excellent")</f>
        <v>Good</v>
      </c>
      <c r="O758" s="8" t="str">
        <f>IF(HR_Analytics56[[#This Row],[MonthlyIncome]]&lt;3000,"&lt; ₹3,000",IF(HR_Analytics56[[#This Row],[MonthlyIncome]]&lt;=7000,"₹ 3,000 - ₹ 7,000","&gt; ₹7,000"))</f>
        <v>₹ 3,000 - ₹ 7,000</v>
      </c>
      <c r="P758" s="8" t="str" cm="1">
        <f t="array" ref="P7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59" spans="1:16" x14ac:dyDescent="0.8">
      <c r="A759" s="5" t="s">
        <v>830</v>
      </c>
      <c r="B759" s="8">
        <v>36</v>
      </c>
      <c r="C759" s="5" t="s">
        <v>49</v>
      </c>
      <c r="D759" s="5" t="s">
        <v>71</v>
      </c>
      <c r="E759" s="5" t="s">
        <v>44</v>
      </c>
      <c r="F759" s="5" t="s">
        <v>71</v>
      </c>
      <c r="G759" s="8">
        <v>1</v>
      </c>
      <c r="H759" s="8">
        <v>2342</v>
      </c>
      <c r="I759" s="5" t="s">
        <v>49</v>
      </c>
      <c r="J759" s="8">
        <v>4</v>
      </c>
      <c r="K759" s="8">
        <v>3</v>
      </c>
      <c r="L759" s="8">
        <v>5</v>
      </c>
      <c r="M7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59" s="8" t="str" cm="1">
        <f t="array" ref="N759">_xlfn.IFS(HR_Analytics56[[#This Row],[PerformanceRating]]=3,"Good",HR_Analytics56[[#This Row],[PerformanceRating]]=4, "Excellent")</f>
        <v>Excellent</v>
      </c>
      <c r="O759" s="8" t="str">
        <f>IF(HR_Analytics56[[#This Row],[MonthlyIncome]]&lt;3000,"&lt; ₹3,000",IF(HR_Analytics56[[#This Row],[MonthlyIncome]]&lt;=7000,"₹ 3,000 - ₹ 7,000","&gt; ₹7,000"))</f>
        <v>&lt; ₹3,000</v>
      </c>
      <c r="P759" s="8" t="str" cm="1">
        <f t="array" ref="P75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60" spans="1:16" x14ac:dyDescent="0.8">
      <c r="A760" s="5" t="s">
        <v>831</v>
      </c>
      <c r="B760" s="8">
        <v>36</v>
      </c>
      <c r="C760" s="5" t="s">
        <v>49</v>
      </c>
      <c r="D760" s="5" t="s">
        <v>42</v>
      </c>
      <c r="E760" s="5" t="s">
        <v>44</v>
      </c>
      <c r="F760" s="5" t="s">
        <v>161</v>
      </c>
      <c r="G760" s="8">
        <v>4</v>
      </c>
      <c r="H760" s="8">
        <v>6586</v>
      </c>
      <c r="I760" s="5" t="s">
        <v>40</v>
      </c>
      <c r="J760" s="8">
        <v>3</v>
      </c>
      <c r="K760" s="8">
        <v>2</v>
      </c>
      <c r="L760" s="8">
        <v>16</v>
      </c>
      <c r="M7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60" s="8" t="str" cm="1">
        <f t="array" ref="N760">_xlfn.IFS(HR_Analytics56[[#This Row],[PerformanceRating]]=3,"Good",HR_Analytics56[[#This Row],[PerformanceRating]]=4, "Excellent")</f>
        <v>Good</v>
      </c>
      <c r="O760" s="8" t="str">
        <f>IF(HR_Analytics56[[#This Row],[MonthlyIncome]]&lt;3000,"&lt; ₹3,000",IF(HR_Analytics56[[#This Row],[MonthlyIncome]]&lt;=7000,"₹ 3,000 - ₹ 7,000","&gt; ₹7,000"))</f>
        <v>₹ 3,000 - ₹ 7,000</v>
      </c>
      <c r="P760" s="8" t="str" cm="1">
        <f t="array" ref="P7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1" spans="1:16" x14ac:dyDescent="0.8">
      <c r="A761" s="5" t="s">
        <v>832</v>
      </c>
      <c r="B761" s="8">
        <v>36</v>
      </c>
      <c r="C761" s="5" t="s">
        <v>49</v>
      </c>
      <c r="D761" s="5" t="s">
        <v>42</v>
      </c>
      <c r="E761" s="5" t="s">
        <v>44</v>
      </c>
      <c r="F761" s="5" t="s">
        <v>60</v>
      </c>
      <c r="G761" s="8">
        <v>4</v>
      </c>
      <c r="H761" s="8">
        <v>4678</v>
      </c>
      <c r="I761" s="5" t="s">
        <v>49</v>
      </c>
      <c r="J761" s="8">
        <v>3</v>
      </c>
      <c r="K761" s="8">
        <v>6</v>
      </c>
      <c r="L761" s="8">
        <v>6</v>
      </c>
      <c r="M7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1" s="8" t="str" cm="1">
        <f t="array" ref="N761">_xlfn.IFS(HR_Analytics56[[#This Row],[PerformanceRating]]=3,"Good",HR_Analytics56[[#This Row],[PerformanceRating]]=4, "Excellent")</f>
        <v>Good</v>
      </c>
      <c r="O761" s="8" t="str">
        <f>IF(HR_Analytics56[[#This Row],[MonthlyIncome]]&lt;3000,"&lt; ₹3,000",IF(HR_Analytics56[[#This Row],[MonthlyIncome]]&lt;=7000,"₹ 3,000 - ₹ 7,000","&gt; ₹7,000"))</f>
        <v>₹ 3,000 - ₹ 7,000</v>
      </c>
      <c r="P761" s="8" t="str" cm="1">
        <f t="array" ref="P7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2" spans="1:16" x14ac:dyDescent="0.8">
      <c r="A762" s="5" t="s">
        <v>833</v>
      </c>
      <c r="B762" s="8">
        <v>36</v>
      </c>
      <c r="C762" s="5" t="s">
        <v>49</v>
      </c>
      <c r="D762" s="5" t="s">
        <v>42</v>
      </c>
      <c r="E762" s="5" t="s">
        <v>44</v>
      </c>
      <c r="F762" s="5" t="s">
        <v>45</v>
      </c>
      <c r="G762" s="8">
        <v>3</v>
      </c>
      <c r="H762" s="8">
        <v>2519</v>
      </c>
      <c r="I762" s="5" t="s">
        <v>49</v>
      </c>
      <c r="J762" s="8">
        <v>4</v>
      </c>
      <c r="K762" s="8">
        <v>6</v>
      </c>
      <c r="L762" s="8">
        <v>11</v>
      </c>
      <c r="M7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2" s="8" t="str" cm="1">
        <f t="array" ref="N762">_xlfn.IFS(HR_Analytics56[[#This Row],[PerformanceRating]]=3,"Good",HR_Analytics56[[#This Row],[PerformanceRating]]=4, "Excellent")</f>
        <v>Excellent</v>
      </c>
      <c r="O762" s="8" t="str">
        <f>IF(HR_Analytics56[[#This Row],[MonthlyIncome]]&lt;3000,"&lt; ₹3,000",IF(HR_Analytics56[[#This Row],[MonthlyIncome]]&lt;=7000,"₹ 3,000 - ₹ 7,000","&gt; ₹7,000"))</f>
        <v>&lt; ₹3,000</v>
      </c>
      <c r="P762" s="8" t="str" cm="1">
        <f t="array" ref="P76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63" spans="1:16" x14ac:dyDescent="0.8">
      <c r="A763" s="5" t="s">
        <v>834</v>
      </c>
      <c r="B763" s="8">
        <v>36</v>
      </c>
      <c r="C763" s="5" t="s">
        <v>40</v>
      </c>
      <c r="D763" s="5" t="s">
        <v>51</v>
      </c>
      <c r="E763" s="5" t="s">
        <v>44</v>
      </c>
      <c r="F763" s="5" t="s">
        <v>137</v>
      </c>
      <c r="G763" s="8">
        <v>4</v>
      </c>
      <c r="H763" s="8">
        <v>10325</v>
      </c>
      <c r="I763" s="5" t="s">
        <v>40</v>
      </c>
      <c r="J763" s="8">
        <v>3</v>
      </c>
      <c r="K763" s="8">
        <v>6</v>
      </c>
      <c r="L763" s="8">
        <v>16</v>
      </c>
      <c r="M7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63" s="8" t="str" cm="1">
        <f t="array" ref="N763">_xlfn.IFS(HR_Analytics56[[#This Row],[PerformanceRating]]=3,"Good",HR_Analytics56[[#This Row],[PerformanceRating]]=4, "Excellent")</f>
        <v>Good</v>
      </c>
      <c r="O763" s="8" t="str">
        <f>IF(HR_Analytics56[[#This Row],[MonthlyIncome]]&lt;3000,"&lt; ₹3,000",IF(HR_Analytics56[[#This Row],[MonthlyIncome]]&lt;=7000,"₹ 3,000 - ₹ 7,000","&gt; ₹7,000"))</f>
        <v>&gt; ₹7,000</v>
      </c>
      <c r="P763" s="8" t="str" cm="1">
        <f t="array" ref="P7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4" spans="1:16" x14ac:dyDescent="0.8">
      <c r="A764" s="5" t="s">
        <v>835</v>
      </c>
      <c r="B764" s="8">
        <v>36</v>
      </c>
      <c r="C764" s="5" t="s">
        <v>49</v>
      </c>
      <c r="D764" s="5" t="s">
        <v>51</v>
      </c>
      <c r="E764" s="5" t="s">
        <v>44</v>
      </c>
      <c r="F764" s="5" t="s">
        <v>137</v>
      </c>
      <c r="G764" s="8">
        <v>4</v>
      </c>
      <c r="H764" s="8">
        <v>5079</v>
      </c>
      <c r="I764" s="5" t="s">
        <v>49</v>
      </c>
      <c r="J764" s="8">
        <v>3</v>
      </c>
      <c r="K764" s="8">
        <v>3</v>
      </c>
      <c r="L764" s="8">
        <v>7</v>
      </c>
      <c r="M7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4" s="8" t="str" cm="1">
        <f t="array" ref="N764">_xlfn.IFS(HR_Analytics56[[#This Row],[PerformanceRating]]=3,"Good",HR_Analytics56[[#This Row],[PerformanceRating]]=4, "Excellent")</f>
        <v>Good</v>
      </c>
      <c r="O764" s="8" t="str">
        <f>IF(HR_Analytics56[[#This Row],[MonthlyIncome]]&lt;3000,"&lt; ₹3,000",IF(HR_Analytics56[[#This Row],[MonthlyIncome]]&lt;=7000,"₹ 3,000 - ₹ 7,000","&gt; ₹7,000"))</f>
        <v>₹ 3,000 - ₹ 7,000</v>
      </c>
      <c r="P764" s="8" t="str" cm="1">
        <f t="array" ref="P7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5" spans="1:16" x14ac:dyDescent="0.8">
      <c r="A765" s="5" t="s">
        <v>836</v>
      </c>
      <c r="B765" s="8">
        <v>36</v>
      </c>
      <c r="C765" s="5" t="s">
        <v>40</v>
      </c>
      <c r="D765" s="5" t="s">
        <v>42</v>
      </c>
      <c r="E765" s="5" t="s">
        <v>53</v>
      </c>
      <c r="F765" s="5" t="s">
        <v>45</v>
      </c>
      <c r="G765" s="8">
        <v>1</v>
      </c>
      <c r="H765" s="8">
        <v>2743</v>
      </c>
      <c r="I765" s="5" t="s">
        <v>49</v>
      </c>
      <c r="J765" s="8">
        <v>3</v>
      </c>
      <c r="K765" s="8">
        <v>1</v>
      </c>
      <c r="L765" s="8">
        <v>17</v>
      </c>
      <c r="M7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65" s="8" t="str" cm="1">
        <f t="array" ref="N765">_xlfn.IFS(HR_Analytics56[[#This Row],[PerformanceRating]]=3,"Good",HR_Analytics56[[#This Row],[PerformanceRating]]=4, "Excellent")</f>
        <v>Good</v>
      </c>
      <c r="O765" s="8" t="str">
        <f>IF(HR_Analytics56[[#This Row],[MonthlyIncome]]&lt;3000,"&lt; ₹3,000",IF(HR_Analytics56[[#This Row],[MonthlyIncome]]&lt;=7000,"₹ 3,000 - ₹ 7,000","&gt; ₹7,000"))</f>
        <v>&lt; ₹3,000</v>
      </c>
      <c r="P765" s="8" t="str" cm="1">
        <f t="array" ref="P7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6" spans="1:16" x14ac:dyDescent="0.8">
      <c r="A766" s="5" t="s">
        <v>837</v>
      </c>
      <c r="B766" s="8">
        <v>36</v>
      </c>
      <c r="C766" s="5" t="s">
        <v>40</v>
      </c>
      <c r="D766" s="5" t="s">
        <v>42</v>
      </c>
      <c r="E766" s="5" t="s">
        <v>44</v>
      </c>
      <c r="F766" s="5" t="s">
        <v>45</v>
      </c>
      <c r="G766" s="8">
        <v>3</v>
      </c>
      <c r="H766" s="8">
        <v>4834</v>
      </c>
      <c r="I766" s="5" t="s">
        <v>49</v>
      </c>
      <c r="J766" s="8">
        <v>3</v>
      </c>
      <c r="K766" s="8">
        <v>3</v>
      </c>
      <c r="L766" s="8">
        <v>1</v>
      </c>
      <c r="M7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66" s="8" t="str" cm="1">
        <f t="array" ref="N766">_xlfn.IFS(HR_Analytics56[[#This Row],[PerformanceRating]]=3,"Good",HR_Analytics56[[#This Row],[PerformanceRating]]=4, "Excellent")</f>
        <v>Good</v>
      </c>
      <c r="O766" s="8" t="str">
        <f>IF(HR_Analytics56[[#This Row],[MonthlyIncome]]&lt;3000,"&lt; ₹3,000",IF(HR_Analytics56[[#This Row],[MonthlyIncome]]&lt;=7000,"₹ 3,000 - ₹ 7,000","&gt; ₹7,000"))</f>
        <v>₹ 3,000 - ₹ 7,000</v>
      </c>
      <c r="P766" s="8" t="str" cm="1">
        <f t="array" ref="P7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7" spans="1:16" x14ac:dyDescent="0.8">
      <c r="A767" s="5" t="s">
        <v>838</v>
      </c>
      <c r="B767" s="8">
        <v>36</v>
      </c>
      <c r="C767" s="5" t="s">
        <v>49</v>
      </c>
      <c r="D767" s="5" t="s">
        <v>42</v>
      </c>
      <c r="E767" s="5" t="s">
        <v>53</v>
      </c>
      <c r="F767" s="5" t="s">
        <v>112</v>
      </c>
      <c r="G767" s="8">
        <v>4</v>
      </c>
      <c r="H767" s="8">
        <v>8858</v>
      </c>
      <c r="I767" s="5" t="s">
        <v>49</v>
      </c>
      <c r="J767" s="8">
        <v>3</v>
      </c>
      <c r="K767" s="8">
        <v>2</v>
      </c>
      <c r="L767" s="8">
        <v>14</v>
      </c>
      <c r="M7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7" s="8" t="str" cm="1">
        <f t="array" ref="N767">_xlfn.IFS(HR_Analytics56[[#This Row],[PerformanceRating]]=3,"Good",HR_Analytics56[[#This Row],[PerformanceRating]]=4, "Excellent")</f>
        <v>Good</v>
      </c>
      <c r="O767" s="8" t="str">
        <f>IF(HR_Analytics56[[#This Row],[MonthlyIncome]]&lt;3000,"&lt; ₹3,000",IF(HR_Analytics56[[#This Row],[MonthlyIncome]]&lt;=7000,"₹ 3,000 - ₹ 7,000","&gt; ₹7,000"))</f>
        <v>&gt; ₹7,000</v>
      </c>
      <c r="P767" s="8" t="str" cm="1">
        <f t="array" ref="P7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8" spans="1:16" x14ac:dyDescent="0.8">
      <c r="A768" s="5" t="s">
        <v>839</v>
      </c>
      <c r="B768" s="8">
        <v>36</v>
      </c>
      <c r="C768" s="5" t="s">
        <v>49</v>
      </c>
      <c r="D768" s="5" t="s">
        <v>42</v>
      </c>
      <c r="E768" s="5" t="s">
        <v>44</v>
      </c>
      <c r="F768" s="5" t="s">
        <v>112</v>
      </c>
      <c r="G768" s="8">
        <v>4</v>
      </c>
      <c r="H768" s="8">
        <v>7779</v>
      </c>
      <c r="I768" s="5" t="s">
        <v>49</v>
      </c>
      <c r="J768" s="8">
        <v>4</v>
      </c>
      <c r="K768" s="8">
        <v>0</v>
      </c>
      <c r="L768" s="8">
        <v>11</v>
      </c>
      <c r="M7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8" s="8" t="str" cm="1">
        <f t="array" ref="N768">_xlfn.IFS(HR_Analytics56[[#This Row],[PerformanceRating]]=3,"Good",HR_Analytics56[[#This Row],[PerformanceRating]]=4, "Excellent")</f>
        <v>Excellent</v>
      </c>
      <c r="O768" s="8" t="str">
        <f>IF(HR_Analytics56[[#This Row],[MonthlyIncome]]&lt;3000,"&lt; ₹3,000",IF(HR_Analytics56[[#This Row],[MonthlyIncome]]&lt;=7000,"₹ 3,000 - ₹ 7,000","&gt; ₹7,000"))</f>
        <v>&gt; ₹7,000</v>
      </c>
      <c r="P768" s="8" t="str" cm="1">
        <f t="array" ref="P7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69" spans="1:16" x14ac:dyDescent="0.8">
      <c r="A769" s="5" t="s">
        <v>840</v>
      </c>
      <c r="B769" s="8">
        <v>36</v>
      </c>
      <c r="C769" s="5" t="s">
        <v>49</v>
      </c>
      <c r="D769" s="5" t="s">
        <v>42</v>
      </c>
      <c r="E769" s="5" t="s">
        <v>44</v>
      </c>
      <c r="F769" s="5" t="s">
        <v>45</v>
      </c>
      <c r="G769" s="8">
        <v>3</v>
      </c>
      <c r="H769" s="8">
        <v>2741</v>
      </c>
      <c r="I769" s="5" t="s">
        <v>49</v>
      </c>
      <c r="J769" s="8">
        <v>3</v>
      </c>
      <c r="K769" s="8">
        <v>4</v>
      </c>
      <c r="L769" s="8">
        <v>7</v>
      </c>
      <c r="M7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69" s="8" t="str" cm="1">
        <f t="array" ref="N769">_xlfn.IFS(HR_Analytics56[[#This Row],[PerformanceRating]]=3,"Good",HR_Analytics56[[#This Row],[PerformanceRating]]=4, "Excellent")</f>
        <v>Good</v>
      </c>
      <c r="O769" s="8" t="str">
        <f>IF(HR_Analytics56[[#This Row],[MonthlyIncome]]&lt;3000,"&lt; ₹3,000",IF(HR_Analytics56[[#This Row],[MonthlyIncome]]&lt;=7000,"₹ 3,000 - ₹ 7,000","&gt; ₹7,000"))</f>
        <v>&lt; ₹3,000</v>
      </c>
      <c r="P769" s="8" t="str" cm="1">
        <f t="array" ref="P7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0" spans="1:16" x14ac:dyDescent="0.8">
      <c r="A770" s="5" t="s">
        <v>841</v>
      </c>
      <c r="B770" s="8">
        <v>36</v>
      </c>
      <c r="C770" s="5" t="s">
        <v>49</v>
      </c>
      <c r="D770" s="5" t="s">
        <v>42</v>
      </c>
      <c r="E770" s="5" t="s">
        <v>53</v>
      </c>
      <c r="F770" s="5" t="s">
        <v>112</v>
      </c>
      <c r="G770" s="8">
        <v>1</v>
      </c>
      <c r="H770" s="8">
        <v>10252</v>
      </c>
      <c r="I770" s="5" t="s">
        <v>40</v>
      </c>
      <c r="J770" s="8">
        <v>4</v>
      </c>
      <c r="K770" s="8">
        <v>2</v>
      </c>
      <c r="L770" s="8">
        <v>7</v>
      </c>
      <c r="M7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70" s="8" t="str" cm="1">
        <f t="array" ref="N770">_xlfn.IFS(HR_Analytics56[[#This Row],[PerformanceRating]]=3,"Good",HR_Analytics56[[#This Row],[PerformanceRating]]=4, "Excellent")</f>
        <v>Excellent</v>
      </c>
      <c r="O770" s="8" t="str">
        <f>IF(HR_Analytics56[[#This Row],[MonthlyIncome]]&lt;3000,"&lt; ₹3,000",IF(HR_Analytics56[[#This Row],[MonthlyIncome]]&lt;=7000,"₹ 3,000 - ₹ 7,000","&gt; ₹7,000"))</f>
        <v>&gt; ₹7,000</v>
      </c>
      <c r="P770" s="8" t="str" cm="1">
        <f t="array" ref="P7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1" spans="1:16" x14ac:dyDescent="0.8">
      <c r="A771" s="5" t="s">
        <v>842</v>
      </c>
      <c r="B771" s="8">
        <v>36</v>
      </c>
      <c r="C771" s="5" t="s">
        <v>49</v>
      </c>
      <c r="D771" s="5" t="s">
        <v>42</v>
      </c>
      <c r="E771" s="5" t="s">
        <v>44</v>
      </c>
      <c r="F771" s="5" t="s">
        <v>60</v>
      </c>
      <c r="G771" s="8">
        <v>2</v>
      </c>
      <c r="H771" s="8">
        <v>3692</v>
      </c>
      <c r="I771" s="5" t="s">
        <v>49</v>
      </c>
      <c r="J771" s="8">
        <v>3</v>
      </c>
      <c r="K771" s="8">
        <v>2</v>
      </c>
      <c r="L771" s="8">
        <v>11</v>
      </c>
      <c r="M7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1" s="8" t="str" cm="1">
        <f t="array" ref="N771">_xlfn.IFS(HR_Analytics56[[#This Row],[PerformanceRating]]=3,"Good",HR_Analytics56[[#This Row],[PerformanceRating]]=4, "Excellent")</f>
        <v>Good</v>
      </c>
      <c r="O771" s="8" t="str">
        <f>IF(HR_Analytics56[[#This Row],[MonthlyIncome]]&lt;3000,"&lt; ₹3,000",IF(HR_Analytics56[[#This Row],[MonthlyIncome]]&lt;=7000,"₹ 3,000 - ₹ 7,000","&gt; ₹7,000"))</f>
        <v>₹ 3,000 - ₹ 7,000</v>
      </c>
      <c r="P771" s="8" t="str" cm="1">
        <f t="array" ref="P7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2" spans="1:16" x14ac:dyDescent="0.8">
      <c r="A772" s="5" t="s">
        <v>843</v>
      </c>
      <c r="B772" s="8">
        <v>36</v>
      </c>
      <c r="C772" s="5" t="s">
        <v>49</v>
      </c>
      <c r="D772" s="5" t="s">
        <v>42</v>
      </c>
      <c r="E772" s="5" t="s">
        <v>53</v>
      </c>
      <c r="F772" s="5" t="s">
        <v>112</v>
      </c>
      <c r="G772" s="8">
        <v>2</v>
      </c>
      <c r="H772" s="8">
        <v>5410</v>
      </c>
      <c r="I772" s="5" t="s">
        <v>40</v>
      </c>
      <c r="J772" s="8">
        <v>3</v>
      </c>
      <c r="K772" s="8">
        <v>2</v>
      </c>
      <c r="L772" s="8">
        <v>16</v>
      </c>
      <c r="M7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72" s="8" t="str" cm="1">
        <f t="array" ref="N772">_xlfn.IFS(HR_Analytics56[[#This Row],[PerformanceRating]]=3,"Good",HR_Analytics56[[#This Row],[PerformanceRating]]=4, "Excellent")</f>
        <v>Good</v>
      </c>
      <c r="O772" s="8" t="str">
        <f>IF(HR_Analytics56[[#This Row],[MonthlyIncome]]&lt;3000,"&lt; ₹3,000",IF(HR_Analytics56[[#This Row],[MonthlyIncome]]&lt;=7000,"₹ 3,000 - ₹ 7,000","&gt; ₹7,000"))</f>
        <v>₹ 3,000 - ₹ 7,000</v>
      </c>
      <c r="P772" s="8" t="str" cm="1">
        <f t="array" ref="P7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3" spans="1:16" x14ac:dyDescent="0.8">
      <c r="A773" s="5" t="s">
        <v>844</v>
      </c>
      <c r="B773" s="8">
        <v>36</v>
      </c>
      <c r="C773" s="5" t="s">
        <v>49</v>
      </c>
      <c r="D773" s="5" t="s">
        <v>42</v>
      </c>
      <c r="E773" s="5" t="s">
        <v>53</v>
      </c>
      <c r="F773" s="5" t="s">
        <v>161</v>
      </c>
      <c r="G773" s="8">
        <v>3</v>
      </c>
      <c r="H773" s="8">
        <v>7094</v>
      </c>
      <c r="I773" s="5" t="s">
        <v>49</v>
      </c>
      <c r="J773" s="8">
        <v>3</v>
      </c>
      <c r="K773" s="8">
        <v>0</v>
      </c>
      <c r="L773" s="8">
        <v>7</v>
      </c>
      <c r="M7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3" s="8" t="str" cm="1">
        <f t="array" ref="N773">_xlfn.IFS(HR_Analytics56[[#This Row],[PerformanceRating]]=3,"Good",HR_Analytics56[[#This Row],[PerformanceRating]]=4, "Excellent")</f>
        <v>Good</v>
      </c>
      <c r="O773" s="8" t="str">
        <f>IF(HR_Analytics56[[#This Row],[MonthlyIncome]]&lt;3000,"&lt; ₹3,000",IF(HR_Analytics56[[#This Row],[MonthlyIncome]]&lt;=7000,"₹ 3,000 - ₹ 7,000","&gt; ₹7,000"))</f>
        <v>&gt; ₹7,000</v>
      </c>
      <c r="P773" s="8" t="str" cm="1">
        <f t="array" ref="P7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4" spans="1:16" x14ac:dyDescent="0.8">
      <c r="A774" s="5" t="s">
        <v>845</v>
      </c>
      <c r="B774" s="8">
        <v>36</v>
      </c>
      <c r="C774" s="5" t="s">
        <v>49</v>
      </c>
      <c r="D774" s="5" t="s">
        <v>51</v>
      </c>
      <c r="E774" s="5" t="s">
        <v>53</v>
      </c>
      <c r="F774" s="5" t="s">
        <v>137</v>
      </c>
      <c r="G774" s="8">
        <v>1</v>
      </c>
      <c r="H774" s="8">
        <v>4639</v>
      </c>
      <c r="I774" s="5" t="s">
        <v>49</v>
      </c>
      <c r="J774" s="8">
        <v>3</v>
      </c>
      <c r="K774" s="8">
        <v>2</v>
      </c>
      <c r="L774" s="8">
        <v>15</v>
      </c>
      <c r="M7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4" s="8" t="str" cm="1">
        <f t="array" ref="N774">_xlfn.IFS(HR_Analytics56[[#This Row],[PerformanceRating]]=3,"Good",HR_Analytics56[[#This Row],[PerformanceRating]]=4, "Excellent")</f>
        <v>Good</v>
      </c>
      <c r="O774" s="8" t="str">
        <f>IF(HR_Analytics56[[#This Row],[MonthlyIncome]]&lt;3000,"&lt; ₹3,000",IF(HR_Analytics56[[#This Row],[MonthlyIncome]]&lt;=7000,"₹ 3,000 - ₹ 7,000","&gt; ₹7,000"))</f>
        <v>₹ 3,000 - ₹ 7,000</v>
      </c>
      <c r="P774" s="8" t="str" cm="1">
        <f t="array" ref="P7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5" spans="1:16" x14ac:dyDescent="0.8">
      <c r="A775" s="5" t="s">
        <v>846</v>
      </c>
      <c r="B775" s="8">
        <v>36</v>
      </c>
      <c r="C775" s="5" t="s">
        <v>49</v>
      </c>
      <c r="D775" s="5" t="s">
        <v>51</v>
      </c>
      <c r="E775" s="5" t="s">
        <v>53</v>
      </c>
      <c r="F775" s="5" t="s">
        <v>137</v>
      </c>
      <c r="G775" s="8">
        <v>2</v>
      </c>
      <c r="H775" s="8">
        <v>9278</v>
      </c>
      <c r="I775" s="5" t="s">
        <v>40</v>
      </c>
      <c r="J775" s="8">
        <v>3</v>
      </c>
      <c r="K775" s="8">
        <v>3</v>
      </c>
      <c r="L775" s="8">
        <v>5</v>
      </c>
      <c r="M7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75" s="8" t="str" cm="1">
        <f t="array" ref="N775">_xlfn.IFS(HR_Analytics56[[#This Row],[PerformanceRating]]=3,"Good",HR_Analytics56[[#This Row],[PerformanceRating]]=4, "Excellent")</f>
        <v>Good</v>
      </c>
      <c r="O775" s="8" t="str">
        <f>IF(HR_Analytics56[[#This Row],[MonthlyIncome]]&lt;3000,"&lt; ₹3,000",IF(HR_Analytics56[[#This Row],[MonthlyIncome]]&lt;=7000,"₹ 3,000 - ₹ 7,000","&gt; ₹7,000"))</f>
        <v>&gt; ₹7,000</v>
      </c>
      <c r="P775" s="8" t="str" cm="1">
        <f t="array" ref="P7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6" spans="1:16" x14ac:dyDescent="0.8">
      <c r="A776" s="5" t="s">
        <v>847</v>
      </c>
      <c r="B776" s="8">
        <v>36</v>
      </c>
      <c r="C776" s="5" t="s">
        <v>49</v>
      </c>
      <c r="D776" s="5" t="s">
        <v>42</v>
      </c>
      <c r="E776" s="5" t="s">
        <v>44</v>
      </c>
      <c r="F776" s="5" t="s">
        <v>45</v>
      </c>
      <c r="G776" s="8">
        <v>4</v>
      </c>
      <c r="H776" s="8">
        <v>5810</v>
      </c>
      <c r="I776" s="5" t="s">
        <v>49</v>
      </c>
      <c r="J776" s="8">
        <v>3</v>
      </c>
      <c r="K776" s="8">
        <v>2</v>
      </c>
      <c r="L776" s="8">
        <v>10</v>
      </c>
      <c r="M7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6" s="8" t="str" cm="1">
        <f t="array" ref="N776">_xlfn.IFS(HR_Analytics56[[#This Row],[PerformanceRating]]=3,"Good",HR_Analytics56[[#This Row],[PerformanceRating]]=4, "Excellent")</f>
        <v>Good</v>
      </c>
      <c r="O776" s="8" t="str">
        <f>IF(HR_Analytics56[[#This Row],[MonthlyIncome]]&lt;3000,"&lt; ₹3,000",IF(HR_Analytics56[[#This Row],[MonthlyIncome]]&lt;=7000,"₹ 3,000 - ₹ 7,000","&gt; ₹7,000"))</f>
        <v>₹ 3,000 - ₹ 7,000</v>
      </c>
      <c r="P776" s="8" t="str" cm="1">
        <f t="array" ref="P7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7" spans="1:16" x14ac:dyDescent="0.8">
      <c r="A777" s="5" t="s">
        <v>848</v>
      </c>
      <c r="B777" s="8">
        <v>36</v>
      </c>
      <c r="C777" s="5" t="s">
        <v>49</v>
      </c>
      <c r="D777" s="5" t="s">
        <v>51</v>
      </c>
      <c r="E777" s="5" t="s">
        <v>53</v>
      </c>
      <c r="F777" s="5" t="s">
        <v>137</v>
      </c>
      <c r="G777" s="8">
        <v>1</v>
      </c>
      <c r="H777" s="8">
        <v>5647</v>
      </c>
      <c r="I777" s="5" t="s">
        <v>49</v>
      </c>
      <c r="J777" s="8">
        <v>3</v>
      </c>
      <c r="K777" s="8">
        <v>3</v>
      </c>
      <c r="L777" s="8">
        <v>3</v>
      </c>
      <c r="M7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7" s="8" t="str" cm="1">
        <f t="array" ref="N777">_xlfn.IFS(HR_Analytics56[[#This Row],[PerformanceRating]]=3,"Good",HR_Analytics56[[#This Row],[PerformanceRating]]=4, "Excellent")</f>
        <v>Good</v>
      </c>
      <c r="O777" s="8" t="str">
        <f>IF(HR_Analytics56[[#This Row],[MonthlyIncome]]&lt;3000,"&lt; ₹3,000",IF(HR_Analytics56[[#This Row],[MonthlyIncome]]&lt;=7000,"₹ 3,000 - ₹ 7,000","&gt; ₹7,000"))</f>
        <v>₹ 3,000 - ₹ 7,000</v>
      </c>
      <c r="P777" s="8" t="str" cm="1">
        <f t="array" ref="P7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78" spans="1:16" x14ac:dyDescent="0.8">
      <c r="A778" s="5" t="s">
        <v>849</v>
      </c>
      <c r="B778" s="8">
        <v>36</v>
      </c>
      <c r="C778" s="5" t="s">
        <v>49</v>
      </c>
      <c r="D778" s="5" t="s">
        <v>51</v>
      </c>
      <c r="E778" s="5" t="s">
        <v>44</v>
      </c>
      <c r="F778" s="5" t="s">
        <v>54</v>
      </c>
      <c r="G778" s="8">
        <v>4</v>
      </c>
      <c r="H778" s="8">
        <v>2644</v>
      </c>
      <c r="I778" s="5" t="s">
        <v>40</v>
      </c>
      <c r="J778" s="8">
        <v>4</v>
      </c>
      <c r="K778" s="8">
        <v>3</v>
      </c>
      <c r="L778" s="8">
        <v>3</v>
      </c>
      <c r="M7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78" s="8" t="str" cm="1">
        <f t="array" ref="N778">_xlfn.IFS(HR_Analytics56[[#This Row],[PerformanceRating]]=3,"Good",HR_Analytics56[[#This Row],[PerformanceRating]]=4, "Excellent")</f>
        <v>Excellent</v>
      </c>
      <c r="O778" s="8" t="str">
        <f>IF(HR_Analytics56[[#This Row],[MonthlyIncome]]&lt;3000,"&lt; ₹3,000",IF(HR_Analytics56[[#This Row],[MonthlyIncome]]&lt;=7000,"₹ 3,000 - ₹ 7,000","&gt; ₹7,000"))</f>
        <v>&lt; ₹3,000</v>
      </c>
      <c r="P778" s="8" t="str" cm="1">
        <f t="array" ref="P77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79" spans="1:16" x14ac:dyDescent="0.8">
      <c r="A779" s="5" t="s">
        <v>850</v>
      </c>
      <c r="B779" s="8">
        <v>36</v>
      </c>
      <c r="C779" s="5" t="s">
        <v>49</v>
      </c>
      <c r="D779" s="5" t="s">
        <v>51</v>
      </c>
      <c r="E779" s="5" t="s">
        <v>53</v>
      </c>
      <c r="F779" s="5" t="s">
        <v>137</v>
      </c>
      <c r="G779" s="8">
        <v>3</v>
      </c>
      <c r="H779" s="8">
        <v>6815</v>
      </c>
      <c r="I779" s="5" t="s">
        <v>49</v>
      </c>
      <c r="J779" s="8">
        <v>3</v>
      </c>
      <c r="K779" s="8">
        <v>5</v>
      </c>
      <c r="L779" s="8">
        <v>1</v>
      </c>
      <c r="M7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79" s="8" t="str" cm="1">
        <f t="array" ref="N779">_xlfn.IFS(HR_Analytics56[[#This Row],[PerformanceRating]]=3,"Good",HR_Analytics56[[#This Row],[PerformanceRating]]=4, "Excellent")</f>
        <v>Good</v>
      </c>
      <c r="O779" s="8" t="str">
        <f>IF(HR_Analytics56[[#This Row],[MonthlyIncome]]&lt;3000,"&lt; ₹3,000",IF(HR_Analytics56[[#This Row],[MonthlyIncome]]&lt;=7000,"₹ 3,000 - ₹ 7,000","&gt; ₹7,000"))</f>
        <v>₹ 3,000 - ₹ 7,000</v>
      </c>
      <c r="P779" s="8" t="str" cm="1">
        <f t="array" ref="P7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0" spans="1:16" x14ac:dyDescent="0.8">
      <c r="A780" s="5" t="s">
        <v>851</v>
      </c>
      <c r="B780" s="8">
        <v>36</v>
      </c>
      <c r="C780" s="5" t="s">
        <v>49</v>
      </c>
      <c r="D780" s="5" t="s">
        <v>42</v>
      </c>
      <c r="E780" s="5" t="s">
        <v>44</v>
      </c>
      <c r="F780" s="5" t="s">
        <v>45</v>
      </c>
      <c r="G780" s="8">
        <v>1</v>
      </c>
      <c r="H780" s="8">
        <v>5562</v>
      </c>
      <c r="I780" s="5" t="s">
        <v>40</v>
      </c>
      <c r="J780" s="8">
        <v>3</v>
      </c>
      <c r="K780" s="8">
        <v>3</v>
      </c>
      <c r="L780" s="8">
        <v>3</v>
      </c>
      <c r="M7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80" s="8" t="str" cm="1">
        <f t="array" ref="N780">_xlfn.IFS(HR_Analytics56[[#This Row],[PerformanceRating]]=3,"Good",HR_Analytics56[[#This Row],[PerformanceRating]]=4, "Excellent")</f>
        <v>Good</v>
      </c>
      <c r="O780" s="8" t="str">
        <f>IF(HR_Analytics56[[#This Row],[MonthlyIncome]]&lt;3000,"&lt; ₹3,000",IF(HR_Analytics56[[#This Row],[MonthlyIncome]]&lt;=7000,"₹ 3,000 - ₹ 7,000","&gt; ₹7,000"))</f>
        <v>₹ 3,000 - ₹ 7,000</v>
      </c>
      <c r="P780" s="8" t="str" cm="1">
        <f t="array" ref="P7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1" spans="1:16" x14ac:dyDescent="0.8">
      <c r="A781" s="5" t="s">
        <v>852</v>
      </c>
      <c r="B781" s="8">
        <v>36</v>
      </c>
      <c r="C781" s="5" t="s">
        <v>49</v>
      </c>
      <c r="D781" s="5" t="s">
        <v>42</v>
      </c>
      <c r="E781" s="5" t="s">
        <v>53</v>
      </c>
      <c r="F781" s="5" t="s">
        <v>112</v>
      </c>
      <c r="G781" s="8">
        <v>3</v>
      </c>
      <c r="H781" s="8">
        <v>4663</v>
      </c>
      <c r="I781" s="5" t="s">
        <v>40</v>
      </c>
      <c r="J781" s="8">
        <v>3</v>
      </c>
      <c r="K781" s="8">
        <v>2</v>
      </c>
      <c r="L781" s="8">
        <v>3</v>
      </c>
      <c r="M7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81" s="8" t="str" cm="1">
        <f t="array" ref="N781">_xlfn.IFS(HR_Analytics56[[#This Row],[PerformanceRating]]=3,"Good",HR_Analytics56[[#This Row],[PerformanceRating]]=4, "Excellent")</f>
        <v>Good</v>
      </c>
      <c r="O781" s="8" t="str">
        <f>IF(HR_Analytics56[[#This Row],[MonthlyIncome]]&lt;3000,"&lt; ₹3,000",IF(HR_Analytics56[[#This Row],[MonthlyIncome]]&lt;=7000,"₹ 3,000 - ₹ 7,000","&gt; ₹7,000"))</f>
        <v>₹ 3,000 - ₹ 7,000</v>
      </c>
      <c r="P781" s="8" t="str" cm="1">
        <f t="array" ref="P7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2" spans="1:16" x14ac:dyDescent="0.8">
      <c r="A782" s="5" t="s">
        <v>853</v>
      </c>
      <c r="B782" s="8">
        <v>36</v>
      </c>
      <c r="C782" s="5" t="s">
        <v>49</v>
      </c>
      <c r="D782" s="5" t="s">
        <v>42</v>
      </c>
      <c r="E782" s="5" t="s">
        <v>53</v>
      </c>
      <c r="F782" s="5" t="s">
        <v>161</v>
      </c>
      <c r="G782" s="8">
        <v>1</v>
      </c>
      <c r="H782" s="8">
        <v>8008</v>
      </c>
      <c r="I782" s="5" t="s">
        <v>49</v>
      </c>
      <c r="J782" s="8">
        <v>3</v>
      </c>
      <c r="K782" s="8">
        <v>6</v>
      </c>
      <c r="L782" s="8">
        <v>3</v>
      </c>
      <c r="M7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2" s="8" t="str" cm="1">
        <f t="array" ref="N782">_xlfn.IFS(HR_Analytics56[[#This Row],[PerformanceRating]]=3,"Good",HR_Analytics56[[#This Row],[PerformanceRating]]=4, "Excellent")</f>
        <v>Good</v>
      </c>
      <c r="O782" s="8" t="str">
        <f>IF(HR_Analytics56[[#This Row],[MonthlyIncome]]&lt;3000,"&lt; ₹3,000",IF(HR_Analytics56[[#This Row],[MonthlyIncome]]&lt;=7000,"₹ 3,000 - ₹ 7,000","&gt; ₹7,000"))</f>
        <v>&gt; ₹7,000</v>
      </c>
      <c r="P782" s="8" t="str" cm="1">
        <f t="array" ref="P7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3" spans="1:16" x14ac:dyDescent="0.8">
      <c r="A783" s="5" t="s">
        <v>854</v>
      </c>
      <c r="B783" s="8">
        <v>36</v>
      </c>
      <c r="C783" s="5" t="s">
        <v>49</v>
      </c>
      <c r="D783" s="5" t="s">
        <v>42</v>
      </c>
      <c r="E783" s="5" t="s">
        <v>44</v>
      </c>
      <c r="F783" s="5" t="s">
        <v>45</v>
      </c>
      <c r="G783" s="8">
        <v>2</v>
      </c>
      <c r="H783" s="8">
        <v>2013</v>
      </c>
      <c r="I783" s="5" t="s">
        <v>49</v>
      </c>
      <c r="J783" s="8">
        <v>3</v>
      </c>
      <c r="K783" s="8">
        <v>4</v>
      </c>
      <c r="L783" s="8">
        <v>4</v>
      </c>
      <c r="M7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3" s="8" t="str" cm="1">
        <f t="array" ref="N783">_xlfn.IFS(HR_Analytics56[[#This Row],[PerformanceRating]]=3,"Good",HR_Analytics56[[#This Row],[PerformanceRating]]=4, "Excellent")</f>
        <v>Good</v>
      </c>
      <c r="O783" s="8" t="str">
        <f>IF(HR_Analytics56[[#This Row],[MonthlyIncome]]&lt;3000,"&lt; ₹3,000",IF(HR_Analytics56[[#This Row],[MonthlyIncome]]&lt;=7000,"₹ 3,000 - ₹ 7,000","&gt; ₹7,000"))</f>
        <v>&lt; ₹3,000</v>
      </c>
      <c r="P783" s="8" t="str" cm="1">
        <f t="array" ref="P7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4" spans="1:16" x14ac:dyDescent="0.8">
      <c r="A784" s="5" t="s">
        <v>855</v>
      </c>
      <c r="B784" s="8">
        <v>36</v>
      </c>
      <c r="C784" s="5" t="s">
        <v>49</v>
      </c>
      <c r="D784" s="5" t="s">
        <v>42</v>
      </c>
      <c r="E784" s="5" t="s">
        <v>53</v>
      </c>
      <c r="F784" s="5" t="s">
        <v>112</v>
      </c>
      <c r="G784" s="8">
        <v>3</v>
      </c>
      <c r="H784" s="8">
        <v>4374</v>
      </c>
      <c r="I784" s="5" t="s">
        <v>49</v>
      </c>
      <c r="J784" s="8">
        <v>3</v>
      </c>
      <c r="K784" s="8">
        <v>6</v>
      </c>
      <c r="L784" s="8">
        <v>3</v>
      </c>
      <c r="M7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4" s="8" t="str" cm="1">
        <f t="array" ref="N784">_xlfn.IFS(HR_Analytics56[[#This Row],[PerformanceRating]]=3,"Good",HR_Analytics56[[#This Row],[PerformanceRating]]=4, "Excellent")</f>
        <v>Good</v>
      </c>
      <c r="O784" s="8" t="str">
        <f>IF(HR_Analytics56[[#This Row],[MonthlyIncome]]&lt;3000,"&lt; ₹3,000",IF(HR_Analytics56[[#This Row],[MonthlyIncome]]&lt;=7000,"₹ 3,000 - ₹ 7,000","&gt; ₹7,000"))</f>
        <v>₹ 3,000 - ₹ 7,000</v>
      </c>
      <c r="P784" s="8" t="str" cm="1">
        <f t="array" ref="P7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5" spans="1:16" x14ac:dyDescent="0.8">
      <c r="A785" s="5" t="s">
        <v>856</v>
      </c>
      <c r="B785" s="8">
        <v>36</v>
      </c>
      <c r="C785" s="5" t="s">
        <v>49</v>
      </c>
      <c r="D785" s="5" t="s">
        <v>42</v>
      </c>
      <c r="E785" s="5" t="s">
        <v>44</v>
      </c>
      <c r="F785" s="5" t="s">
        <v>161</v>
      </c>
      <c r="G785" s="8">
        <v>1</v>
      </c>
      <c r="H785" s="8">
        <v>6842</v>
      </c>
      <c r="I785" s="5" t="s">
        <v>49</v>
      </c>
      <c r="J785" s="8">
        <v>4</v>
      </c>
      <c r="K785" s="8">
        <v>3</v>
      </c>
      <c r="L785" s="8">
        <v>5</v>
      </c>
      <c r="M7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5" s="8" t="str" cm="1">
        <f t="array" ref="N785">_xlfn.IFS(HR_Analytics56[[#This Row],[PerformanceRating]]=3,"Good",HR_Analytics56[[#This Row],[PerformanceRating]]=4, "Excellent")</f>
        <v>Excellent</v>
      </c>
      <c r="O785" s="8" t="str">
        <f>IF(HR_Analytics56[[#This Row],[MonthlyIncome]]&lt;3000,"&lt; ₹3,000",IF(HR_Analytics56[[#This Row],[MonthlyIncome]]&lt;=7000,"₹ 3,000 - ₹ 7,000","&gt; ₹7,000"))</f>
        <v>₹ 3,000 - ₹ 7,000</v>
      </c>
      <c r="P785" s="8" t="str" cm="1">
        <f t="array" ref="P78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86" spans="1:16" x14ac:dyDescent="0.8">
      <c r="A786" s="5" t="s">
        <v>857</v>
      </c>
      <c r="B786" s="8">
        <v>36</v>
      </c>
      <c r="C786" s="5" t="s">
        <v>49</v>
      </c>
      <c r="D786" s="5" t="s">
        <v>42</v>
      </c>
      <c r="E786" s="5" t="s">
        <v>44</v>
      </c>
      <c r="F786" s="5" t="s">
        <v>161</v>
      </c>
      <c r="G786" s="8">
        <v>3</v>
      </c>
      <c r="H786" s="8">
        <v>5347</v>
      </c>
      <c r="I786" s="5" t="s">
        <v>49</v>
      </c>
      <c r="J786" s="8">
        <v>3</v>
      </c>
      <c r="K786" s="8">
        <v>2</v>
      </c>
      <c r="L786" s="8">
        <v>3</v>
      </c>
      <c r="M7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6" s="8" t="str" cm="1">
        <f t="array" ref="N786">_xlfn.IFS(HR_Analytics56[[#This Row],[PerformanceRating]]=3,"Good",HR_Analytics56[[#This Row],[PerformanceRating]]=4, "Excellent")</f>
        <v>Good</v>
      </c>
      <c r="O786" s="8" t="str">
        <f>IF(HR_Analytics56[[#This Row],[MonthlyIncome]]&lt;3000,"&lt; ₹3,000",IF(HR_Analytics56[[#This Row],[MonthlyIncome]]&lt;=7000,"₹ 3,000 - ₹ 7,000","&gt; ₹7,000"))</f>
        <v>₹ 3,000 - ₹ 7,000</v>
      </c>
      <c r="P786" s="8" t="str" cm="1">
        <f t="array" ref="P7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7" spans="1:16" x14ac:dyDescent="0.8">
      <c r="A787" s="5" t="s">
        <v>858</v>
      </c>
      <c r="B787" s="8">
        <v>36</v>
      </c>
      <c r="C787" s="5" t="s">
        <v>49</v>
      </c>
      <c r="D787" s="5" t="s">
        <v>51</v>
      </c>
      <c r="E787" s="5" t="s">
        <v>53</v>
      </c>
      <c r="F787" s="5" t="s">
        <v>54</v>
      </c>
      <c r="G787" s="8">
        <v>4</v>
      </c>
      <c r="H787" s="8">
        <v>4502</v>
      </c>
      <c r="I787" s="5" t="s">
        <v>49</v>
      </c>
      <c r="J787" s="8">
        <v>3</v>
      </c>
      <c r="K787" s="8">
        <v>2</v>
      </c>
      <c r="L787" s="8">
        <v>13</v>
      </c>
      <c r="M7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87" s="8" t="str" cm="1">
        <f t="array" ref="N787">_xlfn.IFS(HR_Analytics56[[#This Row],[PerformanceRating]]=3,"Good",HR_Analytics56[[#This Row],[PerformanceRating]]=4, "Excellent")</f>
        <v>Good</v>
      </c>
      <c r="O787" s="8" t="str">
        <f>IF(HR_Analytics56[[#This Row],[MonthlyIncome]]&lt;3000,"&lt; ₹3,000",IF(HR_Analytics56[[#This Row],[MonthlyIncome]]&lt;=7000,"₹ 3,000 - ₹ 7,000","&gt; ₹7,000"))</f>
        <v>₹ 3,000 - ₹ 7,000</v>
      </c>
      <c r="P787" s="8" t="str" cm="1">
        <f t="array" ref="P7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8" spans="1:16" x14ac:dyDescent="0.8">
      <c r="A788" s="5" t="s">
        <v>859</v>
      </c>
      <c r="B788" s="8">
        <v>36</v>
      </c>
      <c r="C788" s="5" t="s">
        <v>40</v>
      </c>
      <c r="D788" s="5" t="s">
        <v>51</v>
      </c>
      <c r="E788" s="5" t="s">
        <v>44</v>
      </c>
      <c r="F788" s="5" t="s">
        <v>137</v>
      </c>
      <c r="G788" s="8">
        <v>1</v>
      </c>
      <c r="H788" s="8">
        <v>6134</v>
      </c>
      <c r="I788" s="5" t="s">
        <v>40</v>
      </c>
      <c r="J788" s="8">
        <v>3</v>
      </c>
      <c r="K788" s="8">
        <v>3</v>
      </c>
      <c r="L788" s="8">
        <v>2</v>
      </c>
      <c r="M7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788" s="8" t="str" cm="1">
        <f t="array" ref="N788">_xlfn.IFS(HR_Analytics56[[#This Row],[PerformanceRating]]=3,"Good",HR_Analytics56[[#This Row],[PerformanceRating]]=4, "Excellent")</f>
        <v>Good</v>
      </c>
      <c r="O788" s="8" t="str">
        <f>IF(HR_Analytics56[[#This Row],[MonthlyIncome]]&lt;3000,"&lt; ₹3,000",IF(HR_Analytics56[[#This Row],[MonthlyIncome]]&lt;=7000,"₹ 3,000 - ₹ 7,000","&gt; ₹7,000"))</f>
        <v>₹ 3,000 - ₹ 7,000</v>
      </c>
      <c r="P788" s="8" t="str" cm="1">
        <f t="array" ref="P7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89" spans="1:16" x14ac:dyDescent="0.8">
      <c r="A789" s="5" t="s">
        <v>860</v>
      </c>
      <c r="B789" s="8">
        <v>36</v>
      </c>
      <c r="C789" s="5" t="s">
        <v>49</v>
      </c>
      <c r="D789" s="5" t="s">
        <v>42</v>
      </c>
      <c r="E789" s="5" t="s">
        <v>44</v>
      </c>
      <c r="F789" s="5" t="s">
        <v>161</v>
      </c>
      <c r="G789" s="8">
        <v>1</v>
      </c>
      <c r="H789" s="8">
        <v>8321</v>
      </c>
      <c r="I789" s="5" t="s">
        <v>40</v>
      </c>
      <c r="J789" s="8">
        <v>3</v>
      </c>
      <c r="K789" s="8">
        <v>1</v>
      </c>
      <c r="L789" s="8">
        <v>12</v>
      </c>
      <c r="M7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89" s="8" t="str" cm="1">
        <f t="array" ref="N789">_xlfn.IFS(HR_Analytics56[[#This Row],[PerformanceRating]]=3,"Good",HR_Analytics56[[#This Row],[PerformanceRating]]=4, "Excellent")</f>
        <v>Good</v>
      </c>
      <c r="O789" s="8" t="str">
        <f>IF(HR_Analytics56[[#This Row],[MonthlyIncome]]&lt;3000,"&lt; ₹3,000",IF(HR_Analytics56[[#This Row],[MonthlyIncome]]&lt;=7000,"₹ 3,000 - ₹ 7,000","&gt; ₹7,000"))</f>
        <v>&gt; ₹7,000</v>
      </c>
      <c r="P789" s="8" t="str" cm="1">
        <f t="array" ref="P7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0" spans="1:16" x14ac:dyDescent="0.8">
      <c r="A790" s="5" t="s">
        <v>861</v>
      </c>
      <c r="B790" s="8">
        <v>36</v>
      </c>
      <c r="C790" s="5" t="s">
        <v>49</v>
      </c>
      <c r="D790" s="5" t="s">
        <v>42</v>
      </c>
      <c r="E790" s="5" t="s">
        <v>53</v>
      </c>
      <c r="F790" s="5" t="s">
        <v>60</v>
      </c>
      <c r="G790" s="8">
        <v>2</v>
      </c>
      <c r="H790" s="8">
        <v>6962</v>
      </c>
      <c r="I790" s="5" t="s">
        <v>40</v>
      </c>
      <c r="J790" s="8">
        <v>4</v>
      </c>
      <c r="K790" s="8">
        <v>2</v>
      </c>
      <c r="L790" s="8">
        <v>1</v>
      </c>
      <c r="M7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90" s="8" t="str" cm="1">
        <f t="array" ref="N790">_xlfn.IFS(HR_Analytics56[[#This Row],[PerformanceRating]]=3,"Good",HR_Analytics56[[#This Row],[PerformanceRating]]=4, "Excellent")</f>
        <v>Excellent</v>
      </c>
      <c r="O790" s="8" t="str">
        <f>IF(HR_Analytics56[[#This Row],[MonthlyIncome]]&lt;3000,"&lt; ₹3,000",IF(HR_Analytics56[[#This Row],[MonthlyIncome]]&lt;=7000,"₹ 3,000 - ₹ 7,000","&gt; ₹7,000"))</f>
        <v>₹ 3,000 - ₹ 7,000</v>
      </c>
      <c r="P790" s="8" t="str" cm="1">
        <f t="array" ref="P7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1" spans="1:16" x14ac:dyDescent="0.8">
      <c r="A791" s="5" t="s">
        <v>862</v>
      </c>
      <c r="B791" s="8">
        <v>36</v>
      </c>
      <c r="C791" s="5" t="s">
        <v>49</v>
      </c>
      <c r="D791" s="5" t="s">
        <v>51</v>
      </c>
      <c r="E791" s="5" t="s">
        <v>53</v>
      </c>
      <c r="F791" s="5" t="s">
        <v>137</v>
      </c>
      <c r="G791" s="8">
        <v>3</v>
      </c>
      <c r="H791" s="8">
        <v>5673</v>
      </c>
      <c r="I791" s="5" t="s">
        <v>40</v>
      </c>
      <c r="J791" s="8">
        <v>3</v>
      </c>
      <c r="K791" s="8">
        <v>4</v>
      </c>
      <c r="L791" s="8">
        <v>10</v>
      </c>
      <c r="M7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791" s="8" t="str" cm="1">
        <f t="array" ref="N791">_xlfn.IFS(HR_Analytics56[[#This Row],[PerformanceRating]]=3,"Good",HR_Analytics56[[#This Row],[PerformanceRating]]=4, "Excellent")</f>
        <v>Good</v>
      </c>
      <c r="O791" s="8" t="str">
        <f>IF(HR_Analytics56[[#This Row],[MonthlyIncome]]&lt;3000,"&lt; ₹3,000",IF(HR_Analytics56[[#This Row],[MonthlyIncome]]&lt;=7000,"₹ 3,000 - ₹ 7,000","&gt; ₹7,000"))</f>
        <v>₹ 3,000 - ₹ 7,000</v>
      </c>
      <c r="P791" s="8" t="str" cm="1">
        <f t="array" ref="P7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2" spans="1:16" x14ac:dyDescent="0.8">
      <c r="A792" s="5" t="s">
        <v>863</v>
      </c>
      <c r="B792" s="8">
        <v>36</v>
      </c>
      <c r="C792" s="5" t="s">
        <v>49</v>
      </c>
      <c r="D792" s="5" t="s">
        <v>71</v>
      </c>
      <c r="E792" s="5" t="s">
        <v>44</v>
      </c>
      <c r="F792" s="5" t="s">
        <v>71</v>
      </c>
      <c r="G792" s="8">
        <v>4</v>
      </c>
      <c r="H792" s="8">
        <v>3886</v>
      </c>
      <c r="I792" s="5" t="s">
        <v>49</v>
      </c>
      <c r="J792" s="8">
        <v>4</v>
      </c>
      <c r="K792" s="8">
        <v>2</v>
      </c>
      <c r="L792" s="8">
        <v>10</v>
      </c>
      <c r="M7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2" s="8" t="str" cm="1">
        <f t="array" ref="N792">_xlfn.IFS(HR_Analytics56[[#This Row],[PerformanceRating]]=3,"Good",HR_Analytics56[[#This Row],[PerformanceRating]]=4, "Excellent")</f>
        <v>Excellent</v>
      </c>
      <c r="O792" s="8" t="str">
        <f>IF(HR_Analytics56[[#This Row],[MonthlyIncome]]&lt;3000,"&lt; ₹3,000",IF(HR_Analytics56[[#This Row],[MonthlyIncome]]&lt;=7000,"₹ 3,000 - ₹ 7,000","&gt; ₹7,000"))</f>
        <v>₹ 3,000 - ₹ 7,000</v>
      </c>
      <c r="P792" s="8" t="str" cm="1">
        <f t="array" ref="P7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3" spans="1:16" x14ac:dyDescent="0.8">
      <c r="A793" s="5" t="s">
        <v>864</v>
      </c>
      <c r="B793" s="8">
        <v>36</v>
      </c>
      <c r="C793" s="5" t="s">
        <v>49</v>
      </c>
      <c r="D793" s="5" t="s">
        <v>51</v>
      </c>
      <c r="E793" s="5" t="s">
        <v>44</v>
      </c>
      <c r="F793" s="5" t="s">
        <v>137</v>
      </c>
      <c r="G793" s="8">
        <v>2</v>
      </c>
      <c r="H793" s="8">
        <v>5507</v>
      </c>
      <c r="I793" s="5" t="s">
        <v>49</v>
      </c>
      <c r="J793" s="8">
        <v>3</v>
      </c>
      <c r="K793" s="8">
        <v>1</v>
      </c>
      <c r="L793" s="8">
        <v>4</v>
      </c>
      <c r="M7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3" s="8" t="str" cm="1">
        <f t="array" ref="N793">_xlfn.IFS(HR_Analytics56[[#This Row],[PerformanceRating]]=3,"Good",HR_Analytics56[[#This Row],[PerformanceRating]]=4, "Excellent")</f>
        <v>Good</v>
      </c>
      <c r="O793" s="8" t="str">
        <f>IF(HR_Analytics56[[#This Row],[MonthlyIncome]]&lt;3000,"&lt; ₹3,000",IF(HR_Analytics56[[#This Row],[MonthlyIncome]]&lt;=7000,"₹ 3,000 - ₹ 7,000","&gt; ₹7,000"))</f>
        <v>₹ 3,000 - ₹ 7,000</v>
      </c>
      <c r="P793" s="8" t="str" cm="1">
        <f t="array" ref="P7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4" spans="1:16" x14ac:dyDescent="0.8">
      <c r="A794" s="5" t="s">
        <v>865</v>
      </c>
      <c r="B794" s="8">
        <v>36</v>
      </c>
      <c r="C794" s="5" t="s">
        <v>49</v>
      </c>
      <c r="D794" s="5" t="s">
        <v>42</v>
      </c>
      <c r="E794" s="5" t="s">
        <v>44</v>
      </c>
      <c r="F794" s="5" t="s">
        <v>45</v>
      </c>
      <c r="G794" s="8">
        <v>2</v>
      </c>
      <c r="H794" s="8">
        <v>2810</v>
      </c>
      <c r="I794" s="5" t="s">
        <v>49</v>
      </c>
      <c r="J794" s="8">
        <v>4</v>
      </c>
      <c r="K794" s="8">
        <v>3</v>
      </c>
      <c r="L794" s="8">
        <v>5</v>
      </c>
      <c r="M7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4" s="8" t="str" cm="1">
        <f t="array" ref="N794">_xlfn.IFS(HR_Analytics56[[#This Row],[PerformanceRating]]=3,"Good",HR_Analytics56[[#This Row],[PerformanceRating]]=4, "Excellent")</f>
        <v>Excellent</v>
      </c>
      <c r="O794" s="8" t="str">
        <f>IF(HR_Analytics56[[#This Row],[MonthlyIncome]]&lt;3000,"&lt; ₹3,000",IF(HR_Analytics56[[#This Row],[MonthlyIncome]]&lt;=7000,"₹ 3,000 - ₹ 7,000","&gt; ₹7,000"))</f>
        <v>&lt; ₹3,000</v>
      </c>
      <c r="P794" s="8" t="str" cm="1">
        <f t="array" ref="P79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95" spans="1:16" x14ac:dyDescent="0.8">
      <c r="A795" s="5" t="s">
        <v>866</v>
      </c>
      <c r="B795" s="8">
        <v>36</v>
      </c>
      <c r="C795" s="5" t="s">
        <v>49</v>
      </c>
      <c r="D795" s="5" t="s">
        <v>51</v>
      </c>
      <c r="E795" s="5" t="s">
        <v>53</v>
      </c>
      <c r="F795" s="5" t="s">
        <v>137</v>
      </c>
      <c r="G795" s="8">
        <v>4</v>
      </c>
      <c r="H795" s="8">
        <v>7644</v>
      </c>
      <c r="I795" s="5" t="s">
        <v>49</v>
      </c>
      <c r="J795" s="8">
        <v>3</v>
      </c>
      <c r="K795" s="8">
        <v>2</v>
      </c>
      <c r="L795" s="8">
        <v>9</v>
      </c>
      <c r="M7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5" s="8" t="str" cm="1">
        <f t="array" ref="N795">_xlfn.IFS(HR_Analytics56[[#This Row],[PerformanceRating]]=3,"Good",HR_Analytics56[[#This Row],[PerformanceRating]]=4, "Excellent")</f>
        <v>Good</v>
      </c>
      <c r="O795" s="8" t="str">
        <f>IF(HR_Analytics56[[#This Row],[MonthlyIncome]]&lt;3000,"&lt; ₹3,000",IF(HR_Analytics56[[#This Row],[MonthlyIncome]]&lt;=7000,"₹ 3,000 - ₹ 7,000","&gt; ₹7,000"))</f>
        <v>&gt; ₹7,000</v>
      </c>
      <c r="P795" s="8" t="str" cm="1">
        <f t="array" ref="P7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6" spans="1:16" x14ac:dyDescent="0.8">
      <c r="A796" s="5" t="s">
        <v>867</v>
      </c>
      <c r="B796" s="8">
        <v>36</v>
      </c>
      <c r="C796" s="5" t="s">
        <v>49</v>
      </c>
      <c r="D796" s="5" t="s">
        <v>42</v>
      </c>
      <c r="E796" s="5" t="s">
        <v>53</v>
      </c>
      <c r="F796" s="5" t="s">
        <v>112</v>
      </c>
      <c r="G796" s="8">
        <v>2</v>
      </c>
      <c r="H796" s="8">
        <v>5131</v>
      </c>
      <c r="I796" s="5" t="s">
        <v>49</v>
      </c>
      <c r="J796" s="8">
        <v>3</v>
      </c>
      <c r="K796" s="8">
        <v>3</v>
      </c>
      <c r="L796" s="8">
        <v>4</v>
      </c>
      <c r="M7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6" s="8" t="str" cm="1">
        <f t="array" ref="N796">_xlfn.IFS(HR_Analytics56[[#This Row],[PerformanceRating]]=3,"Good",HR_Analytics56[[#This Row],[PerformanceRating]]=4, "Excellent")</f>
        <v>Good</v>
      </c>
      <c r="O796" s="8" t="str">
        <f>IF(HR_Analytics56[[#This Row],[MonthlyIncome]]&lt;3000,"&lt; ₹3,000",IF(HR_Analytics56[[#This Row],[MonthlyIncome]]&lt;=7000,"₹ 3,000 - ₹ 7,000","&gt; ₹7,000"))</f>
        <v>₹ 3,000 - ₹ 7,000</v>
      </c>
      <c r="P796" s="8" t="str" cm="1">
        <f t="array" ref="P7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7" spans="1:16" x14ac:dyDescent="0.8">
      <c r="A797" s="5" t="s">
        <v>868</v>
      </c>
      <c r="B797" s="8">
        <v>36</v>
      </c>
      <c r="C797" s="5" t="s">
        <v>49</v>
      </c>
      <c r="D797" s="5" t="s">
        <v>51</v>
      </c>
      <c r="E797" s="5" t="s">
        <v>44</v>
      </c>
      <c r="F797" s="5" t="s">
        <v>137</v>
      </c>
      <c r="G797" s="8">
        <v>4</v>
      </c>
      <c r="H797" s="8">
        <v>5406</v>
      </c>
      <c r="I797" s="5" t="s">
        <v>49</v>
      </c>
      <c r="J797" s="8">
        <v>4</v>
      </c>
      <c r="K797" s="8">
        <v>4</v>
      </c>
      <c r="L797" s="8">
        <v>15</v>
      </c>
      <c r="M7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7" s="8" t="str" cm="1">
        <f t="array" ref="N797">_xlfn.IFS(HR_Analytics56[[#This Row],[PerformanceRating]]=3,"Good",HR_Analytics56[[#This Row],[PerformanceRating]]=4, "Excellent")</f>
        <v>Excellent</v>
      </c>
      <c r="O797" s="8" t="str">
        <f>IF(HR_Analytics56[[#This Row],[MonthlyIncome]]&lt;3000,"&lt; ₹3,000",IF(HR_Analytics56[[#This Row],[MonthlyIncome]]&lt;=7000,"₹ 3,000 - ₹ 7,000","&gt; ₹7,000"))</f>
        <v>₹ 3,000 - ₹ 7,000</v>
      </c>
      <c r="P797" s="8" t="str" cm="1">
        <f t="array" ref="P79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798" spans="1:16" x14ac:dyDescent="0.8">
      <c r="A798" s="5" t="s">
        <v>869</v>
      </c>
      <c r="B798" s="8">
        <v>36</v>
      </c>
      <c r="C798" s="5" t="s">
        <v>49</v>
      </c>
      <c r="D798" s="5" t="s">
        <v>51</v>
      </c>
      <c r="E798" s="5" t="s">
        <v>53</v>
      </c>
      <c r="F798" s="5" t="s">
        <v>137</v>
      </c>
      <c r="G798" s="8">
        <v>4</v>
      </c>
      <c r="H798" s="8">
        <v>6652</v>
      </c>
      <c r="I798" s="5" t="s">
        <v>49</v>
      </c>
      <c r="J798" s="8">
        <v>3</v>
      </c>
      <c r="K798" s="8">
        <v>2</v>
      </c>
      <c r="L798" s="8">
        <v>6</v>
      </c>
      <c r="M7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8" s="8" t="str" cm="1">
        <f t="array" ref="N798">_xlfn.IFS(HR_Analytics56[[#This Row],[PerformanceRating]]=3,"Good",HR_Analytics56[[#This Row],[PerformanceRating]]=4, "Excellent")</f>
        <v>Good</v>
      </c>
      <c r="O798" s="8" t="str">
        <f>IF(HR_Analytics56[[#This Row],[MonthlyIncome]]&lt;3000,"&lt; ₹3,000",IF(HR_Analytics56[[#This Row],[MonthlyIncome]]&lt;=7000,"₹ 3,000 - ₹ 7,000","&gt; ₹7,000"))</f>
        <v>₹ 3,000 - ₹ 7,000</v>
      </c>
      <c r="P798" s="8" t="str" cm="1">
        <f t="array" ref="P7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799" spans="1:16" x14ac:dyDescent="0.8">
      <c r="A799" s="5" t="s">
        <v>870</v>
      </c>
      <c r="B799" s="8">
        <v>36</v>
      </c>
      <c r="C799" s="5" t="s">
        <v>49</v>
      </c>
      <c r="D799" s="5" t="s">
        <v>42</v>
      </c>
      <c r="E799" s="5" t="s">
        <v>44</v>
      </c>
      <c r="F799" s="5" t="s">
        <v>45</v>
      </c>
      <c r="G799" s="8">
        <v>4</v>
      </c>
      <c r="H799" s="8">
        <v>2571</v>
      </c>
      <c r="I799" s="5" t="s">
        <v>49</v>
      </c>
      <c r="J799" s="8">
        <v>3</v>
      </c>
      <c r="K799" s="8">
        <v>3</v>
      </c>
      <c r="L799" s="8">
        <v>5</v>
      </c>
      <c r="M7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799" s="8" t="str" cm="1">
        <f t="array" ref="N799">_xlfn.IFS(HR_Analytics56[[#This Row],[PerformanceRating]]=3,"Good",HR_Analytics56[[#This Row],[PerformanceRating]]=4, "Excellent")</f>
        <v>Good</v>
      </c>
      <c r="O799" s="8" t="str">
        <f>IF(HR_Analytics56[[#This Row],[MonthlyIncome]]&lt;3000,"&lt; ₹3,000",IF(HR_Analytics56[[#This Row],[MonthlyIncome]]&lt;=7000,"₹ 3,000 - ₹ 7,000","&gt; ₹7,000"))</f>
        <v>&lt; ₹3,000</v>
      </c>
      <c r="P799" s="8" t="str" cm="1">
        <f t="array" ref="P7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0" spans="1:16" x14ac:dyDescent="0.8">
      <c r="A800" s="5" t="s">
        <v>871</v>
      </c>
      <c r="B800" s="8">
        <v>37</v>
      </c>
      <c r="C800" s="5" t="s">
        <v>40</v>
      </c>
      <c r="D800" s="5" t="s">
        <v>42</v>
      </c>
      <c r="E800" s="5" t="s">
        <v>44</v>
      </c>
      <c r="F800" s="5" t="s">
        <v>45</v>
      </c>
      <c r="G800" s="8">
        <v>3</v>
      </c>
      <c r="H800" s="8">
        <v>2090</v>
      </c>
      <c r="I800" s="5" t="s">
        <v>40</v>
      </c>
      <c r="J800" s="8">
        <v>3</v>
      </c>
      <c r="K800" s="8">
        <v>3</v>
      </c>
      <c r="L800" s="8">
        <v>0</v>
      </c>
      <c r="M8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800" s="8" t="str" cm="1">
        <f t="array" ref="N800">_xlfn.IFS(HR_Analytics56[[#This Row],[PerformanceRating]]=3,"Good",HR_Analytics56[[#This Row],[PerformanceRating]]=4, "Excellent")</f>
        <v>Good</v>
      </c>
      <c r="O800" s="8" t="str">
        <f>IF(HR_Analytics56[[#This Row],[MonthlyIncome]]&lt;3000,"&lt; ₹3,000",IF(HR_Analytics56[[#This Row],[MonthlyIncome]]&lt;=7000,"₹ 3,000 - ₹ 7,000","&gt; ₹7,000"))</f>
        <v>&lt; ₹3,000</v>
      </c>
      <c r="P800" s="8" t="str" cm="1">
        <f t="array" ref="P8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1" spans="1:16" x14ac:dyDescent="0.8">
      <c r="A801" s="5" t="s">
        <v>872</v>
      </c>
      <c r="B801" s="8">
        <v>37</v>
      </c>
      <c r="C801" s="5" t="s">
        <v>49</v>
      </c>
      <c r="D801" s="5" t="s">
        <v>42</v>
      </c>
      <c r="E801" s="5" t="s">
        <v>44</v>
      </c>
      <c r="F801" s="5" t="s">
        <v>60</v>
      </c>
      <c r="G801" s="8">
        <v>2</v>
      </c>
      <c r="H801" s="8">
        <v>3022</v>
      </c>
      <c r="I801" s="5" t="s">
        <v>49</v>
      </c>
      <c r="J801" s="8">
        <v>4</v>
      </c>
      <c r="K801" s="8">
        <v>1</v>
      </c>
      <c r="L801" s="8">
        <v>1</v>
      </c>
      <c r="M8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1" s="8" t="str" cm="1">
        <f t="array" ref="N801">_xlfn.IFS(HR_Analytics56[[#This Row],[PerformanceRating]]=3,"Good",HR_Analytics56[[#This Row],[PerformanceRating]]=4, "Excellent")</f>
        <v>Excellent</v>
      </c>
      <c r="O801" s="8" t="str">
        <f>IF(HR_Analytics56[[#This Row],[MonthlyIncome]]&lt;3000,"&lt; ₹3,000",IF(HR_Analytics56[[#This Row],[MonthlyIncome]]&lt;=7000,"₹ 3,000 - ₹ 7,000","&gt; ₹7,000"))</f>
        <v>₹ 3,000 - ₹ 7,000</v>
      </c>
      <c r="P801" s="8" t="str" cm="1">
        <f t="array" ref="P8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2" spans="1:16" x14ac:dyDescent="0.8">
      <c r="A802" s="5" t="s">
        <v>873</v>
      </c>
      <c r="B802" s="8">
        <v>37</v>
      </c>
      <c r="C802" s="5" t="s">
        <v>49</v>
      </c>
      <c r="D802" s="5" t="s">
        <v>42</v>
      </c>
      <c r="E802" s="5" t="s">
        <v>44</v>
      </c>
      <c r="F802" s="5" t="s">
        <v>112</v>
      </c>
      <c r="G802" s="8">
        <v>3</v>
      </c>
      <c r="H802" s="8">
        <v>5993</v>
      </c>
      <c r="I802" s="5" t="s">
        <v>49</v>
      </c>
      <c r="J802" s="8">
        <v>3</v>
      </c>
      <c r="K802" s="8">
        <v>2</v>
      </c>
      <c r="L802" s="8">
        <v>7</v>
      </c>
      <c r="M8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2" s="8" t="str" cm="1">
        <f t="array" ref="N802">_xlfn.IFS(HR_Analytics56[[#This Row],[PerformanceRating]]=3,"Good",HR_Analytics56[[#This Row],[PerformanceRating]]=4, "Excellent")</f>
        <v>Good</v>
      </c>
      <c r="O802" s="8" t="str">
        <f>IF(HR_Analytics56[[#This Row],[MonthlyIncome]]&lt;3000,"&lt; ₹3,000",IF(HR_Analytics56[[#This Row],[MonthlyIncome]]&lt;=7000,"₹ 3,000 - ₹ 7,000","&gt; ₹7,000"))</f>
        <v>₹ 3,000 - ₹ 7,000</v>
      </c>
      <c r="P802" s="8" t="str" cm="1">
        <f t="array" ref="P8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3" spans="1:16" x14ac:dyDescent="0.8">
      <c r="A803" s="5" t="s">
        <v>874</v>
      </c>
      <c r="B803" s="8">
        <v>37</v>
      </c>
      <c r="C803" s="5" t="s">
        <v>49</v>
      </c>
      <c r="D803" s="5" t="s">
        <v>42</v>
      </c>
      <c r="E803" s="5" t="s">
        <v>44</v>
      </c>
      <c r="F803" s="5" t="s">
        <v>252</v>
      </c>
      <c r="G803" s="8">
        <v>3</v>
      </c>
      <c r="H803" s="8">
        <v>13664</v>
      </c>
      <c r="I803" s="5" t="s">
        <v>49</v>
      </c>
      <c r="J803" s="8">
        <v>3</v>
      </c>
      <c r="K803" s="8">
        <v>3</v>
      </c>
      <c r="L803" s="8">
        <v>5</v>
      </c>
      <c r="M8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3" s="8" t="str" cm="1">
        <f t="array" ref="N803">_xlfn.IFS(HR_Analytics56[[#This Row],[PerformanceRating]]=3,"Good",HR_Analytics56[[#This Row],[PerformanceRating]]=4, "Excellent")</f>
        <v>Good</v>
      </c>
      <c r="O803" s="8" t="str">
        <f>IF(HR_Analytics56[[#This Row],[MonthlyIncome]]&lt;3000,"&lt; ₹3,000",IF(HR_Analytics56[[#This Row],[MonthlyIncome]]&lt;=7000,"₹ 3,000 - ₹ 7,000","&gt; ₹7,000"))</f>
        <v>&gt; ₹7,000</v>
      </c>
      <c r="P803" s="8" t="str" cm="1">
        <f t="array" ref="P8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4" spans="1:16" x14ac:dyDescent="0.8">
      <c r="A804" s="5" t="s">
        <v>875</v>
      </c>
      <c r="B804" s="8">
        <v>37</v>
      </c>
      <c r="C804" s="5" t="s">
        <v>40</v>
      </c>
      <c r="D804" s="5" t="s">
        <v>71</v>
      </c>
      <c r="E804" s="5" t="s">
        <v>44</v>
      </c>
      <c r="F804" s="5" t="s">
        <v>71</v>
      </c>
      <c r="G804" s="8">
        <v>1</v>
      </c>
      <c r="H804" s="8">
        <v>2073</v>
      </c>
      <c r="I804" s="5" t="s">
        <v>40</v>
      </c>
      <c r="J804" s="8">
        <v>4</v>
      </c>
      <c r="K804" s="8">
        <v>3</v>
      </c>
      <c r="L804" s="8">
        <v>3</v>
      </c>
      <c r="M8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804" s="8" t="str" cm="1">
        <f t="array" ref="N804">_xlfn.IFS(HR_Analytics56[[#This Row],[PerformanceRating]]=3,"Good",HR_Analytics56[[#This Row],[PerformanceRating]]=4, "Excellent")</f>
        <v>Excellent</v>
      </c>
      <c r="O804" s="8" t="str">
        <f>IF(HR_Analytics56[[#This Row],[MonthlyIncome]]&lt;3000,"&lt; ₹3,000",IF(HR_Analytics56[[#This Row],[MonthlyIncome]]&lt;=7000,"₹ 3,000 - ₹ 7,000","&gt; ₹7,000"))</f>
        <v>&lt; ₹3,000</v>
      </c>
      <c r="P804" s="8" t="str" cm="1">
        <f t="array" ref="P80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805" spans="1:16" x14ac:dyDescent="0.8">
      <c r="A805" s="5" t="s">
        <v>876</v>
      </c>
      <c r="B805" s="8">
        <v>37</v>
      </c>
      <c r="C805" s="5" t="s">
        <v>49</v>
      </c>
      <c r="D805" s="5" t="s">
        <v>42</v>
      </c>
      <c r="E805" s="5" t="s">
        <v>44</v>
      </c>
      <c r="F805" s="5" t="s">
        <v>161</v>
      </c>
      <c r="G805" s="8">
        <v>4</v>
      </c>
      <c r="H805" s="8">
        <v>5163</v>
      </c>
      <c r="I805" s="5" t="s">
        <v>49</v>
      </c>
      <c r="J805" s="8">
        <v>3</v>
      </c>
      <c r="K805" s="8">
        <v>2</v>
      </c>
      <c r="L805" s="8">
        <v>1</v>
      </c>
      <c r="M8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5" s="8" t="str" cm="1">
        <f t="array" ref="N805">_xlfn.IFS(HR_Analytics56[[#This Row],[PerformanceRating]]=3,"Good",HR_Analytics56[[#This Row],[PerformanceRating]]=4, "Excellent")</f>
        <v>Good</v>
      </c>
      <c r="O805" s="8" t="str">
        <f>IF(HR_Analytics56[[#This Row],[MonthlyIncome]]&lt;3000,"&lt; ₹3,000",IF(HR_Analytics56[[#This Row],[MonthlyIncome]]&lt;=7000,"₹ 3,000 - ₹ 7,000","&gt; ₹7,000"))</f>
        <v>₹ 3,000 - ₹ 7,000</v>
      </c>
      <c r="P805" s="8" t="str" cm="1">
        <f t="array" ref="P8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6" spans="1:16" x14ac:dyDescent="0.8">
      <c r="A806" s="5" t="s">
        <v>877</v>
      </c>
      <c r="B806" s="8">
        <v>37</v>
      </c>
      <c r="C806" s="5" t="s">
        <v>49</v>
      </c>
      <c r="D806" s="5" t="s">
        <v>51</v>
      </c>
      <c r="E806" s="5" t="s">
        <v>44</v>
      </c>
      <c r="F806" s="5" t="s">
        <v>137</v>
      </c>
      <c r="G806" s="8">
        <v>4</v>
      </c>
      <c r="H806" s="8">
        <v>7428</v>
      </c>
      <c r="I806" s="5" t="s">
        <v>49</v>
      </c>
      <c r="J806" s="8">
        <v>3</v>
      </c>
      <c r="K806" s="8">
        <v>3</v>
      </c>
      <c r="L806" s="8">
        <v>5</v>
      </c>
      <c r="M8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6" s="8" t="str" cm="1">
        <f t="array" ref="N806">_xlfn.IFS(HR_Analytics56[[#This Row],[PerformanceRating]]=3,"Good",HR_Analytics56[[#This Row],[PerformanceRating]]=4, "Excellent")</f>
        <v>Good</v>
      </c>
      <c r="O806" s="8" t="str">
        <f>IF(HR_Analytics56[[#This Row],[MonthlyIncome]]&lt;3000,"&lt; ₹3,000",IF(HR_Analytics56[[#This Row],[MonthlyIncome]]&lt;=7000,"₹ 3,000 - ₹ 7,000","&gt; ₹7,000"))</f>
        <v>&gt; ₹7,000</v>
      </c>
      <c r="P806" s="8" t="str" cm="1">
        <f t="array" ref="P8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7" spans="1:16" x14ac:dyDescent="0.8">
      <c r="A807" s="5" t="s">
        <v>878</v>
      </c>
      <c r="B807" s="8">
        <v>37</v>
      </c>
      <c r="C807" s="5" t="s">
        <v>49</v>
      </c>
      <c r="D807" s="5" t="s">
        <v>42</v>
      </c>
      <c r="E807" s="5" t="s">
        <v>44</v>
      </c>
      <c r="F807" s="5" t="s">
        <v>60</v>
      </c>
      <c r="G807" s="8">
        <v>1</v>
      </c>
      <c r="H807" s="8">
        <v>3564</v>
      </c>
      <c r="I807" s="5" t="s">
        <v>40</v>
      </c>
      <c r="J807" s="8">
        <v>3</v>
      </c>
      <c r="K807" s="8">
        <v>3</v>
      </c>
      <c r="L807" s="8">
        <v>8</v>
      </c>
      <c r="M8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07" s="8" t="str" cm="1">
        <f t="array" ref="N807">_xlfn.IFS(HR_Analytics56[[#This Row],[PerformanceRating]]=3,"Good",HR_Analytics56[[#This Row],[PerformanceRating]]=4, "Excellent")</f>
        <v>Good</v>
      </c>
      <c r="O807" s="8" t="str">
        <f>IF(HR_Analytics56[[#This Row],[MonthlyIncome]]&lt;3000,"&lt; ₹3,000",IF(HR_Analytics56[[#This Row],[MonthlyIncome]]&lt;=7000,"₹ 3,000 - ₹ 7,000","&gt; ₹7,000"))</f>
        <v>₹ 3,000 - ₹ 7,000</v>
      </c>
      <c r="P807" s="8" t="str" cm="1">
        <f t="array" ref="P8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8" spans="1:16" x14ac:dyDescent="0.8">
      <c r="A808" s="5" t="s">
        <v>879</v>
      </c>
      <c r="B808" s="8">
        <v>37</v>
      </c>
      <c r="C808" s="5" t="s">
        <v>49</v>
      </c>
      <c r="D808" s="5" t="s">
        <v>42</v>
      </c>
      <c r="E808" s="5" t="s">
        <v>44</v>
      </c>
      <c r="F808" s="5" t="s">
        <v>252</v>
      </c>
      <c r="G808" s="8">
        <v>4</v>
      </c>
      <c r="H808" s="8">
        <v>12185</v>
      </c>
      <c r="I808" s="5" t="s">
        <v>40</v>
      </c>
      <c r="J808" s="8">
        <v>3</v>
      </c>
      <c r="K808" s="8">
        <v>1</v>
      </c>
      <c r="L808" s="8">
        <v>10</v>
      </c>
      <c r="M8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08" s="8" t="str" cm="1">
        <f t="array" ref="N808">_xlfn.IFS(HR_Analytics56[[#This Row],[PerformanceRating]]=3,"Good",HR_Analytics56[[#This Row],[PerformanceRating]]=4, "Excellent")</f>
        <v>Good</v>
      </c>
      <c r="O808" s="8" t="str">
        <f>IF(HR_Analytics56[[#This Row],[MonthlyIncome]]&lt;3000,"&lt; ₹3,000",IF(HR_Analytics56[[#This Row],[MonthlyIncome]]&lt;=7000,"₹ 3,000 - ₹ 7,000","&gt; ₹7,000"))</f>
        <v>&gt; ₹7,000</v>
      </c>
      <c r="P808" s="8" t="str" cm="1">
        <f t="array" ref="P8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09" spans="1:16" x14ac:dyDescent="0.8">
      <c r="A809" s="5" t="s">
        <v>880</v>
      </c>
      <c r="B809" s="8">
        <v>37</v>
      </c>
      <c r="C809" s="5" t="s">
        <v>49</v>
      </c>
      <c r="D809" s="5" t="s">
        <v>51</v>
      </c>
      <c r="E809" s="5" t="s">
        <v>44</v>
      </c>
      <c r="F809" s="5" t="s">
        <v>54</v>
      </c>
      <c r="G809" s="8">
        <v>4</v>
      </c>
      <c r="H809" s="8">
        <v>2793</v>
      </c>
      <c r="I809" s="5" t="s">
        <v>49</v>
      </c>
      <c r="J809" s="8">
        <v>3</v>
      </c>
      <c r="K809" s="8">
        <v>2</v>
      </c>
      <c r="L809" s="8">
        <v>9</v>
      </c>
      <c r="M8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09" s="8" t="str" cm="1">
        <f t="array" ref="N809">_xlfn.IFS(HR_Analytics56[[#This Row],[PerformanceRating]]=3,"Good",HR_Analytics56[[#This Row],[PerformanceRating]]=4, "Excellent")</f>
        <v>Good</v>
      </c>
      <c r="O809" s="8" t="str">
        <f>IF(HR_Analytics56[[#This Row],[MonthlyIncome]]&lt;3000,"&lt; ₹3,000",IF(HR_Analytics56[[#This Row],[MonthlyIncome]]&lt;=7000,"₹ 3,000 - ₹ 7,000","&gt; ₹7,000"))</f>
        <v>&lt; ₹3,000</v>
      </c>
      <c r="P809" s="8" t="str" cm="1">
        <f t="array" ref="P8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0" spans="1:16" x14ac:dyDescent="0.8">
      <c r="A810" s="5" t="s">
        <v>881</v>
      </c>
      <c r="B810" s="8">
        <v>37</v>
      </c>
      <c r="C810" s="5" t="s">
        <v>49</v>
      </c>
      <c r="D810" s="5" t="s">
        <v>42</v>
      </c>
      <c r="E810" s="5" t="s">
        <v>53</v>
      </c>
      <c r="F810" s="5" t="s">
        <v>60</v>
      </c>
      <c r="G810" s="8">
        <v>1</v>
      </c>
      <c r="H810" s="8">
        <v>3920</v>
      </c>
      <c r="I810" s="5" t="s">
        <v>49</v>
      </c>
      <c r="J810" s="8">
        <v>3</v>
      </c>
      <c r="K810" s="8">
        <v>2</v>
      </c>
      <c r="L810" s="8">
        <v>3</v>
      </c>
      <c r="M8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0" s="8" t="str" cm="1">
        <f t="array" ref="N810">_xlfn.IFS(HR_Analytics56[[#This Row],[PerformanceRating]]=3,"Good",HR_Analytics56[[#This Row],[PerformanceRating]]=4, "Excellent")</f>
        <v>Good</v>
      </c>
      <c r="O810" s="8" t="str">
        <f>IF(HR_Analytics56[[#This Row],[MonthlyIncome]]&lt;3000,"&lt; ₹3,000",IF(HR_Analytics56[[#This Row],[MonthlyIncome]]&lt;=7000,"₹ 3,000 - ₹ 7,000","&gt; ₹7,000"))</f>
        <v>₹ 3,000 - ₹ 7,000</v>
      </c>
      <c r="P810" s="8" t="str" cm="1">
        <f t="array" ref="P8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1" spans="1:16" x14ac:dyDescent="0.8">
      <c r="A811" s="5" t="s">
        <v>882</v>
      </c>
      <c r="B811" s="8">
        <v>37</v>
      </c>
      <c r="C811" s="5" t="s">
        <v>40</v>
      </c>
      <c r="D811" s="5" t="s">
        <v>42</v>
      </c>
      <c r="E811" s="5" t="s">
        <v>44</v>
      </c>
      <c r="F811" s="5" t="s">
        <v>112</v>
      </c>
      <c r="G811" s="8">
        <v>3</v>
      </c>
      <c r="H811" s="8">
        <v>10048</v>
      </c>
      <c r="I811" s="5" t="s">
        <v>49</v>
      </c>
      <c r="J811" s="8">
        <v>3</v>
      </c>
      <c r="K811" s="8">
        <v>5</v>
      </c>
      <c r="L811" s="8">
        <v>1</v>
      </c>
      <c r="M8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11" s="8" t="str" cm="1">
        <f t="array" ref="N811">_xlfn.IFS(HR_Analytics56[[#This Row],[PerformanceRating]]=3,"Good",HR_Analytics56[[#This Row],[PerformanceRating]]=4, "Excellent")</f>
        <v>Good</v>
      </c>
      <c r="O811" s="8" t="str">
        <f>IF(HR_Analytics56[[#This Row],[MonthlyIncome]]&lt;3000,"&lt; ₹3,000",IF(HR_Analytics56[[#This Row],[MonthlyIncome]]&lt;=7000,"₹ 3,000 - ₹ 7,000","&gt; ₹7,000"))</f>
        <v>&gt; ₹7,000</v>
      </c>
      <c r="P811" s="8" t="str" cm="1">
        <f t="array" ref="P8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2" spans="1:16" x14ac:dyDescent="0.8">
      <c r="A812" s="5" t="s">
        <v>883</v>
      </c>
      <c r="B812" s="8">
        <v>37</v>
      </c>
      <c r="C812" s="5" t="s">
        <v>49</v>
      </c>
      <c r="D812" s="5" t="s">
        <v>51</v>
      </c>
      <c r="E812" s="5" t="s">
        <v>44</v>
      </c>
      <c r="F812" s="5" t="s">
        <v>137</v>
      </c>
      <c r="G812" s="8">
        <v>4</v>
      </c>
      <c r="H812" s="8">
        <v>6502</v>
      </c>
      <c r="I812" s="5" t="s">
        <v>49</v>
      </c>
      <c r="J812" s="8">
        <v>3</v>
      </c>
      <c r="K812" s="8">
        <v>5</v>
      </c>
      <c r="L812" s="8">
        <v>5</v>
      </c>
      <c r="M8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2" s="8" t="str" cm="1">
        <f t="array" ref="N812">_xlfn.IFS(HR_Analytics56[[#This Row],[PerformanceRating]]=3,"Good",HR_Analytics56[[#This Row],[PerformanceRating]]=4, "Excellent")</f>
        <v>Good</v>
      </c>
      <c r="O812" s="8" t="str">
        <f>IF(HR_Analytics56[[#This Row],[MonthlyIncome]]&lt;3000,"&lt; ₹3,000",IF(HR_Analytics56[[#This Row],[MonthlyIncome]]&lt;=7000,"₹ 3,000 - ₹ 7,000","&gt; ₹7,000"))</f>
        <v>₹ 3,000 - ₹ 7,000</v>
      </c>
      <c r="P812" s="8" t="str" cm="1">
        <f t="array" ref="P8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3" spans="1:16" x14ac:dyDescent="0.8">
      <c r="A813" s="5" t="s">
        <v>884</v>
      </c>
      <c r="B813" s="8">
        <v>37</v>
      </c>
      <c r="C813" s="5" t="s">
        <v>49</v>
      </c>
      <c r="D813" s="5" t="s">
        <v>42</v>
      </c>
      <c r="E813" s="5" t="s">
        <v>53</v>
      </c>
      <c r="F813" s="5" t="s">
        <v>252</v>
      </c>
      <c r="G813" s="8">
        <v>4</v>
      </c>
      <c r="H813" s="8">
        <v>13603</v>
      </c>
      <c r="I813" s="5" t="s">
        <v>40</v>
      </c>
      <c r="J813" s="8">
        <v>3</v>
      </c>
      <c r="K813" s="8">
        <v>2</v>
      </c>
      <c r="L813" s="8">
        <v>5</v>
      </c>
      <c r="M8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13" s="8" t="str" cm="1">
        <f t="array" ref="N813">_xlfn.IFS(HR_Analytics56[[#This Row],[PerformanceRating]]=3,"Good",HR_Analytics56[[#This Row],[PerformanceRating]]=4, "Excellent")</f>
        <v>Good</v>
      </c>
      <c r="O813" s="8" t="str">
        <f>IF(HR_Analytics56[[#This Row],[MonthlyIncome]]&lt;3000,"&lt; ₹3,000",IF(HR_Analytics56[[#This Row],[MonthlyIncome]]&lt;=7000,"₹ 3,000 - ₹ 7,000","&gt; ₹7,000"))</f>
        <v>&gt; ₹7,000</v>
      </c>
      <c r="P813" s="8" t="str" cm="1">
        <f t="array" ref="P8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4" spans="1:16" x14ac:dyDescent="0.8">
      <c r="A814" s="5" t="s">
        <v>885</v>
      </c>
      <c r="B814" s="8">
        <v>37</v>
      </c>
      <c r="C814" s="5" t="s">
        <v>49</v>
      </c>
      <c r="D814" s="5" t="s">
        <v>42</v>
      </c>
      <c r="E814" s="5" t="s">
        <v>53</v>
      </c>
      <c r="F814" s="5" t="s">
        <v>60</v>
      </c>
      <c r="G814" s="8">
        <v>4</v>
      </c>
      <c r="H814" s="8">
        <v>2115</v>
      </c>
      <c r="I814" s="5" t="s">
        <v>49</v>
      </c>
      <c r="J814" s="8">
        <v>3</v>
      </c>
      <c r="K814" s="8">
        <v>3</v>
      </c>
      <c r="L814" s="8">
        <v>17</v>
      </c>
      <c r="M8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4" s="8" t="str" cm="1">
        <f t="array" ref="N814">_xlfn.IFS(HR_Analytics56[[#This Row],[PerformanceRating]]=3,"Good",HR_Analytics56[[#This Row],[PerformanceRating]]=4, "Excellent")</f>
        <v>Good</v>
      </c>
      <c r="O814" s="8" t="str">
        <f>IF(HR_Analytics56[[#This Row],[MonthlyIncome]]&lt;3000,"&lt; ₹3,000",IF(HR_Analytics56[[#This Row],[MonthlyIncome]]&lt;=7000,"₹ 3,000 - ₹ 7,000","&gt; ₹7,000"))</f>
        <v>&lt; ₹3,000</v>
      </c>
      <c r="P814" s="8" t="str" cm="1">
        <f t="array" ref="P8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5" spans="1:16" x14ac:dyDescent="0.8">
      <c r="A815" s="5" t="s">
        <v>886</v>
      </c>
      <c r="B815" s="8">
        <v>37</v>
      </c>
      <c r="C815" s="5" t="s">
        <v>49</v>
      </c>
      <c r="D815" s="5" t="s">
        <v>42</v>
      </c>
      <c r="E815" s="5" t="s">
        <v>44</v>
      </c>
      <c r="F815" s="5" t="s">
        <v>60</v>
      </c>
      <c r="G815" s="8">
        <v>4</v>
      </c>
      <c r="H815" s="8">
        <v>2326</v>
      </c>
      <c r="I815" s="5" t="s">
        <v>40</v>
      </c>
      <c r="J815" s="8">
        <v>3</v>
      </c>
      <c r="K815" s="8">
        <v>3</v>
      </c>
      <c r="L815" s="8">
        <v>4</v>
      </c>
      <c r="M8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15" s="8" t="str" cm="1">
        <f t="array" ref="N815">_xlfn.IFS(HR_Analytics56[[#This Row],[PerformanceRating]]=3,"Good",HR_Analytics56[[#This Row],[PerformanceRating]]=4, "Excellent")</f>
        <v>Good</v>
      </c>
      <c r="O815" s="8" t="str">
        <f>IF(HR_Analytics56[[#This Row],[MonthlyIncome]]&lt;3000,"&lt; ₹3,000",IF(HR_Analytics56[[#This Row],[MonthlyIncome]]&lt;=7000,"₹ 3,000 - ₹ 7,000","&gt; ₹7,000"))</f>
        <v>&lt; ₹3,000</v>
      </c>
      <c r="P815" s="8" t="str" cm="1">
        <f t="array" ref="P8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6" spans="1:16" x14ac:dyDescent="0.8">
      <c r="A816" s="5" t="s">
        <v>887</v>
      </c>
      <c r="B816" s="8">
        <v>37</v>
      </c>
      <c r="C816" s="5" t="s">
        <v>49</v>
      </c>
      <c r="D816" s="5" t="s">
        <v>42</v>
      </c>
      <c r="E816" s="5" t="s">
        <v>44</v>
      </c>
      <c r="F816" s="5" t="s">
        <v>112</v>
      </c>
      <c r="G816" s="8">
        <v>4</v>
      </c>
      <c r="H816" s="8">
        <v>6347</v>
      </c>
      <c r="I816" s="5" t="s">
        <v>49</v>
      </c>
      <c r="J816" s="8">
        <v>3</v>
      </c>
      <c r="K816" s="8">
        <v>2</v>
      </c>
      <c r="L816" s="8">
        <v>6</v>
      </c>
      <c r="M8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6" s="8" t="str" cm="1">
        <f t="array" ref="N816">_xlfn.IFS(HR_Analytics56[[#This Row],[PerformanceRating]]=3,"Good",HR_Analytics56[[#This Row],[PerformanceRating]]=4, "Excellent")</f>
        <v>Good</v>
      </c>
      <c r="O816" s="8" t="str">
        <f>IF(HR_Analytics56[[#This Row],[MonthlyIncome]]&lt;3000,"&lt; ₹3,000",IF(HR_Analytics56[[#This Row],[MonthlyIncome]]&lt;=7000,"₹ 3,000 - ₹ 7,000","&gt; ₹7,000"))</f>
        <v>₹ 3,000 - ₹ 7,000</v>
      </c>
      <c r="P816" s="8" t="str" cm="1">
        <f t="array" ref="P8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7" spans="1:16" x14ac:dyDescent="0.8">
      <c r="A817" s="5" t="s">
        <v>888</v>
      </c>
      <c r="B817" s="8">
        <v>37</v>
      </c>
      <c r="C817" s="5" t="s">
        <v>49</v>
      </c>
      <c r="D817" s="5" t="s">
        <v>42</v>
      </c>
      <c r="E817" s="5" t="s">
        <v>44</v>
      </c>
      <c r="F817" s="5" t="s">
        <v>60</v>
      </c>
      <c r="G817" s="8">
        <v>1</v>
      </c>
      <c r="H817" s="8">
        <v>5974</v>
      </c>
      <c r="I817" s="5" t="s">
        <v>40</v>
      </c>
      <c r="J817" s="8">
        <v>3</v>
      </c>
      <c r="K817" s="8">
        <v>2</v>
      </c>
      <c r="L817" s="8">
        <v>7</v>
      </c>
      <c r="M8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17" s="8" t="str" cm="1">
        <f t="array" ref="N817">_xlfn.IFS(HR_Analytics56[[#This Row],[PerformanceRating]]=3,"Good",HR_Analytics56[[#This Row],[PerformanceRating]]=4, "Excellent")</f>
        <v>Good</v>
      </c>
      <c r="O817" s="8" t="str">
        <f>IF(HR_Analytics56[[#This Row],[MonthlyIncome]]&lt;3000,"&lt; ₹3,000",IF(HR_Analytics56[[#This Row],[MonthlyIncome]]&lt;=7000,"₹ 3,000 - ₹ 7,000","&gt; ₹7,000"))</f>
        <v>₹ 3,000 - ₹ 7,000</v>
      </c>
      <c r="P817" s="8" t="str" cm="1">
        <f t="array" ref="P8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18" spans="1:16" x14ac:dyDescent="0.8">
      <c r="A818" s="5" t="s">
        <v>889</v>
      </c>
      <c r="B818" s="8">
        <v>37</v>
      </c>
      <c r="C818" s="5" t="s">
        <v>49</v>
      </c>
      <c r="D818" s="5" t="s">
        <v>42</v>
      </c>
      <c r="E818" s="5" t="s">
        <v>53</v>
      </c>
      <c r="F818" s="5" t="s">
        <v>45</v>
      </c>
      <c r="G818" s="8">
        <v>1</v>
      </c>
      <c r="H818" s="8">
        <v>3452</v>
      </c>
      <c r="I818" s="5" t="s">
        <v>49</v>
      </c>
      <c r="J818" s="8">
        <v>4</v>
      </c>
      <c r="K818" s="8">
        <v>3</v>
      </c>
      <c r="L818" s="8">
        <v>5</v>
      </c>
      <c r="M8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8" s="8" t="str" cm="1">
        <f t="array" ref="N818">_xlfn.IFS(HR_Analytics56[[#This Row],[PerformanceRating]]=3,"Good",HR_Analytics56[[#This Row],[PerformanceRating]]=4, "Excellent")</f>
        <v>Excellent</v>
      </c>
      <c r="O818" s="8" t="str">
        <f>IF(HR_Analytics56[[#This Row],[MonthlyIncome]]&lt;3000,"&lt; ₹3,000",IF(HR_Analytics56[[#This Row],[MonthlyIncome]]&lt;=7000,"₹ 3,000 - ₹ 7,000","&gt; ₹7,000"))</f>
        <v>₹ 3,000 - ₹ 7,000</v>
      </c>
      <c r="P818" s="8" t="str" cm="1">
        <f t="array" ref="P81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819" spans="1:16" x14ac:dyDescent="0.8">
      <c r="A819" s="5" t="s">
        <v>890</v>
      </c>
      <c r="B819" s="8">
        <v>37</v>
      </c>
      <c r="C819" s="5" t="s">
        <v>49</v>
      </c>
      <c r="D819" s="5" t="s">
        <v>42</v>
      </c>
      <c r="E819" s="5" t="s">
        <v>53</v>
      </c>
      <c r="F819" s="5" t="s">
        <v>45</v>
      </c>
      <c r="G819" s="8">
        <v>1</v>
      </c>
      <c r="H819" s="8">
        <v>3034</v>
      </c>
      <c r="I819" s="5" t="s">
        <v>49</v>
      </c>
      <c r="J819" s="8">
        <v>3</v>
      </c>
      <c r="K819" s="8">
        <v>2</v>
      </c>
      <c r="L819" s="8">
        <v>18</v>
      </c>
      <c r="M8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19" s="8" t="str" cm="1">
        <f t="array" ref="N819">_xlfn.IFS(HR_Analytics56[[#This Row],[PerformanceRating]]=3,"Good",HR_Analytics56[[#This Row],[PerformanceRating]]=4, "Excellent")</f>
        <v>Good</v>
      </c>
      <c r="O819" s="8" t="str">
        <f>IF(HR_Analytics56[[#This Row],[MonthlyIncome]]&lt;3000,"&lt; ₹3,000",IF(HR_Analytics56[[#This Row],[MonthlyIncome]]&lt;=7000,"₹ 3,000 - ₹ 7,000","&gt; ₹7,000"))</f>
        <v>₹ 3,000 - ₹ 7,000</v>
      </c>
      <c r="P819" s="8" t="str" cm="1">
        <f t="array" ref="P8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0" spans="1:16" x14ac:dyDescent="0.8">
      <c r="A820" s="5" t="s">
        <v>891</v>
      </c>
      <c r="B820" s="8">
        <v>37</v>
      </c>
      <c r="C820" s="5" t="s">
        <v>49</v>
      </c>
      <c r="D820" s="5" t="s">
        <v>42</v>
      </c>
      <c r="E820" s="5" t="s">
        <v>44</v>
      </c>
      <c r="F820" s="5" t="s">
        <v>112</v>
      </c>
      <c r="G820" s="8">
        <v>2</v>
      </c>
      <c r="H820" s="8">
        <v>4197</v>
      </c>
      <c r="I820" s="5" t="s">
        <v>40</v>
      </c>
      <c r="J820" s="8">
        <v>3</v>
      </c>
      <c r="K820" s="8">
        <v>2</v>
      </c>
      <c r="L820" s="8">
        <v>1</v>
      </c>
      <c r="M8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20" s="8" t="str" cm="1">
        <f t="array" ref="N820">_xlfn.IFS(HR_Analytics56[[#This Row],[PerformanceRating]]=3,"Good",HR_Analytics56[[#This Row],[PerformanceRating]]=4, "Excellent")</f>
        <v>Good</v>
      </c>
      <c r="O820" s="8" t="str">
        <f>IF(HR_Analytics56[[#This Row],[MonthlyIncome]]&lt;3000,"&lt; ₹3,000",IF(HR_Analytics56[[#This Row],[MonthlyIncome]]&lt;=7000,"₹ 3,000 - ₹ 7,000","&gt; ₹7,000"))</f>
        <v>₹ 3,000 - ₹ 7,000</v>
      </c>
      <c r="P820" s="8" t="str" cm="1">
        <f t="array" ref="P8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1" spans="1:16" x14ac:dyDescent="0.8">
      <c r="A821" s="5" t="s">
        <v>892</v>
      </c>
      <c r="B821" s="8">
        <v>37</v>
      </c>
      <c r="C821" s="5" t="s">
        <v>49</v>
      </c>
      <c r="D821" s="5" t="s">
        <v>42</v>
      </c>
      <c r="E821" s="5" t="s">
        <v>53</v>
      </c>
      <c r="F821" s="5" t="s">
        <v>60</v>
      </c>
      <c r="G821" s="8">
        <v>3</v>
      </c>
      <c r="H821" s="8">
        <v>4449</v>
      </c>
      <c r="I821" s="5" t="s">
        <v>40</v>
      </c>
      <c r="J821" s="8">
        <v>3</v>
      </c>
      <c r="K821" s="8">
        <v>2</v>
      </c>
      <c r="L821" s="8">
        <v>13</v>
      </c>
      <c r="M8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21" s="8" t="str" cm="1">
        <f t="array" ref="N821">_xlfn.IFS(HR_Analytics56[[#This Row],[PerformanceRating]]=3,"Good",HR_Analytics56[[#This Row],[PerformanceRating]]=4, "Excellent")</f>
        <v>Good</v>
      </c>
      <c r="O821" s="8" t="str">
        <f>IF(HR_Analytics56[[#This Row],[MonthlyIncome]]&lt;3000,"&lt; ₹3,000",IF(HR_Analytics56[[#This Row],[MonthlyIncome]]&lt;=7000,"₹ 3,000 - ₹ 7,000","&gt; ₹7,000"))</f>
        <v>₹ 3,000 - ₹ 7,000</v>
      </c>
      <c r="P821" s="8" t="str" cm="1">
        <f t="array" ref="P8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2" spans="1:16" x14ac:dyDescent="0.8">
      <c r="A822" s="5" t="s">
        <v>893</v>
      </c>
      <c r="B822" s="8">
        <v>37</v>
      </c>
      <c r="C822" s="5" t="s">
        <v>49</v>
      </c>
      <c r="D822" s="5" t="s">
        <v>42</v>
      </c>
      <c r="E822" s="5" t="s">
        <v>53</v>
      </c>
      <c r="F822" s="5" t="s">
        <v>112</v>
      </c>
      <c r="G822" s="8">
        <v>4</v>
      </c>
      <c r="H822" s="8">
        <v>7491</v>
      </c>
      <c r="I822" s="5" t="s">
        <v>49</v>
      </c>
      <c r="J822" s="8">
        <v>3</v>
      </c>
      <c r="K822" s="8">
        <v>3</v>
      </c>
      <c r="L822" s="8">
        <v>6</v>
      </c>
      <c r="M8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2" s="8" t="str" cm="1">
        <f t="array" ref="N822">_xlfn.IFS(HR_Analytics56[[#This Row],[PerformanceRating]]=3,"Good",HR_Analytics56[[#This Row],[PerformanceRating]]=4, "Excellent")</f>
        <v>Good</v>
      </c>
      <c r="O822" s="8" t="str">
        <f>IF(HR_Analytics56[[#This Row],[MonthlyIncome]]&lt;3000,"&lt; ₹3,000",IF(HR_Analytics56[[#This Row],[MonthlyIncome]]&lt;=7000,"₹ 3,000 - ₹ 7,000","&gt; ₹7,000"))</f>
        <v>&gt; ₹7,000</v>
      </c>
      <c r="P822" s="8" t="str" cm="1">
        <f t="array" ref="P8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3" spans="1:16" x14ac:dyDescent="0.8">
      <c r="A823" s="5" t="s">
        <v>894</v>
      </c>
      <c r="B823" s="8">
        <v>37</v>
      </c>
      <c r="C823" s="5" t="s">
        <v>49</v>
      </c>
      <c r="D823" s="5" t="s">
        <v>51</v>
      </c>
      <c r="E823" s="5" t="s">
        <v>44</v>
      </c>
      <c r="F823" s="5" t="s">
        <v>137</v>
      </c>
      <c r="G823" s="8">
        <v>2</v>
      </c>
      <c r="H823" s="8">
        <v>8834</v>
      </c>
      <c r="I823" s="5" t="s">
        <v>49</v>
      </c>
      <c r="J823" s="8">
        <v>3</v>
      </c>
      <c r="K823" s="8">
        <v>6</v>
      </c>
      <c r="L823" s="8">
        <v>9</v>
      </c>
      <c r="M8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3" s="8" t="str" cm="1">
        <f t="array" ref="N823">_xlfn.IFS(HR_Analytics56[[#This Row],[PerformanceRating]]=3,"Good",HR_Analytics56[[#This Row],[PerformanceRating]]=4, "Excellent")</f>
        <v>Good</v>
      </c>
      <c r="O823" s="8" t="str">
        <f>IF(HR_Analytics56[[#This Row],[MonthlyIncome]]&lt;3000,"&lt; ₹3,000",IF(HR_Analytics56[[#This Row],[MonthlyIncome]]&lt;=7000,"₹ 3,000 - ₹ 7,000","&gt; ₹7,000"))</f>
        <v>&gt; ₹7,000</v>
      </c>
      <c r="P823" s="8" t="str" cm="1">
        <f t="array" ref="P8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4" spans="1:16" x14ac:dyDescent="0.8">
      <c r="A824" s="5" t="s">
        <v>895</v>
      </c>
      <c r="B824" s="8">
        <v>37</v>
      </c>
      <c r="C824" s="5" t="s">
        <v>49</v>
      </c>
      <c r="D824" s="5" t="s">
        <v>42</v>
      </c>
      <c r="E824" s="5" t="s">
        <v>53</v>
      </c>
      <c r="F824" s="5" t="s">
        <v>112</v>
      </c>
      <c r="G824" s="8">
        <v>2</v>
      </c>
      <c r="H824" s="8">
        <v>6447</v>
      </c>
      <c r="I824" s="5" t="s">
        <v>49</v>
      </c>
      <c r="J824" s="8">
        <v>3</v>
      </c>
      <c r="K824" s="8">
        <v>2</v>
      </c>
      <c r="L824" s="8">
        <v>6</v>
      </c>
      <c r="M8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4" s="8" t="str" cm="1">
        <f t="array" ref="N824">_xlfn.IFS(HR_Analytics56[[#This Row],[PerformanceRating]]=3,"Good",HR_Analytics56[[#This Row],[PerformanceRating]]=4, "Excellent")</f>
        <v>Good</v>
      </c>
      <c r="O824" s="8" t="str">
        <f>IF(HR_Analytics56[[#This Row],[MonthlyIncome]]&lt;3000,"&lt; ₹3,000",IF(HR_Analytics56[[#This Row],[MonthlyIncome]]&lt;=7000,"₹ 3,000 - ₹ 7,000","&gt; ₹7,000"))</f>
        <v>₹ 3,000 - ₹ 7,000</v>
      </c>
      <c r="P824" s="8" t="str" cm="1">
        <f t="array" ref="P8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5" spans="1:16" x14ac:dyDescent="0.8">
      <c r="A825" s="5" t="s">
        <v>896</v>
      </c>
      <c r="B825" s="8">
        <v>37</v>
      </c>
      <c r="C825" s="5" t="s">
        <v>49</v>
      </c>
      <c r="D825" s="5" t="s">
        <v>51</v>
      </c>
      <c r="E825" s="5" t="s">
        <v>44</v>
      </c>
      <c r="F825" s="5" t="s">
        <v>137</v>
      </c>
      <c r="G825" s="8">
        <v>3</v>
      </c>
      <c r="H825" s="8">
        <v>9602</v>
      </c>
      <c r="I825" s="5" t="s">
        <v>40</v>
      </c>
      <c r="J825" s="8">
        <v>3</v>
      </c>
      <c r="K825" s="8">
        <v>3</v>
      </c>
      <c r="L825" s="8">
        <v>3</v>
      </c>
      <c r="M8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25" s="8" t="str" cm="1">
        <f t="array" ref="N825">_xlfn.IFS(HR_Analytics56[[#This Row],[PerformanceRating]]=3,"Good",HR_Analytics56[[#This Row],[PerformanceRating]]=4, "Excellent")</f>
        <v>Good</v>
      </c>
      <c r="O825" s="8" t="str">
        <f>IF(HR_Analytics56[[#This Row],[MonthlyIncome]]&lt;3000,"&lt; ₹3,000",IF(HR_Analytics56[[#This Row],[MonthlyIncome]]&lt;=7000,"₹ 3,000 - ₹ 7,000","&gt; ₹7,000"))</f>
        <v>&gt; ₹7,000</v>
      </c>
      <c r="P825" s="8" t="str" cm="1">
        <f t="array" ref="P8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6" spans="1:16" x14ac:dyDescent="0.8">
      <c r="A826" s="5" t="s">
        <v>897</v>
      </c>
      <c r="B826" s="8">
        <v>37</v>
      </c>
      <c r="C826" s="5" t="s">
        <v>49</v>
      </c>
      <c r="D826" s="5" t="s">
        <v>42</v>
      </c>
      <c r="E826" s="5" t="s">
        <v>44</v>
      </c>
      <c r="F826" s="5" t="s">
        <v>112</v>
      </c>
      <c r="G826" s="8">
        <v>3</v>
      </c>
      <c r="H826" s="8">
        <v>9434</v>
      </c>
      <c r="I826" s="5" t="s">
        <v>49</v>
      </c>
      <c r="J826" s="8">
        <v>3</v>
      </c>
      <c r="K826" s="8">
        <v>2</v>
      </c>
      <c r="L826" s="8">
        <v>10</v>
      </c>
      <c r="M8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6" s="8" t="str" cm="1">
        <f t="array" ref="N826">_xlfn.IFS(HR_Analytics56[[#This Row],[PerformanceRating]]=3,"Good",HR_Analytics56[[#This Row],[PerformanceRating]]=4, "Excellent")</f>
        <v>Good</v>
      </c>
      <c r="O826" s="8" t="str">
        <f>IF(HR_Analytics56[[#This Row],[MonthlyIncome]]&lt;3000,"&lt; ₹3,000",IF(HR_Analytics56[[#This Row],[MonthlyIncome]]&lt;=7000,"₹ 3,000 - ₹ 7,000","&gt; ₹7,000"))</f>
        <v>&gt; ₹7,000</v>
      </c>
      <c r="P826" s="8" t="str" cm="1">
        <f t="array" ref="P8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7" spans="1:16" x14ac:dyDescent="0.8">
      <c r="A827" s="5" t="s">
        <v>898</v>
      </c>
      <c r="B827" s="8">
        <v>37</v>
      </c>
      <c r="C827" s="5" t="s">
        <v>49</v>
      </c>
      <c r="D827" s="5" t="s">
        <v>42</v>
      </c>
      <c r="E827" s="5" t="s">
        <v>44</v>
      </c>
      <c r="F827" s="5" t="s">
        <v>60</v>
      </c>
      <c r="G827" s="8">
        <v>4</v>
      </c>
      <c r="H827" s="8">
        <v>4680</v>
      </c>
      <c r="I827" s="5" t="s">
        <v>49</v>
      </c>
      <c r="J827" s="8">
        <v>3</v>
      </c>
      <c r="K827" s="8">
        <v>2</v>
      </c>
      <c r="L827" s="8">
        <v>1</v>
      </c>
      <c r="M8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7" s="8" t="str" cm="1">
        <f t="array" ref="N827">_xlfn.IFS(HR_Analytics56[[#This Row],[PerformanceRating]]=3,"Good",HR_Analytics56[[#This Row],[PerformanceRating]]=4, "Excellent")</f>
        <v>Good</v>
      </c>
      <c r="O827" s="8" t="str">
        <f>IF(HR_Analytics56[[#This Row],[MonthlyIncome]]&lt;3000,"&lt; ₹3,000",IF(HR_Analytics56[[#This Row],[MonthlyIncome]]&lt;=7000,"₹ 3,000 - ₹ 7,000","&gt; ₹7,000"))</f>
        <v>₹ 3,000 - ₹ 7,000</v>
      </c>
      <c r="P827" s="8" t="str" cm="1">
        <f t="array" ref="P8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8" spans="1:16" x14ac:dyDescent="0.8">
      <c r="A828" s="5" t="s">
        <v>899</v>
      </c>
      <c r="B828" s="8">
        <v>37</v>
      </c>
      <c r="C828" s="5" t="s">
        <v>49</v>
      </c>
      <c r="D828" s="5" t="s">
        <v>42</v>
      </c>
      <c r="E828" s="5" t="s">
        <v>53</v>
      </c>
      <c r="F828" s="5" t="s">
        <v>60</v>
      </c>
      <c r="G828" s="8">
        <v>1</v>
      </c>
      <c r="H828" s="8">
        <v>2782</v>
      </c>
      <c r="I828" s="5" t="s">
        <v>40</v>
      </c>
      <c r="J828" s="8">
        <v>3</v>
      </c>
      <c r="K828" s="8">
        <v>3</v>
      </c>
      <c r="L828" s="8">
        <v>5</v>
      </c>
      <c r="M8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28" s="8" t="str" cm="1">
        <f t="array" ref="N828">_xlfn.IFS(HR_Analytics56[[#This Row],[PerformanceRating]]=3,"Good",HR_Analytics56[[#This Row],[PerformanceRating]]=4, "Excellent")</f>
        <v>Good</v>
      </c>
      <c r="O828" s="8" t="str">
        <f>IF(HR_Analytics56[[#This Row],[MonthlyIncome]]&lt;3000,"&lt; ₹3,000",IF(HR_Analytics56[[#This Row],[MonthlyIncome]]&lt;=7000,"₹ 3,000 - ₹ 7,000","&gt; ₹7,000"))</f>
        <v>&lt; ₹3,000</v>
      </c>
      <c r="P828" s="8" t="str" cm="1">
        <f t="array" ref="P8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29" spans="1:16" x14ac:dyDescent="0.8">
      <c r="A829" s="5" t="s">
        <v>900</v>
      </c>
      <c r="B829" s="8">
        <v>37</v>
      </c>
      <c r="C829" s="5" t="s">
        <v>49</v>
      </c>
      <c r="D829" s="5" t="s">
        <v>51</v>
      </c>
      <c r="E829" s="5" t="s">
        <v>44</v>
      </c>
      <c r="F829" s="5" t="s">
        <v>137</v>
      </c>
      <c r="G829" s="8">
        <v>3</v>
      </c>
      <c r="H829" s="8">
        <v>6334</v>
      </c>
      <c r="I829" s="5" t="s">
        <v>49</v>
      </c>
      <c r="J829" s="8">
        <v>3</v>
      </c>
      <c r="K829" s="8">
        <v>2</v>
      </c>
      <c r="L829" s="8">
        <v>1</v>
      </c>
      <c r="M8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29" s="8" t="str" cm="1">
        <f t="array" ref="N829">_xlfn.IFS(HR_Analytics56[[#This Row],[PerformanceRating]]=3,"Good",HR_Analytics56[[#This Row],[PerformanceRating]]=4, "Excellent")</f>
        <v>Good</v>
      </c>
      <c r="O829" s="8" t="str">
        <f>IF(HR_Analytics56[[#This Row],[MonthlyIncome]]&lt;3000,"&lt; ₹3,000",IF(HR_Analytics56[[#This Row],[MonthlyIncome]]&lt;=7000,"₹ 3,000 - ₹ 7,000","&gt; ₹7,000"))</f>
        <v>₹ 3,000 - ₹ 7,000</v>
      </c>
      <c r="P829" s="8" t="str" cm="1">
        <f t="array" ref="P8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0" spans="1:16" x14ac:dyDescent="0.8">
      <c r="A830" s="5" t="s">
        <v>901</v>
      </c>
      <c r="B830" s="8">
        <v>37</v>
      </c>
      <c r="C830" s="5" t="s">
        <v>49</v>
      </c>
      <c r="D830" s="5" t="s">
        <v>51</v>
      </c>
      <c r="E830" s="5" t="s">
        <v>53</v>
      </c>
      <c r="F830" s="5" t="s">
        <v>54</v>
      </c>
      <c r="G830" s="8">
        <v>4</v>
      </c>
      <c r="H830" s="8">
        <v>2973</v>
      </c>
      <c r="I830" s="5" t="s">
        <v>49</v>
      </c>
      <c r="J830" s="8">
        <v>3</v>
      </c>
      <c r="K830" s="8">
        <v>3</v>
      </c>
      <c r="L830" s="8">
        <v>5</v>
      </c>
      <c r="M8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30" s="8" t="str" cm="1">
        <f t="array" ref="N830">_xlfn.IFS(HR_Analytics56[[#This Row],[PerformanceRating]]=3,"Good",HR_Analytics56[[#This Row],[PerformanceRating]]=4, "Excellent")</f>
        <v>Good</v>
      </c>
      <c r="O830" s="8" t="str">
        <f>IF(HR_Analytics56[[#This Row],[MonthlyIncome]]&lt;3000,"&lt; ₹3,000",IF(HR_Analytics56[[#This Row],[MonthlyIncome]]&lt;=7000,"₹ 3,000 - ₹ 7,000","&gt; ₹7,000"))</f>
        <v>&lt; ₹3,000</v>
      </c>
      <c r="P830" s="8" t="str" cm="1">
        <f t="array" ref="P8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1" spans="1:16" x14ac:dyDescent="0.8">
      <c r="A831" s="5" t="s">
        <v>902</v>
      </c>
      <c r="B831" s="8">
        <v>37</v>
      </c>
      <c r="C831" s="5" t="s">
        <v>49</v>
      </c>
      <c r="D831" s="5" t="s">
        <v>51</v>
      </c>
      <c r="E831" s="5" t="s">
        <v>44</v>
      </c>
      <c r="F831" s="5" t="s">
        <v>137</v>
      </c>
      <c r="G831" s="8">
        <v>2</v>
      </c>
      <c r="H831" s="8">
        <v>7642</v>
      </c>
      <c r="I831" s="5" t="s">
        <v>40</v>
      </c>
      <c r="J831" s="8">
        <v>3</v>
      </c>
      <c r="K831" s="8">
        <v>2</v>
      </c>
      <c r="L831" s="8">
        <v>10</v>
      </c>
      <c r="M8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1" s="8" t="str" cm="1">
        <f t="array" ref="N831">_xlfn.IFS(HR_Analytics56[[#This Row],[PerformanceRating]]=3,"Good",HR_Analytics56[[#This Row],[PerformanceRating]]=4, "Excellent")</f>
        <v>Good</v>
      </c>
      <c r="O831" s="8" t="str">
        <f>IF(HR_Analytics56[[#This Row],[MonthlyIncome]]&lt;3000,"&lt; ₹3,000",IF(HR_Analytics56[[#This Row],[MonthlyIncome]]&lt;=7000,"₹ 3,000 - ₹ 7,000","&gt; ₹7,000"))</f>
        <v>&gt; ₹7,000</v>
      </c>
      <c r="P831" s="8" t="str" cm="1">
        <f t="array" ref="P8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2" spans="1:16" x14ac:dyDescent="0.8">
      <c r="A832" s="5" t="s">
        <v>903</v>
      </c>
      <c r="B832" s="8">
        <v>37</v>
      </c>
      <c r="C832" s="5" t="s">
        <v>40</v>
      </c>
      <c r="D832" s="5" t="s">
        <v>51</v>
      </c>
      <c r="E832" s="5" t="s">
        <v>44</v>
      </c>
      <c r="F832" s="5" t="s">
        <v>137</v>
      </c>
      <c r="G832" s="8">
        <v>3</v>
      </c>
      <c r="H832" s="8">
        <v>10609</v>
      </c>
      <c r="I832" s="5" t="s">
        <v>49</v>
      </c>
      <c r="J832" s="8">
        <v>3</v>
      </c>
      <c r="K832" s="8">
        <v>2</v>
      </c>
      <c r="L832" s="8">
        <v>14</v>
      </c>
      <c r="M8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2" s="8" t="str" cm="1">
        <f t="array" ref="N832">_xlfn.IFS(HR_Analytics56[[#This Row],[PerformanceRating]]=3,"Good",HR_Analytics56[[#This Row],[PerformanceRating]]=4, "Excellent")</f>
        <v>Good</v>
      </c>
      <c r="O832" s="8" t="str">
        <f>IF(HR_Analytics56[[#This Row],[MonthlyIncome]]&lt;3000,"&lt; ₹3,000",IF(HR_Analytics56[[#This Row],[MonthlyIncome]]&lt;=7000,"₹ 3,000 - ₹ 7,000","&gt; ₹7,000"))</f>
        <v>&gt; ₹7,000</v>
      </c>
      <c r="P832" s="8" t="str" cm="1">
        <f t="array" ref="P8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3" spans="1:16" x14ac:dyDescent="0.8">
      <c r="A833" s="5" t="s">
        <v>904</v>
      </c>
      <c r="B833" s="8">
        <v>37</v>
      </c>
      <c r="C833" s="5" t="s">
        <v>40</v>
      </c>
      <c r="D833" s="5" t="s">
        <v>42</v>
      </c>
      <c r="E833" s="5" t="s">
        <v>53</v>
      </c>
      <c r="F833" s="5" t="s">
        <v>161</v>
      </c>
      <c r="G833" s="8">
        <v>2</v>
      </c>
      <c r="H833" s="8">
        <v>4777</v>
      </c>
      <c r="I833" s="5" t="s">
        <v>49</v>
      </c>
      <c r="J833" s="8">
        <v>3</v>
      </c>
      <c r="K833" s="8">
        <v>2</v>
      </c>
      <c r="L833" s="8">
        <v>1</v>
      </c>
      <c r="M8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3" s="8" t="str" cm="1">
        <f t="array" ref="N833">_xlfn.IFS(HR_Analytics56[[#This Row],[PerformanceRating]]=3,"Good",HR_Analytics56[[#This Row],[PerformanceRating]]=4, "Excellent")</f>
        <v>Good</v>
      </c>
      <c r="O833" s="8" t="str">
        <f>IF(HR_Analytics56[[#This Row],[MonthlyIncome]]&lt;3000,"&lt; ₹3,000",IF(HR_Analytics56[[#This Row],[MonthlyIncome]]&lt;=7000,"₹ 3,000 - ₹ 7,000","&gt; ₹7,000"))</f>
        <v>₹ 3,000 - ₹ 7,000</v>
      </c>
      <c r="P833" s="8" t="str" cm="1">
        <f t="array" ref="P8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4" spans="1:16" x14ac:dyDescent="0.8">
      <c r="A834" s="5" t="s">
        <v>905</v>
      </c>
      <c r="B834" s="8">
        <v>37</v>
      </c>
      <c r="C834" s="5" t="s">
        <v>49</v>
      </c>
      <c r="D834" s="5" t="s">
        <v>42</v>
      </c>
      <c r="E834" s="5" t="s">
        <v>53</v>
      </c>
      <c r="F834" s="5" t="s">
        <v>161</v>
      </c>
      <c r="G834" s="8">
        <v>2</v>
      </c>
      <c r="H834" s="8">
        <v>4107</v>
      </c>
      <c r="I834" s="5" t="s">
        <v>49</v>
      </c>
      <c r="J834" s="8">
        <v>3</v>
      </c>
      <c r="K834" s="8">
        <v>3</v>
      </c>
      <c r="L834" s="8">
        <v>4</v>
      </c>
      <c r="M8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34" s="8" t="str" cm="1">
        <f t="array" ref="N834">_xlfn.IFS(HR_Analytics56[[#This Row],[PerformanceRating]]=3,"Good",HR_Analytics56[[#This Row],[PerformanceRating]]=4, "Excellent")</f>
        <v>Good</v>
      </c>
      <c r="O834" s="8" t="str">
        <f>IF(HR_Analytics56[[#This Row],[MonthlyIncome]]&lt;3000,"&lt; ₹3,000",IF(HR_Analytics56[[#This Row],[MonthlyIncome]]&lt;=7000,"₹ 3,000 - ₹ 7,000","&gt; ₹7,000"))</f>
        <v>₹ 3,000 - ₹ 7,000</v>
      </c>
      <c r="P834" s="8" t="str" cm="1">
        <f t="array" ref="P8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5" spans="1:16" x14ac:dyDescent="0.8">
      <c r="A835" s="5" t="s">
        <v>906</v>
      </c>
      <c r="B835" s="8">
        <v>37</v>
      </c>
      <c r="C835" s="5" t="s">
        <v>49</v>
      </c>
      <c r="D835" s="5" t="s">
        <v>51</v>
      </c>
      <c r="E835" s="5" t="s">
        <v>53</v>
      </c>
      <c r="F835" s="5" t="s">
        <v>137</v>
      </c>
      <c r="G835" s="8">
        <v>4</v>
      </c>
      <c r="H835" s="8">
        <v>6694</v>
      </c>
      <c r="I835" s="5" t="s">
        <v>40</v>
      </c>
      <c r="J835" s="8">
        <v>3</v>
      </c>
      <c r="K835" s="8">
        <v>5</v>
      </c>
      <c r="L835" s="8">
        <v>1</v>
      </c>
      <c r="M8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5" s="8" t="str" cm="1">
        <f t="array" ref="N835">_xlfn.IFS(HR_Analytics56[[#This Row],[PerformanceRating]]=3,"Good",HR_Analytics56[[#This Row],[PerformanceRating]]=4, "Excellent")</f>
        <v>Good</v>
      </c>
      <c r="O835" s="8" t="str">
        <f>IF(HR_Analytics56[[#This Row],[MonthlyIncome]]&lt;3000,"&lt; ₹3,000",IF(HR_Analytics56[[#This Row],[MonthlyIncome]]&lt;=7000,"₹ 3,000 - ₹ 7,000","&gt; ₹7,000"))</f>
        <v>₹ 3,000 - ₹ 7,000</v>
      </c>
      <c r="P835" s="8" t="str" cm="1">
        <f t="array" ref="P8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6" spans="1:16" x14ac:dyDescent="0.8">
      <c r="A836" s="5" t="s">
        <v>907</v>
      </c>
      <c r="B836" s="8">
        <v>37</v>
      </c>
      <c r="C836" s="5" t="s">
        <v>49</v>
      </c>
      <c r="D836" s="5" t="s">
        <v>42</v>
      </c>
      <c r="E836" s="5" t="s">
        <v>53</v>
      </c>
      <c r="F836" s="5" t="s">
        <v>161</v>
      </c>
      <c r="G836" s="8">
        <v>4</v>
      </c>
      <c r="H836" s="8">
        <v>5731</v>
      </c>
      <c r="I836" s="5" t="s">
        <v>49</v>
      </c>
      <c r="J836" s="8">
        <v>3</v>
      </c>
      <c r="K836" s="8">
        <v>2</v>
      </c>
      <c r="L836" s="8">
        <v>6</v>
      </c>
      <c r="M8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36" s="8" t="str" cm="1">
        <f t="array" ref="N836">_xlfn.IFS(HR_Analytics56[[#This Row],[PerformanceRating]]=3,"Good",HR_Analytics56[[#This Row],[PerformanceRating]]=4, "Excellent")</f>
        <v>Good</v>
      </c>
      <c r="O836" s="8" t="str">
        <f>IF(HR_Analytics56[[#This Row],[MonthlyIncome]]&lt;3000,"&lt; ₹3,000",IF(HR_Analytics56[[#This Row],[MonthlyIncome]]&lt;=7000,"₹ 3,000 - ₹ 7,000","&gt; ₹7,000"))</f>
        <v>₹ 3,000 - ₹ 7,000</v>
      </c>
      <c r="P836" s="8" t="str" cm="1">
        <f t="array" ref="P8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7" spans="1:16" x14ac:dyDescent="0.8">
      <c r="A837" s="5" t="s">
        <v>908</v>
      </c>
      <c r="B837" s="8">
        <v>37</v>
      </c>
      <c r="C837" s="5" t="s">
        <v>49</v>
      </c>
      <c r="D837" s="5" t="s">
        <v>42</v>
      </c>
      <c r="E837" s="5" t="s">
        <v>53</v>
      </c>
      <c r="F837" s="5" t="s">
        <v>112</v>
      </c>
      <c r="G837" s="8">
        <v>4</v>
      </c>
      <c r="H837" s="8">
        <v>6474</v>
      </c>
      <c r="I837" s="5" t="s">
        <v>49</v>
      </c>
      <c r="J837" s="8">
        <v>3</v>
      </c>
      <c r="K837" s="8">
        <v>2</v>
      </c>
      <c r="L837" s="8">
        <v>14</v>
      </c>
      <c r="M8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37" s="8" t="str" cm="1">
        <f t="array" ref="N837">_xlfn.IFS(HR_Analytics56[[#This Row],[PerformanceRating]]=3,"Good",HR_Analytics56[[#This Row],[PerformanceRating]]=4, "Excellent")</f>
        <v>Good</v>
      </c>
      <c r="O837" s="8" t="str">
        <f>IF(HR_Analytics56[[#This Row],[MonthlyIncome]]&lt;3000,"&lt; ₹3,000",IF(HR_Analytics56[[#This Row],[MonthlyIncome]]&lt;=7000,"₹ 3,000 - ₹ 7,000","&gt; ₹7,000"))</f>
        <v>₹ 3,000 - ₹ 7,000</v>
      </c>
      <c r="P837" s="8" t="str" cm="1">
        <f t="array" ref="P8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8" spans="1:16" x14ac:dyDescent="0.8">
      <c r="A838" s="5" t="s">
        <v>909</v>
      </c>
      <c r="B838" s="8">
        <v>37</v>
      </c>
      <c r="C838" s="5" t="s">
        <v>49</v>
      </c>
      <c r="D838" s="5" t="s">
        <v>42</v>
      </c>
      <c r="E838" s="5" t="s">
        <v>44</v>
      </c>
      <c r="F838" s="5" t="s">
        <v>60</v>
      </c>
      <c r="G838" s="8">
        <v>3</v>
      </c>
      <c r="H838" s="8">
        <v>2996</v>
      </c>
      <c r="I838" s="5" t="s">
        <v>40</v>
      </c>
      <c r="J838" s="8">
        <v>3</v>
      </c>
      <c r="K838" s="8">
        <v>2</v>
      </c>
      <c r="L838" s="8">
        <v>6</v>
      </c>
      <c r="M8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38" s="8" t="str" cm="1">
        <f t="array" ref="N838">_xlfn.IFS(HR_Analytics56[[#This Row],[PerformanceRating]]=3,"Good",HR_Analytics56[[#This Row],[PerformanceRating]]=4, "Excellent")</f>
        <v>Good</v>
      </c>
      <c r="O838" s="8" t="str">
        <f>IF(HR_Analytics56[[#This Row],[MonthlyIncome]]&lt;3000,"&lt; ₹3,000",IF(HR_Analytics56[[#This Row],[MonthlyIncome]]&lt;=7000,"₹ 3,000 - ₹ 7,000","&gt; ₹7,000"))</f>
        <v>&lt; ₹3,000</v>
      </c>
      <c r="P838" s="8" t="str" cm="1">
        <f t="array" ref="P8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39" spans="1:16" x14ac:dyDescent="0.8">
      <c r="A839" s="5" t="s">
        <v>910</v>
      </c>
      <c r="B839" s="8">
        <v>37</v>
      </c>
      <c r="C839" s="5" t="s">
        <v>49</v>
      </c>
      <c r="D839" s="5" t="s">
        <v>42</v>
      </c>
      <c r="E839" s="5" t="s">
        <v>53</v>
      </c>
      <c r="F839" s="5" t="s">
        <v>45</v>
      </c>
      <c r="G839" s="8">
        <v>3</v>
      </c>
      <c r="H839" s="8">
        <v>3629</v>
      </c>
      <c r="I839" s="5" t="s">
        <v>49</v>
      </c>
      <c r="J839" s="8">
        <v>3</v>
      </c>
      <c r="K839" s="8">
        <v>6</v>
      </c>
      <c r="L839" s="8">
        <v>3</v>
      </c>
      <c r="M8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39" s="8" t="str" cm="1">
        <f t="array" ref="N839">_xlfn.IFS(HR_Analytics56[[#This Row],[PerformanceRating]]=3,"Good",HR_Analytics56[[#This Row],[PerformanceRating]]=4, "Excellent")</f>
        <v>Good</v>
      </c>
      <c r="O839" s="8" t="str">
        <f>IF(HR_Analytics56[[#This Row],[MonthlyIncome]]&lt;3000,"&lt; ₹3,000",IF(HR_Analytics56[[#This Row],[MonthlyIncome]]&lt;=7000,"₹ 3,000 - ₹ 7,000","&gt; ₹7,000"))</f>
        <v>₹ 3,000 - ₹ 7,000</v>
      </c>
      <c r="P839" s="8" t="str" cm="1">
        <f t="array" ref="P8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0" spans="1:16" x14ac:dyDescent="0.8">
      <c r="A840" s="5" t="s">
        <v>911</v>
      </c>
      <c r="B840" s="8">
        <v>37</v>
      </c>
      <c r="C840" s="5" t="s">
        <v>49</v>
      </c>
      <c r="D840" s="5" t="s">
        <v>42</v>
      </c>
      <c r="E840" s="5" t="s">
        <v>44</v>
      </c>
      <c r="F840" s="5" t="s">
        <v>45</v>
      </c>
      <c r="G840" s="8">
        <v>3</v>
      </c>
      <c r="H840" s="8">
        <v>3500</v>
      </c>
      <c r="I840" s="5" t="s">
        <v>49</v>
      </c>
      <c r="J840" s="8">
        <v>3</v>
      </c>
      <c r="K840" s="8">
        <v>2</v>
      </c>
      <c r="L840" s="8">
        <v>6</v>
      </c>
      <c r="M8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0" s="8" t="str" cm="1">
        <f t="array" ref="N840">_xlfn.IFS(HR_Analytics56[[#This Row],[PerformanceRating]]=3,"Good",HR_Analytics56[[#This Row],[PerformanceRating]]=4, "Excellent")</f>
        <v>Good</v>
      </c>
      <c r="O840" s="8" t="str">
        <f>IF(HR_Analytics56[[#This Row],[MonthlyIncome]]&lt;3000,"&lt; ₹3,000",IF(HR_Analytics56[[#This Row],[MonthlyIncome]]&lt;=7000,"₹ 3,000 - ₹ 7,000","&gt; ₹7,000"))</f>
        <v>₹ 3,000 - ₹ 7,000</v>
      </c>
      <c r="P840" s="8" t="str" cm="1">
        <f t="array" ref="P8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1" spans="1:16" x14ac:dyDescent="0.8">
      <c r="A841" s="5" t="s">
        <v>912</v>
      </c>
      <c r="B841" s="8">
        <v>37</v>
      </c>
      <c r="C841" s="5" t="s">
        <v>49</v>
      </c>
      <c r="D841" s="5" t="s">
        <v>42</v>
      </c>
      <c r="E841" s="5" t="s">
        <v>44</v>
      </c>
      <c r="F841" s="5" t="s">
        <v>60</v>
      </c>
      <c r="G841" s="8">
        <v>4</v>
      </c>
      <c r="H841" s="8">
        <v>4285</v>
      </c>
      <c r="I841" s="5" t="s">
        <v>49</v>
      </c>
      <c r="J841" s="8">
        <v>3</v>
      </c>
      <c r="K841" s="8">
        <v>2</v>
      </c>
      <c r="L841" s="8">
        <v>10</v>
      </c>
      <c r="M8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1" s="8" t="str" cm="1">
        <f t="array" ref="N841">_xlfn.IFS(HR_Analytics56[[#This Row],[PerformanceRating]]=3,"Good",HR_Analytics56[[#This Row],[PerformanceRating]]=4, "Excellent")</f>
        <v>Good</v>
      </c>
      <c r="O841" s="8" t="str">
        <f>IF(HR_Analytics56[[#This Row],[MonthlyIncome]]&lt;3000,"&lt; ₹3,000",IF(HR_Analytics56[[#This Row],[MonthlyIncome]]&lt;=7000,"₹ 3,000 - ₹ 7,000","&gt; ₹7,000"))</f>
        <v>₹ 3,000 - ₹ 7,000</v>
      </c>
      <c r="P841" s="8" t="str" cm="1">
        <f t="array" ref="P8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2" spans="1:16" x14ac:dyDescent="0.8">
      <c r="A842" s="5" t="s">
        <v>913</v>
      </c>
      <c r="B842" s="8">
        <v>37</v>
      </c>
      <c r="C842" s="5" t="s">
        <v>49</v>
      </c>
      <c r="D842" s="5" t="s">
        <v>42</v>
      </c>
      <c r="E842" s="5" t="s">
        <v>44</v>
      </c>
      <c r="F842" s="5" t="s">
        <v>112</v>
      </c>
      <c r="G842" s="8">
        <v>3</v>
      </c>
      <c r="H842" s="8">
        <v>5768</v>
      </c>
      <c r="I842" s="5" t="s">
        <v>49</v>
      </c>
      <c r="J842" s="8">
        <v>3</v>
      </c>
      <c r="K842" s="8">
        <v>2</v>
      </c>
      <c r="L842" s="8">
        <v>4</v>
      </c>
      <c r="M8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2" s="8" t="str" cm="1">
        <f t="array" ref="N842">_xlfn.IFS(HR_Analytics56[[#This Row],[PerformanceRating]]=3,"Good",HR_Analytics56[[#This Row],[PerformanceRating]]=4, "Excellent")</f>
        <v>Good</v>
      </c>
      <c r="O842" s="8" t="str">
        <f>IF(HR_Analytics56[[#This Row],[MonthlyIncome]]&lt;3000,"&lt; ₹3,000",IF(HR_Analytics56[[#This Row],[MonthlyIncome]]&lt;=7000,"₹ 3,000 - ₹ 7,000","&gt; ₹7,000"))</f>
        <v>₹ 3,000 - ₹ 7,000</v>
      </c>
      <c r="P842" s="8" t="str" cm="1">
        <f t="array" ref="P8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3" spans="1:16" x14ac:dyDescent="0.8">
      <c r="A843" s="5" t="s">
        <v>914</v>
      </c>
      <c r="B843" s="8">
        <v>37</v>
      </c>
      <c r="C843" s="5" t="s">
        <v>49</v>
      </c>
      <c r="D843" s="5" t="s">
        <v>42</v>
      </c>
      <c r="E843" s="5" t="s">
        <v>53</v>
      </c>
      <c r="F843" s="5" t="s">
        <v>60</v>
      </c>
      <c r="G843" s="8">
        <v>2</v>
      </c>
      <c r="H843" s="8">
        <v>3936</v>
      </c>
      <c r="I843" s="5" t="s">
        <v>49</v>
      </c>
      <c r="J843" s="8">
        <v>3</v>
      </c>
      <c r="K843" s="8">
        <v>2</v>
      </c>
      <c r="L843" s="8">
        <v>8</v>
      </c>
      <c r="M8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3" s="8" t="str" cm="1">
        <f t="array" ref="N843">_xlfn.IFS(HR_Analytics56[[#This Row],[PerformanceRating]]=3,"Good",HR_Analytics56[[#This Row],[PerformanceRating]]=4, "Excellent")</f>
        <v>Good</v>
      </c>
      <c r="O843" s="8" t="str">
        <f>IF(HR_Analytics56[[#This Row],[MonthlyIncome]]&lt;3000,"&lt; ₹3,000",IF(HR_Analytics56[[#This Row],[MonthlyIncome]]&lt;=7000,"₹ 3,000 - ₹ 7,000","&gt; ₹7,000"))</f>
        <v>₹ 3,000 - ₹ 7,000</v>
      </c>
      <c r="P843" s="8" t="str" cm="1">
        <f t="array" ref="P8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4" spans="1:16" x14ac:dyDescent="0.8">
      <c r="A844" s="5" t="s">
        <v>915</v>
      </c>
      <c r="B844" s="8">
        <v>37</v>
      </c>
      <c r="C844" s="5" t="s">
        <v>49</v>
      </c>
      <c r="D844" s="5" t="s">
        <v>51</v>
      </c>
      <c r="E844" s="5" t="s">
        <v>44</v>
      </c>
      <c r="F844" s="5" t="s">
        <v>137</v>
      </c>
      <c r="G844" s="8">
        <v>4</v>
      </c>
      <c r="H844" s="8">
        <v>9525</v>
      </c>
      <c r="I844" s="5" t="s">
        <v>49</v>
      </c>
      <c r="J844" s="8">
        <v>3</v>
      </c>
      <c r="K844" s="8">
        <v>2</v>
      </c>
      <c r="L844" s="8">
        <v>6</v>
      </c>
      <c r="M8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4" s="8" t="str" cm="1">
        <f t="array" ref="N844">_xlfn.IFS(HR_Analytics56[[#This Row],[PerformanceRating]]=3,"Good",HR_Analytics56[[#This Row],[PerformanceRating]]=4, "Excellent")</f>
        <v>Good</v>
      </c>
      <c r="O844" s="8" t="str">
        <f>IF(HR_Analytics56[[#This Row],[MonthlyIncome]]&lt;3000,"&lt; ₹3,000",IF(HR_Analytics56[[#This Row],[MonthlyIncome]]&lt;=7000,"₹ 3,000 - ₹ 7,000","&gt; ₹7,000"))</f>
        <v>&gt; ₹7,000</v>
      </c>
      <c r="P844" s="8" t="str" cm="1">
        <f t="array" ref="P8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5" spans="1:16" x14ac:dyDescent="0.8">
      <c r="A845" s="5" t="s">
        <v>916</v>
      </c>
      <c r="B845" s="8">
        <v>37</v>
      </c>
      <c r="C845" s="5" t="s">
        <v>49</v>
      </c>
      <c r="D845" s="5" t="s">
        <v>51</v>
      </c>
      <c r="E845" s="5" t="s">
        <v>44</v>
      </c>
      <c r="F845" s="5" t="s">
        <v>137</v>
      </c>
      <c r="G845" s="8">
        <v>2</v>
      </c>
      <c r="H845" s="8">
        <v>4189</v>
      </c>
      <c r="I845" s="5" t="s">
        <v>49</v>
      </c>
      <c r="J845" s="8">
        <v>3</v>
      </c>
      <c r="K845" s="8">
        <v>2</v>
      </c>
      <c r="L845" s="8">
        <v>5</v>
      </c>
      <c r="M8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5" s="8" t="str" cm="1">
        <f t="array" ref="N845">_xlfn.IFS(HR_Analytics56[[#This Row],[PerformanceRating]]=3,"Good",HR_Analytics56[[#This Row],[PerformanceRating]]=4, "Excellent")</f>
        <v>Good</v>
      </c>
      <c r="O845" s="8" t="str">
        <f>IF(HR_Analytics56[[#This Row],[MonthlyIncome]]&lt;3000,"&lt; ₹3,000",IF(HR_Analytics56[[#This Row],[MonthlyIncome]]&lt;=7000,"₹ 3,000 - ₹ 7,000","&gt; ₹7,000"))</f>
        <v>₹ 3,000 - ₹ 7,000</v>
      </c>
      <c r="P845" s="8" t="str" cm="1">
        <f t="array" ref="P8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6" spans="1:16" x14ac:dyDescent="0.8">
      <c r="A846" s="5" t="s">
        <v>917</v>
      </c>
      <c r="B846" s="8">
        <v>37</v>
      </c>
      <c r="C846" s="5" t="s">
        <v>49</v>
      </c>
      <c r="D846" s="5" t="s">
        <v>71</v>
      </c>
      <c r="E846" s="5" t="s">
        <v>44</v>
      </c>
      <c r="F846" s="5" t="s">
        <v>71</v>
      </c>
      <c r="G846" s="8">
        <v>2</v>
      </c>
      <c r="H846" s="8">
        <v>4071</v>
      </c>
      <c r="I846" s="5" t="s">
        <v>49</v>
      </c>
      <c r="J846" s="8">
        <v>3</v>
      </c>
      <c r="K846" s="8">
        <v>4</v>
      </c>
      <c r="L846" s="8">
        <v>10</v>
      </c>
      <c r="M8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46" s="8" t="str" cm="1">
        <f t="array" ref="N846">_xlfn.IFS(HR_Analytics56[[#This Row],[PerformanceRating]]=3,"Good",HR_Analytics56[[#This Row],[PerformanceRating]]=4, "Excellent")</f>
        <v>Good</v>
      </c>
      <c r="O846" s="8" t="str">
        <f>IF(HR_Analytics56[[#This Row],[MonthlyIncome]]&lt;3000,"&lt; ₹3,000",IF(HR_Analytics56[[#This Row],[MonthlyIncome]]&lt;=7000,"₹ 3,000 - ₹ 7,000","&gt; ₹7,000"))</f>
        <v>₹ 3,000 - ₹ 7,000</v>
      </c>
      <c r="P846" s="8" t="str" cm="1">
        <f t="array" ref="P8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7" spans="1:16" x14ac:dyDescent="0.8">
      <c r="A847" s="5" t="s">
        <v>918</v>
      </c>
      <c r="B847" s="8">
        <v>37</v>
      </c>
      <c r="C847" s="5" t="s">
        <v>40</v>
      </c>
      <c r="D847" s="5" t="s">
        <v>42</v>
      </c>
      <c r="E847" s="5" t="s">
        <v>44</v>
      </c>
      <c r="F847" s="5" t="s">
        <v>112</v>
      </c>
      <c r="G847" s="8">
        <v>1</v>
      </c>
      <c r="H847" s="8">
        <v>4213</v>
      </c>
      <c r="I847" s="5" t="s">
        <v>49</v>
      </c>
      <c r="J847" s="8">
        <v>3</v>
      </c>
      <c r="K847" s="8">
        <v>4</v>
      </c>
      <c r="L847" s="8">
        <v>10</v>
      </c>
      <c r="M8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47" s="8" t="str" cm="1">
        <f t="array" ref="N847">_xlfn.IFS(HR_Analytics56[[#This Row],[PerformanceRating]]=3,"Good",HR_Analytics56[[#This Row],[PerformanceRating]]=4, "Excellent")</f>
        <v>Good</v>
      </c>
      <c r="O847" s="8" t="str">
        <f>IF(HR_Analytics56[[#This Row],[MonthlyIncome]]&lt;3000,"&lt; ₹3,000",IF(HR_Analytics56[[#This Row],[MonthlyIncome]]&lt;=7000,"₹ 3,000 - ₹ 7,000","&gt; ₹7,000"))</f>
        <v>₹ 3,000 - ₹ 7,000</v>
      </c>
      <c r="P847" s="8" t="str" cm="1">
        <f t="array" ref="P8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8" spans="1:16" x14ac:dyDescent="0.8">
      <c r="A848" s="5" t="s">
        <v>919</v>
      </c>
      <c r="B848" s="8">
        <v>37</v>
      </c>
      <c r="C848" s="5" t="s">
        <v>49</v>
      </c>
      <c r="D848" s="5" t="s">
        <v>42</v>
      </c>
      <c r="E848" s="5" t="s">
        <v>44</v>
      </c>
      <c r="F848" s="5" t="s">
        <v>60</v>
      </c>
      <c r="G848" s="8">
        <v>1</v>
      </c>
      <c r="H848" s="8">
        <v>4284</v>
      </c>
      <c r="I848" s="5" t="s">
        <v>40</v>
      </c>
      <c r="J848" s="8">
        <v>4</v>
      </c>
      <c r="K848" s="8">
        <v>2</v>
      </c>
      <c r="L848" s="8">
        <v>5</v>
      </c>
      <c r="M8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48" s="8" t="str" cm="1">
        <f t="array" ref="N848">_xlfn.IFS(HR_Analytics56[[#This Row],[PerformanceRating]]=3,"Good",HR_Analytics56[[#This Row],[PerformanceRating]]=4, "Excellent")</f>
        <v>Excellent</v>
      </c>
      <c r="O848" s="8" t="str">
        <f>IF(HR_Analytics56[[#This Row],[MonthlyIncome]]&lt;3000,"&lt; ₹3,000",IF(HR_Analytics56[[#This Row],[MonthlyIncome]]&lt;=7000,"₹ 3,000 - ₹ 7,000","&gt; ₹7,000"))</f>
        <v>₹ 3,000 - ₹ 7,000</v>
      </c>
      <c r="P848" s="8" t="str" cm="1">
        <f t="array" ref="P8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49" spans="1:16" x14ac:dyDescent="0.8">
      <c r="A849" s="5" t="s">
        <v>920</v>
      </c>
      <c r="B849" s="8">
        <v>37</v>
      </c>
      <c r="C849" s="5" t="s">
        <v>49</v>
      </c>
      <c r="D849" s="5" t="s">
        <v>42</v>
      </c>
      <c r="E849" s="5" t="s">
        <v>53</v>
      </c>
      <c r="F849" s="5" t="s">
        <v>252</v>
      </c>
      <c r="G849" s="8">
        <v>4</v>
      </c>
      <c r="H849" s="8">
        <v>13744</v>
      </c>
      <c r="I849" s="5" t="s">
        <v>40</v>
      </c>
      <c r="J849" s="8">
        <v>4</v>
      </c>
      <c r="K849" s="8">
        <v>2</v>
      </c>
      <c r="L849" s="8">
        <v>16</v>
      </c>
      <c r="M8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49" s="8" t="str" cm="1">
        <f t="array" ref="N849">_xlfn.IFS(HR_Analytics56[[#This Row],[PerformanceRating]]=3,"Good",HR_Analytics56[[#This Row],[PerformanceRating]]=4, "Excellent")</f>
        <v>Excellent</v>
      </c>
      <c r="O849" s="8" t="str">
        <f>IF(HR_Analytics56[[#This Row],[MonthlyIncome]]&lt;3000,"&lt; ₹3,000",IF(HR_Analytics56[[#This Row],[MonthlyIncome]]&lt;=7000,"₹ 3,000 - ₹ 7,000","&gt; ₹7,000"))</f>
        <v>&gt; ₹7,000</v>
      </c>
      <c r="P849" s="8" t="str" cm="1">
        <f t="array" ref="P8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0" spans="1:16" x14ac:dyDescent="0.8">
      <c r="A850" s="5" t="s">
        <v>921</v>
      </c>
      <c r="B850" s="8">
        <v>38</v>
      </c>
      <c r="C850" s="5" t="s">
        <v>49</v>
      </c>
      <c r="D850" s="5" t="s">
        <v>42</v>
      </c>
      <c r="E850" s="5" t="s">
        <v>44</v>
      </c>
      <c r="F850" s="5" t="s">
        <v>112</v>
      </c>
      <c r="G850" s="8">
        <v>3</v>
      </c>
      <c r="H850" s="8">
        <v>9526</v>
      </c>
      <c r="I850" s="5" t="s">
        <v>49</v>
      </c>
      <c r="J850" s="8">
        <v>4</v>
      </c>
      <c r="K850" s="8">
        <v>2</v>
      </c>
      <c r="L850" s="8">
        <v>9</v>
      </c>
      <c r="M8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0" s="8" t="str" cm="1">
        <f t="array" ref="N850">_xlfn.IFS(HR_Analytics56[[#This Row],[PerformanceRating]]=3,"Good",HR_Analytics56[[#This Row],[PerformanceRating]]=4, "Excellent")</f>
        <v>Excellent</v>
      </c>
      <c r="O850" s="8" t="str">
        <f>IF(HR_Analytics56[[#This Row],[MonthlyIncome]]&lt;3000,"&lt; ₹3,000",IF(HR_Analytics56[[#This Row],[MonthlyIncome]]&lt;=7000,"₹ 3,000 - ₹ 7,000","&gt; ₹7,000"))</f>
        <v>&gt; ₹7,000</v>
      </c>
      <c r="P850" s="8" t="str" cm="1">
        <f t="array" ref="P8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1" spans="1:16" x14ac:dyDescent="0.8">
      <c r="A851" s="5" t="s">
        <v>922</v>
      </c>
      <c r="B851" s="8">
        <v>38</v>
      </c>
      <c r="C851" s="5" t="s">
        <v>49</v>
      </c>
      <c r="D851" s="5" t="s">
        <v>42</v>
      </c>
      <c r="E851" s="5" t="s">
        <v>44</v>
      </c>
      <c r="F851" s="5" t="s">
        <v>60</v>
      </c>
      <c r="G851" s="8">
        <v>4</v>
      </c>
      <c r="H851" s="8">
        <v>3944</v>
      </c>
      <c r="I851" s="5" t="s">
        <v>40</v>
      </c>
      <c r="J851" s="8">
        <v>3</v>
      </c>
      <c r="K851" s="8">
        <v>3</v>
      </c>
      <c r="L851" s="8">
        <v>3</v>
      </c>
      <c r="M8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51" s="8" t="str" cm="1">
        <f t="array" ref="N851">_xlfn.IFS(HR_Analytics56[[#This Row],[PerformanceRating]]=3,"Good",HR_Analytics56[[#This Row],[PerformanceRating]]=4, "Excellent")</f>
        <v>Good</v>
      </c>
      <c r="O851" s="8" t="str">
        <f>IF(HR_Analytics56[[#This Row],[MonthlyIncome]]&lt;3000,"&lt; ₹3,000",IF(HR_Analytics56[[#This Row],[MonthlyIncome]]&lt;=7000,"₹ 3,000 - ₹ 7,000","&gt; ₹7,000"))</f>
        <v>₹ 3,000 - ₹ 7,000</v>
      </c>
      <c r="P851" s="8" t="str" cm="1">
        <f t="array" ref="P8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2" spans="1:16" x14ac:dyDescent="0.8">
      <c r="A852" s="5" t="s">
        <v>923</v>
      </c>
      <c r="B852" s="8">
        <v>38</v>
      </c>
      <c r="C852" s="5" t="s">
        <v>49</v>
      </c>
      <c r="D852" s="5" t="s">
        <v>42</v>
      </c>
      <c r="E852" s="5" t="s">
        <v>53</v>
      </c>
      <c r="F852" s="5" t="s">
        <v>45</v>
      </c>
      <c r="G852" s="8">
        <v>4</v>
      </c>
      <c r="H852" s="8">
        <v>2406</v>
      </c>
      <c r="I852" s="5" t="s">
        <v>49</v>
      </c>
      <c r="J852" s="8">
        <v>3</v>
      </c>
      <c r="K852" s="8">
        <v>2</v>
      </c>
      <c r="L852" s="8">
        <v>10</v>
      </c>
      <c r="M8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2" s="8" t="str" cm="1">
        <f t="array" ref="N852">_xlfn.IFS(HR_Analytics56[[#This Row],[PerformanceRating]]=3,"Good",HR_Analytics56[[#This Row],[PerformanceRating]]=4, "Excellent")</f>
        <v>Good</v>
      </c>
      <c r="O852" s="8" t="str">
        <f>IF(HR_Analytics56[[#This Row],[MonthlyIncome]]&lt;3000,"&lt; ₹3,000",IF(HR_Analytics56[[#This Row],[MonthlyIncome]]&lt;=7000,"₹ 3,000 - ₹ 7,000","&gt; ₹7,000"))</f>
        <v>&lt; ₹3,000</v>
      </c>
      <c r="P852" s="8" t="str" cm="1">
        <f t="array" ref="P8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3" spans="1:16" x14ac:dyDescent="0.8">
      <c r="A853" s="5" t="s">
        <v>924</v>
      </c>
      <c r="B853" s="8">
        <v>38</v>
      </c>
      <c r="C853" s="5" t="s">
        <v>49</v>
      </c>
      <c r="D853" s="5" t="s">
        <v>42</v>
      </c>
      <c r="E853" s="5" t="s">
        <v>53</v>
      </c>
      <c r="F853" s="5" t="s">
        <v>60</v>
      </c>
      <c r="G853" s="8">
        <v>4</v>
      </c>
      <c r="H853" s="8">
        <v>5329</v>
      </c>
      <c r="I853" s="5" t="s">
        <v>40</v>
      </c>
      <c r="J853" s="8">
        <v>3</v>
      </c>
      <c r="K853" s="8">
        <v>3</v>
      </c>
      <c r="L853" s="8">
        <v>13</v>
      </c>
      <c r="M8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53" s="8" t="str" cm="1">
        <f t="array" ref="N853">_xlfn.IFS(HR_Analytics56[[#This Row],[PerformanceRating]]=3,"Good",HR_Analytics56[[#This Row],[PerformanceRating]]=4, "Excellent")</f>
        <v>Good</v>
      </c>
      <c r="O853" s="8" t="str">
        <f>IF(HR_Analytics56[[#This Row],[MonthlyIncome]]&lt;3000,"&lt; ₹3,000",IF(HR_Analytics56[[#This Row],[MonthlyIncome]]&lt;=7000,"₹ 3,000 - ₹ 7,000","&gt; ₹7,000"))</f>
        <v>₹ 3,000 - ₹ 7,000</v>
      </c>
      <c r="P853" s="8" t="str" cm="1">
        <f t="array" ref="P8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4" spans="1:16" x14ac:dyDescent="0.8">
      <c r="A854" s="5" t="s">
        <v>925</v>
      </c>
      <c r="B854" s="8">
        <v>38</v>
      </c>
      <c r="C854" s="5" t="s">
        <v>49</v>
      </c>
      <c r="D854" s="5" t="s">
        <v>42</v>
      </c>
      <c r="E854" s="5" t="s">
        <v>53</v>
      </c>
      <c r="F854" s="5" t="s">
        <v>60</v>
      </c>
      <c r="G854" s="8">
        <v>3</v>
      </c>
      <c r="H854" s="8">
        <v>4317</v>
      </c>
      <c r="I854" s="5" t="s">
        <v>40</v>
      </c>
      <c r="J854" s="8">
        <v>4</v>
      </c>
      <c r="K854" s="8">
        <v>2</v>
      </c>
      <c r="L854" s="8">
        <v>3</v>
      </c>
      <c r="M8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54" s="8" t="str" cm="1">
        <f t="array" ref="N854">_xlfn.IFS(HR_Analytics56[[#This Row],[PerformanceRating]]=3,"Good",HR_Analytics56[[#This Row],[PerformanceRating]]=4, "Excellent")</f>
        <v>Excellent</v>
      </c>
      <c r="O854" s="8" t="str">
        <f>IF(HR_Analytics56[[#This Row],[MonthlyIncome]]&lt;3000,"&lt; ₹3,000",IF(HR_Analytics56[[#This Row],[MonthlyIncome]]&lt;=7000,"₹ 3,000 - ₹ 7,000","&gt; ₹7,000"))</f>
        <v>₹ 3,000 - ₹ 7,000</v>
      </c>
      <c r="P854" s="8" t="str" cm="1">
        <f t="array" ref="P8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5" spans="1:16" x14ac:dyDescent="0.8">
      <c r="A855" s="5" t="s">
        <v>926</v>
      </c>
      <c r="B855" s="8">
        <v>38</v>
      </c>
      <c r="C855" s="5" t="s">
        <v>49</v>
      </c>
      <c r="D855" s="5" t="s">
        <v>51</v>
      </c>
      <c r="E855" s="5" t="s">
        <v>53</v>
      </c>
      <c r="F855" s="5" t="s">
        <v>137</v>
      </c>
      <c r="G855" s="8">
        <v>4</v>
      </c>
      <c r="H855" s="8">
        <v>8686</v>
      </c>
      <c r="I855" s="5" t="s">
        <v>49</v>
      </c>
      <c r="J855" s="8">
        <v>4</v>
      </c>
      <c r="K855" s="8">
        <v>2</v>
      </c>
      <c r="L855" s="8">
        <v>8</v>
      </c>
      <c r="M8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5" s="8" t="str" cm="1">
        <f t="array" ref="N855">_xlfn.IFS(HR_Analytics56[[#This Row],[PerformanceRating]]=3,"Good",HR_Analytics56[[#This Row],[PerformanceRating]]=4, "Excellent")</f>
        <v>Excellent</v>
      </c>
      <c r="O855" s="8" t="str">
        <f>IF(HR_Analytics56[[#This Row],[MonthlyIncome]]&lt;3000,"&lt; ₹3,000",IF(HR_Analytics56[[#This Row],[MonthlyIncome]]&lt;=7000,"₹ 3,000 - ₹ 7,000","&gt; ₹7,000"))</f>
        <v>&gt; ₹7,000</v>
      </c>
      <c r="P855" s="8" t="str" cm="1">
        <f t="array" ref="P8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6" spans="1:16" x14ac:dyDescent="0.8">
      <c r="A856" s="5" t="s">
        <v>927</v>
      </c>
      <c r="B856" s="8">
        <v>38</v>
      </c>
      <c r="C856" s="5" t="s">
        <v>49</v>
      </c>
      <c r="D856" s="5" t="s">
        <v>42</v>
      </c>
      <c r="E856" s="5" t="s">
        <v>53</v>
      </c>
      <c r="F856" s="5" t="s">
        <v>45</v>
      </c>
      <c r="G856" s="8">
        <v>4</v>
      </c>
      <c r="H856" s="8">
        <v>2288</v>
      </c>
      <c r="I856" s="5" t="s">
        <v>49</v>
      </c>
      <c r="J856" s="8">
        <v>3</v>
      </c>
      <c r="K856" s="8">
        <v>3</v>
      </c>
      <c r="L856" s="8">
        <v>2</v>
      </c>
      <c r="M8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6" s="8" t="str" cm="1">
        <f t="array" ref="N856">_xlfn.IFS(HR_Analytics56[[#This Row],[PerformanceRating]]=3,"Good",HR_Analytics56[[#This Row],[PerformanceRating]]=4, "Excellent")</f>
        <v>Good</v>
      </c>
      <c r="O856" s="8" t="str">
        <f>IF(HR_Analytics56[[#This Row],[MonthlyIncome]]&lt;3000,"&lt; ₹3,000",IF(HR_Analytics56[[#This Row],[MonthlyIncome]]&lt;=7000,"₹ 3,000 - ₹ 7,000","&gt; ₹7,000"))</f>
        <v>&lt; ₹3,000</v>
      </c>
      <c r="P856" s="8" t="str" cm="1">
        <f t="array" ref="P8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7" spans="1:16" x14ac:dyDescent="0.8">
      <c r="A857" s="5" t="s">
        <v>928</v>
      </c>
      <c r="B857" s="8">
        <v>38</v>
      </c>
      <c r="C857" s="5" t="s">
        <v>49</v>
      </c>
      <c r="D857" s="5" t="s">
        <v>42</v>
      </c>
      <c r="E857" s="5" t="s">
        <v>44</v>
      </c>
      <c r="F857" s="5" t="s">
        <v>112</v>
      </c>
      <c r="G857" s="8">
        <v>3</v>
      </c>
      <c r="H857" s="8">
        <v>6553</v>
      </c>
      <c r="I857" s="5" t="s">
        <v>49</v>
      </c>
      <c r="J857" s="8">
        <v>3</v>
      </c>
      <c r="K857" s="8">
        <v>3</v>
      </c>
      <c r="L857" s="8">
        <v>1</v>
      </c>
      <c r="M8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7" s="8" t="str" cm="1">
        <f t="array" ref="N857">_xlfn.IFS(HR_Analytics56[[#This Row],[PerformanceRating]]=3,"Good",HR_Analytics56[[#This Row],[PerformanceRating]]=4, "Excellent")</f>
        <v>Good</v>
      </c>
      <c r="O857" s="8" t="str">
        <f>IF(HR_Analytics56[[#This Row],[MonthlyIncome]]&lt;3000,"&lt; ₹3,000",IF(HR_Analytics56[[#This Row],[MonthlyIncome]]&lt;=7000,"₹ 3,000 - ₹ 7,000","&gt; ₹7,000"))</f>
        <v>₹ 3,000 - ₹ 7,000</v>
      </c>
      <c r="P857" s="8" t="str" cm="1">
        <f t="array" ref="P8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8" spans="1:16" x14ac:dyDescent="0.8">
      <c r="A858" s="5" t="s">
        <v>929</v>
      </c>
      <c r="B858" s="8">
        <v>38</v>
      </c>
      <c r="C858" s="5" t="s">
        <v>49</v>
      </c>
      <c r="D858" s="5" t="s">
        <v>42</v>
      </c>
      <c r="E858" s="5" t="s">
        <v>44</v>
      </c>
      <c r="F858" s="5" t="s">
        <v>112</v>
      </c>
      <c r="G858" s="8">
        <v>4</v>
      </c>
      <c r="H858" s="8">
        <v>6261</v>
      </c>
      <c r="I858" s="5" t="s">
        <v>49</v>
      </c>
      <c r="J858" s="8">
        <v>3</v>
      </c>
      <c r="K858" s="8">
        <v>3</v>
      </c>
      <c r="L858" s="8">
        <v>7</v>
      </c>
      <c r="M8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58" s="8" t="str" cm="1">
        <f t="array" ref="N858">_xlfn.IFS(HR_Analytics56[[#This Row],[PerformanceRating]]=3,"Good",HR_Analytics56[[#This Row],[PerformanceRating]]=4, "Excellent")</f>
        <v>Good</v>
      </c>
      <c r="O858" s="8" t="str">
        <f>IF(HR_Analytics56[[#This Row],[MonthlyIncome]]&lt;3000,"&lt; ₹3,000",IF(HR_Analytics56[[#This Row],[MonthlyIncome]]&lt;=7000,"₹ 3,000 - ₹ 7,000","&gt; ₹7,000"))</f>
        <v>₹ 3,000 - ₹ 7,000</v>
      </c>
      <c r="P858" s="8" t="str" cm="1">
        <f t="array" ref="P8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59" spans="1:16" x14ac:dyDescent="0.8">
      <c r="A859" s="5" t="s">
        <v>930</v>
      </c>
      <c r="B859" s="8">
        <v>38</v>
      </c>
      <c r="C859" s="5" t="s">
        <v>40</v>
      </c>
      <c r="D859" s="5" t="s">
        <v>42</v>
      </c>
      <c r="E859" s="5" t="s">
        <v>44</v>
      </c>
      <c r="F859" s="5" t="s">
        <v>161</v>
      </c>
      <c r="G859" s="8">
        <v>1</v>
      </c>
      <c r="H859" s="8">
        <v>6673</v>
      </c>
      <c r="I859" s="5" t="s">
        <v>40</v>
      </c>
      <c r="J859" s="8">
        <v>3</v>
      </c>
      <c r="K859" s="8">
        <v>2</v>
      </c>
      <c r="L859" s="8">
        <v>1</v>
      </c>
      <c r="M8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859" s="8" t="str" cm="1">
        <f t="array" ref="N859">_xlfn.IFS(HR_Analytics56[[#This Row],[PerformanceRating]]=3,"Good",HR_Analytics56[[#This Row],[PerformanceRating]]=4, "Excellent")</f>
        <v>Good</v>
      </c>
      <c r="O859" s="8" t="str">
        <f>IF(HR_Analytics56[[#This Row],[MonthlyIncome]]&lt;3000,"&lt; ₹3,000",IF(HR_Analytics56[[#This Row],[MonthlyIncome]]&lt;=7000,"₹ 3,000 - ₹ 7,000","&gt; ₹7,000"))</f>
        <v>₹ 3,000 - ₹ 7,000</v>
      </c>
      <c r="P859" s="8" t="str" cm="1">
        <f t="array" ref="P8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0" spans="1:16" x14ac:dyDescent="0.8">
      <c r="A860" s="5" t="s">
        <v>931</v>
      </c>
      <c r="B860" s="8">
        <v>38</v>
      </c>
      <c r="C860" s="5" t="s">
        <v>49</v>
      </c>
      <c r="D860" s="5" t="s">
        <v>51</v>
      </c>
      <c r="E860" s="5" t="s">
        <v>44</v>
      </c>
      <c r="F860" s="5" t="s">
        <v>137</v>
      </c>
      <c r="G860" s="8">
        <v>3</v>
      </c>
      <c r="H860" s="8">
        <v>10609</v>
      </c>
      <c r="I860" s="5" t="s">
        <v>49</v>
      </c>
      <c r="J860" s="8">
        <v>3</v>
      </c>
      <c r="K860" s="8">
        <v>6</v>
      </c>
      <c r="L860" s="8">
        <v>16</v>
      </c>
      <c r="M8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0" s="8" t="str" cm="1">
        <f t="array" ref="N860">_xlfn.IFS(HR_Analytics56[[#This Row],[PerformanceRating]]=3,"Good",HR_Analytics56[[#This Row],[PerformanceRating]]=4, "Excellent")</f>
        <v>Good</v>
      </c>
      <c r="O860" s="8" t="str">
        <f>IF(HR_Analytics56[[#This Row],[MonthlyIncome]]&lt;3000,"&lt; ₹3,000",IF(HR_Analytics56[[#This Row],[MonthlyIncome]]&lt;=7000,"₹ 3,000 - ₹ 7,000","&gt; ₹7,000"))</f>
        <v>&gt; ₹7,000</v>
      </c>
      <c r="P860" s="8" t="str" cm="1">
        <f t="array" ref="P8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1" spans="1:16" x14ac:dyDescent="0.8">
      <c r="A861" s="5" t="s">
        <v>932</v>
      </c>
      <c r="B861" s="8">
        <v>38</v>
      </c>
      <c r="C861" s="5" t="s">
        <v>49</v>
      </c>
      <c r="D861" s="5" t="s">
        <v>51</v>
      </c>
      <c r="E861" s="5" t="s">
        <v>44</v>
      </c>
      <c r="F861" s="5" t="s">
        <v>137</v>
      </c>
      <c r="G861" s="8">
        <v>4</v>
      </c>
      <c r="H861" s="8">
        <v>5249</v>
      </c>
      <c r="I861" s="5" t="s">
        <v>49</v>
      </c>
      <c r="J861" s="8">
        <v>3</v>
      </c>
      <c r="K861" s="8">
        <v>0</v>
      </c>
      <c r="L861" s="8">
        <v>8</v>
      </c>
      <c r="M8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1" s="8" t="str" cm="1">
        <f t="array" ref="N861">_xlfn.IFS(HR_Analytics56[[#This Row],[PerformanceRating]]=3,"Good",HR_Analytics56[[#This Row],[PerformanceRating]]=4, "Excellent")</f>
        <v>Good</v>
      </c>
      <c r="O861" s="8" t="str">
        <f>IF(HR_Analytics56[[#This Row],[MonthlyIncome]]&lt;3000,"&lt; ₹3,000",IF(HR_Analytics56[[#This Row],[MonthlyIncome]]&lt;=7000,"₹ 3,000 - ₹ 7,000","&gt; ₹7,000"))</f>
        <v>₹ 3,000 - ₹ 7,000</v>
      </c>
      <c r="P861" s="8" t="str" cm="1">
        <f t="array" ref="P8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2" spans="1:16" x14ac:dyDescent="0.8">
      <c r="A862" s="5" t="s">
        <v>933</v>
      </c>
      <c r="B862" s="8">
        <v>38</v>
      </c>
      <c r="C862" s="5" t="s">
        <v>49</v>
      </c>
      <c r="D862" s="5" t="s">
        <v>51</v>
      </c>
      <c r="E862" s="5" t="s">
        <v>53</v>
      </c>
      <c r="F862" s="5" t="s">
        <v>137</v>
      </c>
      <c r="G862" s="8">
        <v>1</v>
      </c>
      <c r="H862" s="8">
        <v>5605</v>
      </c>
      <c r="I862" s="5" t="s">
        <v>40</v>
      </c>
      <c r="J862" s="8">
        <v>4</v>
      </c>
      <c r="K862" s="8">
        <v>3</v>
      </c>
      <c r="L862" s="8">
        <v>8</v>
      </c>
      <c r="M8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62" s="8" t="str" cm="1">
        <f t="array" ref="N862">_xlfn.IFS(HR_Analytics56[[#This Row],[PerformanceRating]]=3,"Good",HR_Analytics56[[#This Row],[PerformanceRating]]=4, "Excellent")</f>
        <v>Excellent</v>
      </c>
      <c r="O862" s="8" t="str">
        <f>IF(HR_Analytics56[[#This Row],[MonthlyIncome]]&lt;3000,"&lt; ₹3,000",IF(HR_Analytics56[[#This Row],[MonthlyIncome]]&lt;=7000,"₹ 3,000 - ₹ 7,000","&gt; ₹7,000"))</f>
        <v>₹ 3,000 - ₹ 7,000</v>
      </c>
      <c r="P862" s="8" t="str" cm="1">
        <f t="array" ref="P86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863" spans="1:16" x14ac:dyDescent="0.8">
      <c r="A863" s="5" t="s">
        <v>934</v>
      </c>
      <c r="B863" s="8">
        <v>38</v>
      </c>
      <c r="C863" s="5" t="s">
        <v>49</v>
      </c>
      <c r="D863" s="5" t="s">
        <v>42</v>
      </c>
      <c r="E863" s="5" t="s">
        <v>44</v>
      </c>
      <c r="F863" s="5" t="s">
        <v>161</v>
      </c>
      <c r="G863" s="8">
        <v>4</v>
      </c>
      <c r="H863" s="8">
        <v>5745</v>
      </c>
      <c r="I863" s="5" t="s">
        <v>49</v>
      </c>
      <c r="J863" s="8">
        <v>3</v>
      </c>
      <c r="K863" s="8">
        <v>2</v>
      </c>
      <c r="L863" s="8">
        <v>2</v>
      </c>
      <c r="M8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3" s="8" t="str" cm="1">
        <f t="array" ref="N863">_xlfn.IFS(HR_Analytics56[[#This Row],[PerformanceRating]]=3,"Good",HR_Analytics56[[#This Row],[PerformanceRating]]=4, "Excellent")</f>
        <v>Good</v>
      </c>
      <c r="O863" s="8" t="str">
        <f>IF(HR_Analytics56[[#This Row],[MonthlyIncome]]&lt;3000,"&lt; ₹3,000",IF(HR_Analytics56[[#This Row],[MonthlyIncome]]&lt;=7000,"₹ 3,000 - ₹ 7,000","&gt; ₹7,000"))</f>
        <v>₹ 3,000 - ₹ 7,000</v>
      </c>
      <c r="P863" s="8" t="str" cm="1">
        <f t="array" ref="P8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4" spans="1:16" x14ac:dyDescent="0.8">
      <c r="A864" s="5" t="s">
        <v>935</v>
      </c>
      <c r="B864" s="8">
        <v>38</v>
      </c>
      <c r="C864" s="5" t="s">
        <v>49</v>
      </c>
      <c r="D864" s="5" t="s">
        <v>42</v>
      </c>
      <c r="E864" s="5" t="s">
        <v>53</v>
      </c>
      <c r="F864" s="5" t="s">
        <v>252</v>
      </c>
      <c r="G864" s="8">
        <v>2</v>
      </c>
      <c r="H864" s="8">
        <v>12061</v>
      </c>
      <c r="I864" s="5" t="s">
        <v>49</v>
      </c>
      <c r="J864" s="8">
        <v>3</v>
      </c>
      <c r="K864" s="8">
        <v>2</v>
      </c>
      <c r="L864" s="8">
        <v>10</v>
      </c>
      <c r="M8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4" s="8" t="str" cm="1">
        <f t="array" ref="N864">_xlfn.IFS(HR_Analytics56[[#This Row],[PerformanceRating]]=3,"Good",HR_Analytics56[[#This Row],[PerformanceRating]]=4, "Excellent")</f>
        <v>Good</v>
      </c>
      <c r="O864" s="8" t="str">
        <f>IF(HR_Analytics56[[#This Row],[MonthlyIncome]]&lt;3000,"&lt; ₹3,000",IF(HR_Analytics56[[#This Row],[MonthlyIncome]]&lt;=7000,"₹ 3,000 - ₹ 7,000","&gt; ₹7,000"))</f>
        <v>&gt; ₹7,000</v>
      </c>
      <c r="P864" s="8" t="str" cm="1">
        <f t="array" ref="P8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5" spans="1:16" x14ac:dyDescent="0.8">
      <c r="A865" s="5" t="s">
        <v>936</v>
      </c>
      <c r="B865" s="8">
        <v>38</v>
      </c>
      <c r="C865" s="5" t="s">
        <v>49</v>
      </c>
      <c r="D865" s="5" t="s">
        <v>42</v>
      </c>
      <c r="E865" s="5" t="s">
        <v>44</v>
      </c>
      <c r="F865" s="5" t="s">
        <v>252</v>
      </c>
      <c r="G865" s="8">
        <v>4</v>
      </c>
      <c r="H865" s="8">
        <v>11510</v>
      </c>
      <c r="I865" s="5" t="s">
        <v>40</v>
      </c>
      <c r="J865" s="8">
        <v>3</v>
      </c>
      <c r="K865" s="8">
        <v>3</v>
      </c>
      <c r="L865" s="8">
        <v>11</v>
      </c>
      <c r="M8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65" s="8" t="str" cm="1">
        <f t="array" ref="N865">_xlfn.IFS(HR_Analytics56[[#This Row],[PerformanceRating]]=3,"Good",HR_Analytics56[[#This Row],[PerformanceRating]]=4, "Excellent")</f>
        <v>Good</v>
      </c>
      <c r="O865" s="8" t="str">
        <f>IF(HR_Analytics56[[#This Row],[MonthlyIncome]]&lt;3000,"&lt; ₹3,000",IF(HR_Analytics56[[#This Row],[MonthlyIncome]]&lt;=7000,"₹ 3,000 - ₹ 7,000","&gt; ₹7,000"))</f>
        <v>&gt; ₹7,000</v>
      </c>
      <c r="P865" s="8" t="str" cm="1">
        <f t="array" ref="P8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6" spans="1:16" x14ac:dyDescent="0.8">
      <c r="A866" s="5" t="s">
        <v>937</v>
      </c>
      <c r="B866" s="8">
        <v>38</v>
      </c>
      <c r="C866" s="5" t="s">
        <v>49</v>
      </c>
      <c r="D866" s="5" t="s">
        <v>42</v>
      </c>
      <c r="E866" s="5" t="s">
        <v>44</v>
      </c>
      <c r="F866" s="5" t="s">
        <v>45</v>
      </c>
      <c r="G866" s="8">
        <v>4</v>
      </c>
      <c r="H866" s="8">
        <v>1702</v>
      </c>
      <c r="I866" s="5" t="s">
        <v>40</v>
      </c>
      <c r="J866" s="8">
        <v>4</v>
      </c>
      <c r="K866" s="8">
        <v>3</v>
      </c>
      <c r="L866" s="8">
        <v>1</v>
      </c>
      <c r="M8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66" s="8" t="str" cm="1">
        <f t="array" ref="N866">_xlfn.IFS(HR_Analytics56[[#This Row],[PerformanceRating]]=3,"Good",HR_Analytics56[[#This Row],[PerformanceRating]]=4, "Excellent")</f>
        <v>Excellent</v>
      </c>
      <c r="O866" s="8" t="str">
        <f>IF(HR_Analytics56[[#This Row],[MonthlyIncome]]&lt;3000,"&lt; ₹3,000",IF(HR_Analytics56[[#This Row],[MonthlyIncome]]&lt;=7000,"₹ 3,000 - ₹ 7,000","&gt; ₹7,000"))</f>
        <v>&lt; ₹3,000</v>
      </c>
      <c r="P866" s="8" t="str" cm="1">
        <f t="array" ref="P8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7" spans="1:16" x14ac:dyDescent="0.8">
      <c r="A867" s="5" t="s">
        <v>938</v>
      </c>
      <c r="B867" s="8">
        <v>38</v>
      </c>
      <c r="C867" s="5" t="s">
        <v>49</v>
      </c>
      <c r="D867" s="5" t="s">
        <v>42</v>
      </c>
      <c r="E867" s="5" t="s">
        <v>53</v>
      </c>
      <c r="F867" s="5" t="s">
        <v>161</v>
      </c>
      <c r="G867" s="8">
        <v>3</v>
      </c>
      <c r="H867" s="8">
        <v>9824</v>
      </c>
      <c r="I867" s="5" t="s">
        <v>49</v>
      </c>
      <c r="J867" s="8">
        <v>3</v>
      </c>
      <c r="K867" s="8">
        <v>4</v>
      </c>
      <c r="L867" s="8">
        <v>1</v>
      </c>
      <c r="M8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7" s="8" t="str" cm="1">
        <f t="array" ref="N867">_xlfn.IFS(HR_Analytics56[[#This Row],[PerformanceRating]]=3,"Good",HR_Analytics56[[#This Row],[PerformanceRating]]=4, "Excellent")</f>
        <v>Good</v>
      </c>
      <c r="O867" s="8" t="str">
        <f>IF(HR_Analytics56[[#This Row],[MonthlyIncome]]&lt;3000,"&lt; ₹3,000",IF(HR_Analytics56[[#This Row],[MonthlyIncome]]&lt;=7000,"₹ 3,000 - ₹ 7,000","&gt; ₹7,000"))</f>
        <v>&gt; ₹7,000</v>
      </c>
      <c r="P867" s="8" t="str" cm="1">
        <f t="array" ref="P8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8" spans="1:16" x14ac:dyDescent="0.8">
      <c r="A868" s="5" t="s">
        <v>939</v>
      </c>
      <c r="B868" s="8">
        <v>38</v>
      </c>
      <c r="C868" s="5" t="s">
        <v>49</v>
      </c>
      <c r="D868" s="5" t="s">
        <v>42</v>
      </c>
      <c r="E868" s="5" t="s">
        <v>53</v>
      </c>
      <c r="F868" s="5" t="s">
        <v>60</v>
      </c>
      <c r="G868" s="8">
        <v>1</v>
      </c>
      <c r="H868" s="8">
        <v>2619</v>
      </c>
      <c r="I868" s="5" t="s">
        <v>49</v>
      </c>
      <c r="J868" s="8">
        <v>3</v>
      </c>
      <c r="K868" s="8">
        <v>3</v>
      </c>
      <c r="L868" s="8">
        <v>0</v>
      </c>
      <c r="M8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8" s="8" t="str" cm="1">
        <f t="array" ref="N868">_xlfn.IFS(HR_Analytics56[[#This Row],[PerformanceRating]]=3,"Good",HR_Analytics56[[#This Row],[PerformanceRating]]=4, "Excellent")</f>
        <v>Good</v>
      </c>
      <c r="O868" s="8" t="str">
        <f>IF(HR_Analytics56[[#This Row],[MonthlyIncome]]&lt;3000,"&lt; ₹3,000",IF(HR_Analytics56[[#This Row],[MonthlyIncome]]&lt;=7000,"₹ 3,000 - ₹ 7,000","&gt; ₹7,000"))</f>
        <v>&lt; ₹3,000</v>
      </c>
      <c r="P868" s="8" t="str" cm="1">
        <f t="array" ref="P8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69" spans="1:16" x14ac:dyDescent="0.8">
      <c r="A869" s="5" t="s">
        <v>940</v>
      </c>
      <c r="B869" s="8">
        <v>38</v>
      </c>
      <c r="C869" s="5" t="s">
        <v>49</v>
      </c>
      <c r="D869" s="5" t="s">
        <v>51</v>
      </c>
      <c r="E869" s="5" t="s">
        <v>53</v>
      </c>
      <c r="F869" s="5" t="s">
        <v>137</v>
      </c>
      <c r="G869" s="8">
        <v>4</v>
      </c>
      <c r="H869" s="8">
        <v>4028</v>
      </c>
      <c r="I869" s="5" t="s">
        <v>49</v>
      </c>
      <c r="J869" s="8">
        <v>4</v>
      </c>
      <c r="K869" s="8">
        <v>2</v>
      </c>
      <c r="L869" s="8">
        <v>7</v>
      </c>
      <c r="M8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69" s="8" t="str" cm="1">
        <f t="array" ref="N869">_xlfn.IFS(HR_Analytics56[[#This Row],[PerformanceRating]]=3,"Good",HR_Analytics56[[#This Row],[PerformanceRating]]=4, "Excellent")</f>
        <v>Excellent</v>
      </c>
      <c r="O869" s="8" t="str">
        <f>IF(HR_Analytics56[[#This Row],[MonthlyIncome]]&lt;3000,"&lt; ₹3,000",IF(HR_Analytics56[[#This Row],[MonthlyIncome]]&lt;=7000,"₹ 3,000 - ₹ 7,000","&gt; ₹7,000"))</f>
        <v>₹ 3,000 - ₹ 7,000</v>
      </c>
      <c r="P869" s="8" t="str" cm="1">
        <f t="array" ref="P8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0" spans="1:16" x14ac:dyDescent="0.8">
      <c r="A870" s="5" t="s">
        <v>941</v>
      </c>
      <c r="B870" s="8">
        <v>38</v>
      </c>
      <c r="C870" s="5" t="s">
        <v>49</v>
      </c>
      <c r="D870" s="5" t="s">
        <v>42</v>
      </c>
      <c r="E870" s="5" t="s">
        <v>53</v>
      </c>
      <c r="F870" s="5" t="s">
        <v>161</v>
      </c>
      <c r="G870" s="8">
        <v>4</v>
      </c>
      <c r="H870" s="8">
        <v>7625</v>
      </c>
      <c r="I870" s="5" t="s">
        <v>49</v>
      </c>
      <c r="J870" s="8">
        <v>3</v>
      </c>
      <c r="K870" s="8">
        <v>4</v>
      </c>
      <c r="L870" s="8">
        <v>9</v>
      </c>
      <c r="M8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0" s="8" t="str" cm="1">
        <f t="array" ref="N870">_xlfn.IFS(HR_Analytics56[[#This Row],[PerformanceRating]]=3,"Good",HR_Analytics56[[#This Row],[PerformanceRating]]=4, "Excellent")</f>
        <v>Good</v>
      </c>
      <c r="O870" s="8" t="str">
        <f>IF(HR_Analytics56[[#This Row],[MonthlyIncome]]&lt;3000,"&lt; ₹3,000",IF(HR_Analytics56[[#This Row],[MonthlyIncome]]&lt;=7000,"₹ 3,000 - ₹ 7,000","&gt; ₹7,000"))</f>
        <v>&gt; ₹7,000</v>
      </c>
      <c r="P870" s="8" t="str" cm="1">
        <f t="array" ref="P8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1" spans="1:16" x14ac:dyDescent="0.8">
      <c r="A871" s="5" t="s">
        <v>942</v>
      </c>
      <c r="B871" s="8">
        <v>38</v>
      </c>
      <c r="C871" s="5" t="s">
        <v>49</v>
      </c>
      <c r="D871" s="5" t="s">
        <v>42</v>
      </c>
      <c r="E871" s="5" t="s">
        <v>53</v>
      </c>
      <c r="F871" s="5" t="s">
        <v>112</v>
      </c>
      <c r="G871" s="8">
        <v>3</v>
      </c>
      <c r="H871" s="8">
        <v>7861</v>
      </c>
      <c r="I871" s="5" t="s">
        <v>40</v>
      </c>
      <c r="J871" s="8">
        <v>3</v>
      </c>
      <c r="K871" s="8">
        <v>4</v>
      </c>
      <c r="L871" s="8">
        <v>1</v>
      </c>
      <c r="M8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71" s="8" t="str" cm="1">
        <f t="array" ref="N871">_xlfn.IFS(HR_Analytics56[[#This Row],[PerformanceRating]]=3,"Good",HR_Analytics56[[#This Row],[PerformanceRating]]=4, "Excellent")</f>
        <v>Good</v>
      </c>
      <c r="O871" s="8" t="str">
        <f>IF(HR_Analytics56[[#This Row],[MonthlyIncome]]&lt;3000,"&lt; ₹3,000",IF(HR_Analytics56[[#This Row],[MonthlyIncome]]&lt;=7000,"₹ 3,000 - ₹ 7,000","&gt; ₹7,000"))</f>
        <v>&gt; ₹7,000</v>
      </c>
      <c r="P871" s="8" t="str" cm="1">
        <f t="array" ref="P8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2" spans="1:16" x14ac:dyDescent="0.8">
      <c r="A872" s="5" t="s">
        <v>943</v>
      </c>
      <c r="B872" s="8">
        <v>38</v>
      </c>
      <c r="C872" s="5" t="s">
        <v>49</v>
      </c>
      <c r="D872" s="5" t="s">
        <v>42</v>
      </c>
      <c r="E872" s="5" t="s">
        <v>44</v>
      </c>
      <c r="F872" s="5" t="s">
        <v>60</v>
      </c>
      <c r="G872" s="8">
        <v>3</v>
      </c>
      <c r="H872" s="8">
        <v>3057</v>
      </c>
      <c r="I872" s="5" t="s">
        <v>40</v>
      </c>
      <c r="J872" s="8">
        <v>3</v>
      </c>
      <c r="K872" s="8">
        <v>0</v>
      </c>
      <c r="L872" s="8">
        <v>1</v>
      </c>
      <c r="M8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72" s="8" t="str" cm="1">
        <f t="array" ref="N872">_xlfn.IFS(HR_Analytics56[[#This Row],[PerformanceRating]]=3,"Good",HR_Analytics56[[#This Row],[PerformanceRating]]=4, "Excellent")</f>
        <v>Good</v>
      </c>
      <c r="O872" s="8" t="str">
        <f>IF(HR_Analytics56[[#This Row],[MonthlyIncome]]&lt;3000,"&lt; ₹3,000",IF(HR_Analytics56[[#This Row],[MonthlyIncome]]&lt;=7000,"₹ 3,000 - ₹ 7,000","&gt; ₹7,000"))</f>
        <v>₹ 3,000 - ₹ 7,000</v>
      </c>
      <c r="P872" s="8" t="str" cm="1">
        <f t="array" ref="P8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3" spans="1:16" x14ac:dyDescent="0.8">
      <c r="A873" s="5" t="s">
        <v>944</v>
      </c>
      <c r="B873" s="8">
        <v>38</v>
      </c>
      <c r="C873" s="5" t="s">
        <v>49</v>
      </c>
      <c r="D873" s="5" t="s">
        <v>42</v>
      </c>
      <c r="E873" s="5" t="s">
        <v>53</v>
      </c>
      <c r="F873" s="5" t="s">
        <v>112</v>
      </c>
      <c r="G873" s="8">
        <v>1</v>
      </c>
      <c r="H873" s="8">
        <v>5980</v>
      </c>
      <c r="I873" s="5" t="s">
        <v>40</v>
      </c>
      <c r="J873" s="8">
        <v>3</v>
      </c>
      <c r="K873" s="8">
        <v>2</v>
      </c>
      <c r="L873" s="8">
        <v>15</v>
      </c>
      <c r="M8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73" s="8" t="str" cm="1">
        <f t="array" ref="N873">_xlfn.IFS(HR_Analytics56[[#This Row],[PerformanceRating]]=3,"Good",HR_Analytics56[[#This Row],[PerformanceRating]]=4, "Excellent")</f>
        <v>Good</v>
      </c>
      <c r="O873" s="8" t="str">
        <f>IF(HR_Analytics56[[#This Row],[MonthlyIncome]]&lt;3000,"&lt; ₹3,000",IF(HR_Analytics56[[#This Row],[MonthlyIncome]]&lt;=7000,"₹ 3,000 - ₹ 7,000","&gt; ₹7,000"))</f>
        <v>₹ 3,000 - ₹ 7,000</v>
      </c>
      <c r="P873" s="8" t="str" cm="1">
        <f t="array" ref="P8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4" spans="1:16" x14ac:dyDescent="0.8">
      <c r="A874" s="5" t="s">
        <v>945</v>
      </c>
      <c r="B874" s="8">
        <v>38</v>
      </c>
      <c r="C874" s="5" t="s">
        <v>49</v>
      </c>
      <c r="D874" s="5" t="s">
        <v>42</v>
      </c>
      <c r="E874" s="5" t="s">
        <v>44</v>
      </c>
      <c r="F874" s="5" t="s">
        <v>161</v>
      </c>
      <c r="G874" s="8">
        <v>1</v>
      </c>
      <c r="H874" s="8">
        <v>6288</v>
      </c>
      <c r="I874" s="5" t="s">
        <v>49</v>
      </c>
      <c r="J874" s="8">
        <v>3</v>
      </c>
      <c r="K874" s="8">
        <v>3</v>
      </c>
      <c r="L874" s="8">
        <v>4</v>
      </c>
      <c r="M8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4" s="8" t="str" cm="1">
        <f t="array" ref="N874">_xlfn.IFS(HR_Analytics56[[#This Row],[PerformanceRating]]=3,"Good",HR_Analytics56[[#This Row],[PerformanceRating]]=4, "Excellent")</f>
        <v>Good</v>
      </c>
      <c r="O874" s="8" t="str">
        <f>IF(HR_Analytics56[[#This Row],[MonthlyIncome]]&lt;3000,"&lt; ₹3,000",IF(HR_Analytics56[[#This Row],[MonthlyIncome]]&lt;=7000,"₹ 3,000 - ₹ 7,000","&gt; ₹7,000"))</f>
        <v>₹ 3,000 - ₹ 7,000</v>
      </c>
      <c r="P874" s="8" t="str" cm="1">
        <f t="array" ref="P8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5" spans="1:16" x14ac:dyDescent="0.8">
      <c r="A875" s="5" t="s">
        <v>946</v>
      </c>
      <c r="B875" s="8">
        <v>38</v>
      </c>
      <c r="C875" s="5" t="s">
        <v>49</v>
      </c>
      <c r="D875" s="5" t="s">
        <v>51</v>
      </c>
      <c r="E875" s="5" t="s">
        <v>44</v>
      </c>
      <c r="F875" s="5" t="s">
        <v>54</v>
      </c>
      <c r="G875" s="8">
        <v>2</v>
      </c>
      <c r="H875" s="8">
        <v>2899</v>
      </c>
      <c r="I875" s="5" t="s">
        <v>49</v>
      </c>
      <c r="J875" s="8">
        <v>3</v>
      </c>
      <c r="K875" s="8">
        <v>3</v>
      </c>
      <c r="L875" s="8">
        <v>2</v>
      </c>
      <c r="M8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5" s="8" t="str" cm="1">
        <f t="array" ref="N875">_xlfn.IFS(HR_Analytics56[[#This Row],[PerformanceRating]]=3,"Good",HR_Analytics56[[#This Row],[PerformanceRating]]=4, "Excellent")</f>
        <v>Good</v>
      </c>
      <c r="O875" s="8" t="str">
        <f>IF(HR_Analytics56[[#This Row],[MonthlyIncome]]&lt;3000,"&lt; ₹3,000",IF(HR_Analytics56[[#This Row],[MonthlyIncome]]&lt;=7000,"₹ 3,000 - ₹ 7,000","&gt; ₹7,000"))</f>
        <v>&lt; ₹3,000</v>
      </c>
      <c r="P875" s="8" t="str" cm="1">
        <f t="array" ref="P8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6" spans="1:16" x14ac:dyDescent="0.8">
      <c r="A876" s="5" t="s">
        <v>947</v>
      </c>
      <c r="B876" s="8">
        <v>38</v>
      </c>
      <c r="C876" s="5" t="s">
        <v>49</v>
      </c>
      <c r="D876" s="5" t="s">
        <v>42</v>
      </c>
      <c r="E876" s="5" t="s">
        <v>53</v>
      </c>
      <c r="F876" s="5" t="s">
        <v>252</v>
      </c>
      <c r="G876" s="8">
        <v>1</v>
      </c>
      <c r="H876" s="8">
        <v>13582</v>
      </c>
      <c r="I876" s="5" t="s">
        <v>49</v>
      </c>
      <c r="J876" s="8">
        <v>3</v>
      </c>
      <c r="K876" s="8">
        <v>3</v>
      </c>
      <c r="L876" s="8">
        <v>15</v>
      </c>
      <c r="M8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6" s="8" t="str" cm="1">
        <f t="array" ref="N876">_xlfn.IFS(HR_Analytics56[[#This Row],[PerformanceRating]]=3,"Good",HR_Analytics56[[#This Row],[PerformanceRating]]=4, "Excellent")</f>
        <v>Good</v>
      </c>
      <c r="O876" s="8" t="str">
        <f>IF(HR_Analytics56[[#This Row],[MonthlyIncome]]&lt;3000,"&lt; ₹3,000",IF(HR_Analytics56[[#This Row],[MonthlyIncome]]&lt;=7000,"₹ 3,000 - ₹ 7,000","&gt; ₹7,000"))</f>
        <v>&gt; ₹7,000</v>
      </c>
      <c r="P876" s="8" t="str" cm="1">
        <f t="array" ref="P8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7" spans="1:16" x14ac:dyDescent="0.8">
      <c r="A877" s="5" t="s">
        <v>948</v>
      </c>
      <c r="B877" s="8">
        <v>38</v>
      </c>
      <c r="C877" s="5" t="s">
        <v>49</v>
      </c>
      <c r="D877" s="5" t="s">
        <v>51</v>
      </c>
      <c r="E877" s="5" t="s">
        <v>53</v>
      </c>
      <c r="F877" s="5" t="s">
        <v>137</v>
      </c>
      <c r="G877" s="8">
        <v>4</v>
      </c>
      <c r="H877" s="8">
        <v>5666</v>
      </c>
      <c r="I877" s="5" t="s">
        <v>40</v>
      </c>
      <c r="J877" s="8">
        <v>3</v>
      </c>
      <c r="K877" s="8">
        <v>1</v>
      </c>
      <c r="L877" s="8">
        <v>5</v>
      </c>
      <c r="M8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77" s="8" t="str" cm="1">
        <f t="array" ref="N877">_xlfn.IFS(HR_Analytics56[[#This Row],[PerformanceRating]]=3,"Good",HR_Analytics56[[#This Row],[PerformanceRating]]=4, "Excellent")</f>
        <v>Good</v>
      </c>
      <c r="O877" s="8" t="str">
        <f>IF(HR_Analytics56[[#This Row],[MonthlyIncome]]&lt;3000,"&lt; ₹3,000",IF(HR_Analytics56[[#This Row],[MonthlyIncome]]&lt;=7000,"₹ 3,000 - ₹ 7,000","&gt; ₹7,000"))</f>
        <v>₹ 3,000 - ₹ 7,000</v>
      </c>
      <c r="P877" s="8" t="str" cm="1">
        <f t="array" ref="P8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8" spans="1:16" x14ac:dyDescent="0.8">
      <c r="A878" s="5" t="s">
        <v>949</v>
      </c>
      <c r="B878" s="8">
        <v>38</v>
      </c>
      <c r="C878" s="5" t="s">
        <v>49</v>
      </c>
      <c r="D878" s="5" t="s">
        <v>42</v>
      </c>
      <c r="E878" s="5" t="s">
        <v>44</v>
      </c>
      <c r="F878" s="5" t="s">
        <v>60</v>
      </c>
      <c r="G878" s="8">
        <v>3</v>
      </c>
      <c r="H878" s="8">
        <v>2684</v>
      </c>
      <c r="I878" s="5" t="s">
        <v>49</v>
      </c>
      <c r="J878" s="8">
        <v>3</v>
      </c>
      <c r="K878" s="8">
        <v>0</v>
      </c>
      <c r="L878" s="8">
        <v>2</v>
      </c>
      <c r="M8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78" s="8" t="str" cm="1">
        <f t="array" ref="N878">_xlfn.IFS(HR_Analytics56[[#This Row],[PerformanceRating]]=3,"Good",HR_Analytics56[[#This Row],[PerformanceRating]]=4, "Excellent")</f>
        <v>Good</v>
      </c>
      <c r="O878" s="8" t="str">
        <f>IF(HR_Analytics56[[#This Row],[MonthlyIncome]]&lt;3000,"&lt; ₹3,000",IF(HR_Analytics56[[#This Row],[MonthlyIncome]]&lt;=7000,"₹ 3,000 - ₹ 7,000","&gt; ₹7,000"))</f>
        <v>&lt; ₹3,000</v>
      </c>
      <c r="P878" s="8" t="str" cm="1">
        <f t="array" ref="P8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79" spans="1:16" x14ac:dyDescent="0.8">
      <c r="A879" s="5" t="s">
        <v>950</v>
      </c>
      <c r="B879" s="8">
        <v>38</v>
      </c>
      <c r="C879" s="5" t="s">
        <v>49</v>
      </c>
      <c r="D879" s="5" t="s">
        <v>51</v>
      </c>
      <c r="E879" s="5" t="s">
        <v>44</v>
      </c>
      <c r="F879" s="5" t="s">
        <v>137</v>
      </c>
      <c r="G879" s="8">
        <v>4</v>
      </c>
      <c r="H879" s="8">
        <v>6861</v>
      </c>
      <c r="I879" s="5" t="s">
        <v>40</v>
      </c>
      <c r="J879" s="8">
        <v>3</v>
      </c>
      <c r="K879" s="8">
        <v>1</v>
      </c>
      <c r="L879" s="8">
        <v>1</v>
      </c>
      <c r="M8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79" s="8" t="str" cm="1">
        <f t="array" ref="N879">_xlfn.IFS(HR_Analytics56[[#This Row],[PerformanceRating]]=3,"Good",HR_Analytics56[[#This Row],[PerformanceRating]]=4, "Excellent")</f>
        <v>Good</v>
      </c>
      <c r="O879" s="8" t="str">
        <f>IF(HR_Analytics56[[#This Row],[MonthlyIncome]]&lt;3000,"&lt; ₹3,000",IF(HR_Analytics56[[#This Row],[MonthlyIncome]]&lt;=7000,"₹ 3,000 - ₹ 7,000","&gt; ₹7,000"))</f>
        <v>₹ 3,000 - ₹ 7,000</v>
      </c>
      <c r="P879" s="8" t="str" cm="1">
        <f t="array" ref="P8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0" spans="1:16" x14ac:dyDescent="0.8">
      <c r="A880" s="5" t="s">
        <v>951</v>
      </c>
      <c r="B880" s="8">
        <v>38</v>
      </c>
      <c r="C880" s="5" t="s">
        <v>49</v>
      </c>
      <c r="D880" s="5" t="s">
        <v>42</v>
      </c>
      <c r="E880" s="5" t="s">
        <v>44</v>
      </c>
      <c r="F880" s="5" t="s">
        <v>60</v>
      </c>
      <c r="G880" s="8">
        <v>3</v>
      </c>
      <c r="H880" s="8">
        <v>2821</v>
      </c>
      <c r="I880" s="5" t="s">
        <v>49</v>
      </c>
      <c r="J880" s="8">
        <v>3</v>
      </c>
      <c r="K880" s="8">
        <v>2</v>
      </c>
      <c r="L880" s="8">
        <v>2</v>
      </c>
      <c r="M8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0" s="8" t="str" cm="1">
        <f t="array" ref="N880">_xlfn.IFS(HR_Analytics56[[#This Row],[PerformanceRating]]=3,"Good",HR_Analytics56[[#This Row],[PerformanceRating]]=4, "Excellent")</f>
        <v>Good</v>
      </c>
      <c r="O880" s="8" t="str">
        <f>IF(HR_Analytics56[[#This Row],[MonthlyIncome]]&lt;3000,"&lt; ₹3,000",IF(HR_Analytics56[[#This Row],[MonthlyIncome]]&lt;=7000,"₹ 3,000 - ₹ 7,000","&gt; ₹7,000"))</f>
        <v>&lt; ₹3,000</v>
      </c>
      <c r="P880" s="8" t="str" cm="1">
        <f t="array" ref="P8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1" spans="1:16" x14ac:dyDescent="0.8">
      <c r="A881" s="5" t="s">
        <v>952</v>
      </c>
      <c r="B881" s="8">
        <v>38</v>
      </c>
      <c r="C881" s="5" t="s">
        <v>49</v>
      </c>
      <c r="D881" s="5" t="s">
        <v>42</v>
      </c>
      <c r="E881" s="5" t="s">
        <v>53</v>
      </c>
      <c r="F881" s="5" t="s">
        <v>161</v>
      </c>
      <c r="G881" s="8">
        <v>3</v>
      </c>
      <c r="H881" s="8">
        <v>8823</v>
      </c>
      <c r="I881" s="5" t="s">
        <v>49</v>
      </c>
      <c r="J881" s="8">
        <v>3</v>
      </c>
      <c r="K881" s="8">
        <v>4</v>
      </c>
      <c r="L881" s="8">
        <v>19</v>
      </c>
      <c r="M8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1" s="8" t="str" cm="1">
        <f t="array" ref="N881">_xlfn.IFS(HR_Analytics56[[#This Row],[PerformanceRating]]=3,"Good",HR_Analytics56[[#This Row],[PerformanceRating]]=4, "Excellent")</f>
        <v>Good</v>
      </c>
      <c r="O881" s="8" t="str">
        <f>IF(HR_Analytics56[[#This Row],[MonthlyIncome]]&lt;3000,"&lt; ₹3,000",IF(HR_Analytics56[[#This Row],[MonthlyIncome]]&lt;=7000,"₹ 3,000 - ₹ 7,000","&gt; ₹7,000"))</f>
        <v>&gt; ₹7,000</v>
      </c>
      <c r="P881" s="8" t="str" cm="1">
        <f t="array" ref="P8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2" spans="1:16" x14ac:dyDescent="0.8">
      <c r="A882" s="5" t="s">
        <v>953</v>
      </c>
      <c r="B882" s="8">
        <v>38</v>
      </c>
      <c r="C882" s="5" t="s">
        <v>49</v>
      </c>
      <c r="D882" s="5" t="s">
        <v>51</v>
      </c>
      <c r="E882" s="5" t="s">
        <v>44</v>
      </c>
      <c r="F882" s="5" t="s">
        <v>137</v>
      </c>
      <c r="G882" s="8">
        <v>3</v>
      </c>
      <c r="H882" s="8">
        <v>8740</v>
      </c>
      <c r="I882" s="5" t="s">
        <v>40</v>
      </c>
      <c r="J882" s="8">
        <v>3</v>
      </c>
      <c r="K882" s="8">
        <v>2</v>
      </c>
      <c r="L882" s="8">
        <v>8</v>
      </c>
      <c r="M8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82" s="8" t="str" cm="1">
        <f t="array" ref="N882">_xlfn.IFS(HR_Analytics56[[#This Row],[PerformanceRating]]=3,"Good",HR_Analytics56[[#This Row],[PerformanceRating]]=4, "Excellent")</f>
        <v>Good</v>
      </c>
      <c r="O882" s="8" t="str">
        <f>IF(HR_Analytics56[[#This Row],[MonthlyIncome]]&lt;3000,"&lt; ₹3,000",IF(HR_Analytics56[[#This Row],[MonthlyIncome]]&lt;=7000,"₹ 3,000 - ₹ 7,000","&gt; ₹7,000"))</f>
        <v>&gt; ₹7,000</v>
      </c>
      <c r="P882" s="8" t="str" cm="1">
        <f t="array" ref="P8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3" spans="1:16" x14ac:dyDescent="0.8">
      <c r="A883" s="5" t="s">
        <v>954</v>
      </c>
      <c r="B883" s="8">
        <v>38</v>
      </c>
      <c r="C883" s="5" t="s">
        <v>49</v>
      </c>
      <c r="D883" s="5" t="s">
        <v>51</v>
      </c>
      <c r="E883" s="5" t="s">
        <v>44</v>
      </c>
      <c r="F883" s="5" t="s">
        <v>137</v>
      </c>
      <c r="G883" s="8">
        <v>2</v>
      </c>
      <c r="H883" s="8">
        <v>7351</v>
      </c>
      <c r="I883" s="5" t="s">
        <v>49</v>
      </c>
      <c r="J883" s="8">
        <v>3</v>
      </c>
      <c r="K883" s="8">
        <v>2</v>
      </c>
      <c r="L883" s="8">
        <v>1</v>
      </c>
      <c r="M8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3" s="8" t="str" cm="1">
        <f t="array" ref="N883">_xlfn.IFS(HR_Analytics56[[#This Row],[PerformanceRating]]=3,"Good",HR_Analytics56[[#This Row],[PerformanceRating]]=4, "Excellent")</f>
        <v>Good</v>
      </c>
      <c r="O883" s="8" t="str">
        <f>IF(HR_Analytics56[[#This Row],[MonthlyIncome]]&lt;3000,"&lt; ₹3,000",IF(HR_Analytics56[[#This Row],[MonthlyIncome]]&lt;=7000,"₹ 3,000 - ₹ 7,000","&gt; ₹7,000"))</f>
        <v>&gt; ₹7,000</v>
      </c>
      <c r="P883" s="8" t="str" cm="1">
        <f t="array" ref="P8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4" spans="1:16" x14ac:dyDescent="0.8">
      <c r="A884" s="5" t="s">
        <v>955</v>
      </c>
      <c r="B884" s="8">
        <v>38</v>
      </c>
      <c r="C884" s="5" t="s">
        <v>49</v>
      </c>
      <c r="D884" s="5" t="s">
        <v>71</v>
      </c>
      <c r="E884" s="5" t="s">
        <v>44</v>
      </c>
      <c r="F884" s="5" t="s">
        <v>71</v>
      </c>
      <c r="G884" s="8">
        <v>3</v>
      </c>
      <c r="H884" s="8">
        <v>2844</v>
      </c>
      <c r="I884" s="5" t="s">
        <v>49</v>
      </c>
      <c r="J884" s="8">
        <v>3</v>
      </c>
      <c r="K884" s="8">
        <v>2</v>
      </c>
      <c r="L884" s="8">
        <v>7</v>
      </c>
      <c r="M8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4" s="8" t="str" cm="1">
        <f t="array" ref="N884">_xlfn.IFS(HR_Analytics56[[#This Row],[PerformanceRating]]=3,"Good",HR_Analytics56[[#This Row],[PerformanceRating]]=4, "Excellent")</f>
        <v>Good</v>
      </c>
      <c r="O884" s="8" t="str">
        <f>IF(HR_Analytics56[[#This Row],[MonthlyIncome]]&lt;3000,"&lt; ₹3,000",IF(HR_Analytics56[[#This Row],[MonthlyIncome]]&lt;=7000,"₹ 3,000 - ₹ 7,000","&gt; ₹7,000"))</f>
        <v>&lt; ₹3,000</v>
      </c>
      <c r="P884" s="8" t="str" cm="1">
        <f t="array" ref="P8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5" spans="1:16" x14ac:dyDescent="0.8">
      <c r="A885" s="5" t="s">
        <v>956</v>
      </c>
      <c r="B885" s="8">
        <v>38</v>
      </c>
      <c r="C885" s="5" t="s">
        <v>49</v>
      </c>
      <c r="D885" s="5" t="s">
        <v>51</v>
      </c>
      <c r="E885" s="5" t="s">
        <v>53</v>
      </c>
      <c r="F885" s="5" t="s">
        <v>137</v>
      </c>
      <c r="G885" s="8">
        <v>1</v>
      </c>
      <c r="H885" s="8">
        <v>6893</v>
      </c>
      <c r="I885" s="5" t="s">
        <v>49</v>
      </c>
      <c r="J885" s="8">
        <v>3</v>
      </c>
      <c r="K885" s="8">
        <v>3</v>
      </c>
      <c r="L885" s="8">
        <v>7</v>
      </c>
      <c r="M8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5" s="8" t="str" cm="1">
        <f t="array" ref="N885">_xlfn.IFS(HR_Analytics56[[#This Row],[PerformanceRating]]=3,"Good",HR_Analytics56[[#This Row],[PerformanceRating]]=4, "Excellent")</f>
        <v>Good</v>
      </c>
      <c r="O885" s="8" t="str">
        <f>IF(HR_Analytics56[[#This Row],[MonthlyIncome]]&lt;3000,"&lt; ₹3,000",IF(HR_Analytics56[[#This Row],[MonthlyIncome]]&lt;=7000,"₹ 3,000 - ₹ 7,000","&gt; ₹7,000"))</f>
        <v>₹ 3,000 - ₹ 7,000</v>
      </c>
      <c r="P885" s="8" t="str" cm="1">
        <f t="array" ref="P8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6" spans="1:16" x14ac:dyDescent="0.8">
      <c r="A886" s="5" t="s">
        <v>957</v>
      </c>
      <c r="B886" s="8">
        <v>38</v>
      </c>
      <c r="C886" s="5" t="s">
        <v>49</v>
      </c>
      <c r="D886" s="5" t="s">
        <v>42</v>
      </c>
      <c r="E886" s="5" t="s">
        <v>44</v>
      </c>
      <c r="F886" s="5" t="s">
        <v>60</v>
      </c>
      <c r="G886" s="8">
        <v>3</v>
      </c>
      <c r="H886" s="8">
        <v>2610</v>
      </c>
      <c r="I886" s="5" t="s">
        <v>49</v>
      </c>
      <c r="J886" s="8">
        <v>3</v>
      </c>
      <c r="K886" s="8">
        <v>2</v>
      </c>
      <c r="L886" s="8">
        <v>4</v>
      </c>
      <c r="M8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6" s="8" t="str" cm="1">
        <f t="array" ref="N886">_xlfn.IFS(HR_Analytics56[[#This Row],[PerformanceRating]]=3,"Good",HR_Analytics56[[#This Row],[PerformanceRating]]=4, "Excellent")</f>
        <v>Good</v>
      </c>
      <c r="O886" s="8" t="str">
        <f>IF(HR_Analytics56[[#This Row],[MonthlyIncome]]&lt;3000,"&lt; ₹3,000",IF(HR_Analytics56[[#This Row],[MonthlyIncome]]&lt;=7000,"₹ 3,000 - ₹ 7,000","&gt; ₹7,000"))</f>
        <v>&lt; ₹3,000</v>
      </c>
      <c r="P886" s="8" t="str" cm="1">
        <f t="array" ref="P8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7" spans="1:16" x14ac:dyDescent="0.8">
      <c r="A887" s="5" t="s">
        <v>958</v>
      </c>
      <c r="B887" s="8">
        <v>38</v>
      </c>
      <c r="C887" s="5" t="s">
        <v>49</v>
      </c>
      <c r="D887" s="5" t="s">
        <v>71</v>
      </c>
      <c r="E887" s="5" t="s">
        <v>44</v>
      </c>
      <c r="F887" s="5" t="s">
        <v>71</v>
      </c>
      <c r="G887" s="8">
        <v>3</v>
      </c>
      <c r="H887" s="8">
        <v>6077</v>
      </c>
      <c r="I887" s="5" t="s">
        <v>49</v>
      </c>
      <c r="J887" s="8">
        <v>3</v>
      </c>
      <c r="K887" s="8">
        <v>2</v>
      </c>
      <c r="L887" s="8">
        <v>6</v>
      </c>
      <c r="M8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7" s="8" t="str" cm="1">
        <f t="array" ref="N887">_xlfn.IFS(HR_Analytics56[[#This Row],[PerformanceRating]]=3,"Good",HR_Analytics56[[#This Row],[PerformanceRating]]=4, "Excellent")</f>
        <v>Good</v>
      </c>
      <c r="O887" s="8" t="str">
        <f>IF(HR_Analytics56[[#This Row],[MonthlyIncome]]&lt;3000,"&lt; ₹3,000",IF(HR_Analytics56[[#This Row],[MonthlyIncome]]&lt;=7000,"₹ 3,000 - ₹ 7,000","&gt; ₹7,000"))</f>
        <v>₹ 3,000 - ₹ 7,000</v>
      </c>
      <c r="P887" s="8" t="str" cm="1">
        <f t="array" ref="P8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8" spans="1:16" x14ac:dyDescent="0.8">
      <c r="A888" s="5" t="s">
        <v>959</v>
      </c>
      <c r="B888" s="8">
        <v>38</v>
      </c>
      <c r="C888" s="5" t="s">
        <v>40</v>
      </c>
      <c r="D888" s="5" t="s">
        <v>42</v>
      </c>
      <c r="E888" s="5" t="s">
        <v>44</v>
      </c>
      <c r="F888" s="5" t="s">
        <v>112</v>
      </c>
      <c r="G888" s="8">
        <v>2</v>
      </c>
      <c r="H888" s="8">
        <v>4855</v>
      </c>
      <c r="I888" s="5" t="s">
        <v>49</v>
      </c>
      <c r="J888" s="8">
        <v>3</v>
      </c>
      <c r="K888" s="8">
        <v>2</v>
      </c>
      <c r="L888" s="8">
        <v>5</v>
      </c>
      <c r="M8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88" s="8" t="str" cm="1">
        <f t="array" ref="N888">_xlfn.IFS(HR_Analytics56[[#This Row],[PerformanceRating]]=3,"Good",HR_Analytics56[[#This Row],[PerformanceRating]]=4, "Excellent")</f>
        <v>Good</v>
      </c>
      <c r="O888" s="8" t="str">
        <f>IF(HR_Analytics56[[#This Row],[MonthlyIncome]]&lt;3000,"&lt; ₹3,000",IF(HR_Analytics56[[#This Row],[MonthlyIncome]]&lt;=7000,"₹ 3,000 - ₹ 7,000","&gt; ₹7,000"))</f>
        <v>₹ 3,000 - ₹ 7,000</v>
      </c>
      <c r="P888" s="8" t="str" cm="1">
        <f t="array" ref="P8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89" spans="1:16" x14ac:dyDescent="0.8">
      <c r="A889" s="5" t="s">
        <v>960</v>
      </c>
      <c r="B889" s="8">
        <v>38</v>
      </c>
      <c r="C889" s="5" t="s">
        <v>49</v>
      </c>
      <c r="D889" s="5" t="s">
        <v>51</v>
      </c>
      <c r="E889" s="5" t="s">
        <v>44</v>
      </c>
      <c r="F889" s="5" t="s">
        <v>137</v>
      </c>
      <c r="G889" s="8">
        <v>2</v>
      </c>
      <c r="H889" s="8">
        <v>9924</v>
      </c>
      <c r="I889" s="5" t="s">
        <v>49</v>
      </c>
      <c r="J889" s="8">
        <v>3</v>
      </c>
      <c r="K889" s="8">
        <v>3</v>
      </c>
      <c r="L889" s="8">
        <v>9</v>
      </c>
      <c r="M8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89" s="8" t="str" cm="1">
        <f t="array" ref="N889">_xlfn.IFS(HR_Analytics56[[#This Row],[PerformanceRating]]=3,"Good",HR_Analytics56[[#This Row],[PerformanceRating]]=4, "Excellent")</f>
        <v>Good</v>
      </c>
      <c r="O889" s="8" t="str">
        <f>IF(HR_Analytics56[[#This Row],[MonthlyIncome]]&lt;3000,"&lt; ₹3,000",IF(HR_Analytics56[[#This Row],[MonthlyIncome]]&lt;=7000,"₹ 3,000 - ₹ 7,000","&gt; ₹7,000"))</f>
        <v>&gt; ₹7,000</v>
      </c>
      <c r="P889" s="8" t="str" cm="1">
        <f t="array" ref="P8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0" spans="1:16" x14ac:dyDescent="0.8">
      <c r="A890" s="5" t="s">
        <v>961</v>
      </c>
      <c r="B890" s="8">
        <v>38</v>
      </c>
      <c r="C890" s="5" t="s">
        <v>49</v>
      </c>
      <c r="D890" s="5" t="s">
        <v>51</v>
      </c>
      <c r="E890" s="5" t="s">
        <v>53</v>
      </c>
      <c r="F890" s="5" t="s">
        <v>137</v>
      </c>
      <c r="G890" s="8">
        <v>2</v>
      </c>
      <c r="H890" s="8">
        <v>4198</v>
      </c>
      <c r="I890" s="5" t="s">
        <v>49</v>
      </c>
      <c r="J890" s="8">
        <v>3</v>
      </c>
      <c r="K890" s="8">
        <v>5</v>
      </c>
      <c r="L890" s="8">
        <v>3</v>
      </c>
      <c r="M8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0" s="8" t="str" cm="1">
        <f t="array" ref="N890">_xlfn.IFS(HR_Analytics56[[#This Row],[PerformanceRating]]=3,"Good",HR_Analytics56[[#This Row],[PerformanceRating]]=4, "Excellent")</f>
        <v>Good</v>
      </c>
      <c r="O890" s="8" t="str">
        <f>IF(HR_Analytics56[[#This Row],[MonthlyIncome]]&lt;3000,"&lt; ₹3,000",IF(HR_Analytics56[[#This Row],[MonthlyIncome]]&lt;=7000,"₹ 3,000 - ₹ 7,000","&gt; ₹7,000"))</f>
        <v>₹ 3,000 - ₹ 7,000</v>
      </c>
      <c r="P890" s="8" t="str" cm="1">
        <f t="array" ref="P8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1" spans="1:16" x14ac:dyDescent="0.8">
      <c r="A891" s="5" t="s">
        <v>962</v>
      </c>
      <c r="B891" s="8">
        <v>38</v>
      </c>
      <c r="C891" s="5" t="s">
        <v>49</v>
      </c>
      <c r="D891" s="5" t="s">
        <v>42</v>
      </c>
      <c r="E891" s="5" t="s">
        <v>53</v>
      </c>
      <c r="F891" s="5" t="s">
        <v>112</v>
      </c>
      <c r="G891" s="8">
        <v>3</v>
      </c>
      <c r="H891" s="8">
        <v>7756</v>
      </c>
      <c r="I891" s="5" t="s">
        <v>40</v>
      </c>
      <c r="J891" s="8">
        <v>3</v>
      </c>
      <c r="K891" s="8">
        <v>6</v>
      </c>
      <c r="L891" s="8">
        <v>5</v>
      </c>
      <c r="M8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91" s="8" t="str" cm="1">
        <f t="array" ref="N891">_xlfn.IFS(HR_Analytics56[[#This Row],[PerformanceRating]]=3,"Good",HR_Analytics56[[#This Row],[PerformanceRating]]=4, "Excellent")</f>
        <v>Good</v>
      </c>
      <c r="O891" s="8" t="str">
        <f>IF(HR_Analytics56[[#This Row],[MonthlyIncome]]&lt;3000,"&lt; ₹3,000",IF(HR_Analytics56[[#This Row],[MonthlyIncome]]&lt;=7000,"₹ 3,000 - ₹ 7,000","&gt; ₹7,000"))</f>
        <v>&gt; ₹7,000</v>
      </c>
      <c r="P891" s="8" t="str" cm="1">
        <f t="array" ref="P8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2" spans="1:16" x14ac:dyDescent="0.8">
      <c r="A892" s="5" t="s">
        <v>963</v>
      </c>
      <c r="B892" s="8">
        <v>38</v>
      </c>
      <c r="C892" s="5" t="s">
        <v>49</v>
      </c>
      <c r="D892" s="5" t="s">
        <v>42</v>
      </c>
      <c r="E892" s="5" t="s">
        <v>44</v>
      </c>
      <c r="F892" s="5" t="s">
        <v>60</v>
      </c>
      <c r="G892" s="8">
        <v>4</v>
      </c>
      <c r="H892" s="8">
        <v>4735</v>
      </c>
      <c r="I892" s="5" t="s">
        <v>49</v>
      </c>
      <c r="J892" s="8">
        <v>3</v>
      </c>
      <c r="K892" s="8">
        <v>4</v>
      </c>
      <c r="L892" s="8">
        <v>13</v>
      </c>
      <c r="M8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2" s="8" t="str" cm="1">
        <f t="array" ref="N892">_xlfn.IFS(HR_Analytics56[[#This Row],[PerformanceRating]]=3,"Good",HR_Analytics56[[#This Row],[PerformanceRating]]=4, "Excellent")</f>
        <v>Good</v>
      </c>
      <c r="O892" s="8" t="str">
        <f>IF(HR_Analytics56[[#This Row],[MonthlyIncome]]&lt;3000,"&lt; ₹3,000",IF(HR_Analytics56[[#This Row],[MonthlyIncome]]&lt;=7000,"₹ 3,000 - ₹ 7,000","&gt; ₹7,000"))</f>
        <v>₹ 3,000 - ₹ 7,000</v>
      </c>
      <c r="P892" s="8" t="str" cm="1">
        <f t="array" ref="P8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3" spans="1:16" x14ac:dyDescent="0.8">
      <c r="A893" s="5" t="s">
        <v>964</v>
      </c>
      <c r="B893" s="8">
        <v>38</v>
      </c>
      <c r="C893" s="5" t="s">
        <v>49</v>
      </c>
      <c r="D893" s="5" t="s">
        <v>42</v>
      </c>
      <c r="E893" s="5" t="s">
        <v>53</v>
      </c>
      <c r="F893" s="5" t="s">
        <v>45</v>
      </c>
      <c r="G893" s="8">
        <v>2</v>
      </c>
      <c r="H893" s="8">
        <v>2440</v>
      </c>
      <c r="I893" s="5" t="s">
        <v>49</v>
      </c>
      <c r="J893" s="8">
        <v>4</v>
      </c>
      <c r="K893" s="8">
        <v>3</v>
      </c>
      <c r="L893" s="8">
        <v>4</v>
      </c>
      <c r="M8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3" s="8" t="str" cm="1">
        <f t="array" ref="N893">_xlfn.IFS(HR_Analytics56[[#This Row],[PerformanceRating]]=3,"Good",HR_Analytics56[[#This Row],[PerformanceRating]]=4, "Excellent")</f>
        <v>Excellent</v>
      </c>
      <c r="O893" s="8" t="str">
        <f>IF(HR_Analytics56[[#This Row],[MonthlyIncome]]&lt;3000,"&lt; ₹3,000",IF(HR_Analytics56[[#This Row],[MonthlyIncome]]&lt;=7000,"₹ 3,000 - ₹ 7,000","&gt; ₹7,000"))</f>
        <v>&lt; ₹3,000</v>
      </c>
      <c r="P893" s="8" t="str" cm="1">
        <f t="array" ref="P8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4" spans="1:16" x14ac:dyDescent="0.8">
      <c r="A894" s="5" t="s">
        <v>965</v>
      </c>
      <c r="B894" s="8">
        <v>38</v>
      </c>
      <c r="C894" s="5" t="s">
        <v>49</v>
      </c>
      <c r="D894" s="5" t="s">
        <v>42</v>
      </c>
      <c r="E894" s="5" t="s">
        <v>53</v>
      </c>
      <c r="F894" s="5" t="s">
        <v>45</v>
      </c>
      <c r="G894" s="8">
        <v>3</v>
      </c>
      <c r="H894" s="8">
        <v>3306</v>
      </c>
      <c r="I894" s="5" t="s">
        <v>49</v>
      </c>
      <c r="J894" s="8">
        <v>3</v>
      </c>
      <c r="K894" s="8">
        <v>5</v>
      </c>
      <c r="L894" s="8">
        <v>0</v>
      </c>
      <c r="M8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4" s="8" t="str" cm="1">
        <f t="array" ref="N894">_xlfn.IFS(HR_Analytics56[[#This Row],[PerformanceRating]]=3,"Good",HR_Analytics56[[#This Row],[PerformanceRating]]=4, "Excellent")</f>
        <v>Good</v>
      </c>
      <c r="O894" s="8" t="str">
        <f>IF(HR_Analytics56[[#This Row],[MonthlyIncome]]&lt;3000,"&lt; ₹3,000",IF(HR_Analytics56[[#This Row],[MonthlyIncome]]&lt;=7000,"₹ 3,000 - ₹ 7,000","&gt; ₹7,000"))</f>
        <v>₹ 3,000 - ₹ 7,000</v>
      </c>
      <c r="P894" s="8" t="str" cm="1">
        <f t="array" ref="P8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5" spans="1:16" x14ac:dyDescent="0.8">
      <c r="A895" s="5" t="s">
        <v>966</v>
      </c>
      <c r="B895" s="8">
        <v>38</v>
      </c>
      <c r="C895" s="5" t="s">
        <v>49</v>
      </c>
      <c r="D895" s="5" t="s">
        <v>42</v>
      </c>
      <c r="E895" s="5" t="s">
        <v>53</v>
      </c>
      <c r="F895" s="5" t="s">
        <v>45</v>
      </c>
      <c r="G895" s="8">
        <v>2</v>
      </c>
      <c r="H895" s="8">
        <v>2468</v>
      </c>
      <c r="I895" s="5" t="s">
        <v>49</v>
      </c>
      <c r="J895" s="8">
        <v>3</v>
      </c>
      <c r="K895" s="8">
        <v>4</v>
      </c>
      <c r="L895" s="8">
        <v>6</v>
      </c>
      <c r="M8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5" s="8" t="str" cm="1">
        <f t="array" ref="N895">_xlfn.IFS(HR_Analytics56[[#This Row],[PerformanceRating]]=3,"Good",HR_Analytics56[[#This Row],[PerformanceRating]]=4, "Excellent")</f>
        <v>Good</v>
      </c>
      <c r="O895" s="8" t="str">
        <f>IF(HR_Analytics56[[#This Row],[MonthlyIncome]]&lt;3000,"&lt; ₹3,000",IF(HR_Analytics56[[#This Row],[MonthlyIncome]]&lt;=7000,"₹ 3,000 - ₹ 7,000","&gt; ₹7,000"))</f>
        <v>&lt; ₹3,000</v>
      </c>
      <c r="P895" s="8" t="str" cm="1">
        <f t="array" ref="P8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6" spans="1:16" x14ac:dyDescent="0.8">
      <c r="A896" s="5" t="s">
        <v>967</v>
      </c>
      <c r="B896" s="8">
        <v>38</v>
      </c>
      <c r="C896" s="5" t="s">
        <v>49</v>
      </c>
      <c r="D896" s="5" t="s">
        <v>42</v>
      </c>
      <c r="E896" s="5" t="s">
        <v>44</v>
      </c>
      <c r="F896" s="5" t="s">
        <v>161</v>
      </c>
      <c r="G896" s="8">
        <v>4</v>
      </c>
      <c r="H896" s="8">
        <v>5811</v>
      </c>
      <c r="I896" s="5" t="s">
        <v>40</v>
      </c>
      <c r="J896" s="8">
        <v>3</v>
      </c>
      <c r="K896" s="8">
        <v>2</v>
      </c>
      <c r="L896" s="8">
        <v>1</v>
      </c>
      <c r="M8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96" s="8" t="str" cm="1">
        <f t="array" ref="N896">_xlfn.IFS(HR_Analytics56[[#This Row],[PerformanceRating]]=3,"Good",HR_Analytics56[[#This Row],[PerformanceRating]]=4, "Excellent")</f>
        <v>Good</v>
      </c>
      <c r="O896" s="8" t="str">
        <f>IF(HR_Analytics56[[#This Row],[MonthlyIncome]]&lt;3000,"&lt; ₹3,000",IF(HR_Analytics56[[#This Row],[MonthlyIncome]]&lt;=7000,"₹ 3,000 - ₹ 7,000","&gt; ₹7,000"))</f>
        <v>₹ 3,000 - ₹ 7,000</v>
      </c>
      <c r="P896" s="8" t="str" cm="1">
        <f t="array" ref="P8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7" spans="1:16" x14ac:dyDescent="0.8">
      <c r="A897" s="5" t="s">
        <v>968</v>
      </c>
      <c r="B897" s="8">
        <v>38</v>
      </c>
      <c r="C897" s="5" t="s">
        <v>49</v>
      </c>
      <c r="D897" s="5" t="s">
        <v>42</v>
      </c>
      <c r="E897" s="5" t="s">
        <v>53</v>
      </c>
      <c r="F897" s="5" t="s">
        <v>45</v>
      </c>
      <c r="G897" s="8">
        <v>3</v>
      </c>
      <c r="H897" s="8">
        <v>3702</v>
      </c>
      <c r="I897" s="5" t="s">
        <v>49</v>
      </c>
      <c r="J897" s="8">
        <v>3</v>
      </c>
      <c r="K897" s="8">
        <v>3</v>
      </c>
      <c r="L897" s="8">
        <v>5</v>
      </c>
      <c r="M8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7" s="8" t="str" cm="1">
        <f t="array" ref="N897">_xlfn.IFS(HR_Analytics56[[#This Row],[PerformanceRating]]=3,"Good",HR_Analytics56[[#This Row],[PerformanceRating]]=4, "Excellent")</f>
        <v>Good</v>
      </c>
      <c r="O897" s="8" t="str">
        <f>IF(HR_Analytics56[[#This Row],[MonthlyIncome]]&lt;3000,"&lt; ₹3,000",IF(HR_Analytics56[[#This Row],[MonthlyIncome]]&lt;=7000,"₹ 3,000 - ₹ 7,000","&gt; ₹7,000"))</f>
        <v>₹ 3,000 - ₹ 7,000</v>
      </c>
      <c r="P897" s="8" t="str" cm="1">
        <f t="array" ref="P8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8" spans="1:16" x14ac:dyDescent="0.8">
      <c r="A898" s="5" t="s">
        <v>969</v>
      </c>
      <c r="B898" s="8">
        <v>38</v>
      </c>
      <c r="C898" s="5" t="s">
        <v>49</v>
      </c>
      <c r="D898" s="5" t="s">
        <v>71</v>
      </c>
      <c r="E898" s="5" t="s">
        <v>44</v>
      </c>
      <c r="F898" s="5" t="s">
        <v>71</v>
      </c>
      <c r="G898" s="8">
        <v>2</v>
      </c>
      <c r="H898" s="8">
        <v>2592</v>
      </c>
      <c r="I898" s="5" t="s">
        <v>49</v>
      </c>
      <c r="J898" s="8">
        <v>3</v>
      </c>
      <c r="K898" s="8">
        <v>3</v>
      </c>
      <c r="L898" s="8">
        <v>11</v>
      </c>
      <c r="M8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898" s="8" t="str" cm="1">
        <f t="array" ref="N898">_xlfn.IFS(HR_Analytics56[[#This Row],[PerformanceRating]]=3,"Good",HR_Analytics56[[#This Row],[PerformanceRating]]=4, "Excellent")</f>
        <v>Good</v>
      </c>
      <c r="O898" s="8" t="str">
        <f>IF(HR_Analytics56[[#This Row],[MonthlyIncome]]&lt;3000,"&lt; ₹3,000",IF(HR_Analytics56[[#This Row],[MonthlyIncome]]&lt;=7000,"₹ 3,000 - ₹ 7,000","&gt; ₹7,000"))</f>
        <v>&lt; ₹3,000</v>
      </c>
      <c r="P898" s="8" t="str" cm="1">
        <f t="array" ref="P8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899" spans="1:16" x14ac:dyDescent="0.8">
      <c r="A899" s="5" t="s">
        <v>970</v>
      </c>
      <c r="B899" s="8">
        <v>38</v>
      </c>
      <c r="C899" s="5" t="s">
        <v>49</v>
      </c>
      <c r="D899" s="5" t="s">
        <v>51</v>
      </c>
      <c r="E899" s="5" t="s">
        <v>53</v>
      </c>
      <c r="F899" s="5" t="s">
        <v>54</v>
      </c>
      <c r="G899" s="8">
        <v>4</v>
      </c>
      <c r="H899" s="8">
        <v>5405</v>
      </c>
      <c r="I899" s="5" t="s">
        <v>40</v>
      </c>
      <c r="J899" s="8">
        <v>4</v>
      </c>
      <c r="K899" s="8">
        <v>4</v>
      </c>
      <c r="L899" s="8">
        <v>4</v>
      </c>
      <c r="M8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899" s="8" t="str" cm="1">
        <f t="array" ref="N899">_xlfn.IFS(HR_Analytics56[[#This Row],[PerformanceRating]]=3,"Good",HR_Analytics56[[#This Row],[PerformanceRating]]=4, "Excellent")</f>
        <v>Excellent</v>
      </c>
      <c r="O899" s="8" t="str">
        <f>IF(HR_Analytics56[[#This Row],[MonthlyIncome]]&lt;3000,"&lt; ₹3,000",IF(HR_Analytics56[[#This Row],[MonthlyIncome]]&lt;=7000,"₹ 3,000 - ₹ 7,000","&gt; ₹7,000"))</f>
        <v>₹ 3,000 - ₹ 7,000</v>
      </c>
      <c r="P899" s="8" t="str" cm="1">
        <f t="array" ref="P8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0" spans="1:16" x14ac:dyDescent="0.8">
      <c r="A900" s="5" t="s">
        <v>971</v>
      </c>
      <c r="B900" s="8">
        <v>38</v>
      </c>
      <c r="C900" s="5" t="s">
        <v>49</v>
      </c>
      <c r="D900" s="5" t="s">
        <v>42</v>
      </c>
      <c r="E900" s="5" t="s">
        <v>53</v>
      </c>
      <c r="F900" s="5" t="s">
        <v>60</v>
      </c>
      <c r="G900" s="8">
        <v>2</v>
      </c>
      <c r="H900" s="8">
        <v>2133</v>
      </c>
      <c r="I900" s="5" t="s">
        <v>40</v>
      </c>
      <c r="J900" s="8">
        <v>3</v>
      </c>
      <c r="K900" s="8">
        <v>3</v>
      </c>
      <c r="L900" s="8">
        <v>20</v>
      </c>
      <c r="M9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00" s="8" t="str" cm="1">
        <f t="array" ref="N900">_xlfn.IFS(HR_Analytics56[[#This Row],[PerformanceRating]]=3,"Good",HR_Analytics56[[#This Row],[PerformanceRating]]=4, "Excellent")</f>
        <v>Good</v>
      </c>
      <c r="O900" s="8" t="str">
        <f>IF(HR_Analytics56[[#This Row],[MonthlyIncome]]&lt;3000,"&lt; ₹3,000",IF(HR_Analytics56[[#This Row],[MonthlyIncome]]&lt;=7000,"₹ 3,000 - ₹ 7,000","&gt; ₹7,000"))</f>
        <v>&lt; ₹3,000</v>
      </c>
      <c r="P900" s="8" t="str" cm="1">
        <f t="array" ref="P9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1" spans="1:16" x14ac:dyDescent="0.8">
      <c r="A901" s="5" t="s">
        <v>972</v>
      </c>
      <c r="B901" s="8">
        <v>38</v>
      </c>
      <c r="C901" s="5" t="s">
        <v>49</v>
      </c>
      <c r="D901" s="5" t="s">
        <v>42</v>
      </c>
      <c r="E901" s="5" t="s">
        <v>44</v>
      </c>
      <c r="F901" s="5" t="s">
        <v>60</v>
      </c>
      <c r="G901" s="8">
        <v>4</v>
      </c>
      <c r="H901" s="8">
        <v>4771</v>
      </c>
      <c r="I901" s="5" t="s">
        <v>49</v>
      </c>
      <c r="J901" s="8">
        <v>3</v>
      </c>
      <c r="K901" s="8">
        <v>0</v>
      </c>
      <c r="L901" s="8">
        <v>5</v>
      </c>
      <c r="M9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1" s="8" t="str" cm="1">
        <f t="array" ref="N901">_xlfn.IFS(HR_Analytics56[[#This Row],[PerformanceRating]]=3,"Good",HR_Analytics56[[#This Row],[PerformanceRating]]=4, "Excellent")</f>
        <v>Good</v>
      </c>
      <c r="O901" s="8" t="str">
        <f>IF(HR_Analytics56[[#This Row],[MonthlyIncome]]&lt;3000,"&lt; ₹3,000",IF(HR_Analytics56[[#This Row],[MonthlyIncome]]&lt;=7000,"₹ 3,000 - ₹ 7,000","&gt; ₹7,000"))</f>
        <v>₹ 3,000 - ₹ 7,000</v>
      </c>
      <c r="P901" s="8" t="str" cm="1">
        <f t="array" ref="P9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2" spans="1:16" x14ac:dyDescent="0.8">
      <c r="A902" s="5" t="s">
        <v>973</v>
      </c>
      <c r="B902" s="8">
        <v>38</v>
      </c>
      <c r="C902" s="5" t="s">
        <v>49</v>
      </c>
      <c r="D902" s="5" t="s">
        <v>51</v>
      </c>
      <c r="E902" s="5" t="s">
        <v>44</v>
      </c>
      <c r="F902" s="5" t="s">
        <v>54</v>
      </c>
      <c r="G902" s="8">
        <v>1</v>
      </c>
      <c r="H902" s="8">
        <v>2858</v>
      </c>
      <c r="I902" s="5" t="s">
        <v>49</v>
      </c>
      <c r="J902" s="8">
        <v>3</v>
      </c>
      <c r="K902" s="8">
        <v>3</v>
      </c>
      <c r="L902" s="8">
        <v>1</v>
      </c>
      <c r="M9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2" s="8" t="str" cm="1">
        <f t="array" ref="N902">_xlfn.IFS(HR_Analytics56[[#This Row],[PerformanceRating]]=3,"Good",HR_Analytics56[[#This Row],[PerformanceRating]]=4, "Excellent")</f>
        <v>Good</v>
      </c>
      <c r="O902" s="8" t="str">
        <f>IF(HR_Analytics56[[#This Row],[MonthlyIncome]]&lt;3000,"&lt; ₹3,000",IF(HR_Analytics56[[#This Row],[MonthlyIncome]]&lt;=7000,"₹ 3,000 - ₹ 7,000","&gt; ₹7,000"))</f>
        <v>&lt; ₹3,000</v>
      </c>
      <c r="P902" s="8" t="str" cm="1">
        <f t="array" ref="P9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3" spans="1:16" x14ac:dyDescent="0.8">
      <c r="A903" s="5" t="s">
        <v>974</v>
      </c>
      <c r="B903" s="8">
        <v>38</v>
      </c>
      <c r="C903" s="5" t="s">
        <v>49</v>
      </c>
      <c r="D903" s="5" t="s">
        <v>71</v>
      </c>
      <c r="E903" s="5" t="s">
        <v>44</v>
      </c>
      <c r="F903" s="5" t="s">
        <v>71</v>
      </c>
      <c r="G903" s="8">
        <v>2</v>
      </c>
      <c r="H903" s="8">
        <v>2991</v>
      </c>
      <c r="I903" s="5" t="s">
        <v>40</v>
      </c>
      <c r="J903" s="8">
        <v>3</v>
      </c>
      <c r="K903" s="8">
        <v>2</v>
      </c>
      <c r="L903" s="8">
        <v>6</v>
      </c>
      <c r="M9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03" s="8" t="str" cm="1">
        <f t="array" ref="N903">_xlfn.IFS(HR_Analytics56[[#This Row],[PerformanceRating]]=3,"Good",HR_Analytics56[[#This Row],[PerformanceRating]]=4, "Excellent")</f>
        <v>Good</v>
      </c>
      <c r="O903" s="8" t="str">
        <f>IF(HR_Analytics56[[#This Row],[MonthlyIncome]]&lt;3000,"&lt; ₹3,000",IF(HR_Analytics56[[#This Row],[MonthlyIncome]]&lt;=7000,"₹ 3,000 - ₹ 7,000","&gt; ₹7,000"))</f>
        <v>&lt; ₹3,000</v>
      </c>
      <c r="P903" s="8" t="str" cm="1">
        <f t="array" ref="P9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4" spans="1:16" x14ac:dyDescent="0.8">
      <c r="A904" s="5" t="s">
        <v>975</v>
      </c>
      <c r="B904" s="8">
        <v>38</v>
      </c>
      <c r="C904" s="5" t="s">
        <v>49</v>
      </c>
      <c r="D904" s="5" t="s">
        <v>51</v>
      </c>
      <c r="E904" s="5" t="s">
        <v>44</v>
      </c>
      <c r="F904" s="5" t="s">
        <v>137</v>
      </c>
      <c r="G904" s="8">
        <v>2</v>
      </c>
      <c r="H904" s="8">
        <v>4440</v>
      </c>
      <c r="I904" s="5" t="s">
        <v>49</v>
      </c>
      <c r="J904" s="8">
        <v>3</v>
      </c>
      <c r="K904" s="8">
        <v>3</v>
      </c>
      <c r="L904" s="8">
        <v>15</v>
      </c>
      <c r="M9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4" s="8" t="str" cm="1">
        <f t="array" ref="N904">_xlfn.IFS(HR_Analytics56[[#This Row],[PerformanceRating]]=3,"Good",HR_Analytics56[[#This Row],[PerformanceRating]]=4, "Excellent")</f>
        <v>Good</v>
      </c>
      <c r="O904" s="8" t="str">
        <f>IF(HR_Analytics56[[#This Row],[MonthlyIncome]]&lt;3000,"&lt; ₹3,000",IF(HR_Analytics56[[#This Row],[MonthlyIncome]]&lt;=7000,"₹ 3,000 - ₹ 7,000","&gt; ₹7,000"))</f>
        <v>₹ 3,000 - ₹ 7,000</v>
      </c>
      <c r="P904" s="8" t="str" cm="1">
        <f t="array" ref="P9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5" spans="1:16" x14ac:dyDescent="0.8">
      <c r="A905" s="5" t="s">
        <v>976</v>
      </c>
      <c r="B905" s="8">
        <v>38</v>
      </c>
      <c r="C905" s="5" t="s">
        <v>49</v>
      </c>
      <c r="D905" s="5" t="s">
        <v>42</v>
      </c>
      <c r="E905" s="5" t="s">
        <v>44</v>
      </c>
      <c r="F905" s="5" t="s">
        <v>112</v>
      </c>
      <c r="G905" s="8">
        <v>3</v>
      </c>
      <c r="H905" s="8">
        <v>5321</v>
      </c>
      <c r="I905" s="5" t="s">
        <v>49</v>
      </c>
      <c r="J905" s="8">
        <v>3</v>
      </c>
      <c r="K905" s="8">
        <v>1</v>
      </c>
      <c r="L905" s="8">
        <v>8</v>
      </c>
      <c r="M9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5" s="8" t="str" cm="1">
        <f t="array" ref="N905">_xlfn.IFS(HR_Analytics56[[#This Row],[PerformanceRating]]=3,"Good",HR_Analytics56[[#This Row],[PerformanceRating]]=4, "Excellent")</f>
        <v>Good</v>
      </c>
      <c r="O905" s="8" t="str">
        <f>IF(HR_Analytics56[[#This Row],[MonthlyIncome]]&lt;3000,"&lt; ₹3,000",IF(HR_Analytics56[[#This Row],[MonthlyIncome]]&lt;=7000,"₹ 3,000 - ₹ 7,000","&gt; ₹7,000"))</f>
        <v>₹ 3,000 - ₹ 7,000</v>
      </c>
      <c r="P905" s="8" t="str" cm="1">
        <f t="array" ref="P9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6" spans="1:16" x14ac:dyDescent="0.8">
      <c r="A906" s="5" t="s">
        <v>977</v>
      </c>
      <c r="B906" s="8">
        <v>38</v>
      </c>
      <c r="C906" s="5" t="s">
        <v>49</v>
      </c>
      <c r="D906" s="5" t="s">
        <v>42</v>
      </c>
      <c r="E906" s="5" t="s">
        <v>53</v>
      </c>
      <c r="F906" s="5" t="s">
        <v>252</v>
      </c>
      <c r="G906" s="8">
        <v>3</v>
      </c>
      <c r="H906" s="8">
        <v>13206</v>
      </c>
      <c r="I906" s="5" t="s">
        <v>49</v>
      </c>
      <c r="J906" s="8">
        <v>3</v>
      </c>
      <c r="K906" s="8">
        <v>3</v>
      </c>
      <c r="L906" s="8">
        <v>18</v>
      </c>
      <c r="M9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6" s="8" t="str" cm="1">
        <f t="array" ref="N906">_xlfn.IFS(HR_Analytics56[[#This Row],[PerformanceRating]]=3,"Good",HR_Analytics56[[#This Row],[PerformanceRating]]=4, "Excellent")</f>
        <v>Good</v>
      </c>
      <c r="O906" s="8" t="str">
        <f>IF(HR_Analytics56[[#This Row],[MonthlyIncome]]&lt;3000,"&lt; ₹3,000",IF(HR_Analytics56[[#This Row],[MonthlyIncome]]&lt;=7000,"₹ 3,000 - ₹ 7,000","&gt; ₹7,000"))</f>
        <v>&gt; ₹7,000</v>
      </c>
      <c r="P906" s="8" t="str" cm="1">
        <f t="array" ref="P9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7" spans="1:16" x14ac:dyDescent="0.8">
      <c r="A907" s="5" t="s">
        <v>978</v>
      </c>
      <c r="B907" s="8">
        <v>38</v>
      </c>
      <c r="C907" s="5" t="s">
        <v>49</v>
      </c>
      <c r="D907" s="5" t="s">
        <v>51</v>
      </c>
      <c r="E907" s="5" t="s">
        <v>53</v>
      </c>
      <c r="F907" s="5" t="s">
        <v>137</v>
      </c>
      <c r="G907" s="8">
        <v>4</v>
      </c>
      <c r="H907" s="8">
        <v>5343</v>
      </c>
      <c r="I907" s="5" t="s">
        <v>49</v>
      </c>
      <c r="J907" s="8">
        <v>3</v>
      </c>
      <c r="K907" s="8">
        <v>1</v>
      </c>
      <c r="L907" s="8">
        <v>10</v>
      </c>
      <c r="M9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7" s="8" t="str" cm="1">
        <f t="array" ref="N907">_xlfn.IFS(HR_Analytics56[[#This Row],[PerformanceRating]]=3,"Good",HR_Analytics56[[#This Row],[PerformanceRating]]=4, "Excellent")</f>
        <v>Good</v>
      </c>
      <c r="O907" s="8" t="str">
        <f>IF(HR_Analytics56[[#This Row],[MonthlyIncome]]&lt;3000,"&lt; ₹3,000",IF(HR_Analytics56[[#This Row],[MonthlyIncome]]&lt;=7000,"₹ 3,000 - ₹ 7,000","&gt; ₹7,000"))</f>
        <v>₹ 3,000 - ₹ 7,000</v>
      </c>
      <c r="P907" s="8" t="str" cm="1">
        <f t="array" ref="P9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8" spans="1:16" x14ac:dyDescent="0.8">
      <c r="A908" s="5" t="s">
        <v>979</v>
      </c>
      <c r="B908" s="8">
        <v>39</v>
      </c>
      <c r="C908" s="5" t="s">
        <v>40</v>
      </c>
      <c r="D908" s="5" t="s">
        <v>51</v>
      </c>
      <c r="E908" s="5" t="s">
        <v>44</v>
      </c>
      <c r="F908" s="5" t="s">
        <v>54</v>
      </c>
      <c r="G908" s="8">
        <v>4</v>
      </c>
      <c r="H908" s="8">
        <v>2086</v>
      </c>
      <c r="I908" s="5" t="s">
        <v>49</v>
      </c>
      <c r="J908" s="8">
        <v>3</v>
      </c>
      <c r="K908" s="8">
        <v>6</v>
      </c>
      <c r="L908" s="8">
        <v>1</v>
      </c>
      <c r="M9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08" s="8" t="str" cm="1">
        <f t="array" ref="N908">_xlfn.IFS(HR_Analytics56[[#This Row],[PerformanceRating]]=3,"Good",HR_Analytics56[[#This Row],[PerformanceRating]]=4, "Excellent")</f>
        <v>Good</v>
      </c>
      <c r="O908" s="8" t="str">
        <f>IF(HR_Analytics56[[#This Row],[MonthlyIncome]]&lt;3000,"&lt; ₹3,000",IF(HR_Analytics56[[#This Row],[MonthlyIncome]]&lt;=7000,"₹ 3,000 - ₹ 7,000","&gt; ₹7,000"))</f>
        <v>&lt; ₹3,000</v>
      </c>
      <c r="P908" s="8" t="str" cm="1">
        <f t="array" ref="P9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09" spans="1:16" x14ac:dyDescent="0.8">
      <c r="A909" s="5" t="s">
        <v>980</v>
      </c>
      <c r="B909" s="8">
        <v>39</v>
      </c>
      <c r="C909" s="5" t="s">
        <v>49</v>
      </c>
      <c r="D909" s="5" t="s">
        <v>51</v>
      </c>
      <c r="E909" s="5" t="s">
        <v>53</v>
      </c>
      <c r="F909" s="5" t="s">
        <v>137</v>
      </c>
      <c r="G909" s="8">
        <v>3</v>
      </c>
      <c r="H909" s="8">
        <v>5902</v>
      </c>
      <c r="I909" s="5" t="s">
        <v>49</v>
      </c>
      <c r="J909" s="8">
        <v>3</v>
      </c>
      <c r="K909" s="8">
        <v>1</v>
      </c>
      <c r="L909" s="8">
        <v>15</v>
      </c>
      <c r="M9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09" s="8" t="str" cm="1">
        <f t="array" ref="N909">_xlfn.IFS(HR_Analytics56[[#This Row],[PerformanceRating]]=3,"Good",HR_Analytics56[[#This Row],[PerformanceRating]]=4, "Excellent")</f>
        <v>Good</v>
      </c>
      <c r="O909" s="8" t="str">
        <f>IF(HR_Analytics56[[#This Row],[MonthlyIncome]]&lt;3000,"&lt; ₹3,000",IF(HR_Analytics56[[#This Row],[MonthlyIncome]]&lt;=7000,"₹ 3,000 - ₹ 7,000","&gt; ₹7,000"))</f>
        <v>₹ 3,000 - ₹ 7,000</v>
      </c>
      <c r="P909" s="8" t="str" cm="1">
        <f t="array" ref="P9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0" spans="1:16" x14ac:dyDescent="0.8">
      <c r="A910" s="5" t="s">
        <v>981</v>
      </c>
      <c r="B910" s="8">
        <v>39</v>
      </c>
      <c r="C910" s="5" t="s">
        <v>49</v>
      </c>
      <c r="D910" s="5" t="s">
        <v>42</v>
      </c>
      <c r="E910" s="5" t="s">
        <v>53</v>
      </c>
      <c r="F910" s="5" t="s">
        <v>45</v>
      </c>
      <c r="G910" s="8">
        <v>3</v>
      </c>
      <c r="H910" s="8">
        <v>2232</v>
      </c>
      <c r="I910" s="5" t="s">
        <v>49</v>
      </c>
      <c r="J910" s="8">
        <v>3</v>
      </c>
      <c r="K910" s="8">
        <v>1</v>
      </c>
      <c r="L910" s="8">
        <v>3</v>
      </c>
      <c r="M9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0" s="8" t="str" cm="1">
        <f t="array" ref="N910">_xlfn.IFS(HR_Analytics56[[#This Row],[PerformanceRating]]=3,"Good",HR_Analytics56[[#This Row],[PerformanceRating]]=4, "Excellent")</f>
        <v>Good</v>
      </c>
      <c r="O910" s="8" t="str">
        <f>IF(HR_Analytics56[[#This Row],[MonthlyIncome]]&lt;3000,"&lt; ₹3,000",IF(HR_Analytics56[[#This Row],[MonthlyIncome]]&lt;=7000,"₹ 3,000 - ₹ 7,000","&gt; ₹7,000"))</f>
        <v>&lt; ₹3,000</v>
      </c>
      <c r="P910" s="8" t="str" cm="1">
        <f t="array" ref="P9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1" spans="1:16" x14ac:dyDescent="0.8">
      <c r="A911" s="5" t="s">
        <v>982</v>
      </c>
      <c r="B911" s="8">
        <v>39</v>
      </c>
      <c r="C911" s="5" t="s">
        <v>49</v>
      </c>
      <c r="D911" s="5" t="s">
        <v>42</v>
      </c>
      <c r="E911" s="5" t="s">
        <v>53</v>
      </c>
      <c r="F911" s="5" t="s">
        <v>161</v>
      </c>
      <c r="G911" s="8">
        <v>3</v>
      </c>
      <c r="H911" s="8">
        <v>10938</v>
      </c>
      <c r="I911" s="5" t="s">
        <v>49</v>
      </c>
      <c r="J911" s="8">
        <v>4</v>
      </c>
      <c r="K911" s="8">
        <v>1</v>
      </c>
      <c r="L911" s="8">
        <v>19</v>
      </c>
      <c r="M9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1" s="8" t="str" cm="1">
        <f t="array" ref="N911">_xlfn.IFS(HR_Analytics56[[#This Row],[PerformanceRating]]=3,"Good",HR_Analytics56[[#This Row],[PerformanceRating]]=4, "Excellent")</f>
        <v>Excellent</v>
      </c>
      <c r="O911" s="8" t="str">
        <f>IF(HR_Analytics56[[#This Row],[MonthlyIncome]]&lt;3000,"&lt; ₹3,000",IF(HR_Analytics56[[#This Row],[MonthlyIncome]]&lt;=7000,"₹ 3,000 - ₹ 7,000","&gt; ₹7,000"))</f>
        <v>&gt; ₹7,000</v>
      </c>
      <c r="P911" s="8" t="str" cm="1">
        <f t="array" ref="P91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912" spans="1:16" x14ac:dyDescent="0.8">
      <c r="A912" s="5" t="s">
        <v>983</v>
      </c>
      <c r="B912" s="8">
        <v>39</v>
      </c>
      <c r="C912" s="5" t="s">
        <v>49</v>
      </c>
      <c r="D912" s="5" t="s">
        <v>42</v>
      </c>
      <c r="E912" s="5" t="s">
        <v>44</v>
      </c>
      <c r="F912" s="5" t="s">
        <v>161</v>
      </c>
      <c r="G912" s="8">
        <v>4</v>
      </c>
      <c r="H912" s="8">
        <v>9613</v>
      </c>
      <c r="I912" s="5" t="s">
        <v>49</v>
      </c>
      <c r="J912" s="8">
        <v>3</v>
      </c>
      <c r="K912" s="8">
        <v>5</v>
      </c>
      <c r="L912" s="8">
        <v>18</v>
      </c>
      <c r="M9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2" s="8" t="str" cm="1">
        <f t="array" ref="N912">_xlfn.IFS(HR_Analytics56[[#This Row],[PerformanceRating]]=3,"Good",HR_Analytics56[[#This Row],[PerformanceRating]]=4, "Excellent")</f>
        <v>Good</v>
      </c>
      <c r="O912" s="8" t="str">
        <f>IF(HR_Analytics56[[#This Row],[MonthlyIncome]]&lt;3000,"&lt; ₹3,000",IF(HR_Analytics56[[#This Row],[MonthlyIncome]]&lt;=7000,"₹ 3,000 - ₹ 7,000","&gt; ₹7,000"))</f>
        <v>&gt; ₹7,000</v>
      </c>
      <c r="P912" s="8" t="str" cm="1">
        <f t="array" ref="P9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3" spans="1:16" x14ac:dyDescent="0.8">
      <c r="A913" s="5" t="s">
        <v>984</v>
      </c>
      <c r="B913" s="8">
        <v>39</v>
      </c>
      <c r="C913" s="5" t="s">
        <v>49</v>
      </c>
      <c r="D913" s="5" t="s">
        <v>42</v>
      </c>
      <c r="E913" s="5" t="s">
        <v>44</v>
      </c>
      <c r="F913" s="5" t="s">
        <v>442</v>
      </c>
      <c r="G913" s="8">
        <v>1</v>
      </c>
      <c r="H913" s="8">
        <v>17068</v>
      </c>
      <c r="I913" s="5" t="s">
        <v>40</v>
      </c>
      <c r="J913" s="8">
        <v>3</v>
      </c>
      <c r="K913" s="8">
        <v>3</v>
      </c>
      <c r="L913" s="8">
        <v>21</v>
      </c>
      <c r="M9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13" s="8" t="str" cm="1">
        <f t="array" ref="N913">_xlfn.IFS(HR_Analytics56[[#This Row],[PerformanceRating]]=3,"Good",HR_Analytics56[[#This Row],[PerformanceRating]]=4, "Excellent")</f>
        <v>Good</v>
      </c>
      <c r="O913" s="8" t="str">
        <f>IF(HR_Analytics56[[#This Row],[MonthlyIncome]]&lt;3000,"&lt; ₹3,000",IF(HR_Analytics56[[#This Row],[MonthlyIncome]]&lt;=7000,"₹ 3,000 - ₹ 7,000","&gt; ₹7,000"))</f>
        <v>&gt; ₹7,000</v>
      </c>
      <c r="P913" s="8" t="str" cm="1">
        <f t="array" ref="P9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4" spans="1:16" x14ac:dyDescent="0.8">
      <c r="A914" s="5" t="s">
        <v>985</v>
      </c>
      <c r="B914" s="8">
        <v>39</v>
      </c>
      <c r="C914" s="5" t="s">
        <v>49</v>
      </c>
      <c r="D914" s="5" t="s">
        <v>42</v>
      </c>
      <c r="E914" s="5" t="s">
        <v>44</v>
      </c>
      <c r="F914" s="5" t="s">
        <v>442</v>
      </c>
      <c r="G914" s="8">
        <v>4</v>
      </c>
      <c r="H914" s="8">
        <v>19272</v>
      </c>
      <c r="I914" s="5" t="s">
        <v>49</v>
      </c>
      <c r="J914" s="8">
        <v>3</v>
      </c>
      <c r="K914" s="8">
        <v>2</v>
      </c>
      <c r="L914" s="8">
        <v>21</v>
      </c>
      <c r="M9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4" s="8" t="str" cm="1">
        <f t="array" ref="N914">_xlfn.IFS(HR_Analytics56[[#This Row],[PerformanceRating]]=3,"Good",HR_Analytics56[[#This Row],[PerformanceRating]]=4, "Excellent")</f>
        <v>Good</v>
      </c>
      <c r="O914" s="8" t="str">
        <f>IF(HR_Analytics56[[#This Row],[MonthlyIncome]]&lt;3000,"&lt; ₹3,000",IF(HR_Analytics56[[#This Row],[MonthlyIncome]]&lt;=7000,"₹ 3,000 - ₹ 7,000","&gt; ₹7,000"))</f>
        <v>&gt; ₹7,000</v>
      </c>
      <c r="P914" s="8" t="str" cm="1">
        <f t="array" ref="P9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5" spans="1:16" x14ac:dyDescent="0.8">
      <c r="A915" s="5" t="s">
        <v>986</v>
      </c>
      <c r="B915" s="8">
        <v>39</v>
      </c>
      <c r="C915" s="5" t="s">
        <v>40</v>
      </c>
      <c r="D915" s="5" t="s">
        <v>51</v>
      </c>
      <c r="E915" s="5" t="s">
        <v>53</v>
      </c>
      <c r="F915" s="5" t="s">
        <v>137</v>
      </c>
      <c r="G915" s="8">
        <v>3</v>
      </c>
      <c r="H915" s="8">
        <v>5238</v>
      </c>
      <c r="I915" s="5" t="s">
        <v>40</v>
      </c>
      <c r="J915" s="8">
        <v>3</v>
      </c>
      <c r="K915" s="8">
        <v>3</v>
      </c>
      <c r="L915" s="8">
        <v>1</v>
      </c>
      <c r="M9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15" s="8" t="str" cm="1">
        <f t="array" ref="N915">_xlfn.IFS(HR_Analytics56[[#This Row],[PerformanceRating]]=3,"Good",HR_Analytics56[[#This Row],[PerformanceRating]]=4, "Excellent")</f>
        <v>Good</v>
      </c>
      <c r="O915" s="8" t="str">
        <f>IF(HR_Analytics56[[#This Row],[MonthlyIncome]]&lt;3000,"&lt; ₹3,000",IF(HR_Analytics56[[#This Row],[MonthlyIncome]]&lt;=7000,"₹ 3,000 - ₹ 7,000","&gt; ₹7,000"))</f>
        <v>₹ 3,000 - ₹ 7,000</v>
      </c>
      <c r="P915" s="8" t="str" cm="1">
        <f t="array" ref="P9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6" spans="1:16" x14ac:dyDescent="0.8">
      <c r="A916" s="5" t="s">
        <v>987</v>
      </c>
      <c r="B916" s="8">
        <v>39</v>
      </c>
      <c r="C916" s="5" t="s">
        <v>49</v>
      </c>
      <c r="D916" s="5" t="s">
        <v>42</v>
      </c>
      <c r="E916" s="5" t="s">
        <v>44</v>
      </c>
      <c r="F916" s="5" t="s">
        <v>442</v>
      </c>
      <c r="G916" s="8">
        <v>3</v>
      </c>
      <c r="H916" s="8">
        <v>19197</v>
      </c>
      <c r="I916" s="5" t="s">
        <v>40</v>
      </c>
      <c r="J916" s="8">
        <v>3</v>
      </c>
      <c r="K916" s="8">
        <v>3</v>
      </c>
      <c r="L916" s="8">
        <v>21</v>
      </c>
      <c r="M9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16" s="8" t="str" cm="1">
        <f t="array" ref="N916">_xlfn.IFS(HR_Analytics56[[#This Row],[PerformanceRating]]=3,"Good",HR_Analytics56[[#This Row],[PerformanceRating]]=4, "Excellent")</f>
        <v>Good</v>
      </c>
      <c r="O916" s="8" t="str">
        <f>IF(HR_Analytics56[[#This Row],[MonthlyIncome]]&lt;3000,"&lt; ₹3,000",IF(HR_Analytics56[[#This Row],[MonthlyIncome]]&lt;=7000,"₹ 3,000 - ₹ 7,000","&gt; ₹7,000"))</f>
        <v>&gt; ₹7,000</v>
      </c>
      <c r="P916" s="8" t="str" cm="1">
        <f t="array" ref="P9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7" spans="1:16" x14ac:dyDescent="0.8">
      <c r="A917" s="5" t="s">
        <v>988</v>
      </c>
      <c r="B917" s="8">
        <v>39</v>
      </c>
      <c r="C917" s="5" t="s">
        <v>49</v>
      </c>
      <c r="D917" s="5" t="s">
        <v>42</v>
      </c>
      <c r="E917" s="5" t="s">
        <v>53</v>
      </c>
      <c r="F917" s="5" t="s">
        <v>45</v>
      </c>
      <c r="G917" s="8">
        <v>3</v>
      </c>
      <c r="H917" s="8">
        <v>3755</v>
      </c>
      <c r="I917" s="5" t="s">
        <v>49</v>
      </c>
      <c r="J917" s="8">
        <v>3</v>
      </c>
      <c r="K917" s="8">
        <v>3</v>
      </c>
      <c r="L917" s="8">
        <v>8</v>
      </c>
      <c r="M9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7" s="8" t="str" cm="1">
        <f t="array" ref="N917">_xlfn.IFS(HR_Analytics56[[#This Row],[PerformanceRating]]=3,"Good",HR_Analytics56[[#This Row],[PerformanceRating]]=4, "Excellent")</f>
        <v>Good</v>
      </c>
      <c r="O917" s="8" t="str">
        <f>IF(HR_Analytics56[[#This Row],[MonthlyIncome]]&lt;3000,"&lt; ₹3,000",IF(HR_Analytics56[[#This Row],[MonthlyIncome]]&lt;=7000,"₹ 3,000 - ₹ 7,000","&gt; ₹7,000"))</f>
        <v>₹ 3,000 - ₹ 7,000</v>
      </c>
      <c r="P917" s="8" t="str" cm="1">
        <f t="array" ref="P9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8" spans="1:16" x14ac:dyDescent="0.8">
      <c r="A918" s="5" t="s">
        <v>989</v>
      </c>
      <c r="B918" s="8">
        <v>39</v>
      </c>
      <c r="C918" s="5" t="s">
        <v>49</v>
      </c>
      <c r="D918" s="5" t="s">
        <v>42</v>
      </c>
      <c r="E918" s="5" t="s">
        <v>53</v>
      </c>
      <c r="F918" s="5" t="s">
        <v>161</v>
      </c>
      <c r="G918" s="8">
        <v>3</v>
      </c>
      <c r="H918" s="8">
        <v>4553</v>
      </c>
      <c r="I918" s="5" t="s">
        <v>49</v>
      </c>
      <c r="J918" s="8">
        <v>3</v>
      </c>
      <c r="K918" s="8">
        <v>4</v>
      </c>
      <c r="L918" s="8">
        <v>20</v>
      </c>
      <c r="M9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8" s="8" t="str" cm="1">
        <f t="array" ref="N918">_xlfn.IFS(HR_Analytics56[[#This Row],[PerformanceRating]]=3,"Good",HR_Analytics56[[#This Row],[PerformanceRating]]=4, "Excellent")</f>
        <v>Good</v>
      </c>
      <c r="O918" s="8" t="str">
        <f>IF(HR_Analytics56[[#This Row],[MonthlyIncome]]&lt;3000,"&lt; ₹3,000",IF(HR_Analytics56[[#This Row],[MonthlyIncome]]&lt;=7000,"₹ 3,000 - ₹ 7,000","&gt; ₹7,000"))</f>
        <v>₹ 3,000 - ₹ 7,000</v>
      </c>
      <c r="P918" s="8" t="str" cm="1">
        <f t="array" ref="P9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19" spans="1:16" x14ac:dyDescent="0.8">
      <c r="A919" s="5" t="s">
        <v>990</v>
      </c>
      <c r="B919" s="8">
        <v>39</v>
      </c>
      <c r="C919" s="5" t="s">
        <v>49</v>
      </c>
      <c r="D919" s="5" t="s">
        <v>71</v>
      </c>
      <c r="E919" s="5" t="s">
        <v>53</v>
      </c>
      <c r="F919" s="5" t="s">
        <v>71</v>
      </c>
      <c r="G919" s="8">
        <v>2</v>
      </c>
      <c r="H919" s="8">
        <v>6389</v>
      </c>
      <c r="I919" s="5" t="s">
        <v>49</v>
      </c>
      <c r="J919" s="8">
        <v>3</v>
      </c>
      <c r="K919" s="8">
        <v>3</v>
      </c>
      <c r="L919" s="8">
        <v>8</v>
      </c>
      <c r="M9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19" s="8" t="str" cm="1">
        <f t="array" ref="N919">_xlfn.IFS(HR_Analytics56[[#This Row],[PerformanceRating]]=3,"Good",HR_Analytics56[[#This Row],[PerformanceRating]]=4, "Excellent")</f>
        <v>Good</v>
      </c>
      <c r="O919" s="8" t="str">
        <f>IF(HR_Analytics56[[#This Row],[MonthlyIncome]]&lt;3000,"&lt; ₹3,000",IF(HR_Analytics56[[#This Row],[MonthlyIncome]]&lt;=7000,"₹ 3,000 - ₹ 7,000","&gt; ₹7,000"))</f>
        <v>₹ 3,000 - ₹ 7,000</v>
      </c>
      <c r="P919" s="8" t="str" cm="1">
        <f t="array" ref="P9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0" spans="1:16" x14ac:dyDescent="0.8">
      <c r="A920" s="5" t="s">
        <v>991</v>
      </c>
      <c r="B920" s="8">
        <v>39</v>
      </c>
      <c r="C920" s="5" t="s">
        <v>49</v>
      </c>
      <c r="D920" s="5" t="s">
        <v>71</v>
      </c>
      <c r="E920" s="5" t="s">
        <v>53</v>
      </c>
      <c r="F920" s="5" t="s">
        <v>71</v>
      </c>
      <c r="G920" s="8">
        <v>4</v>
      </c>
      <c r="H920" s="8">
        <v>5204</v>
      </c>
      <c r="I920" s="5" t="s">
        <v>49</v>
      </c>
      <c r="J920" s="8">
        <v>3</v>
      </c>
      <c r="K920" s="8">
        <v>2</v>
      </c>
      <c r="L920" s="8">
        <v>5</v>
      </c>
      <c r="M9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0" s="8" t="str" cm="1">
        <f t="array" ref="N920">_xlfn.IFS(HR_Analytics56[[#This Row],[PerformanceRating]]=3,"Good",HR_Analytics56[[#This Row],[PerformanceRating]]=4, "Excellent")</f>
        <v>Good</v>
      </c>
      <c r="O920" s="8" t="str">
        <f>IF(HR_Analytics56[[#This Row],[MonthlyIncome]]&lt;3000,"&lt; ₹3,000",IF(HR_Analytics56[[#This Row],[MonthlyIncome]]&lt;=7000,"₹ 3,000 - ₹ 7,000","&gt; ₹7,000"))</f>
        <v>₹ 3,000 - ₹ 7,000</v>
      </c>
      <c r="P920" s="8" t="str" cm="1">
        <f t="array" ref="P9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1" spans="1:16" x14ac:dyDescent="0.8">
      <c r="A921" s="5" t="s">
        <v>992</v>
      </c>
      <c r="B921" s="8">
        <v>39</v>
      </c>
      <c r="C921" s="5" t="s">
        <v>40</v>
      </c>
      <c r="D921" s="5" t="s">
        <v>42</v>
      </c>
      <c r="E921" s="5" t="s">
        <v>44</v>
      </c>
      <c r="F921" s="5" t="s">
        <v>45</v>
      </c>
      <c r="G921" s="8">
        <v>1</v>
      </c>
      <c r="H921" s="8">
        <v>2404</v>
      </c>
      <c r="I921" s="5" t="s">
        <v>40</v>
      </c>
      <c r="J921" s="8">
        <v>4</v>
      </c>
      <c r="K921" s="8">
        <v>2</v>
      </c>
      <c r="L921" s="8">
        <v>2</v>
      </c>
      <c r="M9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21" s="8" t="str" cm="1">
        <f t="array" ref="N921">_xlfn.IFS(HR_Analytics56[[#This Row],[PerformanceRating]]=3,"Good",HR_Analytics56[[#This Row],[PerformanceRating]]=4, "Excellent")</f>
        <v>Excellent</v>
      </c>
      <c r="O921" s="8" t="str">
        <f>IF(HR_Analytics56[[#This Row],[MonthlyIncome]]&lt;3000,"&lt; ₹3,000",IF(HR_Analytics56[[#This Row],[MonthlyIncome]]&lt;=7000,"₹ 3,000 - ₹ 7,000","&gt; ₹7,000"))</f>
        <v>&lt; ₹3,000</v>
      </c>
      <c r="P921" s="8" t="str" cm="1">
        <f t="array" ref="P9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2" spans="1:16" x14ac:dyDescent="0.8">
      <c r="A922" s="5" t="s">
        <v>993</v>
      </c>
      <c r="B922" s="8">
        <v>39</v>
      </c>
      <c r="C922" s="5" t="s">
        <v>49</v>
      </c>
      <c r="D922" s="5" t="s">
        <v>51</v>
      </c>
      <c r="E922" s="5" t="s">
        <v>44</v>
      </c>
      <c r="F922" s="5" t="s">
        <v>137</v>
      </c>
      <c r="G922" s="8">
        <v>3</v>
      </c>
      <c r="H922" s="8">
        <v>7880</v>
      </c>
      <c r="I922" s="5" t="s">
        <v>49</v>
      </c>
      <c r="J922" s="8">
        <v>3</v>
      </c>
      <c r="K922" s="8">
        <v>3</v>
      </c>
      <c r="L922" s="8">
        <v>8</v>
      </c>
      <c r="M9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2" s="8" t="str" cm="1">
        <f t="array" ref="N922">_xlfn.IFS(HR_Analytics56[[#This Row],[PerformanceRating]]=3,"Good",HR_Analytics56[[#This Row],[PerformanceRating]]=4, "Excellent")</f>
        <v>Good</v>
      </c>
      <c r="O922" s="8" t="str">
        <f>IF(HR_Analytics56[[#This Row],[MonthlyIncome]]&lt;3000,"&lt; ₹3,000",IF(HR_Analytics56[[#This Row],[MonthlyIncome]]&lt;=7000,"₹ 3,000 - ₹ 7,000","&gt; ₹7,000"))</f>
        <v>&gt; ₹7,000</v>
      </c>
      <c r="P922" s="8" t="str" cm="1">
        <f t="array" ref="P9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3" spans="1:16" x14ac:dyDescent="0.8">
      <c r="A923" s="5" t="s">
        <v>994</v>
      </c>
      <c r="B923" s="8">
        <v>39</v>
      </c>
      <c r="C923" s="5" t="s">
        <v>49</v>
      </c>
      <c r="D923" s="5" t="s">
        <v>42</v>
      </c>
      <c r="E923" s="5" t="s">
        <v>53</v>
      </c>
      <c r="F923" s="5" t="s">
        <v>112</v>
      </c>
      <c r="G923" s="8">
        <v>4</v>
      </c>
      <c r="H923" s="8">
        <v>12742</v>
      </c>
      <c r="I923" s="5" t="s">
        <v>49</v>
      </c>
      <c r="J923" s="8">
        <v>3</v>
      </c>
      <c r="K923" s="8">
        <v>3</v>
      </c>
      <c r="L923" s="8">
        <v>21</v>
      </c>
      <c r="M9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3" s="8" t="str" cm="1">
        <f t="array" ref="N923">_xlfn.IFS(HR_Analytics56[[#This Row],[PerformanceRating]]=3,"Good",HR_Analytics56[[#This Row],[PerformanceRating]]=4, "Excellent")</f>
        <v>Good</v>
      </c>
      <c r="O923" s="8" t="str">
        <f>IF(HR_Analytics56[[#This Row],[MonthlyIncome]]&lt;3000,"&lt; ₹3,000",IF(HR_Analytics56[[#This Row],[MonthlyIncome]]&lt;=7000,"₹ 3,000 - ₹ 7,000","&gt; ₹7,000"))</f>
        <v>&gt; ₹7,000</v>
      </c>
      <c r="P923" s="8" t="str" cm="1">
        <f t="array" ref="P9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4" spans="1:16" x14ac:dyDescent="0.8">
      <c r="A924" s="5" t="s">
        <v>995</v>
      </c>
      <c r="B924" s="8">
        <v>39</v>
      </c>
      <c r="C924" s="5" t="s">
        <v>49</v>
      </c>
      <c r="D924" s="5" t="s">
        <v>42</v>
      </c>
      <c r="E924" s="5" t="s">
        <v>53</v>
      </c>
      <c r="F924" s="5" t="s">
        <v>112</v>
      </c>
      <c r="G924" s="8">
        <v>1</v>
      </c>
      <c r="H924" s="8">
        <v>10880</v>
      </c>
      <c r="I924" s="5" t="s">
        <v>40</v>
      </c>
      <c r="J924" s="8">
        <v>3</v>
      </c>
      <c r="K924" s="8">
        <v>2</v>
      </c>
      <c r="L924" s="8">
        <v>21</v>
      </c>
      <c r="M9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24" s="8" t="str" cm="1">
        <f t="array" ref="N924">_xlfn.IFS(HR_Analytics56[[#This Row],[PerformanceRating]]=3,"Good",HR_Analytics56[[#This Row],[PerformanceRating]]=4, "Excellent")</f>
        <v>Good</v>
      </c>
      <c r="O924" s="8" t="str">
        <f>IF(HR_Analytics56[[#This Row],[MonthlyIncome]]&lt;3000,"&lt; ₹3,000",IF(HR_Analytics56[[#This Row],[MonthlyIncome]]&lt;=7000,"₹ 3,000 - ₹ 7,000","&gt; ₹7,000"))</f>
        <v>&gt; ₹7,000</v>
      </c>
      <c r="P924" s="8" t="str" cm="1">
        <f t="array" ref="P9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5" spans="1:16" x14ac:dyDescent="0.8">
      <c r="A925" s="5" t="s">
        <v>996</v>
      </c>
      <c r="B925" s="8">
        <v>39</v>
      </c>
      <c r="C925" s="5" t="s">
        <v>40</v>
      </c>
      <c r="D925" s="5" t="s">
        <v>42</v>
      </c>
      <c r="E925" s="5" t="s">
        <v>44</v>
      </c>
      <c r="F925" s="5" t="s">
        <v>161</v>
      </c>
      <c r="G925" s="8">
        <v>4</v>
      </c>
      <c r="H925" s="8">
        <v>12169</v>
      </c>
      <c r="I925" s="5" t="s">
        <v>49</v>
      </c>
      <c r="J925" s="8">
        <v>3</v>
      </c>
      <c r="K925" s="8">
        <v>4</v>
      </c>
      <c r="L925" s="8">
        <v>18</v>
      </c>
      <c r="M9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25" s="8" t="str" cm="1">
        <f t="array" ref="N925">_xlfn.IFS(HR_Analytics56[[#This Row],[PerformanceRating]]=3,"Good",HR_Analytics56[[#This Row],[PerformanceRating]]=4, "Excellent")</f>
        <v>Good</v>
      </c>
      <c r="O925" s="8" t="str">
        <f>IF(HR_Analytics56[[#This Row],[MonthlyIncome]]&lt;3000,"&lt; ₹3,000",IF(HR_Analytics56[[#This Row],[MonthlyIncome]]&lt;=7000,"₹ 3,000 - ₹ 7,000","&gt; ₹7,000"))</f>
        <v>&gt; ₹7,000</v>
      </c>
      <c r="P925" s="8" t="str" cm="1">
        <f t="array" ref="P9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6" spans="1:16" x14ac:dyDescent="0.8">
      <c r="A926" s="5" t="s">
        <v>997</v>
      </c>
      <c r="B926" s="8">
        <v>39</v>
      </c>
      <c r="C926" s="5" t="s">
        <v>49</v>
      </c>
      <c r="D926" s="5" t="s">
        <v>42</v>
      </c>
      <c r="E926" s="5" t="s">
        <v>44</v>
      </c>
      <c r="F926" s="5" t="s">
        <v>45</v>
      </c>
      <c r="G926" s="8">
        <v>2</v>
      </c>
      <c r="H926" s="8">
        <v>6782</v>
      </c>
      <c r="I926" s="5" t="s">
        <v>49</v>
      </c>
      <c r="J926" s="8">
        <v>3</v>
      </c>
      <c r="K926" s="8">
        <v>2</v>
      </c>
      <c r="L926" s="8">
        <v>5</v>
      </c>
      <c r="M9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6" s="8" t="str" cm="1">
        <f t="array" ref="N926">_xlfn.IFS(HR_Analytics56[[#This Row],[PerformanceRating]]=3,"Good",HR_Analytics56[[#This Row],[PerformanceRating]]=4, "Excellent")</f>
        <v>Good</v>
      </c>
      <c r="O926" s="8" t="str">
        <f>IF(HR_Analytics56[[#This Row],[MonthlyIncome]]&lt;3000,"&lt; ₹3,000",IF(HR_Analytics56[[#This Row],[MonthlyIncome]]&lt;=7000,"₹ 3,000 - ₹ 7,000","&gt; ₹7,000"))</f>
        <v>₹ 3,000 - ₹ 7,000</v>
      </c>
      <c r="P926" s="8" t="str" cm="1">
        <f t="array" ref="P9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7" spans="1:16" x14ac:dyDescent="0.8">
      <c r="A927" s="5" t="s">
        <v>998</v>
      </c>
      <c r="B927" s="8">
        <v>39</v>
      </c>
      <c r="C927" s="5" t="s">
        <v>49</v>
      </c>
      <c r="D927" s="5" t="s">
        <v>42</v>
      </c>
      <c r="E927" s="5" t="s">
        <v>53</v>
      </c>
      <c r="F927" s="5" t="s">
        <v>442</v>
      </c>
      <c r="G927" s="8">
        <v>2</v>
      </c>
      <c r="H927" s="8">
        <v>17123</v>
      </c>
      <c r="I927" s="5" t="s">
        <v>40</v>
      </c>
      <c r="J927" s="8">
        <v>3</v>
      </c>
      <c r="K927" s="8">
        <v>4</v>
      </c>
      <c r="L927" s="8">
        <v>19</v>
      </c>
      <c r="M9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27" s="8" t="str" cm="1">
        <f t="array" ref="N927">_xlfn.IFS(HR_Analytics56[[#This Row],[PerformanceRating]]=3,"Good",HR_Analytics56[[#This Row],[PerformanceRating]]=4, "Excellent")</f>
        <v>Good</v>
      </c>
      <c r="O927" s="8" t="str">
        <f>IF(HR_Analytics56[[#This Row],[MonthlyIncome]]&lt;3000,"&lt; ₹3,000",IF(HR_Analytics56[[#This Row],[MonthlyIncome]]&lt;=7000,"₹ 3,000 - ₹ 7,000","&gt; ₹7,000"))</f>
        <v>&gt; ₹7,000</v>
      </c>
      <c r="P927" s="8" t="str" cm="1">
        <f t="array" ref="P9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8" spans="1:16" x14ac:dyDescent="0.8">
      <c r="A928" s="5" t="s">
        <v>999</v>
      </c>
      <c r="B928" s="8">
        <v>39</v>
      </c>
      <c r="C928" s="5" t="s">
        <v>40</v>
      </c>
      <c r="D928" s="5" t="s">
        <v>42</v>
      </c>
      <c r="E928" s="5" t="s">
        <v>44</v>
      </c>
      <c r="F928" s="5" t="s">
        <v>60</v>
      </c>
      <c r="G928" s="8">
        <v>1</v>
      </c>
      <c r="H928" s="8">
        <v>3904</v>
      </c>
      <c r="I928" s="5" t="s">
        <v>49</v>
      </c>
      <c r="J928" s="8">
        <v>3</v>
      </c>
      <c r="K928" s="8">
        <v>2</v>
      </c>
      <c r="L928" s="8">
        <v>5</v>
      </c>
      <c r="M9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28" s="8" t="str" cm="1">
        <f t="array" ref="N928">_xlfn.IFS(HR_Analytics56[[#This Row],[PerformanceRating]]=3,"Good",HR_Analytics56[[#This Row],[PerformanceRating]]=4, "Excellent")</f>
        <v>Good</v>
      </c>
      <c r="O928" s="8" t="str">
        <f>IF(HR_Analytics56[[#This Row],[MonthlyIncome]]&lt;3000,"&lt; ₹3,000",IF(HR_Analytics56[[#This Row],[MonthlyIncome]]&lt;=7000,"₹ 3,000 - ₹ 7,000","&gt; ₹7,000"))</f>
        <v>₹ 3,000 - ₹ 7,000</v>
      </c>
      <c r="P928" s="8" t="str" cm="1">
        <f t="array" ref="P9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29" spans="1:16" x14ac:dyDescent="0.8">
      <c r="A929" s="5" t="s">
        <v>1000</v>
      </c>
      <c r="B929" s="8">
        <v>39</v>
      </c>
      <c r="C929" s="5" t="s">
        <v>49</v>
      </c>
      <c r="D929" s="5" t="s">
        <v>42</v>
      </c>
      <c r="E929" s="5" t="s">
        <v>44</v>
      </c>
      <c r="F929" s="5" t="s">
        <v>112</v>
      </c>
      <c r="G929" s="8">
        <v>3</v>
      </c>
      <c r="H929" s="8">
        <v>4534</v>
      </c>
      <c r="I929" s="5" t="s">
        <v>49</v>
      </c>
      <c r="J929" s="8">
        <v>3</v>
      </c>
      <c r="K929" s="8">
        <v>6</v>
      </c>
      <c r="L929" s="8">
        <v>8</v>
      </c>
      <c r="M9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29" s="8" t="str" cm="1">
        <f t="array" ref="N929">_xlfn.IFS(HR_Analytics56[[#This Row],[PerformanceRating]]=3,"Good",HR_Analytics56[[#This Row],[PerformanceRating]]=4, "Excellent")</f>
        <v>Good</v>
      </c>
      <c r="O929" s="8" t="str">
        <f>IF(HR_Analytics56[[#This Row],[MonthlyIncome]]&lt;3000,"&lt; ₹3,000",IF(HR_Analytics56[[#This Row],[MonthlyIncome]]&lt;=7000,"₹ 3,000 - ₹ 7,000","&gt; ₹7,000"))</f>
        <v>₹ 3,000 - ₹ 7,000</v>
      </c>
      <c r="P929" s="8" t="str" cm="1">
        <f t="array" ref="P9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0" spans="1:16" x14ac:dyDescent="0.8">
      <c r="A930" s="5" t="s">
        <v>1001</v>
      </c>
      <c r="B930" s="8">
        <v>39</v>
      </c>
      <c r="C930" s="5" t="s">
        <v>49</v>
      </c>
      <c r="D930" s="5" t="s">
        <v>51</v>
      </c>
      <c r="E930" s="5" t="s">
        <v>44</v>
      </c>
      <c r="F930" s="5" t="s">
        <v>137</v>
      </c>
      <c r="G930" s="8">
        <v>4</v>
      </c>
      <c r="H930" s="8">
        <v>6120</v>
      </c>
      <c r="I930" s="5" t="s">
        <v>40</v>
      </c>
      <c r="J930" s="8">
        <v>3</v>
      </c>
      <c r="K930" s="8">
        <v>2</v>
      </c>
      <c r="L930" s="8">
        <v>5</v>
      </c>
      <c r="M9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30" s="8" t="str" cm="1">
        <f t="array" ref="N930">_xlfn.IFS(HR_Analytics56[[#This Row],[PerformanceRating]]=3,"Good",HR_Analytics56[[#This Row],[PerformanceRating]]=4, "Excellent")</f>
        <v>Good</v>
      </c>
      <c r="O930" s="8" t="str">
        <f>IF(HR_Analytics56[[#This Row],[MonthlyIncome]]&lt;3000,"&lt; ₹3,000",IF(HR_Analytics56[[#This Row],[MonthlyIncome]]&lt;=7000,"₹ 3,000 - ₹ 7,000","&gt; ₹7,000"))</f>
        <v>₹ 3,000 - ₹ 7,000</v>
      </c>
      <c r="P930" s="8" t="str" cm="1">
        <f t="array" ref="P9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1" spans="1:16" x14ac:dyDescent="0.8">
      <c r="A931" s="5" t="s">
        <v>1002</v>
      </c>
      <c r="B931" s="8">
        <v>39</v>
      </c>
      <c r="C931" s="5" t="s">
        <v>49</v>
      </c>
      <c r="D931" s="5" t="s">
        <v>42</v>
      </c>
      <c r="E931" s="5" t="s">
        <v>44</v>
      </c>
      <c r="F931" s="5" t="s">
        <v>161</v>
      </c>
      <c r="G931" s="8">
        <v>3</v>
      </c>
      <c r="H931" s="8">
        <v>10920</v>
      </c>
      <c r="I931" s="5" t="s">
        <v>49</v>
      </c>
      <c r="J931" s="8">
        <v>4</v>
      </c>
      <c r="K931" s="8">
        <v>2</v>
      </c>
      <c r="L931" s="8">
        <v>6</v>
      </c>
      <c r="M9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1" s="8" t="str" cm="1">
        <f t="array" ref="N931">_xlfn.IFS(HR_Analytics56[[#This Row],[PerformanceRating]]=3,"Good",HR_Analytics56[[#This Row],[PerformanceRating]]=4, "Excellent")</f>
        <v>Excellent</v>
      </c>
      <c r="O931" s="8" t="str">
        <f>IF(HR_Analytics56[[#This Row],[MonthlyIncome]]&lt;3000,"&lt; ₹3,000",IF(HR_Analytics56[[#This Row],[MonthlyIncome]]&lt;=7000,"₹ 3,000 - ₹ 7,000","&gt; ₹7,000"))</f>
        <v>&gt; ₹7,000</v>
      </c>
      <c r="P931" s="8" t="str" cm="1">
        <f t="array" ref="P9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2" spans="1:16" x14ac:dyDescent="0.8">
      <c r="A932" s="5" t="s">
        <v>1003</v>
      </c>
      <c r="B932" s="8">
        <v>39</v>
      </c>
      <c r="C932" s="5" t="s">
        <v>40</v>
      </c>
      <c r="D932" s="5" t="s">
        <v>42</v>
      </c>
      <c r="E932" s="5" t="s">
        <v>53</v>
      </c>
      <c r="F932" s="5" t="s">
        <v>45</v>
      </c>
      <c r="G932" s="8">
        <v>1</v>
      </c>
      <c r="H932" s="8">
        <v>3646</v>
      </c>
      <c r="I932" s="5" t="s">
        <v>40</v>
      </c>
      <c r="J932" s="8">
        <v>4</v>
      </c>
      <c r="K932" s="8">
        <v>2</v>
      </c>
      <c r="L932" s="8">
        <v>1</v>
      </c>
      <c r="M9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32" s="8" t="str" cm="1">
        <f t="array" ref="N932">_xlfn.IFS(HR_Analytics56[[#This Row],[PerformanceRating]]=3,"Good",HR_Analytics56[[#This Row],[PerformanceRating]]=4, "Excellent")</f>
        <v>Excellent</v>
      </c>
      <c r="O932" s="8" t="str">
        <f>IF(HR_Analytics56[[#This Row],[MonthlyIncome]]&lt;3000,"&lt; ₹3,000",IF(HR_Analytics56[[#This Row],[MonthlyIncome]]&lt;=7000,"₹ 3,000 - ₹ 7,000","&gt; ₹7,000"))</f>
        <v>₹ 3,000 - ₹ 7,000</v>
      </c>
      <c r="P932" s="8" t="str" cm="1">
        <f t="array" ref="P9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3" spans="1:16" x14ac:dyDescent="0.8">
      <c r="A933" s="5" t="s">
        <v>1004</v>
      </c>
      <c r="B933" s="8">
        <v>39</v>
      </c>
      <c r="C933" s="5" t="s">
        <v>49</v>
      </c>
      <c r="D933" s="5" t="s">
        <v>42</v>
      </c>
      <c r="E933" s="5" t="s">
        <v>53</v>
      </c>
      <c r="F933" s="5" t="s">
        <v>112</v>
      </c>
      <c r="G933" s="8">
        <v>2</v>
      </c>
      <c r="H933" s="8">
        <v>8376</v>
      </c>
      <c r="I933" s="5" t="s">
        <v>49</v>
      </c>
      <c r="J933" s="8">
        <v>3</v>
      </c>
      <c r="K933" s="8">
        <v>3</v>
      </c>
      <c r="L933" s="8">
        <v>2</v>
      </c>
      <c r="M9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3" s="8" t="str" cm="1">
        <f t="array" ref="N933">_xlfn.IFS(HR_Analytics56[[#This Row],[PerformanceRating]]=3,"Good",HR_Analytics56[[#This Row],[PerformanceRating]]=4, "Excellent")</f>
        <v>Good</v>
      </c>
      <c r="O933" s="8" t="str">
        <f>IF(HR_Analytics56[[#This Row],[MonthlyIncome]]&lt;3000,"&lt; ₹3,000",IF(HR_Analytics56[[#This Row],[MonthlyIncome]]&lt;=7000,"₹ 3,000 - ₹ 7,000","&gt; ₹7,000"))</f>
        <v>&gt; ₹7,000</v>
      </c>
      <c r="P933" s="8" t="str" cm="1">
        <f t="array" ref="P9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4" spans="1:16" x14ac:dyDescent="0.8">
      <c r="A934" s="5" t="s">
        <v>1005</v>
      </c>
      <c r="B934" s="8">
        <v>39</v>
      </c>
      <c r="C934" s="5" t="s">
        <v>49</v>
      </c>
      <c r="D934" s="5" t="s">
        <v>51</v>
      </c>
      <c r="E934" s="5" t="s">
        <v>44</v>
      </c>
      <c r="F934" s="5" t="s">
        <v>137</v>
      </c>
      <c r="G934" s="8">
        <v>3</v>
      </c>
      <c r="H934" s="8">
        <v>8237</v>
      </c>
      <c r="I934" s="5" t="s">
        <v>49</v>
      </c>
      <c r="J934" s="8">
        <v>3</v>
      </c>
      <c r="K934" s="8">
        <v>3</v>
      </c>
      <c r="L934" s="8">
        <v>7</v>
      </c>
      <c r="M9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4" s="8" t="str" cm="1">
        <f t="array" ref="N934">_xlfn.IFS(HR_Analytics56[[#This Row],[PerformanceRating]]=3,"Good",HR_Analytics56[[#This Row],[PerformanceRating]]=4, "Excellent")</f>
        <v>Good</v>
      </c>
      <c r="O934" s="8" t="str">
        <f>IF(HR_Analytics56[[#This Row],[MonthlyIncome]]&lt;3000,"&lt; ₹3,000",IF(HR_Analytics56[[#This Row],[MonthlyIncome]]&lt;=7000,"₹ 3,000 - ₹ 7,000","&gt; ₹7,000"))</f>
        <v>&gt; ₹7,000</v>
      </c>
      <c r="P934" s="8" t="str" cm="1">
        <f t="array" ref="P9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5" spans="1:16" x14ac:dyDescent="0.8">
      <c r="A935" s="5" t="s">
        <v>1006</v>
      </c>
      <c r="B935" s="8">
        <v>39</v>
      </c>
      <c r="C935" s="5" t="s">
        <v>49</v>
      </c>
      <c r="D935" s="5" t="s">
        <v>42</v>
      </c>
      <c r="E935" s="5" t="s">
        <v>44</v>
      </c>
      <c r="F935" s="5" t="s">
        <v>112</v>
      </c>
      <c r="G935" s="8">
        <v>1</v>
      </c>
      <c r="H935" s="8">
        <v>5377</v>
      </c>
      <c r="I935" s="5" t="s">
        <v>49</v>
      </c>
      <c r="J935" s="8">
        <v>3</v>
      </c>
      <c r="K935" s="8">
        <v>3</v>
      </c>
      <c r="L935" s="8">
        <v>7</v>
      </c>
      <c r="M9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5" s="8" t="str" cm="1">
        <f t="array" ref="N935">_xlfn.IFS(HR_Analytics56[[#This Row],[PerformanceRating]]=3,"Good",HR_Analytics56[[#This Row],[PerformanceRating]]=4, "Excellent")</f>
        <v>Good</v>
      </c>
      <c r="O935" s="8" t="str">
        <f>IF(HR_Analytics56[[#This Row],[MonthlyIncome]]&lt;3000,"&lt; ₹3,000",IF(HR_Analytics56[[#This Row],[MonthlyIncome]]&lt;=7000,"₹ 3,000 - ₹ 7,000","&gt; ₹7,000"))</f>
        <v>₹ 3,000 - ₹ 7,000</v>
      </c>
      <c r="P935" s="8" t="str" cm="1">
        <f t="array" ref="P9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6" spans="1:16" x14ac:dyDescent="0.8">
      <c r="A936" s="5" t="s">
        <v>1007</v>
      </c>
      <c r="B936" s="8">
        <v>39</v>
      </c>
      <c r="C936" s="5" t="s">
        <v>49</v>
      </c>
      <c r="D936" s="5" t="s">
        <v>42</v>
      </c>
      <c r="E936" s="5" t="s">
        <v>44</v>
      </c>
      <c r="F936" s="5" t="s">
        <v>45</v>
      </c>
      <c r="G936" s="8">
        <v>3</v>
      </c>
      <c r="H936" s="8">
        <v>3069</v>
      </c>
      <c r="I936" s="5" t="s">
        <v>49</v>
      </c>
      <c r="J936" s="8">
        <v>3</v>
      </c>
      <c r="K936" s="8">
        <v>3</v>
      </c>
      <c r="L936" s="8">
        <v>10</v>
      </c>
      <c r="M9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6" s="8" t="str" cm="1">
        <f t="array" ref="N936">_xlfn.IFS(HR_Analytics56[[#This Row],[PerformanceRating]]=3,"Good",HR_Analytics56[[#This Row],[PerformanceRating]]=4, "Excellent")</f>
        <v>Good</v>
      </c>
      <c r="O936" s="8" t="str">
        <f>IF(HR_Analytics56[[#This Row],[MonthlyIncome]]&lt;3000,"&lt; ₹3,000",IF(HR_Analytics56[[#This Row],[MonthlyIncome]]&lt;=7000,"₹ 3,000 - ₹ 7,000","&gt; ₹7,000"))</f>
        <v>₹ 3,000 - ₹ 7,000</v>
      </c>
      <c r="P936" s="8" t="str" cm="1">
        <f t="array" ref="P9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7" spans="1:16" x14ac:dyDescent="0.8">
      <c r="A937" s="5" t="s">
        <v>1008</v>
      </c>
      <c r="B937" s="8">
        <v>39</v>
      </c>
      <c r="C937" s="5" t="s">
        <v>49</v>
      </c>
      <c r="D937" s="5" t="s">
        <v>42</v>
      </c>
      <c r="E937" s="5" t="s">
        <v>53</v>
      </c>
      <c r="F937" s="5" t="s">
        <v>112</v>
      </c>
      <c r="G937" s="8">
        <v>3</v>
      </c>
      <c r="H937" s="8">
        <v>5042</v>
      </c>
      <c r="I937" s="5" t="s">
        <v>49</v>
      </c>
      <c r="J937" s="8">
        <v>3</v>
      </c>
      <c r="K937" s="8">
        <v>2</v>
      </c>
      <c r="L937" s="8">
        <v>9</v>
      </c>
      <c r="M9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7" s="8" t="str" cm="1">
        <f t="array" ref="N937">_xlfn.IFS(HR_Analytics56[[#This Row],[PerformanceRating]]=3,"Good",HR_Analytics56[[#This Row],[PerformanceRating]]=4, "Excellent")</f>
        <v>Good</v>
      </c>
      <c r="O937" s="8" t="str">
        <f>IF(HR_Analytics56[[#This Row],[MonthlyIncome]]&lt;3000,"&lt; ₹3,000",IF(HR_Analytics56[[#This Row],[MonthlyIncome]]&lt;=7000,"₹ 3,000 - ₹ 7,000","&gt; ₹7,000"))</f>
        <v>₹ 3,000 - ₹ 7,000</v>
      </c>
      <c r="P937" s="8" t="str" cm="1">
        <f t="array" ref="P9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38" spans="1:16" x14ac:dyDescent="0.8">
      <c r="A938" s="5" t="s">
        <v>1009</v>
      </c>
      <c r="B938" s="8">
        <v>39</v>
      </c>
      <c r="C938" s="5" t="s">
        <v>49</v>
      </c>
      <c r="D938" s="5" t="s">
        <v>42</v>
      </c>
      <c r="E938" s="5" t="s">
        <v>44</v>
      </c>
      <c r="F938" s="5" t="s">
        <v>112</v>
      </c>
      <c r="G938" s="8">
        <v>2</v>
      </c>
      <c r="H938" s="8">
        <v>5295</v>
      </c>
      <c r="I938" s="5" t="s">
        <v>49</v>
      </c>
      <c r="J938" s="8">
        <v>4</v>
      </c>
      <c r="K938" s="8">
        <v>3</v>
      </c>
      <c r="L938" s="8">
        <v>5</v>
      </c>
      <c r="M9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38" s="8" t="str" cm="1">
        <f t="array" ref="N938">_xlfn.IFS(HR_Analytics56[[#This Row],[PerformanceRating]]=3,"Good",HR_Analytics56[[#This Row],[PerformanceRating]]=4, "Excellent")</f>
        <v>Excellent</v>
      </c>
      <c r="O938" s="8" t="str">
        <f>IF(HR_Analytics56[[#This Row],[MonthlyIncome]]&lt;3000,"&lt; ₹3,000",IF(HR_Analytics56[[#This Row],[MonthlyIncome]]&lt;=7000,"₹ 3,000 - ₹ 7,000","&gt; ₹7,000"))</f>
        <v>₹ 3,000 - ₹ 7,000</v>
      </c>
      <c r="P938" s="8" t="str" cm="1">
        <f t="array" ref="P93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939" spans="1:16" x14ac:dyDescent="0.8">
      <c r="A939" s="5" t="s">
        <v>1010</v>
      </c>
      <c r="B939" s="8">
        <v>39</v>
      </c>
      <c r="C939" s="5" t="s">
        <v>49</v>
      </c>
      <c r="D939" s="5" t="s">
        <v>42</v>
      </c>
      <c r="E939" s="5" t="s">
        <v>44</v>
      </c>
      <c r="F939" s="5" t="s">
        <v>45</v>
      </c>
      <c r="G939" s="8">
        <v>4</v>
      </c>
      <c r="H939" s="8">
        <v>6472</v>
      </c>
      <c r="I939" s="5" t="s">
        <v>40</v>
      </c>
      <c r="J939" s="8">
        <v>3</v>
      </c>
      <c r="K939" s="8">
        <v>2</v>
      </c>
      <c r="L939" s="8">
        <v>9</v>
      </c>
      <c r="M9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39" s="8" t="str" cm="1">
        <f t="array" ref="N939">_xlfn.IFS(HR_Analytics56[[#This Row],[PerformanceRating]]=3,"Good",HR_Analytics56[[#This Row],[PerformanceRating]]=4, "Excellent")</f>
        <v>Good</v>
      </c>
      <c r="O939" s="8" t="str">
        <f>IF(HR_Analytics56[[#This Row],[MonthlyIncome]]&lt;3000,"&lt; ₹3,000",IF(HR_Analytics56[[#This Row],[MonthlyIncome]]&lt;=7000,"₹ 3,000 - ₹ 7,000","&gt; ₹7,000"))</f>
        <v>₹ 3,000 - ₹ 7,000</v>
      </c>
      <c r="P939" s="8" t="str" cm="1">
        <f t="array" ref="P9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0" spans="1:16" x14ac:dyDescent="0.8">
      <c r="A940" s="5" t="s">
        <v>1011</v>
      </c>
      <c r="B940" s="8">
        <v>39</v>
      </c>
      <c r="C940" s="5" t="s">
        <v>49</v>
      </c>
      <c r="D940" s="5" t="s">
        <v>42</v>
      </c>
      <c r="E940" s="5" t="s">
        <v>44</v>
      </c>
      <c r="F940" s="5" t="s">
        <v>252</v>
      </c>
      <c r="G940" s="8">
        <v>3</v>
      </c>
      <c r="H940" s="8">
        <v>13464</v>
      </c>
      <c r="I940" s="5" t="s">
        <v>49</v>
      </c>
      <c r="J940" s="8">
        <v>4</v>
      </c>
      <c r="K940" s="8">
        <v>3</v>
      </c>
      <c r="L940" s="8">
        <v>4</v>
      </c>
      <c r="M9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0" s="8" t="str" cm="1">
        <f t="array" ref="N940">_xlfn.IFS(HR_Analytics56[[#This Row],[PerformanceRating]]=3,"Good",HR_Analytics56[[#This Row],[PerformanceRating]]=4, "Excellent")</f>
        <v>Excellent</v>
      </c>
      <c r="O940" s="8" t="str">
        <f>IF(HR_Analytics56[[#This Row],[MonthlyIncome]]&lt;3000,"&lt; ₹3,000",IF(HR_Analytics56[[#This Row],[MonthlyIncome]]&lt;=7000,"₹ 3,000 - ₹ 7,000","&gt; ₹7,000"))</f>
        <v>&gt; ₹7,000</v>
      </c>
      <c r="P940" s="8" t="str" cm="1">
        <f t="array" ref="P9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1" spans="1:16" x14ac:dyDescent="0.8">
      <c r="A941" s="5" t="s">
        <v>1012</v>
      </c>
      <c r="B941" s="8">
        <v>39</v>
      </c>
      <c r="C941" s="5" t="s">
        <v>49</v>
      </c>
      <c r="D941" s="5" t="s">
        <v>51</v>
      </c>
      <c r="E941" s="5" t="s">
        <v>44</v>
      </c>
      <c r="F941" s="5" t="s">
        <v>137</v>
      </c>
      <c r="G941" s="8">
        <v>4</v>
      </c>
      <c r="H941" s="8">
        <v>4127</v>
      </c>
      <c r="I941" s="5" t="s">
        <v>49</v>
      </c>
      <c r="J941" s="8">
        <v>3</v>
      </c>
      <c r="K941" s="8">
        <v>6</v>
      </c>
      <c r="L941" s="8">
        <v>2</v>
      </c>
      <c r="M9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1" s="8" t="str" cm="1">
        <f t="array" ref="N941">_xlfn.IFS(HR_Analytics56[[#This Row],[PerformanceRating]]=3,"Good",HR_Analytics56[[#This Row],[PerformanceRating]]=4, "Excellent")</f>
        <v>Good</v>
      </c>
      <c r="O941" s="8" t="str">
        <f>IF(HR_Analytics56[[#This Row],[MonthlyIncome]]&lt;3000,"&lt; ₹3,000",IF(HR_Analytics56[[#This Row],[MonthlyIncome]]&lt;=7000,"₹ 3,000 - ₹ 7,000","&gt; ₹7,000"))</f>
        <v>₹ 3,000 - ₹ 7,000</v>
      </c>
      <c r="P941" s="8" t="str" cm="1">
        <f t="array" ref="P9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2" spans="1:16" x14ac:dyDescent="0.8">
      <c r="A942" s="5" t="s">
        <v>1013</v>
      </c>
      <c r="B942" s="8">
        <v>39</v>
      </c>
      <c r="C942" s="5" t="s">
        <v>49</v>
      </c>
      <c r="D942" s="5" t="s">
        <v>42</v>
      </c>
      <c r="E942" s="5" t="s">
        <v>44</v>
      </c>
      <c r="F942" s="5" t="s">
        <v>60</v>
      </c>
      <c r="G942" s="8">
        <v>4</v>
      </c>
      <c r="H942" s="8">
        <v>3902</v>
      </c>
      <c r="I942" s="5" t="s">
        <v>49</v>
      </c>
      <c r="J942" s="8">
        <v>3</v>
      </c>
      <c r="K942" s="8">
        <v>2</v>
      </c>
      <c r="L942" s="8">
        <v>2</v>
      </c>
      <c r="M9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2" s="8" t="str" cm="1">
        <f t="array" ref="N942">_xlfn.IFS(HR_Analytics56[[#This Row],[PerformanceRating]]=3,"Good",HR_Analytics56[[#This Row],[PerformanceRating]]=4, "Excellent")</f>
        <v>Good</v>
      </c>
      <c r="O942" s="8" t="str">
        <f>IF(HR_Analytics56[[#This Row],[MonthlyIncome]]&lt;3000,"&lt; ₹3,000",IF(HR_Analytics56[[#This Row],[MonthlyIncome]]&lt;=7000,"₹ 3,000 - ₹ 7,000","&gt; ₹7,000"))</f>
        <v>₹ 3,000 - ₹ 7,000</v>
      </c>
      <c r="P942" s="8" t="str" cm="1">
        <f t="array" ref="P9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3" spans="1:16" x14ac:dyDescent="0.8">
      <c r="A943" s="5" t="s">
        <v>1014</v>
      </c>
      <c r="B943" s="8">
        <v>39</v>
      </c>
      <c r="C943" s="5" t="s">
        <v>49</v>
      </c>
      <c r="D943" s="5" t="s">
        <v>51</v>
      </c>
      <c r="E943" s="5" t="s">
        <v>53</v>
      </c>
      <c r="F943" s="5" t="s">
        <v>137</v>
      </c>
      <c r="G943" s="8">
        <v>3</v>
      </c>
      <c r="H943" s="8">
        <v>5736</v>
      </c>
      <c r="I943" s="5" t="s">
        <v>49</v>
      </c>
      <c r="J943" s="8">
        <v>3</v>
      </c>
      <c r="K943" s="8">
        <v>1</v>
      </c>
      <c r="L943" s="8">
        <v>3</v>
      </c>
      <c r="M9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3" s="8" t="str" cm="1">
        <f t="array" ref="N943">_xlfn.IFS(HR_Analytics56[[#This Row],[PerformanceRating]]=3,"Good",HR_Analytics56[[#This Row],[PerformanceRating]]=4, "Excellent")</f>
        <v>Good</v>
      </c>
      <c r="O943" s="8" t="str">
        <f>IF(HR_Analytics56[[#This Row],[MonthlyIncome]]&lt;3000,"&lt; ₹3,000",IF(HR_Analytics56[[#This Row],[MonthlyIncome]]&lt;=7000,"₹ 3,000 - ₹ 7,000","&gt; ₹7,000"))</f>
        <v>₹ 3,000 - ₹ 7,000</v>
      </c>
      <c r="P943" s="8" t="str" cm="1">
        <f t="array" ref="P9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4" spans="1:16" x14ac:dyDescent="0.8">
      <c r="A944" s="5" t="s">
        <v>1015</v>
      </c>
      <c r="B944" s="8">
        <v>39</v>
      </c>
      <c r="C944" s="5" t="s">
        <v>49</v>
      </c>
      <c r="D944" s="5" t="s">
        <v>42</v>
      </c>
      <c r="E944" s="5" t="s">
        <v>44</v>
      </c>
      <c r="F944" s="5" t="s">
        <v>112</v>
      </c>
      <c r="G944" s="8">
        <v>1</v>
      </c>
      <c r="H944" s="8">
        <v>5151</v>
      </c>
      <c r="I944" s="5" t="s">
        <v>49</v>
      </c>
      <c r="J944" s="8">
        <v>4</v>
      </c>
      <c r="K944" s="8">
        <v>3</v>
      </c>
      <c r="L944" s="8">
        <v>10</v>
      </c>
      <c r="M9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4" s="8" t="str" cm="1">
        <f t="array" ref="N944">_xlfn.IFS(HR_Analytics56[[#This Row],[PerformanceRating]]=3,"Good",HR_Analytics56[[#This Row],[PerformanceRating]]=4, "Excellent")</f>
        <v>Excellent</v>
      </c>
      <c r="O944" s="8" t="str">
        <f>IF(HR_Analytics56[[#This Row],[MonthlyIncome]]&lt;3000,"&lt; ₹3,000",IF(HR_Analytics56[[#This Row],[MonthlyIncome]]&lt;=7000,"₹ 3,000 - ₹ 7,000","&gt; ₹7,000"))</f>
        <v>₹ 3,000 - ₹ 7,000</v>
      </c>
      <c r="P944" s="8" t="str" cm="1">
        <f t="array" ref="P94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945" spans="1:16" x14ac:dyDescent="0.8">
      <c r="A945" s="5" t="s">
        <v>1016</v>
      </c>
      <c r="B945" s="8">
        <v>39</v>
      </c>
      <c r="C945" s="5" t="s">
        <v>49</v>
      </c>
      <c r="D945" s="5" t="s">
        <v>51</v>
      </c>
      <c r="E945" s="5" t="s">
        <v>44</v>
      </c>
      <c r="F945" s="5" t="s">
        <v>137</v>
      </c>
      <c r="G945" s="8">
        <v>1</v>
      </c>
      <c r="H945" s="8">
        <v>13341</v>
      </c>
      <c r="I945" s="5" t="s">
        <v>49</v>
      </c>
      <c r="J945" s="8">
        <v>3</v>
      </c>
      <c r="K945" s="8">
        <v>3</v>
      </c>
      <c r="L945" s="8">
        <v>20</v>
      </c>
      <c r="M9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5" s="8" t="str" cm="1">
        <f t="array" ref="N945">_xlfn.IFS(HR_Analytics56[[#This Row],[PerformanceRating]]=3,"Good",HR_Analytics56[[#This Row],[PerformanceRating]]=4, "Excellent")</f>
        <v>Good</v>
      </c>
      <c r="O945" s="8" t="str">
        <f>IF(HR_Analytics56[[#This Row],[MonthlyIncome]]&lt;3000,"&lt; ₹3,000",IF(HR_Analytics56[[#This Row],[MonthlyIncome]]&lt;=7000,"₹ 3,000 - ₹ 7,000","&gt; ₹7,000"))</f>
        <v>&gt; ₹7,000</v>
      </c>
      <c r="P945" s="8" t="str" cm="1">
        <f t="array" ref="P9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6" spans="1:16" x14ac:dyDescent="0.8">
      <c r="A946" s="5" t="s">
        <v>1017</v>
      </c>
      <c r="B946" s="8">
        <v>39</v>
      </c>
      <c r="C946" s="5" t="s">
        <v>49</v>
      </c>
      <c r="D946" s="5" t="s">
        <v>42</v>
      </c>
      <c r="E946" s="5" t="s">
        <v>44</v>
      </c>
      <c r="F946" s="5" t="s">
        <v>60</v>
      </c>
      <c r="G946" s="8">
        <v>4</v>
      </c>
      <c r="H946" s="8">
        <v>4108</v>
      </c>
      <c r="I946" s="5" t="s">
        <v>49</v>
      </c>
      <c r="J946" s="8">
        <v>3</v>
      </c>
      <c r="K946" s="8">
        <v>2</v>
      </c>
      <c r="L946" s="8">
        <v>7</v>
      </c>
      <c r="M9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6" s="8" t="str" cm="1">
        <f t="array" ref="N946">_xlfn.IFS(HR_Analytics56[[#This Row],[PerformanceRating]]=3,"Good",HR_Analytics56[[#This Row],[PerformanceRating]]=4, "Excellent")</f>
        <v>Good</v>
      </c>
      <c r="O946" s="8" t="str">
        <f>IF(HR_Analytics56[[#This Row],[MonthlyIncome]]&lt;3000,"&lt; ₹3,000",IF(HR_Analytics56[[#This Row],[MonthlyIncome]]&lt;=7000,"₹ 3,000 - ₹ 7,000","&gt; ₹7,000"))</f>
        <v>₹ 3,000 - ₹ 7,000</v>
      </c>
      <c r="P946" s="8" t="str" cm="1">
        <f t="array" ref="P9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7" spans="1:16" x14ac:dyDescent="0.8">
      <c r="A947" s="5" t="s">
        <v>1018</v>
      </c>
      <c r="B947" s="8">
        <v>39</v>
      </c>
      <c r="C947" s="5" t="s">
        <v>49</v>
      </c>
      <c r="D947" s="5" t="s">
        <v>42</v>
      </c>
      <c r="E947" s="5" t="s">
        <v>44</v>
      </c>
      <c r="F947" s="5" t="s">
        <v>442</v>
      </c>
      <c r="G947" s="8">
        <v>4</v>
      </c>
      <c r="H947" s="8">
        <v>19431</v>
      </c>
      <c r="I947" s="5" t="s">
        <v>49</v>
      </c>
      <c r="J947" s="8">
        <v>3</v>
      </c>
      <c r="K947" s="8">
        <v>3</v>
      </c>
      <c r="L947" s="8">
        <v>6</v>
      </c>
      <c r="M9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7" s="8" t="str" cm="1">
        <f t="array" ref="N947">_xlfn.IFS(HR_Analytics56[[#This Row],[PerformanceRating]]=3,"Good",HR_Analytics56[[#This Row],[PerformanceRating]]=4, "Excellent")</f>
        <v>Good</v>
      </c>
      <c r="O947" s="8" t="str">
        <f>IF(HR_Analytics56[[#This Row],[MonthlyIncome]]&lt;3000,"&lt; ₹3,000",IF(HR_Analytics56[[#This Row],[MonthlyIncome]]&lt;=7000,"₹ 3,000 - ₹ 7,000","&gt; ₹7,000"))</f>
        <v>&gt; ₹7,000</v>
      </c>
      <c r="P947" s="8" t="str" cm="1">
        <f t="array" ref="P9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8" spans="1:16" x14ac:dyDescent="0.8">
      <c r="A948" s="5" t="s">
        <v>1019</v>
      </c>
      <c r="B948" s="8">
        <v>39</v>
      </c>
      <c r="C948" s="5" t="s">
        <v>49</v>
      </c>
      <c r="D948" s="5" t="s">
        <v>51</v>
      </c>
      <c r="E948" s="5" t="s">
        <v>53</v>
      </c>
      <c r="F948" s="5" t="s">
        <v>137</v>
      </c>
      <c r="G948" s="8">
        <v>4</v>
      </c>
      <c r="H948" s="8">
        <v>12031</v>
      </c>
      <c r="I948" s="5" t="s">
        <v>49</v>
      </c>
      <c r="J948" s="8">
        <v>3</v>
      </c>
      <c r="K948" s="8">
        <v>2</v>
      </c>
      <c r="L948" s="8">
        <v>20</v>
      </c>
      <c r="M9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8" s="8" t="str" cm="1">
        <f t="array" ref="N948">_xlfn.IFS(HR_Analytics56[[#This Row],[PerformanceRating]]=3,"Good",HR_Analytics56[[#This Row],[PerformanceRating]]=4, "Excellent")</f>
        <v>Good</v>
      </c>
      <c r="O948" s="8" t="str">
        <f>IF(HR_Analytics56[[#This Row],[MonthlyIncome]]&lt;3000,"&lt; ₹3,000",IF(HR_Analytics56[[#This Row],[MonthlyIncome]]&lt;=7000,"₹ 3,000 - ₹ 7,000","&gt; ₹7,000"))</f>
        <v>&gt; ₹7,000</v>
      </c>
      <c r="P948" s="8" t="str" cm="1">
        <f t="array" ref="P9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49" spans="1:16" x14ac:dyDescent="0.8">
      <c r="A949" s="5" t="s">
        <v>1020</v>
      </c>
      <c r="B949" s="8">
        <v>39</v>
      </c>
      <c r="C949" s="5" t="s">
        <v>49</v>
      </c>
      <c r="D949" s="5" t="s">
        <v>42</v>
      </c>
      <c r="E949" s="5" t="s">
        <v>44</v>
      </c>
      <c r="F949" s="5" t="s">
        <v>161</v>
      </c>
      <c r="G949" s="8">
        <v>1</v>
      </c>
      <c r="H949" s="8">
        <v>9991</v>
      </c>
      <c r="I949" s="5" t="s">
        <v>49</v>
      </c>
      <c r="J949" s="8">
        <v>3</v>
      </c>
      <c r="K949" s="8">
        <v>5</v>
      </c>
      <c r="L949" s="8">
        <v>7</v>
      </c>
      <c r="M9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49" s="8" t="str" cm="1">
        <f t="array" ref="N949">_xlfn.IFS(HR_Analytics56[[#This Row],[PerformanceRating]]=3,"Good",HR_Analytics56[[#This Row],[PerformanceRating]]=4, "Excellent")</f>
        <v>Good</v>
      </c>
      <c r="O949" s="8" t="str">
        <f>IF(HR_Analytics56[[#This Row],[MonthlyIncome]]&lt;3000,"&lt; ₹3,000",IF(HR_Analytics56[[#This Row],[MonthlyIncome]]&lt;=7000,"₹ 3,000 - ₹ 7,000","&gt; ₹7,000"))</f>
        <v>&gt; ₹7,000</v>
      </c>
      <c r="P949" s="8" t="str" cm="1">
        <f t="array" ref="P9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0" spans="1:16" x14ac:dyDescent="0.8">
      <c r="A950" s="5" t="s">
        <v>1021</v>
      </c>
      <c r="B950" s="8">
        <v>40</v>
      </c>
      <c r="C950" s="5" t="s">
        <v>49</v>
      </c>
      <c r="D950" s="5" t="s">
        <v>42</v>
      </c>
      <c r="E950" s="5" t="s">
        <v>44</v>
      </c>
      <c r="F950" s="5" t="s">
        <v>161</v>
      </c>
      <c r="G950" s="8">
        <v>2</v>
      </c>
      <c r="H950" s="8">
        <v>13503</v>
      </c>
      <c r="I950" s="5" t="s">
        <v>49</v>
      </c>
      <c r="J950" s="8">
        <v>4</v>
      </c>
      <c r="K950" s="8">
        <v>3</v>
      </c>
      <c r="L950" s="8">
        <v>22</v>
      </c>
      <c r="M9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0" s="8" t="str" cm="1">
        <f t="array" ref="N950">_xlfn.IFS(HR_Analytics56[[#This Row],[PerformanceRating]]=3,"Good",HR_Analytics56[[#This Row],[PerformanceRating]]=4, "Excellent")</f>
        <v>Excellent</v>
      </c>
      <c r="O950" s="8" t="str">
        <f>IF(HR_Analytics56[[#This Row],[MonthlyIncome]]&lt;3000,"&lt; ₹3,000",IF(HR_Analytics56[[#This Row],[MonthlyIncome]]&lt;=7000,"₹ 3,000 - ₹ 7,000","&gt; ₹7,000"))</f>
        <v>&gt; ₹7,000</v>
      </c>
      <c r="P950" s="8" t="str" cm="1">
        <f t="array" ref="P95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951" spans="1:16" x14ac:dyDescent="0.8">
      <c r="A951" s="5" t="s">
        <v>1022</v>
      </c>
      <c r="B951" s="8">
        <v>40</v>
      </c>
      <c r="C951" s="5" t="s">
        <v>49</v>
      </c>
      <c r="D951" s="5" t="s">
        <v>42</v>
      </c>
      <c r="E951" s="5" t="s">
        <v>53</v>
      </c>
      <c r="F951" s="5" t="s">
        <v>60</v>
      </c>
      <c r="G951" s="8">
        <v>2</v>
      </c>
      <c r="H951" s="8">
        <v>5605</v>
      </c>
      <c r="I951" s="5" t="s">
        <v>49</v>
      </c>
      <c r="J951" s="8">
        <v>3</v>
      </c>
      <c r="K951" s="8">
        <v>2</v>
      </c>
      <c r="L951" s="8">
        <v>20</v>
      </c>
      <c r="M9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1" s="8" t="str" cm="1">
        <f t="array" ref="N951">_xlfn.IFS(HR_Analytics56[[#This Row],[PerformanceRating]]=3,"Good",HR_Analytics56[[#This Row],[PerformanceRating]]=4, "Excellent")</f>
        <v>Good</v>
      </c>
      <c r="O951" s="8" t="str">
        <f>IF(HR_Analytics56[[#This Row],[MonthlyIncome]]&lt;3000,"&lt; ₹3,000",IF(HR_Analytics56[[#This Row],[MonthlyIncome]]&lt;=7000,"₹ 3,000 - ₹ 7,000","&gt; ₹7,000"))</f>
        <v>₹ 3,000 - ₹ 7,000</v>
      </c>
      <c r="P951" s="8" t="str" cm="1">
        <f t="array" ref="P9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2" spans="1:16" x14ac:dyDescent="0.8">
      <c r="A952" s="5" t="s">
        <v>1023</v>
      </c>
      <c r="B952" s="8">
        <v>40</v>
      </c>
      <c r="C952" s="5" t="s">
        <v>49</v>
      </c>
      <c r="D952" s="5" t="s">
        <v>51</v>
      </c>
      <c r="E952" s="5" t="s">
        <v>44</v>
      </c>
      <c r="F952" s="5" t="s">
        <v>137</v>
      </c>
      <c r="G952" s="8">
        <v>4</v>
      </c>
      <c r="H952" s="8">
        <v>10855</v>
      </c>
      <c r="I952" s="5" t="s">
        <v>49</v>
      </c>
      <c r="J952" s="8">
        <v>3</v>
      </c>
      <c r="K952" s="8">
        <v>2</v>
      </c>
      <c r="L952" s="8">
        <v>12</v>
      </c>
      <c r="M9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2" s="8" t="str" cm="1">
        <f t="array" ref="N952">_xlfn.IFS(HR_Analytics56[[#This Row],[PerformanceRating]]=3,"Good",HR_Analytics56[[#This Row],[PerformanceRating]]=4, "Excellent")</f>
        <v>Good</v>
      </c>
      <c r="O952" s="8" t="str">
        <f>IF(HR_Analytics56[[#This Row],[MonthlyIncome]]&lt;3000,"&lt; ₹3,000",IF(HR_Analytics56[[#This Row],[MonthlyIncome]]&lt;=7000,"₹ 3,000 - ₹ 7,000","&gt; ₹7,000"))</f>
        <v>&gt; ₹7,000</v>
      </c>
      <c r="P952" s="8" t="str" cm="1">
        <f t="array" ref="P9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3" spans="1:16" x14ac:dyDescent="0.8">
      <c r="A953" s="5" t="s">
        <v>1024</v>
      </c>
      <c r="B953" s="8">
        <v>40</v>
      </c>
      <c r="C953" s="5" t="s">
        <v>49</v>
      </c>
      <c r="D953" s="5" t="s">
        <v>42</v>
      </c>
      <c r="E953" s="5" t="s">
        <v>53</v>
      </c>
      <c r="F953" s="5" t="s">
        <v>442</v>
      </c>
      <c r="G953" s="8">
        <v>3</v>
      </c>
      <c r="H953" s="8">
        <v>19033</v>
      </c>
      <c r="I953" s="5" t="s">
        <v>49</v>
      </c>
      <c r="J953" s="8">
        <v>3</v>
      </c>
      <c r="K953" s="8">
        <v>2</v>
      </c>
      <c r="L953" s="8">
        <v>20</v>
      </c>
      <c r="M9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3" s="8" t="str" cm="1">
        <f t="array" ref="N953">_xlfn.IFS(HR_Analytics56[[#This Row],[PerformanceRating]]=3,"Good",HR_Analytics56[[#This Row],[PerformanceRating]]=4, "Excellent")</f>
        <v>Good</v>
      </c>
      <c r="O953" s="8" t="str">
        <f>IF(HR_Analytics56[[#This Row],[MonthlyIncome]]&lt;3000,"&lt; ₹3,000",IF(HR_Analytics56[[#This Row],[MonthlyIncome]]&lt;=7000,"₹ 3,000 - ₹ 7,000","&gt; ₹7,000"))</f>
        <v>&gt; ₹7,000</v>
      </c>
      <c r="P953" s="8" t="str" cm="1">
        <f t="array" ref="P9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4" spans="1:16" x14ac:dyDescent="0.8">
      <c r="A954" s="5" t="s">
        <v>1025</v>
      </c>
      <c r="B954" s="8">
        <v>40</v>
      </c>
      <c r="C954" s="5" t="s">
        <v>49</v>
      </c>
      <c r="D954" s="5" t="s">
        <v>42</v>
      </c>
      <c r="E954" s="5" t="s">
        <v>44</v>
      </c>
      <c r="F954" s="5" t="s">
        <v>45</v>
      </c>
      <c r="G954" s="8">
        <v>4</v>
      </c>
      <c r="H954" s="8">
        <v>2741</v>
      </c>
      <c r="I954" s="5" t="s">
        <v>40</v>
      </c>
      <c r="J954" s="8">
        <v>3</v>
      </c>
      <c r="K954" s="8">
        <v>2</v>
      </c>
      <c r="L954" s="8">
        <v>7</v>
      </c>
      <c r="M9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54" s="8" t="str" cm="1">
        <f t="array" ref="N954">_xlfn.IFS(HR_Analytics56[[#This Row],[PerformanceRating]]=3,"Good",HR_Analytics56[[#This Row],[PerformanceRating]]=4, "Excellent")</f>
        <v>Good</v>
      </c>
      <c r="O954" s="8" t="str">
        <f>IF(HR_Analytics56[[#This Row],[MonthlyIncome]]&lt;3000,"&lt; ₹3,000",IF(HR_Analytics56[[#This Row],[MonthlyIncome]]&lt;=7000,"₹ 3,000 - ₹ 7,000","&gt; ₹7,000"))</f>
        <v>&lt; ₹3,000</v>
      </c>
      <c r="P954" s="8" t="str" cm="1">
        <f t="array" ref="P9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5" spans="1:16" x14ac:dyDescent="0.8">
      <c r="A955" s="5" t="s">
        <v>1026</v>
      </c>
      <c r="B955" s="8">
        <v>40</v>
      </c>
      <c r="C955" s="5" t="s">
        <v>49</v>
      </c>
      <c r="D955" s="5" t="s">
        <v>42</v>
      </c>
      <c r="E955" s="5" t="s">
        <v>44</v>
      </c>
      <c r="F955" s="5" t="s">
        <v>161</v>
      </c>
      <c r="G955" s="8">
        <v>4</v>
      </c>
      <c r="H955" s="8">
        <v>4876</v>
      </c>
      <c r="I955" s="5" t="s">
        <v>49</v>
      </c>
      <c r="J955" s="8">
        <v>3</v>
      </c>
      <c r="K955" s="8">
        <v>5</v>
      </c>
      <c r="L955" s="8">
        <v>3</v>
      </c>
      <c r="M9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5" s="8" t="str" cm="1">
        <f t="array" ref="N955">_xlfn.IFS(HR_Analytics56[[#This Row],[PerformanceRating]]=3,"Good",HR_Analytics56[[#This Row],[PerformanceRating]]=4, "Excellent")</f>
        <v>Good</v>
      </c>
      <c r="O955" s="8" t="str">
        <f>IF(HR_Analytics56[[#This Row],[MonthlyIncome]]&lt;3000,"&lt; ₹3,000",IF(HR_Analytics56[[#This Row],[MonthlyIncome]]&lt;=7000,"₹ 3,000 - ₹ 7,000","&gt; ₹7,000"))</f>
        <v>₹ 3,000 - ₹ 7,000</v>
      </c>
      <c r="P955" s="8" t="str" cm="1">
        <f t="array" ref="P9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6" spans="1:16" x14ac:dyDescent="0.8">
      <c r="A956" s="5" t="s">
        <v>1027</v>
      </c>
      <c r="B956" s="8">
        <v>40</v>
      </c>
      <c r="C956" s="5" t="s">
        <v>49</v>
      </c>
      <c r="D956" s="5" t="s">
        <v>42</v>
      </c>
      <c r="E956" s="5" t="s">
        <v>44</v>
      </c>
      <c r="F956" s="5" t="s">
        <v>60</v>
      </c>
      <c r="G956" s="8">
        <v>4</v>
      </c>
      <c r="H956" s="8">
        <v>3319</v>
      </c>
      <c r="I956" s="5" t="s">
        <v>49</v>
      </c>
      <c r="J956" s="8">
        <v>3</v>
      </c>
      <c r="K956" s="8">
        <v>3</v>
      </c>
      <c r="L956" s="8">
        <v>9</v>
      </c>
      <c r="M9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6" s="8" t="str" cm="1">
        <f t="array" ref="N956">_xlfn.IFS(HR_Analytics56[[#This Row],[PerformanceRating]]=3,"Good",HR_Analytics56[[#This Row],[PerformanceRating]]=4, "Excellent")</f>
        <v>Good</v>
      </c>
      <c r="O956" s="8" t="str">
        <f>IF(HR_Analytics56[[#This Row],[MonthlyIncome]]&lt;3000,"&lt; ₹3,000",IF(HR_Analytics56[[#This Row],[MonthlyIncome]]&lt;=7000,"₹ 3,000 - ₹ 7,000","&gt; ₹7,000"))</f>
        <v>₹ 3,000 - ₹ 7,000</v>
      </c>
      <c r="P956" s="8" t="str" cm="1">
        <f t="array" ref="P9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7" spans="1:16" x14ac:dyDescent="0.8">
      <c r="A957" s="5" t="s">
        <v>1028</v>
      </c>
      <c r="B957" s="8">
        <v>40</v>
      </c>
      <c r="C957" s="5" t="s">
        <v>49</v>
      </c>
      <c r="D957" s="5" t="s">
        <v>42</v>
      </c>
      <c r="E957" s="5" t="s">
        <v>44</v>
      </c>
      <c r="F957" s="5" t="s">
        <v>252</v>
      </c>
      <c r="G957" s="8">
        <v>3</v>
      </c>
      <c r="H957" s="8">
        <v>19436</v>
      </c>
      <c r="I957" s="5" t="s">
        <v>49</v>
      </c>
      <c r="J957" s="8">
        <v>3</v>
      </c>
      <c r="K957" s="8">
        <v>5</v>
      </c>
      <c r="L957" s="8">
        <v>21</v>
      </c>
      <c r="M9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57" s="8" t="str" cm="1">
        <f t="array" ref="N957">_xlfn.IFS(HR_Analytics56[[#This Row],[PerformanceRating]]=3,"Good",HR_Analytics56[[#This Row],[PerformanceRating]]=4, "Excellent")</f>
        <v>Good</v>
      </c>
      <c r="O957" s="8" t="str">
        <f>IF(HR_Analytics56[[#This Row],[MonthlyIncome]]&lt;3000,"&lt; ₹3,000",IF(HR_Analytics56[[#This Row],[MonthlyIncome]]&lt;=7000,"₹ 3,000 - ₹ 7,000","&gt; ₹7,000"))</f>
        <v>&gt; ₹7,000</v>
      </c>
      <c r="P957" s="8" t="str" cm="1">
        <f t="array" ref="P9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8" spans="1:16" x14ac:dyDescent="0.8">
      <c r="A958" s="5" t="s">
        <v>1029</v>
      </c>
      <c r="B958" s="8">
        <v>40</v>
      </c>
      <c r="C958" s="5" t="s">
        <v>49</v>
      </c>
      <c r="D958" s="5" t="s">
        <v>51</v>
      </c>
      <c r="E958" s="5" t="s">
        <v>44</v>
      </c>
      <c r="F958" s="5" t="s">
        <v>137</v>
      </c>
      <c r="G958" s="8">
        <v>4</v>
      </c>
      <c r="H958" s="8">
        <v>7457</v>
      </c>
      <c r="I958" s="5" t="s">
        <v>40</v>
      </c>
      <c r="J958" s="8">
        <v>4</v>
      </c>
      <c r="K958" s="8">
        <v>2</v>
      </c>
      <c r="L958" s="8">
        <v>4</v>
      </c>
      <c r="M9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58" s="8" t="str" cm="1">
        <f t="array" ref="N958">_xlfn.IFS(HR_Analytics56[[#This Row],[PerformanceRating]]=3,"Good",HR_Analytics56[[#This Row],[PerformanceRating]]=4, "Excellent")</f>
        <v>Excellent</v>
      </c>
      <c r="O958" s="8" t="str">
        <f>IF(HR_Analytics56[[#This Row],[MonthlyIncome]]&lt;3000,"&lt; ₹3,000",IF(HR_Analytics56[[#This Row],[MonthlyIncome]]&lt;=7000,"₹ 3,000 - ₹ 7,000","&gt; ₹7,000"))</f>
        <v>&gt; ₹7,000</v>
      </c>
      <c r="P958" s="8" t="str" cm="1">
        <f t="array" ref="P9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59" spans="1:16" x14ac:dyDescent="0.8">
      <c r="A959" s="5" t="s">
        <v>1030</v>
      </c>
      <c r="B959" s="8">
        <v>40</v>
      </c>
      <c r="C959" s="5" t="s">
        <v>49</v>
      </c>
      <c r="D959" s="5" t="s">
        <v>42</v>
      </c>
      <c r="E959" s="5" t="s">
        <v>53</v>
      </c>
      <c r="F959" s="5" t="s">
        <v>45</v>
      </c>
      <c r="G959" s="8">
        <v>3</v>
      </c>
      <c r="H959" s="8">
        <v>2213</v>
      </c>
      <c r="I959" s="5" t="s">
        <v>40</v>
      </c>
      <c r="J959" s="8">
        <v>3</v>
      </c>
      <c r="K959" s="8">
        <v>3</v>
      </c>
      <c r="L959" s="8">
        <v>7</v>
      </c>
      <c r="M9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59" s="8" t="str" cm="1">
        <f t="array" ref="N959">_xlfn.IFS(HR_Analytics56[[#This Row],[PerformanceRating]]=3,"Good",HR_Analytics56[[#This Row],[PerformanceRating]]=4, "Excellent")</f>
        <v>Good</v>
      </c>
      <c r="O959" s="8" t="str">
        <f>IF(HR_Analytics56[[#This Row],[MonthlyIncome]]&lt;3000,"&lt; ₹3,000",IF(HR_Analytics56[[#This Row],[MonthlyIncome]]&lt;=7000,"₹ 3,000 - ₹ 7,000","&gt; ₹7,000"))</f>
        <v>&lt; ₹3,000</v>
      </c>
      <c r="P959" s="8" t="str" cm="1">
        <f t="array" ref="P9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0" spans="1:16" x14ac:dyDescent="0.8">
      <c r="A960" s="5" t="s">
        <v>1031</v>
      </c>
      <c r="B960" s="8">
        <v>40</v>
      </c>
      <c r="C960" s="5" t="s">
        <v>40</v>
      </c>
      <c r="D960" s="5" t="s">
        <v>51</v>
      </c>
      <c r="E960" s="5" t="s">
        <v>44</v>
      </c>
      <c r="F960" s="5" t="s">
        <v>137</v>
      </c>
      <c r="G960" s="8">
        <v>3</v>
      </c>
      <c r="H960" s="8">
        <v>6380</v>
      </c>
      <c r="I960" s="5" t="s">
        <v>40</v>
      </c>
      <c r="J960" s="8">
        <v>3</v>
      </c>
      <c r="K960" s="8">
        <v>6</v>
      </c>
      <c r="L960" s="8">
        <v>6</v>
      </c>
      <c r="M9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60" s="8" t="str" cm="1">
        <f t="array" ref="N960">_xlfn.IFS(HR_Analytics56[[#This Row],[PerformanceRating]]=3,"Good",HR_Analytics56[[#This Row],[PerformanceRating]]=4, "Excellent")</f>
        <v>Good</v>
      </c>
      <c r="O960" s="8" t="str">
        <f>IF(HR_Analytics56[[#This Row],[MonthlyIncome]]&lt;3000,"&lt; ₹3,000",IF(HR_Analytics56[[#This Row],[MonthlyIncome]]&lt;=7000,"₹ 3,000 - ₹ 7,000","&gt; ₹7,000"))</f>
        <v>₹ 3,000 - ₹ 7,000</v>
      </c>
      <c r="P960" s="8" t="str" cm="1">
        <f t="array" ref="P9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1" spans="1:16" x14ac:dyDescent="0.8">
      <c r="A961" s="5" t="s">
        <v>1032</v>
      </c>
      <c r="B961" s="8">
        <v>40</v>
      </c>
      <c r="C961" s="5" t="s">
        <v>49</v>
      </c>
      <c r="D961" s="5" t="s">
        <v>51</v>
      </c>
      <c r="E961" s="5" t="s">
        <v>53</v>
      </c>
      <c r="F961" s="5" t="s">
        <v>137</v>
      </c>
      <c r="G961" s="8">
        <v>2</v>
      </c>
      <c r="H961" s="8">
        <v>5715</v>
      </c>
      <c r="I961" s="5" t="s">
        <v>49</v>
      </c>
      <c r="J961" s="8">
        <v>3</v>
      </c>
      <c r="K961" s="8">
        <v>5</v>
      </c>
      <c r="L961" s="8">
        <v>5</v>
      </c>
      <c r="M9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1" s="8" t="str" cm="1">
        <f t="array" ref="N961">_xlfn.IFS(HR_Analytics56[[#This Row],[PerformanceRating]]=3,"Good",HR_Analytics56[[#This Row],[PerformanceRating]]=4, "Excellent")</f>
        <v>Good</v>
      </c>
      <c r="O961" s="8" t="str">
        <f>IF(HR_Analytics56[[#This Row],[MonthlyIncome]]&lt;3000,"&lt; ₹3,000",IF(HR_Analytics56[[#This Row],[MonthlyIncome]]&lt;=7000,"₹ 3,000 - ₹ 7,000","&gt; ₹7,000"))</f>
        <v>₹ 3,000 - ₹ 7,000</v>
      </c>
      <c r="P961" s="8" t="str" cm="1">
        <f t="array" ref="P9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2" spans="1:16" x14ac:dyDescent="0.8">
      <c r="A962" s="5" t="s">
        <v>1033</v>
      </c>
      <c r="B962" s="8">
        <v>40</v>
      </c>
      <c r="C962" s="5" t="s">
        <v>49</v>
      </c>
      <c r="D962" s="5" t="s">
        <v>42</v>
      </c>
      <c r="E962" s="5" t="s">
        <v>53</v>
      </c>
      <c r="F962" s="5" t="s">
        <v>45</v>
      </c>
      <c r="G962" s="8">
        <v>3</v>
      </c>
      <c r="H962" s="8">
        <v>3448</v>
      </c>
      <c r="I962" s="5" t="s">
        <v>49</v>
      </c>
      <c r="J962" s="8">
        <v>4</v>
      </c>
      <c r="K962" s="8">
        <v>3</v>
      </c>
      <c r="L962" s="8">
        <v>1</v>
      </c>
      <c r="M9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2" s="8" t="str" cm="1">
        <f t="array" ref="N962">_xlfn.IFS(HR_Analytics56[[#This Row],[PerformanceRating]]=3,"Good",HR_Analytics56[[#This Row],[PerformanceRating]]=4, "Excellent")</f>
        <v>Excellent</v>
      </c>
      <c r="O962" s="8" t="str">
        <f>IF(HR_Analytics56[[#This Row],[MonthlyIncome]]&lt;3000,"&lt; ₹3,000",IF(HR_Analytics56[[#This Row],[MonthlyIncome]]&lt;=7000,"₹ 3,000 - ₹ 7,000","&gt; ₹7,000"))</f>
        <v>₹ 3,000 - ₹ 7,000</v>
      </c>
      <c r="P962" s="8" t="str" cm="1">
        <f t="array" ref="P9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3" spans="1:16" x14ac:dyDescent="0.8">
      <c r="A963" s="5" t="s">
        <v>1034</v>
      </c>
      <c r="B963" s="8">
        <v>40</v>
      </c>
      <c r="C963" s="5" t="s">
        <v>49</v>
      </c>
      <c r="D963" s="5" t="s">
        <v>51</v>
      </c>
      <c r="E963" s="5" t="s">
        <v>53</v>
      </c>
      <c r="F963" s="5" t="s">
        <v>442</v>
      </c>
      <c r="G963" s="8">
        <v>3</v>
      </c>
      <c r="H963" s="8">
        <v>18041</v>
      </c>
      <c r="I963" s="5" t="s">
        <v>49</v>
      </c>
      <c r="J963" s="8">
        <v>3</v>
      </c>
      <c r="K963" s="8">
        <v>2</v>
      </c>
      <c r="L963" s="8">
        <v>20</v>
      </c>
      <c r="M9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3" s="8" t="str" cm="1">
        <f t="array" ref="N963">_xlfn.IFS(HR_Analytics56[[#This Row],[PerformanceRating]]=3,"Good",HR_Analytics56[[#This Row],[PerformanceRating]]=4, "Excellent")</f>
        <v>Good</v>
      </c>
      <c r="O963" s="8" t="str">
        <f>IF(HR_Analytics56[[#This Row],[MonthlyIncome]]&lt;3000,"&lt; ₹3,000",IF(HR_Analytics56[[#This Row],[MonthlyIncome]]&lt;=7000,"₹ 3,000 - ₹ 7,000","&gt; ₹7,000"))</f>
        <v>&gt; ₹7,000</v>
      </c>
      <c r="P963" s="8" t="str" cm="1">
        <f t="array" ref="P9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4" spans="1:16" x14ac:dyDescent="0.8">
      <c r="A964" s="5" t="s">
        <v>1035</v>
      </c>
      <c r="B964" s="8">
        <v>40</v>
      </c>
      <c r="C964" s="5" t="s">
        <v>49</v>
      </c>
      <c r="D964" s="5" t="s">
        <v>42</v>
      </c>
      <c r="E964" s="5" t="s">
        <v>53</v>
      </c>
      <c r="F964" s="5" t="s">
        <v>112</v>
      </c>
      <c r="G964" s="8">
        <v>3</v>
      </c>
      <c r="H964" s="8">
        <v>13237</v>
      </c>
      <c r="I964" s="5" t="s">
        <v>49</v>
      </c>
      <c r="J964" s="8">
        <v>3</v>
      </c>
      <c r="K964" s="8">
        <v>3</v>
      </c>
      <c r="L964" s="8">
        <v>20</v>
      </c>
      <c r="M9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4" s="8" t="str" cm="1">
        <f t="array" ref="N964">_xlfn.IFS(HR_Analytics56[[#This Row],[PerformanceRating]]=3,"Good",HR_Analytics56[[#This Row],[PerformanceRating]]=4, "Excellent")</f>
        <v>Good</v>
      </c>
      <c r="O964" s="8" t="str">
        <f>IF(HR_Analytics56[[#This Row],[MonthlyIncome]]&lt;3000,"&lt; ₹3,000",IF(HR_Analytics56[[#This Row],[MonthlyIncome]]&lt;=7000,"₹ 3,000 - ₹ 7,000","&gt; ₹7,000"))</f>
        <v>&gt; ₹7,000</v>
      </c>
      <c r="P964" s="8" t="str" cm="1">
        <f t="array" ref="P9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5" spans="1:16" x14ac:dyDescent="0.8">
      <c r="A965" s="5" t="s">
        <v>1036</v>
      </c>
      <c r="B965" s="8">
        <v>40</v>
      </c>
      <c r="C965" s="5" t="s">
        <v>49</v>
      </c>
      <c r="D965" s="5" t="s">
        <v>51</v>
      </c>
      <c r="E965" s="5" t="s">
        <v>44</v>
      </c>
      <c r="F965" s="5" t="s">
        <v>137</v>
      </c>
      <c r="G965" s="8">
        <v>1</v>
      </c>
      <c r="H965" s="8">
        <v>10932</v>
      </c>
      <c r="I965" s="5" t="s">
        <v>49</v>
      </c>
      <c r="J965" s="8">
        <v>3</v>
      </c>
      <c r="K965" s="8">
        <v>2</v>
      </c>
      <c r="L965" s="8">
        <v>1</v>
      </c>
      <c r="M9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5" s="8" t="str" cm="1">
        <f t="array" ref="N965">_xlfn.IFS(HR_Analytics56[[#This Row],[PerformanceRating]]=3,"Good",HR_Analytics56[[#This Row],[PerformanceRating]]=4, "Excellent")</f>
        <v>Good</v>
      </c>
      <c r="O965" s="8" t="str">
        <f>IF(HR_Analytics56[[#This Row],[MonthlyIncome]]&lt;3000,"&lt; ₹3,000",IF(HR_Analytics56[[#This Row],[MonthlyIncome]]&lt;=7000,"₹ 3,000 - ₹ 7,000","&gt; ₹7,000"))</f>
        <v>&gt; ₹7,000</v>
      </c>
      <c r="P965" s="8" t="str" cm="1">
        <f t="array" ref="P9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6" spans="1:16" x14ac:dyDescent="0.8">
      <c r="A966" s="5" t="s">
        <v>1037</v>
      </c>
      <c r="B966" s="8">
        <v>40</v>
      </c>
      <c r="C966" s="5" t="s">
        <v>49</v>
      </c>
      <c r="D966" s="5" t="s">
        <v>51</v>
      </c>
      <c r="E966" s="5" t="s">
        <v>44</v>
      </c>
      <c r="F966" s="5" t="s">
        <v>137</v>
      </c>
      <c r="G966" s="8">
        <v>1</v>
      </c>
      <c r="H966" s="8">
        <v>10475</v>
      </c>
      <c r="I966" s="5" t="s">
        <v>40</v>
      </c>
      <c r="J966" s="8">
        <v>4</v>
      </c>
      <c r="K966" s="8">
        <v>2</v>
      </c>
      <c r="L966" s="8">
        <v>18</v>
      </c>
      <c r="M9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66" s="8" t="str" cm="1">
        <f t="array" ref="N966">_xlfn.IFS(HR_Analytics56[[#This Row],[PerformanceRating]]=3,"Good",HR_Analytics56[[#This Row],[PerformanceRating]]=4, "Excellent")</f>
        <v>Excellent</v>
      </c>
      <c r="O966" s="8" t="str">
        <f>IF(HR_Analytics56[[#This Row],[MonthlyIncome]]&lt;3000,"&lt; ₹3,000",IF(HR_Analytics56[[#This Row],[MonthlyIncome]]&lt;=7000,"₹ 3,000 - ₹ 7,000","&gt; ₹7,000"))</f>
        <v>&gt; ₹7,000</v>
      </c>
      <c r="P966" s="8" t="str" cm="1">
        <f t="array" ref="P9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7" spans="1:16" x14ac:dyDescent="0.8">
      <c r="A967" s="5" t="s">
        <v>1038</v>
      </c>
      <c r="B967" s="8">
        <v>40</v>
      </c>
      <c r="C967" s="5" t="s">
        <v>49</v>
      </c>
      <c r="D967" s="5" t="s">
        <v>42</v>
      </c>
      <c r="E967" s="5" t="s">
        <v>53</v>
      </c>
      <c r="F967" s="5" t="s">
        <v>60</v>
      </c>
      <c r="G967" s="8">
        <v>4</v>
      </c>
      <c r="H967" s="8">
        <v>2342</v>
      </c>
      <c r="I967" s="5" t="s">
        <v>40</v>
      </c>
      <c r="J967" s="8">
        <v>4</v>
      </c>
      <c r="K967" s="8">
        <v>2</v>
      </c>
      <c r="L967" s="8">
        <v>4</v>
      </c>
      <c r="M9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67" s="8" t="str" cm="1">
        <f t="array" ref="N967">_xlfn.IFS(HR_Analytics56[[#This Row],[PerformanceRating]]=3,"Good",HR_Analytics56[[#This Row],[PerformanceRating]]=4, "Excellent")</f>
        <v>Excellent</v>
      </c>
      <c r="O967" s="8" t="str">
        <f>IF(HR_Analytics56[[#This Row],[MonthlyIncome]]&lt;3000,"&lt; ₹3,000",IF(HR_Analytics56[[#This Row],[MonthlyIncome]]&lt;=7000,"₹ 3,000 - ₹ 7,000","&gt; ₹7,000"))</f>
        <v>&lt; ₹3,000</v>
      </c>
      <c r="P967" s="8" t="str" cm="1">
        <f t="array" ref="P9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8" spans="1:16" x14ac:dyDescent="0.8">
      <c r="A968" s="5" t="s">
        <v>1039</v>
      </c>
      <c r="B968" s="8">
        <v>40</v>
      </c>
      <c r="C968" s="5" t="s">
        <v>49</v>
      </c>
      <c r="D968" s="5" t="s">
        <v>42</v>
      </c>
      <c r="E968" s="5" t="s">
        <v>53</v>
      </c>
      <c r="F968" s="5" t="s">
        <v>161</v>
      </c>
      <c r="G968" s="8">
        <v>2</v>
      </c>
      <c r="H968" s="8">
        <v>4244</v>
      </c>
      <c r="I968" s="5" t="s">
        <v>49</v>
      </c>
      <c r="J968" s="8">
        <v>4</v>
      </c>
      <c r="K968" s="8">
        <v>2</v>
      </c>
      <c r="L968" s="8">
        <v>8</v>
      </c>
      <c r="M9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8" s="8" t="str" cm="1">
        <f t="array" ref="N968">_xlfn.IFS(HR_Analytics56[[#This Row],[PerformanceRating]]=3,"Good",HR_Analytics56[[#This Row],[PerformanceRating]]=4, "Excellent")</f>
        <v>Excellent</v>
      </c>
      <c r="O968" s="8" t="str">
        <f>IF(HR_Analytics56[[#This Row],[MonthlyIncome]]&lt;3000,"&lt; ₹3,000",IF(HR_Analytics56[[#This Row],[MonthlyIncome]]&lt;=7000,"₹ 3,000 - ₹ 7,000","&gt; ₹7,000"))</f>
        <v>₹ 3,000 - ₹ 7,000</v>
      </c>
      <c r="P968" s="8" t="str" cm="1">
        <f t="array" ref="P9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69" spans="1:16" x14ac:dyDescent="0.8">
      <c r="A969" s="5" t="s">
        <v>1040</v>
      </c>
      <c r="B969" s="8">
        <v>40</v>
      </c>
      <c r="C969" s="5" t="s">
        <v>49</v>
      </c>
      <c r="D969" s="5" t="s">
        <v>42</v>
      </c>
      <c r="E969" s="5" t="s">
        <v>44</v>
      </c>
      <c r="F969" s="5" t="s">
        <v>45</v>
      </c>
      <c r="G969" s="8">
        <v>3</v>
      </c>
      <c r="H969" s="8">
        <v>5094</v>
      </c>
      <c r="I969" s="5" t="s">
        <v>49</v>
      </c>
      <c r="J969" s="8">
        <v>3</v>
      </c>
      <c r="K969" s="8">
        <v>6</v>
      </c>
      <c r="L969" s="8">
        <v>1</v>
      </c>
      <c r="M9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69" s="8" t="str" cm="1">
        <f t="array" ref="N969">_xlfn.IFS(HR_Analytics56[[#This Row],[PerformanceRating]]=3,"Good",HR_Analytics56[[#This Row],[PerformanceRating]]=4, "Excellent")</f>
        <v>Good</v>
      </c>
      <c r="O969" s="8" t="str">
        <f>IF(HR_Analytics56[[#This Row],[MonthlyIncome]]&lt;3000,"&lt; ₹3,000",IF(HR_Analytics56[[#This Row],[MonthlyIncome]]&lt;=7000,"₹ 3,000 - ₹ 7,000","&gt; ₹7,000"))</f>
        <v>₹ 3,000 - ₹ 7,000</v>
      </c>
      <c r="P969" s="8" t="str" cm="1">
        <f t="array" ref="P9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0" spans="1:16" x14ac:dyDescent="0.8">
      <c r="A970" s="5" t="s">
        <v>1041</v>
      </c>
      <c r="B970" s="8">
        <v>40</v>
      </c>
      <c r="C970" s="5" t="s">
        <v>49</v>
      </c>
      <c r="D970" s="5" t="s">
        <v>51</v>
      </c>
      <c r="E970" s="5" t="s">
        <v>44</v>
      </c>
      <c r="F970" s="5" t="s">
        <v>137</v>
      </c>
      <c r="G970" s="8">
        <v>2</v>
      </c>
      <c r="H970" s="8">
        <v>9705</v>
      </c>
      <c r="I970" s="5" t="s">
        <v>49</v>
      </c>
      <c r="J970" s="8">
        <v>3</v>
      </c>
      <c r="K970" s="8">
        <v>2</v>
      </c>
      <c r="L970" s="8">
        <v>1</v>
      </c>
      <c r="M9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0" s="8" t="str" cm="1">
        <f t="array" ref="N970">_xlfn.IFS(HR_Analytics56[[#This Row],[PerformanceRating]]=3,"Good",HR_Analytics56[[#This Row],[PerformanceRating]]=4, "Excellent")</f>
        <v>Good</v>
      </c>
      <c r="O970" s="8" t="str">
        <f>IF(HR_Analytics56[[#This Row],[MonthlyIncome]]&lt;3000,"&lt; ₹3,000",IF(HR_Analytics56[[#This Row],[MonthlyIncome]]&lt;=7000,"₹ 3,000 - ₹ 7,000","&gt; ₹7,000"))</f>
        <v>&gt; ₹7,000</v>
      </c>
      <c r="P970" s="8" t="str" cm="1">
        <f t="array" ref="P9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1" spans="1:16" x14ac:dyDescent="0.8">
      <c r="A971" s="5" t="s">
        <v>1042</v>
      </c>
      <c r="B971" s="8">
        <v>40</v>
      </c>
      <c r="C971" s="5" t="s">
        <v>49</v>
      </c>
      <c r="D971" s="5" t="s">
        <v>42</v>
      </c>
      <c r="E971" s="5" t="s">
        <v>44</v>
      </c>
      <c r="F971" s="5" t="s">
        <v>60</v>
      </c>
      <c r="G971" s="8">
        <v>2</v>
      </c>
      <c r="H971" s="8">
        <v>3617</v>
      </c>
      <c r="I971" s="5" t="s">
        <v>40</v>
      </c>
      <c r="J971" s="8">
        <v>3</v>
      </c>
      <c r="K971" s="8">
        <v>2</v>
      </c>
      <c r="L971" s="8">
        <v>1</v>
      </c>
      <c r="M9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71" s="8" t="str" cm="1">
        <f t="array" ref="N971">_xlfn.IFS(HR_Analytics56[[#This Row],[PerformanceRating]]=3,"Good",HR_Analytics56[[#This Row],[PerformanceRating]]=4, "Excellent")</f>
        <v>Good</v>
      </c>
      <c r="O971" s="8" t="str">
        <f>IF(HR_Analytics56[[#This Row],[MonthlyIncome]]&lt;3000,"&lt; ₹3,000",IF(HR_Analytics56[[#This Row],[MonthlyIncome]]&lt;=7000,"₹ 3,000 - ₹ 7,000","&gt; ₹7,000"))</f>
        <v>₹ 3,000 - ₹ 7,000</v>
      </c>
      <c r="P971" s="8" t="str" cm="1">
        <f t="array" ref="P9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2" spans="1:16" x14ac:dyDescent="0.8">
      <c r="A972" s="5" t="s">
        <v>1043</v>
      </c>
      <c r="B972" s="8">
        <v>40</v>
      </c>
      <c r="C972" s="5" t="s">
        <v>40</v>
      </c>
      <c r="D972" s="5" t="s">
        <v>51</v>
      </c>
      <c r="E972" s="5" t="s">
        <v>53</v>
      </c>
      <c r="F972" s="5" t="s">
        <v>137</v>
      </c>
      <c r="G972" s="8">
        <v>2</v>
      </c>
      <c r="H972" s="8">
        <v>13194</v>
      </c>
      <c r="I972" s="5" t="s">
        <v>40</v>
      </c>
      <c r="J972" s="8">
        <v>3</v>
      </c>
      <c r="K972" s="8">
        <v>2</v>
      </c>
      <c r="L972" s="8">
        <v>1</v>
      </c>
      <c r="M9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72" s="8" t="str" cm="1">
        <f t="array" ref="N972">_xlfn.IFS(HR_Analytics56[[#This Row],[PerformanceRating]]=3,"Good",HR_Analytics56[[#This Row],[PerformanceRating]]=4, "Excellent")</f>
        <v>Good</v>
      </c>
      <c r="O972" s="8" t="str">
        <f>IF(HR_Analytics56[[#This Row],[MonthlyIncome]]&lt;3000,"&lt; ₹3,000",IF(HR_Analytics56[[#This Row],[MonthlyIncome]]&lt;=7000,"₹ 3,000 - ₹ 7,000","&gt; ₹7,000"))</f>
        <v>&gt; ₹7,000</v>
      </c>
      <c r="P972" s="8" t="str" cm="1">
        <f t="array" ref="P9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3" spans="1:16" x14ac:dyDescent="0.8">
      <c r="A973" s="5" t="s">
        <v>1044</v>
      </c>
      <c r="B973" s="8">
        <v>40</v>
      </c>
      <c r="C973" s="5" t="s">
        <v>49</v>
      </c>
      <c r="D973" s="5" t="s">
        <v>51</v>
      </c>
      <c r="E973" s="5" t="s">
        <v>44</v>
      </c>
      <c r="F973" s="5" t="s">
        <v>137</v>
      </c>
      <c r="G973" s="8">
        <v>1</v>
      </c>
      <c r="H973" s="8">
        <v>8396</v>
      </c>
      <c r="I973" s="5" t="s">
        <v>49</v>
      </c>
      <c r="J973" s="8">
        <v>3</v>
      </c>
      <c r="K973" s="8">
        <v>3</v>
      </c>
      <c r="L973" s="8">
        <v>7</v>
      </c>
      <c r="M9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3" s="8" t="str" cm="1">
        <f t="array" ref="N973">_xlfn.IFS(HR_Analytics56[[#This Row],[PerformanceRating]]=3,"Good",HR_Analytics56[[#This Row],[PerformanceRating]]=4, "Excellent")</f>
        <v>Good</v>
      </c>
      <c r="O973" s="8" t="str">
        <f>IF(HR_Analytics56[[#This Row],[MonthlyIncome]]&lt;3000,"&lt; ₹3,000",IF(HR_Analytics56[[#This Row],[MonthlyIncome]]&lt;=7000,"₹ 3,000 - ₹ 7,000","&gt; ₹7,000"))</f>
        <v>&gt; ₹7,000</v>
      </c>
      <c r="P973" s="8" t="str" cm="1">
        <f t="array" ref="P9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4" spans="1:16" x14ac:dyDescent="0.8">
      <c r="A974" s="5" t="s">
        <v>1045</v>
      </c>
      <c r="B974" s="8">
        <v>40</v>
      </c>
      <c r="C974" s="5" t="s">
        <v>49</v>
      </c>
      <c r="D974" s="5" t="s">
        <v>42</v>
      </c>
      <c r="E974" s="5" t="s">
        <v>44</v>
      </c>
      <c r="F974" s="5" t="s">
        <v>161</v>
      </c>
      <c r="G974" s="8">
        <v>4</v>
      </c>
      <c r="H974" s="8">
        <v>10322</v>
      </c>
      <c r="I974" s="5" t="s">
        <v>49</v>
      </c>
      <c r="J974" s="8">
        <v>4</v>
      </c>
      <c r="K974" s="8">
        <v>6</v>
      </c>
      <c r="L974" s="8">
        <v>11</v>
      </c>
      <c r="M9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4" s="8" t="str" cm="1">
        <f t="array" ref="N974">_xlfn.IFS(HR_Analytics56[[#This Row],[PerformanceRating]]=3,"Good",HR_Analytics56[[#This Row],[PerformanceRating]]=4, "Excellent")</f>
        <v>Excellent</v>
      </c>
      <c r="O974" s="8" t="str">
        <f>IF(HR_Analytics56[[#This Row],[MonthlyIncome]]&lt;3000,"&lt; ₹3,000",IF(HR_Analytics56[[#This Row],[MonthlyIncome]]&lt;=7000,"₹ 3,000 - ₹ 7,000","&gt; ₹7,000"))</f>
        <v>&gt; ₹7,000</v>
      </c>
      <c r="P974" s="8" t="str" cm="1">
        <f t="array" ref="P97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975" spans="1:16" x14ac:dyDescent="0.8">
      <c r="A975" s="5" t="s">
        <v>1046</v>
      </c>
      <c r="B975" s="8">
        <v>40</v>
      </c>
      <c r="C975" s="5" t="s">
        <v>49</v>
      </c>
      <c r="D975" s="5" t="s">
        <v>42</v>
      </c>
      <c r="E975" s="5" t="s">
        <v>44</v>
      </c>
      <c r="F975" s="5" t="s">
        <v>252</v>
      </c>
      <c r="G975" s="8">
        <v>3</v>
      </c>
      <c r="H975" s="8">
        <v>19626</v>
      </c>
      <c r="I975" s="5" t="s">
        <v>49</v>
      </c>
      <c r="J975" s="8">
        <v>3</v>
      </c>
      <c r="K975" s="8">
        <v>2</v>
      </c>
      <c r="L975" s="8">
        <v>20</v>
      </c>
      <c r="M9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5" s="8" t="str" cm="1">
        <f t="array" ref="N975">_xlfn.IFS(HR_Analytics56[[#This Row],[PerformanceRating]]=3,"Good",HR_Analytics56[[#This Row],[PerformanceRating]]=4, "Excellent")</f>
        <v>Good</v>
      </c>
      <c r="O975" s="8" t="str">
        <f>IF(HR_Analytics56[[#This Row],[MonthlyIncome]]&lt;3000,"&lt; ₹3,000",IF(HR_Analytics56[[#This Row],[MonthlyIncome]]&lt;=7000,"₹ 3,000 - ₹ 7,000","&gt; ₹7,000"))</f>
        <v>&gt; ₹7,000</v>
      </c>
      <c r="P975" s="8" t="str" cm="1">
        <f t="array" ref="P9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6" spans="1:16" x14ac:dyDescent="0.8">
      <c r="A976" s="5" t="s">
        <v>1047</v>
      </c>
      <c r="B976" s="8">
        <v>40</v>
      </c>
      <c r="C976" s="5" t="s">
        <v>49</v>
      </c>
      <c r="D976" s="5" t="s">
        <v>42</v>
      </c>
      <c r="E976" s="5" t="s">
        <v>53</v>
      </c>
      <c r="F976" s="5" t="s">
        <v>252</v>
      </c>
      <c r="G976" s="8">
        <v>3</v>
      </c>
      <c r="H976" s="8">
        <v>13499</v>
      </c>
      <c r="I976" s="5" t="s">
        <v>49</v>
      </c>
      <c r="J976" s="8">
        <v>3</v>
      </c>
      <c r="K976" s="8">
        <v>3</v>
      </c>
      <c r="L976" s="8">
        <v>18</v>
      </c>
      <c r="M9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6" s="8" t="str" cm="1">
        <f t="array" ref="N976">_xlfn.IFS(HR_Analytics56[[#This Row],[PerformanceRating]]=3,"Good",HR_Analytics56[[#This Row],[PerformanceRating]]=4, "Excellent")</f>
        <v>Good</v>
      </c>
      <c r="O976" s="8" t="str">
        <f>IF(HR_Analytics56[[#This Row],[MonthlyIncome]]&lt;3000,"&lt; ₹3,000",IF(HR_Analytics56[[#This Row],[MonthlyIncome]]&lt;=7000,"₹ 3,000 - ₹ 7,000","&gt; ₹7,000"))</f>
        <v>&gt; ₹7,000</v>
      </c>
      <c r="P976" s="8" t="str" cm="1">
        <f t="array" ref="P9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7" spans="1:16" x14ac:dyDescent="0.8">
      <c r="A977" s="5" t="s">
        <v>1048</v>
      </c>
      <c r="B977" s="8">
        <v>40</v>
      </c>
      <c r="C977" s="5" t="s">
        <v>49</v>
      </c>
      <c r="D977" s="5" t="s">
        <v>42</v>
      </c>
      <c r="E977" s="5" t="s">
        <v>53</v>
      </c>
      <c r="F977" s="5" t="s">
        <v>60</v>
      </c>
      <c r="G977" s="8">
        <v>4</v>
      </c>
      <c r="H977" s="8">
        <v>4422</v>
      </c>
      <c r="I977" s="5" t="s">
        <v>40</v>
      </c>
      <c r="J977" s="8">
        <v>3</v>
      </c>
      <c r="K977" s="8">
        <v>3</v>
      </c>
      <c r="L977" s="8">
        <v>1</v>
      </c>
      <c r="M9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77" s="8" t="str" cm="1">
        <f t="array" ref="N977">_xlfn.IFS(HR_Analytics56[[#This Row],[PerformanceRating]]=3,"Good",HR_Analytics56[[#This Row],[PerformanceRating]]=4, "Excellent")</f>
        <v>Good</v>
      </c>
      <c r="O977" s="8" t="str">
        <f>IF(HR_Analytics56[[#This Row],[MonthlyIncome]]&lt;3000,"&lt; ₹3,000",IF(HR_Analytics56[[#This Row],[MonthlyIncome]]&lt;=7000,"₹ 3,000 - ₹ 7,000","&gt; ₹7,000"))</f>
        <v>₹ 3,000 - ₹ 7,000</v>
      </c>
      <c r="P977" s="8" t="str" cm="1">
        <f t="array" ref="P9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8" spans="1:16" x14ac:dyDescent="0.8">
      <c r="A978" s="5" t="s">
        <v>1049</v>
      </c>
      <c r="B978" s="8">
        <v>40</v>
      </c>
      <c r="C978" s="5" t="s">
        <v>49</v>
      </c>
      <c r="D978" s="5" t="s">
        <v>51</v>
      </c>
      <c r="E978" s="5" t="s">
        <v>44</v>
      </c>
      <c r="F978" s="5" t="s">
        <v>137</v>
      </c>
      <c r="G978" s="8">
        <v>2</v>
      </c>
      <c r="H978" s="8">
        <v>4327</v>
      </c>
      <c r="I978" s="5" t="s">
        <v>49</v>
      </c>
      <c r="J978" s="8">
        <v>3</v>
      </c>
      <c r="K978" s="8">
        <v>2</v>
      </c>
      <c r="L978" s="8">
        <v>0</v>
      </c>
      <c r="M9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8" s="8" t="str" cm="1">
        <f t="array" ref="N978">_xlfn.IFS(HR_Analytics56[[#This Row],[PerformanceRating]]=3,"Good",HR_Analytics56[[#This Row],[PerformanceRating]]=4, "Excellent")</f>
        <v>Good</v>
      </c>
      <c r="O978" s="8" t="str">
        <f>IF(HR_Analytics56[[#This Row],[MonthlyIncome]]&lt;3000,"&lt; ₹3,000",IF(HR_Analytics56[[#This Row],[MonthlyIncome]]&lt;=7000,"₹ 3,000 - ₹ 7,000","&gt; ₹7,000"))</f>
        <v>₹ 3,000 - ₹ 7,000</v>
      </c>
      <c r="P978" s="8" t="str" cm="1">
        <f t="array" ref="P9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79" spans="1:16" x14ac:dyDescent="0.8">
      <c r="A979" s="5" t="s">
        <v>1050</v>
      </c>
      <c r="B979" s="8">
        <v>40</v>
      </c>
      <c r="C979" s="5" t="s">
        <v>49</v>
      </c>
      <c r="D979" s="5" t="s">
        <v>51</v>
      </c>
      <c r="E979" s="5" t="s">
        <v>53</v>
      </c>
      <c r="F979" s="5" t="s">
        <v>137</v>
      </c>
      <c r="G979" s="8">
        <v>2</v>
      </c>
      <c r="H979" s="8">
        <v>6852</v>
      </c>
      <c r="I979" s="5" t="s">
        <v>49</v>
      </c>
      <c r="J979" s="8">
        <v>3</v>
      </c>
      <c r="K979" s="8">
        <v>2</v>
      </c>
      <c r="L979" s="8">
        <v>5</v>
      </c>
      <c r="M9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79" s="8" t="str" cm="1">
        <f t="array" ref="N979">_xlfn.IFS(HR_Analytics56[[#This Row],[PerformanceRating]]=3,"Good",HR_Analytics56[[#This Row],[PerformanceRating]]=4, "Excellent")</f>
        <v>Good</v>
      </c>
      <c r="O979" s="8" t="str">
        <f>IF(HR_Analytics56[[#This Row],[MonthlyIncome]]&lt;3000,"&lt; ₹3,000",IF(HR_Analytics56[[#This Row],[MonthlyIncome]]&lt;=7000,"₹ 3,000 - ₹ 7,000","&gt; ₹7,000"))</f>
        <v>₹ 3,000 - ₹ 7,000</v>
      </c>
      <c r="P979" s="8" t="str" cm="1">
        <f t="array" ref="P9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0" spans="1:16" x14ac:dyDescent="0.8">
      <c r="A980" s="5" t="s">
        <v>1051</v>
      </c>
      <c r="B980" s="8">
        <v>40</v>
      </c>
      <c r="C980" s="5" t="s">
        <v>40</v>
      </c>
      <c r="D980" s="5" t="s">
        <v>51</v>
      </c>
      <c r="E980" s="5" t="s">
        <v>44</v>
      </c>
      <c r="F980" s="5" t="s">
        <v>137</v>
      </c>
      <c r="G980" s="8">
        <v>2</v>
      </c>
      <c r="H980" s="8">
        <v>9094</v>
      </c>
      <c r="I980" s="5" t="s">
        <v>40</v>
      </c>
      <c r="J980" s="8">
        <v>3</v>
      </c>
      <c r="K980" s="8">
        <v>2</v>
      </c>
      <c r="L980" s="8">
        <v>5</v>
      </c>
      <c r="M9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80" s="8" t="str" cm="1">
        <f t="array" ref="N980">_xlfn.IFS(HR_Analytics56[[#This Row],[PerformanceRating]]=3,"Good",HR_Analytics56[[#This Row],[PerformanceRating]]=4, "Excellent")</f>
        <v>Good</v>
      </c>
      <c r="O980" s="8" t="str">
        <f>IF(HR_Analytics56[[#This Row],[MonthlyIncome]]&lt;3000,"&lt; ₹3,000",IF(HR_Analytics56[[#This Row],[MonthlyIncome]]&lt;=7000,"₹ 3,000 - ₹ 7,000","&gt; ₹7,000"))</f>
        <v>&gt; ₹7,000</v>
      </c>
      <c r="P980" s="8" t="str" cm="1">
        <f t="array" ref="P9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1" spans="1:16" x14ac:dyDescent="0.8">
      <c r="A981" s="5" t="s">
        <v>1052</v>
      </c>
      <c r="B981" s="8">
        <v>40</v>
      </c>
      <c r="C981" s="5" t="s">
        <v>49</v>
      </c>
      <c r="D981" s="5" t="s">
        <v>42</v>
      </c>
      <c r="E981" s="5" t="s">
        <v>44</v>
      </c>
      <c r="F981" s="5" t="s">
        <v>60</v>
      </c>
      <c r="G981" s="8">
        <v>3</v>
      </c>
      <c r="H981" s="8">
        <v>3544</v>
      </c>
      <c r="I981" s="5" t="s">
        <v>49</v>
      </c>
      <c r="J981" s="8">
        <v>3</v>
      </c>
      <c r="K981" s="8">
        <v>0</v>
      </c>
      <c r="L981" s="8">
        <v>4</v>
      </c>
      <c r="M9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1" s="8" t="str" cm="1">
        <f t="array" ref="N981">_xlfn.IFS(HR_Analytics56[[#This Row],[PerformanceRating]]=3,"Good",HR_Analytics56[[#This Row],[PerformanceRating]]=4, "Excellent")</f>
        <v>Good</v>
      </c>
      <c r="O981" s="8" t="str">
        <f>IF(HR_Analytics56[[#This Row],[MonthlyIncome]]&lt;3000,"&lt; ₹3,000",IF(HR_Analytics56[[#This Row],[MonthlyIncome]]&lt;=7000,"₹ 3,000 - ₹ 7,000","&gt; ₹7,000"))</f>
        <v>₹ 3,000 - ₹ 7,000</v>
      </c>
      <c r="P981" s="8" t="str" cm="1">
        <f t="array" ref="P9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2" spans="1:16" x14ac:dyDescent="0.8">
      <c r="A982" s="5" t="s">
        <v>1053</v>
      </c>
      <c r="B982" s="8">
        <v>40</v>
      </c>
      <c r="C982" s="5" t="s">
        <v>49</v>
      </c>
      <c r="D982" s="5" t="s">
        <v>42</v>
      </c>
      <c r="E982" s="5" t="s">
        <v>44</v>
      </c>
      <c r="F982" s="5" t="s">
        <v>60</v>
      </c>
      <c r="G982" s="8">
        <v>4</v>
      </c>
      <c r="H982" s="8">
        <v>4661</v>
      </c>
      <c r="I982" s="5" t="s">
        <v>49</v>
      </c>
      <c r="J982" s="8">
        <v>3</v>
      </c>
      <c r="K982" s="8">
        <v>4</v>
      </c>
      <c r="L982" s="8">
        <v>9</v>
      </c>
      <c r="M9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2" s="8" t="str" cm="1">
        <f t="array" ref="N982">_xlfn.IFS(HR_Analytics56[[#This Row],[PerformanceRating]]=3,"Good",HR_Analytics56[[#This Row],[PerformanceRating]]=4, "Excellent")</f>
        <v>Good</v>
      </c>
      <c r="O982" s="8" t="str">
        <f>IF(HR_Analytics56[[#This Row],[MonthlyIncome]]&lt;3000,"&lt; ₹3,000",IF(HR_Analytics56[[#This Row],[MonthlyIncome]]&lt;=7000,"₹ 3,000 - ₹ 7,000","&gt; ₹7,000"))</f>
        <v>₹ 3,000 - ₹ 7,000</v>
      </c>
      <c r="P982" s="8" t="str" cm="1">
        <f t="array" ref="P9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3" spans="1:16" x14ac:dyDescent="0.8">
      <c r="A983" s="5" t="s">
        <v>1054</v>
      </c>
      <c r="B983" s="8">
        <v>40</v>
      </c>
      <c r="C983" s="5" t="s">
        <v>49</v>
      </c>
      <c r="D983" s="5" t="s">
        <v>42</v>
      </c>
      <c r="E983" s="5" t="s">
        <v>44</v>
      </c>
      <c r="F983" s="5" t="s">
        <v>45</v>
      </c>
      <c r="G983" s="8">
        <v>2</v>
      </c>
      <c r="H983" s="8">
        <v>2387</v>
      </c>
      <c r="I983" s="5" t="s">
        <v>49</v>
      </c>
      <c r="J983" s="8">
        <v>4</v>
      </c>
      <c r="K983" s="8">
        <v>3</v>
      </c>
      <c r="L983" s="8">
        <v>4</v>
      </c>
      <c r="M9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3" s="8" t="str" cm="1">
        <f t="array" ref="N983">_xlfn.IFS(HR_Analytics56[[#This Row],[PerformanceRating]]=3,"Good",HR_Analytics56[[#This Row],[PerformanceRating]]=4, "Excellent")</f>
        <v>Excellent</v>
      </c>
      <c r="O983" s="8" t="str">
        <f>IF(HR_Analytics56[[#This Row],[MonthlyIncome]]&lt;3000,"&lt; ₹3,000",IF(HR_Analytics56[[#This Row],[MonthlyIncome]]&lt;=7000,"₹ 3,000 - ₹ 7,000","&gt; ₹7,000"))</f>
        <v>&lt; ₹3,000</v>
      </c>
      <c r="P983" s="8" t="str" cm="1">
        <f t="array" ref="P9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4" spans="1:16" x14ac:dyDescent="0.8">
      <c r="A984" s="5" t="s">
        <v>1055</v>
      </c>
      <c r="B984" s="8">
        <v>40</v>
      </c>
      <c r="C984" s="5" t="s">
        <v>49</v>
      </c>
      <c r="D984" s="5" t="s">
        <v>42</v>
      </c>
      <c r="E984" s="5" t="s">
        <v>53</v>
      </c>
      <c r="F984" s="5" t="s">
        <v>161</v>
      </c>
      <c r="G984" s="8">
        <v>3</v>
      </c>
      <c r="H984" s="8">
        <v>6377</v>
      </c>
      <c r="I984" s="5" t="s">
        <v>49</v>
      </c>
      <c r="J984" s="8">
        <v>4</v>
      </c>
      <c r="K984" s="8">
        <v>0</v>
      </c>
      <c r="L984" s="8">
        <v>12</v>
      </c>
      <c r="M9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4" s="8" t="str" cm="1">
        <f t="array" ref="N984">_xlfn.IFS(HR_Analytics56[[#This Row],[PerformanceRating]]=3,"Good",HR_Analytics56[[#This Row],[PerformanceRating]]=4, "Excellent")</f>
        <v>Excellent</v>
      </c>
      <c r="O984" s="8" t="str">
        <f>IF(HR_Analytics56[[#This Row],[MonthlyIncome]]&lt;3000,"&lt; ₹3,000",IF(HR_Analytics56[[#This Row],[MonthlyIncome]]&lt;=7000,"₹ 3,000 - ₹ 7,000","&gt; ₹7,000"))</f>
        <v>₹ 3,000 - ₹ 7,000</v>
      </c>
      <c r="P984" s="8" t="str" cm="1">
        <f t="array" ref="P9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5" spans="1:16" x14ac:dyDescent="0.8">
      <c r="A985" s="5" t="s">
        <v>1056</v>
      </c>
      <c r="B985" s="8">
        <v>40</v>
      </c>
      <c r="C985" s="5" t="s">
        <v>49</v>
      </c>
      <c r="D985" s="5" t="s">
        <v>42</v>
      </c>
      <c r="E985" s="5" t="s">
        <v>44</v>
      </c>
      <c r="F985" s="5" t="s">
        <v>45</v>
      </c>
      <c r="G985" s="8">
        <v>3</v>
      </c>
      <c r="H985" s="8">
        <v>3975</v>
      </c>
      <c r="I985" s="5" t="s">
        <v>49</v>
      </c>
      <c r="J985" s="8">
        <v>3</v>
      </c>
      <c r="K985" s="8">
        <v>2</v>
      </c>
      <c r="L985" s="8">
        <v>8</v>
      </c>
      <c r="M9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5" s="8" t="str" cm="1">
        <f t="array" ref="N985">_xlfn.IFS(HR_Analytics56[[#This Row],[PerformanceRating]]=3,"Good",HR_Analytics56[[#This Row],[PerformanceRating]]=4, "Excellent")</f>
        <v>Good</v>
      </c>
      <c r="O985" s="8" t="str">
        <f>IF(HR_Analytics56[[#This Row],[MonthlyIncome]]&lt;3000,"&lt; ₹3,000",IF(HR_Analytics56[[#This Row],[MonthlyIncome]]&lt;=7000,"₹ 3,000 - ₹ 7,000","&gt; ₹7,000"))</f>
        <v>₹ 3,000 - ₹ 7,000</v>
      </c>
      <c r="P985" s="8" t="str" cm="1">
        <f t="array" ref="P9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6" spans="1:16" x14ac:dyDescent="0.8">
      <c r="A986" s="5" t="s">
        <v>1057</v>
      </c>
      <c r="B986" s="8">
        <v>40</v>
      </c>
      <c r="C986" s="5" t="s">
        <v>49</v>
      </c>
      <c r="D986" s="5" t="s">
        <v>42</v>
      </c>
      <c r="E986" s="5" t="s">
        <v>44</v>
      </c>
      <c r="F986" s="5" t="s">
        <v>252</v>
      </c>
      <c r="G986" s="8">
        <v>2</v>
      </c>
      <c r="H986" s="8">
        <v>13757</v>
      </c>
      <c r="I986" s="5" t="s">
        <v>49</v>
      </c>
      <c r="J986" s="8">
        <v>3</v>
      </c>
      <c r="K986" s="8">
        <v>5</v>
      </c>
      <c r="L986" s="8">
        <v>9</v>
      </c>
      <c r="M9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6" s="8" t="str" cm="1">
        <f t="array" ref="N986">_xlfn.IFS(HR_Analytics56[[#This Row],[PerformanceRating]]=3,"Good",HR_Analytics56[[#This Row],[PerformanceRating]]=4, "Excellent")</f>
        <v>Good</v>
      </c>
      <c r="O986" s="8" t="str">
        <f>IF(HR_Analytics56[[#This Row],[MonthlyIncome]]&lt;3000,"&lt; ₹3,000",IF(HR_Analytics56[[#This Row],[MonthlyIncome]]&lt;=7000,"₹ 3,000 - ₹ 7,000","&gt; ₹7,000"))</f>
        <v>&gt; ₹7,000</v>
      </c>
      <c r="P986" s="8" t="str" cm="1">
        <f t="array" ref="P9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7" spans="1:16" x14ac:dyDescent="0.8">
      <c r="A987" s="5" t="s">
        <v>1058</v>
      </c>
      <c r="B987" s="8">
        <v>40</v>
      </c>
      <c r="C987" s="5" t="s">
        <v>49</v>
      </c>
      <c r="D987" s="5" t="s">
        <v>42</v>
      </c>
      <c r="E987" s="5" t="s">
        <v>44</v>
      </c>
      <c r="F987" s="5" t="s">
        <v>60</v>
      </c>
      <c r="G987" s="8">
        <v>3</v>
      </c>
      <c r="H987" s="8">
        <v>2345</v>
      </c>
      <c r="I987" s="5" t="s">
        <v>49</v>
      </c>
      <c r="J987" s="8">
        <v>3</v>
      </c>
      <c r="K987" s="8">
        <v>3</v>
      </c>
      <c r="L987" s="8">
        <v>3</v>
      </c>
      <c r="M9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7" s="8" t="str" cm="1">
        <f t="array" ref="N987">_xlfn.IFS(HR_Analytics56[[#This Row],[PerformanceRating]]=3,"Good",HR_Analytics56[[#This Row],[PerformanceRating]]=4, "Excellent")</f>
        <v>Good</v>
      </c>
      <c r="O987" s="8" t="str">
        <f>IF(HR_Analytics56[[#This Row],[MonthlyIncome]]&lt;3000,"&lt; ₹3,000",IF(HR_Analytics56[[#This Row],[MonthlyIncome]]&lt;=7000,"₹ 3,000 - ₹ 7,000","&gt; ₹7,000"))</f>
        <v>&lt; ₹3,000</v>
      </c>
      <c r="P987" s="8" t="str" cm="1">
        <f t="array" ref="P9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8" spans="1:16" x14ac:dyDescent="0.8">
      <c r="A988" s="5" t="s">
        <v>1059</v>
      </c>
      <c r="B988" s="8">
        <v>40</v>
      </c>
      <c r="C988" s="5" t="s">
        <v>40</v>
      </c>
      <c r="D988" s="5" t="s">
        <v>42</v>
      </c>
      <c r="E988" s="5" t="s">
        <v>44</v>
      </c>
      <c r="F988" s="5" t="s">
        <v>45</v>
      </c>
      <c r="G988" s="8">
        <v>1</v>
      </c>
      <c r="H988" s="8">
        <v>2018</v>
      </c>
      <c r="I988" s="5" t="s">
        <v>49</v>
      </c>
      <c r="J988" s="8">
        <v>3</v>
      </c>
      <c r="K988" s="8">
        <v>3</v>
      </c>
      <c r="L988" s="8">
        <v>5</v>
      </c>
      <c r="M9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88" s="8" t="str" cm="1">
        <f t="array" ref="N988">_xlfn.IFS(HR_Analytics56[[#This Row],[PerformanceRating]]=3,"Good",HR_Analytics56[[#This Row],[PerformanceRating]]=4, "Excellent")</f>
        <v>Good</v>
      </c>
      <c r="O988" s="8" t="str">
        <f>IF(HR_Analytics56[[#This Row],[MonthlyIncome]]&lt;3000,"&lt; ₹3,000",IF(HR_Analytics56[[#This Row],[MonthlyIncome]]&lt;=7000,"₹ 3,000 - ₹ 7,000","&gt; ₹7,000"))</f>
        <v>&lt; ₹3,000</v>
      </c>
      <c r="P988" s="8" t="str" cm="1">
        <f t="array" ref="P9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89" spans="1:16" x14ac:dyDescent="0.8">
      <c r="A989" s="5" t="s">
        <v>1060</v>
      </c>
      <c r="B989" s="8">
        <v>40</v>
      </c>
      <c r="C989" s="5" t="s">
        <v>49</v>
      </c>
      <c r="D989" s="5" t="s">
        <v>51</v>
      </c>
      <c r="E989" s="5" t="s">
        <v>44</v>
      </c>
      <c r="F989" s="5" t="s">
        <v>137</v>
      </c>
      <c r="G989" s="8">
        <v>1</v>
      </c>
      <c r="H989" s="8">
        <v>5473</v>
      </c>
      <c r="I989" s="5" t="s">
        <v>49</v>
      </c>
      <c r="J989" s="8">
        <v>3</v>
      </c>
      <c r="K989" s="8">
        <v>5</v>
      </c>
      <c r="L989" s="8">
        <v>8</v>
      </c>
      <c r="M9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89" s="8" t="str" cm="1">
        <f t="array" ref="N989">_xlfn.IFS(HR_Analytics56[[#This Row],[PerformanceRating]]=3,"Good",HR_Analytics56[[#This Row],[PerformanceRating]]=4, "Excellent")</f>
        <v>Good</v>
      </c>
      <c r="O989" s="8" t="str">
        <f>IF(HR_Analytics56[[#This Row],[MonthlyIncome]]&lt;3000,"&lt; ₹3,000",IF(HR_Analytics56[[#This Row],[MonthlyIncome]]&lt;=7000,"₹ 3,000 - ₹ 7,000","&gt; ₹7,000"))</f>
        <v>₹ 3,000 - ₹ 7,000</v>
      </c>
      <c r="P989" s="8" t="str" cm="1">
        <f t="array" ref="P9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0" spans="1:16" x14ac:dyDescent="0.8">
      <c r="A990" s="5" t="s">
        <v>1061</v>
      </c>
      <c r="B990" s="8">
        <v>40</v>
      </c>
      <c r="C990" s="5" t="s">
        <v>49</v>
      </c>
      <c r="D990" s="5" t="s">
        <v>71</v>
      </c>
      <c r="E990" s="5" t="s">
        <v>44</v>
      </c>
      <c r="F990" s="5" t="s">
        <v>442</v>
      </c>
      <c r="G990" s="8">
        <v>4</v>
      </c>
      <c r="H990" s="8">
        <v>16437</v>
      </c>
      <c r="I990" s="5" t="s">
        <v>40</v>
      </c>
      <c r="J990" s="8">
        <v>4</v>
      </c>
      <c r="K990" s="8">
        <v>2</v>
      </c>
      <c r="L990" s="8">
        <v>21</v>
      </c>
      <c r="M9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90" s="8" t="str" cm="1">
        <f t="array" ref="N990">_xlfn.IFS(HR_Analytics56[[#This Row],[PerformanceRating]]=3,"Good",HR_Analytics56[[#This Row],[PerformanceRating]]=4, "Excellent")</f>
        <v>Excellent</v>
      </c>
      <c r="O990" s="8" t="str">
        <f>IF(HR_Analytics56[[#This Row],[MonthlyIncome]]&lt;3000,"&lt; ₹3,000",IF(HR_Analytics56[[#This Row],[MonthlyIncome]]&lt;=7000,"₹ 3,000 - ₹ 7,000","&gt; ₹7,000"))</f>
        <v>&gt; ₹7,000</v>
      </c>
      <c r="P990" s="8" t="str" cm="1">
        <f t="array" ref="P9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1" spans="1:16" x14ac:dyDescent="0.8">
      <c r="A991" s="5" t="s">
        <v>1062</v>
      </c>
      <c r="B991" s="8">
        <v>40</v>
      </c>
      <c r="C991" s="5" t="s">
        <v>49</v>
      </c>
      <c r="D991" s="5" t="s">
        <v>42</v>
      </c>
      <c r="E991" s="5" t="s">
        <v>44</v>
      </c>
      <c r="F991" s="5" t="s">
        <v>161</v>
      </c>
      <c r="G991" s="8">
        <v>4</v>
      </c>
      <c r="H991" s="8">
        <v>4069</v>
      </c>
      <c r="I991" s="5" t="s">
        <v>40</v>
      </c>
      <c r="J991" s="8">
        <v>3</v>
      </c>
      <c r="K991" s="8">
        <v>2</v>
      </c>
      <c r="L991" s="8">
        <v>2</v>
      </c>
      <c r="M9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91" s="8" t="str" cm="1">
        <f t="array" ref="N991">_xlfn.IFS(HR_Analytics56[[#This Row],[PerformanceRating]]=3,"Good",HR_Analytics56[[#This Row],[PerformanceRating]]=4, "Excellent")</f>
        <v>Good</v>
      </c>
      <c r="O991" s="8" t="str">
        <f>IF(HR_Analytics56[[#This Row],[MonthlyIncome]]&lt;3000,"&lt; ₹3,000",IF(HR_Analytics56[[#This Row],[MonthlyIncome]]&lt;=7000,"₹ 3,000 - ₹ 7,000","&gt; ₹7,000"))</f>
        <v>₹ 3,000 - ₹ 7,000</v>
      </c>
      <c r="P991" s="8" t="str" cm="1">
        <f t="array" ref="P9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2" spans="1:16" x14ac:dyDescent="0.8">
      <c r="A992" s="5" t="s">
        <v>1063</v>
      </c>
      <c r="B992" s="8">
        <v>40</v>
      </c>
      <c r="C992" s="5" t="s">
        <v>49</v>
      </c>
      <c r="D992" s="5" t="s">
        <v>51</v>
      </c>
      <c r="E992" s="5" t="s">
        <v>53</v>
      </c>
      <c r="F992" s="5" t="s">
        <v>137</v>
      </c>
      <c r="G992" s="8">
        <v>1</v>
      </c>
      <c r="H992" s="8">
        <v>4639</v>
      </c>
      <c r="I992" s="5" t="s">
        <v>49</v>
      </c>
      <c r="J992" s="8">
        <v>3</v>
      </c>
      <c r="K992" s="8">
        <v>2</v>
      </c>
      <c r="L992" s="8">
        <v>5</v>
      </c>
      <c r="M9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92" s="8" t="str" cm="1">
        <f t="array" ref="N992">_xlfn.IFS(HR_Analytics56[[#This Row],[PerformanceRating]]=3,"Good",HR_Analytics56[[#This Row],[PerformanceRating]]=4, "Excellent")</f>
        <v>Good</v>
      </c>
      <c r="O992" s="8" t="str">
        <f>IF(HR_Analytics56[[#This Row],[MonthlyIncome]]&lt;3000,"&lt; ₹3,000",IF(HR_Analytics56[[#This Row],[MonthlyIncome]]&lt;=7000,"₹ 3,000 - ₹ 7,000","&gt; ₹7,000"))</f>
        <v>₹ 3,000 - ₹ 7,000</v>
      </c>
      <c r="P992" s="8" t="str" cm="1">
        <f t="array" ref="P9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3" spans="1:16" x14ac:dyDescent="0.8">
      <c r="A993" s="5" t="s">
        <v>1064</v>
      </c>
      <c r="B993" s="8">
        <v>40</v>
      </c>
      <c r="C993" s="5" t="s">
        <v>49</v>
      </c>
      <c r="D993" s="5" t="s">
        <v>42</v>
      </c>
      <c r="E993" s="5" t="s">
        <v>53</v>
      </c>
      <c r="F993" s="5" t="s">
        <v>112</v>
      </c>
      <c r="G993" s="8">
        <v>3</v>
      </c>
      <c r="H993" s="8">
        <v>10435</v>
      </c>
      <c r="I993" s="5" t="s">
        <v>49</v>
      </c>
      <c r="J993" s="8">
        <v>3</v>
      </c>
      <c r="K993" s="8">
        <v>2</v>
      </c>
      <c r="L993" s="8">
        <v>18</v>
      </c>
      <c r="M9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93" s="8" t="str" cm="1">
        <f t="array" ref="N993">_xlfn.IFS(HR_Analytics56[[#This Row],[PerformanceRating]]=3,"Good",HR_Analytics56[[#This Row],[PerformanceRating]]=4, "Excellent")</f>
        <v>Good</v>
      </c>
      <c r="O993" s="8" t="str">
        <f>IF(HR_Analytics56[[#This Row],[MonthlyIncome]]&lt;3000,"&lt; ₹3,000",IF(HR_Analytics56[[#This Row],[MonthlyIncome]]&lt;=7000,"₹ 3,000 - ₹ 7,000","&gt; ₹7,000"))</f>
        <v>&gt; ₹7,000</v>
      </c>
      <c r="P993" s="8" t="str" cm="1">
        <f t="array" ref="P9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4" spans="1:16" x14ac:dyDescent="0.8">
      <c r="A994" s="5" t="s">
        <v>1065</v>
      </c>
      <c r="B994" s="8">
        <v>40</v>
      </c>
      <c r="C994" s="5" t="s">
        <v>49</v>
      </c>
      <c r="D994" s="5" t="s">
        <v>42</v>
      </c>
      <c r="E994" s="5" t="s">
        <v>53</v>
      </c>
      <c r="F994" s="5" t="s">
        <v>112</v>
      </c>
      <c r="G994" s="8">
        <v>4</v>
      </c>
      <c r="H994" s="8">
        <v>7945</v>
      </c>
      <c r="I994" s="5" t="s">
        <v>40</v>
      </c>
      <c r="J994" s="8">
        <v>3</v>
      </c>
      <c r="K994" s="8">
        <v>2</v>
      </c>
      <c r="L994" s="8">
        <v>4</v>
      </c>
      <c r="M9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94" s="8" t="str" cm="1">
        <f t="array" ref="N994">_xlfn.IFS(HR_Analytics56[[#This Row],[PerformanceRating]]=3,"Good",HR_Analytics56[[#This Row],[PerformanceRating]]=4, "Excellent")</f>
        <v>Good</v>
      </c>
      <c r="O994" s="8" t="str">
        <f>IF(HR_Analytics56[[#This Row],[MonthlyIncome]]&lt;3000,"&lt; ₹3,000",IF(HR_Analytics56[[#This Row],[MonthlyIncome]]&lt;=7000,"₹ 3,000 - ₹ 7,000","&gt; ₹7,000"))</f>
        <v>&gt; ₹7,000</v>
      </c>
      <c r="P994" s="8" t="str" cm="1">
        <f t="array" ref="P9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5" spans="1:16" x14ac:dyDescent="0.8">
      <c r="A995" s="5" t="s">
        <v>1066</v>
      </c>
      <c r="B995" s="8">
        <v>40</v>
      </c>
      <c r="C995" s="5" t="s">
        <v>40</v>
      </c>
      <c r="D995" s="5" t="s">
        <v>42</v>
      </c>
      <c r="E995" s="5" t="s">
        <v>44</v>
      </c>
      <c r="F995" s="5" t="s">
        <v>45</v>
      </c>
      <c r="G995" s="8">
        <v>1</v>
      </c>
      <c r="H995" s="8">
        <v>2166</v>
      </c>
      <c r="I995" s="5" t="s">
        <v>40</v>
      </c>
      <c r="J995" s="8">
        <v>3</v>
      </c>
      <c r="K995" s="8">
        <v>3</v>
      </c>
      <c r="L995" s="8">
        <v>4</v>
      </c>
      <c r="M9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995" s="8" t="str" cm="1">
        <f t="array" ref="N995">_xlfn.IFS(HR_Analytics56[[#This Row],[PerformanceRating]]=3,"Good",HR_Analytics56[[#This Row],[PerformanceRating]]=4, "Excellent")</f>
        <v>Good</v>
      </c>
      <c r="O995" s="8" t="str">
        <f>IF(HR_Analytics56[[#This Row],[MonthlyIncome]]&lt;3000,"&lt; ₹3,000",IF(HR_Analytics56[[#This Row],[MonthlyIncome]]&lt;=7000,"₹ 3,000 - ₹ 7,000","&gt; ₹7,000"))</f>
        <v>&lt; ₹3,000</v>
      </c>
      <c r="P995" s="8" t="str" cm="1">
        <f t="array" ref="P9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6" spans="1:16" x14ac:dyDescent="0.8">
      <c r="A996" s="5" t="s">
        <v>1067</v>
      </c>
      <c r="B996" s="8">
        <v>40</v>
      </c>
      <c r="C996" s="5" t="s">
        <v>49</v>
      </c>
      <c r="D996" s="5" t="s">
        <v>42</v>
      </c>
      <c r="E996" s="5" t="s">
        <v>53</v>
      </c>
      <c r="F996" s="5" t="s">
        <v>112</v>
      </c>
      <c r="G996" s="8">
        <v>1</v>
      </c>
      <c r="H996" s="8">
        <v>6516</v>
      </c>
      <c r="I996" s="5" t="s">
        <v>40</v>
      </c>
      <c r="J996" s="8">
        <v>3</v>
      </c>
      <c r="K996" s="8">
        <v>3</v>
      </c>
      <c r="L996" s="8">
        <v>1</v>
      </c>
      <c r="M9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996" s="8" t="str" cm="1">
        <f t="array" ref="N996">_xlfn.IFS(HR_Analytics56[[#This Row],[PerformanceRating]]=3,"Good",HR_Analytics56[[#This Row],[PerformanceRating]]=4, "Excellent")</f>
        <v>Good</v>
      </c>
      <c r="O996" s="8" t="str">
        <f>IF(HR_Analytics56[[#This Row],[MonthlyIncome]]&lt;3000,"&lt; ₹3,000",IF(HR_Analytics56[[#This Row],[MonthlyIncome]]&lt;=7000,"₹ 3,000 - ₹ 7,000","&gt; ₹7,000"))</f>
        <v>₹ 3,000 - ₹ 7,000</v>
      </c>
      <c r="P996" s="8" t="str" cm="1">
        <f t="array" ref="P9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7" spans="1:16" x14ac:dyDescent="0.8">
      <c r="A997" s="5" t="s">
        <v>1068</v>
      </c>
      <c r="B997" s="8">
        <v>40</v>
      </c>
      <c r="C997" s="5" t="s">
        <v>49</v>
      </c>
      <c r="D997" s="5" t="s">
        <v>51</v>
      </c>
      <c r="E997" s="5" t="s">
        <v>44</v>
      </c>
      <c r="F997" s="5" t="s">
        <v>442</v>
      </c>
      <c r="G997" s="8">
        <v>2</v>
      </c>
      <c r="H997" s="8">
        <v>19833</v>
      </c>
      <c r="I997" s="5" t="s">
        <v>49</v>
      </c>
      <c r="J997" s="8">
        <v>3</v>
      </c>
      <c r="K997" s="8">
        <v>3</v>
      </c>
      <c r="L997" s="8">
        <v>21</v>
      </c>
      <c r="M9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97" s="8" t="str" cm="1">
        <f t="array" ref="N997">_xlfn.IFS(HR_Analytics56[[#This Row],[PerformanceRating]]=3,"Good",HR_Analytics56[[#This Row],[PerformanceRating]]=4, "Excellent")</f>
        <v>Good</v>
      </c>
      <c r="O997" s="8" t="str">
        <f>IF(HR_Analytics56[[#This Row],[MonthlyIncome]]&lt;3000,"&lt; ₹3,000",IF(HR_Analytics56[[#This Row],[MonthlyIncome]]&lt;=7000,"₹ 3,000 - ₹ 7,000","&gt; ₹7,000"))</f>
        <v>&gt; ₹7,000</v>
      </c>
      <c r="P997" s="8" t="str" cm="1">
        <f t="array" ref="P9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8" spans="1:16" x14ac:dyDescent="0.8">
      <c r="A998" s="5" t="s">
        <v>1069</v>
      </c>
      <c r="B998" s="8">
        <v>40</v>
      </c>
      <c r="C998" s="5" t="s">
        <v>49</v>
      </c>
      <c r="D998" s="5" t="s">
        <v>42</v>
      </c>
      <c r="E998" s="5" t="s">
        <v>53</v>
      </c>
      <c r="F998" s="5" t="s">
        <v>45</v>
      </c>
      <c r="G998" s="8">
        <v>1</v>
      </c>
      <c r="H998" s="8">
        <v>3377</v>
      </c>
      <c r="I998" s="5" t="s">
        <v>49</v>
      </c>
      <c r="J998" s="8">
        <v>3</v>
      </c>
      <c r="K998" s="8">
        <v>5</v>
      </c>
      <c r="L998" s="8">
        <v>4</v>
      </c>
      <c r="M9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98" s="8" t="str" cm="1">
        <f t="array" ref="N998">_xlfn.IFS(HR_Analytics56[[#This Row],[PerformanceRating]]=3,"Good",HR_Analytics56[[#This Row],[PerformanceRating]]=4, "Excellent")</f>
        <v>Good</v>
      </c>
      <c r="O998" s="8" t="str">
        <f>IF(HR_Analytics56[[#This Row],[MonthlyIncome]]&lt;3000,"&lt; ₹3,000",IF(HR_Analytics56[[#This Row],[MonthlyIncome]]&lt;=7000,"₹ 3,000 - ₹ 7,000","&gt; ₹7,000"))</f>
        <v>₹ 3,000 - ₹ 7,000</v>
      </c>
      <c r="P998" s="8" t="str" cm="1">
        <f t="array" ref="P9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999" spans="1:16" x14ac:dyDescent="0.8">
      <c r="A999" s="5" t="s">
        <v>1070</v>
      </c>
      <c r="B999" s="8">
        <v>40</v>
      </c>
      <c r="C999" s="5" t="s">
        <v>49</v>
      </c>
      <c r="D999" s="5" t="s">
        <v>42</v>
      </c>
      <c r="E999" s="5" t="s">
        <v>53</v>
      </c>
      <c r="F999" s="5" t="s">
        <v>161</v>
      </c>
      <c r="G999" s="8">
        <v>4</v>
      </c>
      <c r="H999" s="8">
        <v>6513</v>
      </c>
      <c r="I999" s="5" t="s">
        <v>49</v>
      </c>
      <c r="J999" s="8">
        <v>3</v>
      </c>
      <c r="K999" s="8">
        <v>3</v>
      </c>
      <c r="L999" s="8">
        <v>5</v>
      </c>
      <c r="M9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999" s="8" t="str" cm="1">
        <f t="array" ref="N999">_xlfn.IFS(HR_Analytics56[[#This Row],[PerformanceRating]]=3,"Good",HR_Analytics56[[#This Row],[PerformanceRating]]=4, "Excellent")</f>
        <v>Good</v>
      </c>
      <c r="O999" s="8" t="str">
        <f>IF(HR_Analytics56[[#This Row],[MonthlyIncome]]&lt;3000,"&lt; ₹3,000",IF(HR_Analytics56[[#This Row],[MonthlyIncome]]&lt;=7000,"₹ 3,000 - ₹ 7,000","&gt; ₹7,000"))</f>
        <v>₹ 3,000 - ₹ 7,000</v>
      </c>
      <c r="P999" s="8" t="str" cm="1">
        <f t="array" ref="P9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0" spans="1:16" x14ac:dyDescent="0.8">
      <c r="A1000" s="5" t="s">
        <v>1071</v>
      </c>
      <c r="B1000" s="8">
        <v>40</v>
      </c>
      <c r="C1000" s="5" t="s">
        <v>49</v>
      </c>
      <c r="D1000" s="5" t="s">
        <v>42</v>
      </c>
      <c r="E1000" s="5" t="s">
        <v>53</v>
      </c>
      <c r="F1000" s="5" t="s">
        <v>161</v>
      </c>
      <c r="G1000" s="8">
        <v>1</v>
      </c>
      <c r="H1000" s="8">
        <v>4448</v>
      </c>
      <c r="I1000" s="5" t="s">
        <v>49</v>
      </c>
      <c r="J1000" s="8">
        <v>3</v>
      </c>
      <c r="K1000" s="8">
        <v>3</v>
      </c>
      <c r="L1000" s="8">
        <v>7</v>
      </c>
      <c r="M10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0" s="8" t="str" cm="1">
        <f t="array" ref="N1000">_xlfn.IFS(HR_Analytics56[[#This Row],[PerformanceRating]]=3,"Good",HR_Analytics56[[#This Row],[PerformanceRating]]=4, "Excellent")</f>
        <v>Good</v>
      </c>
      <c r="O1000" s="8" t="str">
        <f>IF(HR_Analytics56[[#This Row],[MonthlyIncome]]&lt;3000,"&lt; ₹3,000",IF(HR_Analytics56[[#This Row],[MonthlyIncome]]&lt;=7000,"₹ 3,000 - ₹ 7,000","&gt; ₹7,000"))</f>
        <v>₹ 3,000 - ₹ 7,000</v>
      </c>
      <c r="P1000" s="8" t="str" cm="1">
        <f t="array" ref="P10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1" spans="1:16" x14ac:dyDescent="0.8">
      <c r="A1001" s="5" t="s">
        <v>1072</v>
      </c>
      <c r="B1001" s="8">
        <v>40</v>
      </c>
      <c r="C1001" s="5" t="s">
        <v>49</v>
      </c>
      <c r="D1001" s="5" t="s">
        <v>42</v>
      </c>
      <c r="E1001" s="5" t="s">
        <v>44</v>
      </c>
      <c r="F1001" s="5" t="s">
        <v>442</v>
      </c>
      <c r="G1001" s="8">
        <v>1</v>
      </c>
      <c r="H1001" s="8">
        <v>16823</v>
      </c>
      <c r="I1001" s="5" t="s">
        <v>49</v>
      </c>
      <c r="J1001" s="8">
        <v>3</v>
      </c>
      <c r="K1001" s="8">
        <v>3</v>
      </c>
      <c r="L1001" s="8">
        <v>19</v>
      </c>
      <c r="M10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1" s="8" t="str" cm="1">
        <f t="array" ref="N1001">_xlfn.IFS(HR_Analytics56[[#This Row],[PerformanceRating]]=3,"Good",HR_Analytics56[[#This Row],[PerformanceRating]]=4, "Excellent")</f>
        <v>Good</v>
      </c>
      <c r="O1001" s="8" t="str">
        <f>IF(HR_Analytics56[[#This Row],[MonthlyIncome]]&lt;3000,"&lt; ₹3,000",IF(HR_Analytics56[[#This Row],[MonthlyIncome]]&lt;=7000,"₹ 3,000 - ₹ 7,000","&gt; ₹7,000"))</f>
        <v>&gt; ₹7,000</v>
      </c>
      <c r="P1001" s="8" t="str" cm="1">
        <f t="array" ref="P10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2" spans="1:16" x14ac:dyDescent="0.8">
      <c r="A1002" s="5" t="s">
        <v>1073</v>
      </c>
      <c r="B1002" s="8">
        <v>40</v>
      </c>
      <c r="C1002" s="5" t="s">
        <v>49</v>
      </c>
      <c r="D1002" s="5" t="s">
        <v>42</v>
      </c>
      <c r="E1002" s="5" t="s">
        <v>53</v>
      </c>
      <c r="F1002" s="5" t="s">
        <v>45</v>
      </c>
      <c r="G1002" s="8">
        <v>3</v>
      </c>
      <c r="H1002" s="8">
        <v>6323</v>
      </c>
      <c r="I1002" s="5" t="s">
        <v>49</v>
      </c>
      <c r="J1002" s="8">
        <v>3</v>
      </c>
      <c r="K1002" s="8">
        <v>2</v>
      </c>
      <c r="L1002" s="8">
        <v>10</v>
      </c>
      <c r="M10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2" s="8" t="str" cm="1">
        <f t="array" ref="N1002">_xlfn.IFS(HR_Analytics56[[#This Row],[PerformanceRating]]=3,"Good",HR_Analytics56[[#This Row],[PerformanceRating]]=4, "Excellent")</f>
        <v>Good</v>
      </c>
      <c r="O1002" s="8" t="str">
        <f>IF(HR_Analytics56[[#This Row],[MonthlyIncome]]&lt;3000,"&lt; ₹3,000",IF(HR_Analytics56[[#This Row],[MonthlyIncome]]&lt;=7000,"₹ 3,000 - ₹ 7,000","&gt; ₹7,000"))</f>
        <v>₹ 3,000 - ₹ 7,000</v>
      </c>
      <c r="P1002" s="8" t="str" cm="1">
        <f t="array" ref="P10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3" spans="1:16" x14ac:dyDescent="0.8">
      <c r="A1003" s="5" t="s">
        <v>1074</v>
      </c>
      <c r="B1003" s="8">
        <v>40</v>
      </c>
      <c r="C1003" s="5" t="s">
        <v>49</v>
      </c>
      <c r="D1003" s="5" t="s">
        <v>51</v>
      </c>
      <c r="E1003" s="5" t="s">
        <v>53</v>
      </c>
      <c r="F1003" s="5" t="s">
        <v>137</v>
      </c>
      <c r="G1003" s="8">
        <v>2</v>
      </c>
      <c r="H1003" s="8">
        <v>5677</v>
      </c>
      <c r="I1003" s="5" t="s">
        <v>49</v>
      </c>
      <c r="J1003" s="8">
        <v>3</v>
      </c>
      <c r="K1003" s="8">
        <v>4</v>
      </c>
      <c r="L1003" s="8">
        <v>11</v>
      </c>
      <c r="M10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3" s="8" t="str" cm="1">
        <f t="array" ref="N1003">_xlfn.IFS(HR_Analytics56[[#This Row],[PerformanceRating]]=3,"Good",HR_Analytics56[[#This Row],[PerformanceRating]]=4, "Excellent")</f>
        <v>Good</v>
      </c>
      <c r="O1003" s="8" t="str">
        <f>IF(HR_Analytics56[[#This Row],[MonthlyIncome]]&lt;3000,"&lt; ₹3,000",IF(HR_Analytics56[[#This Row],[MonthlyIncome]]&lt;=7000,"₹ 3,000 - ₹ 7,000","&gt; ₹7,000"))</f>
        <v>₹ 3,000 - ₹ 7,000</v>
      </c>
      <c r="P1003" s="8" t="str" cm="1">
        <f t="array" ref="P10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4" spans="1:16" x14ac:dyDescent="0.8">
      <c r="A1004" s="5" t="s">
        <v>1075</v>
      </c>
      <c r="B1004" s="8">
        <v>40</v>
      </c>
      <c r="C1004" s="5" t="s">
        <v>49</v>
      </c>
      <c r="D1004" s="5" t="s">
        <v>42</v>
      </c>
      <c r="E1004" s="5" t="s">
        <v>44</v>
      </c>
      <c r="F1004" s="5" t="s">
        <v>45</v>
      </c>
      <c r="G1004" s="8">
        <v>4</v>
      </c>
      <c r="H1004" s="8">
        <v>2406</v>
      </c>
      <c r="I1004" s="5" t="s">
        <v>49</v>
      </c>
      <c r="J1004" s="8">
        <v>3</v>
      </c>
      <c r="K1004" s="8">
        <v>3</v>
      </c>
      <c r="L1004" s="8">
        <v>1</v>
      </c>
      <c r="M10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4" s="8" t="str" cm="1">
        <f t="array" ref="N1004">_xlfn.IFS(HR_Analytics56[[#This Row],[PerformanceRating]]=3,"Good",HR_Analytics56[[#This Row],[PerformanceRating]]=4, "Excellent")</f>
        <v>Good</v>
      </c>
      <c r="O1004" s="8" t="str">
        <f>IF(HR_Analytics56[[#This Row],[MonthlyIncome]]&lt;3000,"&lt; ₹3,000",IF(HR_Analytics56[[#This Row],[MonthlyIncome]]&lt;=7000,"₹ 3,000 - ₹ 7,000","&gt; ₹7,000"))</f>
        <v>&lt; ₹3,000</v>
      </c>
      <c r="P1004" s="8" t="str" cm="1">
        <f t="array" ref="P10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5" spans="1:16" x14ac:dyDescent="0.8">
      <c r="A1005" s="5" t="s">
        <v>1076</v>
      </c>
      <c r="B1005" s="8">
        <v>40</v>
      </c>
      <c r="C1005" s="5" t="s">
        <v>49</v>
      </c>
      <c r="D1005" s="5" t="s">
        <v>42</v>
      </c>
      <c r="E1005" s="5" t="s">
        <v>44</v>
      </c>
      <c r="F1005" s="5" t="s">
        <v>60</v>
      </c>
      <c r="G1005" s="8">
        <v>3</v>
      </c>
      <c r="H1005" s="8">
        <v>2809</v>
      </c>
      <c r="I1005" s="5" t="s">
        <v>49</v>
      </c>
      <c r="J1005" s="8">
        <v>3</v>
      </c>
      <c r="K1005" s="8">
        <v>2</v>
      </c>
      <c r="L1005" s="8">
        <v>2</v>
      </c>
      <c r="M10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5" s="8" t="str" cm="1">
        <f t="array" ref="N1005">_xlfn.IFS(HR_Analytics56[[#This Row],[PerformanceRating]]=3,"Good",HR_Analytics56[[#This Row],[PerformanceRating]]=4, "Excellent")</f>
        <v>Good</v>
      </c>
      <c r="O1005" s="8" t="str">
        <f>IF(HR_Analytics56[[#This Row],[MonthlyIncome]]&lt;3000,"&lt; ₹3,000",IF(HR_Analytics56[[#This Row],[MonthlyIncome]]&lt;=7000,"₹ 3,000 - ₹ 7,000","&gt; ₹7,000"))</f>
        <v>&lt; ₹3,000</v>
      </c>
      <c r="P1005" s="8" t="str" cm="1">
        <f t="array" ref="P10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6" spans="1:16" x14ac:dyDescent="0.8">
      <c r="A1006" s="5" t="s">
        <v>1077</v>
      </c>
      <c r="B1006" s="8">
        <v>40</v>
      </c>
      <c r="C1006" s="5" t="s">
        <v>49</v>
      </c>
      <c r="D1006" s="5" t="s">
        <v>42</v>
      </c>
      <c r="E1006" s="5" t="s">
        <v>53</v>
      </c>
      <c r="F1006" s="5" t="s">
        <v>60</v>
      </c>
      <c r="G1006" s="8">
        <v>3</v>
      </c>
      <c r="H1006" s="8">
        <v>2001</v>
      </c>
      <c r="I1006" s="5" t="s">
        <v>49</v>
      </c>
      <c r="J1006" s="8">
        <v>3</v>
      </c>
      <c r="K1006" s="8">
        <v>2</v>
      </c>
      <c r="L1006" s="8">
        <v>5</v>
      </c>
      <c r="M10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06" s="8" t="str" cm="1">
        <f t="array" ref="N1006">_xlfn.IFS(HR_Analytics56[[#This Row],[PerformanceRating]]=3,"Good",HR_Analytics56[[#This Row],[PerformanceRating]]=4, "Excellent")</f>
        <v>Good</v>
      </c>
      <c r="O1006" s="8" t="str">
        <f>IF(HR_Analytics56[[#This Row],[MonthlyIncome]]&lt;3000,"&lt; ₹3,000",IF(HR_Analytics56[[#This Row],[MonthlyIncome]]&lt;=7000,"₹ 3,000 - ₹ 7,000","&gt; ₹7,000"))</f>
        <v>&lt; ₹3,000</v>
      </c>
      <c r="P1006" s="8" t="str" cm="1">
        <f t="array" ref="P10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7" spans="1:16" x14ac:dyDescent="0.8">
      <c r="A1007" s="5" t="s">
        <v>1078</v>
      </c>
      <c r="B1007" s="8">
        <v>41</v>
      </c>
      <c r="C1007" s="5" t="s">
        <v>40</v>
      </c>
      <c r="D1007" s="5" t="s">
        <v>51</v>
      </c>
      <c r="E1007" s="5" t="s">
        <v>53</v>
      </c>
      <c r="F1007" s="5" t="s">
        <v>137</v>
      </c>
      <c r="G1007" s="8">
        <v>4</v>
      </c>
      <c r="H1007" s="8">
        <v>5993</v>
      </c>
      <c r="I1007" s="5" t="s">
        <v>40</v>
      </c>
      <c r="J1007" s="8">
        <v>3</v>
      </c>
      <c r="K1007" s="8">
        <v>0</v>
      </c>
      <c r="L1007" s="8">
        <v>6</v>
      </c>
      <c r="M10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07" s="8" t="str" cm="1">
        <f t="array" ref="N1007">_xlfn.IFS(HR_Analytics56[[#This Row],[PerformanceRating]]=3,"Good",HR_Analytics56[[#This Row],[PerformanceRating]]=4, "Excellent")</f>
        <v>Good</v>
      </c>
      <c r="O1007" s="8" t="str">
        <f>IF(HR_Analytics56[[#This Row],[MonthlyIncome]]&lt;3000,"&lt; ₹3,000",IF(HR_Analytics56[[#This Row],[MonthlyIncome]]&lt;=7000,"₹ 3,000 - ₹ 7,000","&gt; ₹7,000"))</f>
        <v>₹ 3,000 - ₹ 7,000</v>
      </c>
      <c r="P1007" s="8" t="str" cm="1">
        <f t="array" ref="P10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8" spans="1:16" x14ac:dyDescent="0.8">
      <c r="A1008" s="5" t="s">
        <v>1079</v>
      </c>
      <c r="B1008" s="8">
        <v>41</v>
      </c>
      <c r="C1008" s="5" t="s">
        <v>40</v>
      </c>
      <c r="D1008" s="5" t="s">
        <v>42</v>
      </c>
      <c r="E1008" s="5" t="s">
        <v>53</v>
      </c>
      <c r="F1008" s="5" t="s">
        <v>252</v>
      </c>
      <c r="G1008" s="8">
        <v>3</v>
      </c>
      <c r="H1008" s="8">
        <v>19545</v>
      </c>
      <c r="I1008" s="5" t="s">
        <v>49</v>
      </c>
      <c r="J1008" s="8">
        <v>3</v>
      </c>
      <c r="K1008" s="8">
        <v>0</v>
      </c>
      <c r="L1008" s="8">
        <v>22</v>
      </c>
      <c r="M10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08" s="8" t="str" cm="1">
        <f t="array" ref="N1008">_xlfn.IFS(HR_Analytics56[[#This Row],[PerformanceRating]]=3,"Good",HR_Analytics56[[#This Row],[PerformanceRating]]=4, "Excellent")</f>
        <v>Good</v>
      </c>
      <c r="O1008" s="8" t="str">
        <f>IF(HR_Analytics56[[#This Row],[MonthlyIncome]]&lt;3000,"&lt; ₹3,000",IF(HR_Analytics56[[#This Row],[MonthlyIncome]]&lt;=7000,"₹ 3,000 - ₹ 7,000","&gt; ₹7,000"))</f>
        <v>&gt; ₹7,000</v>
      </c>
      <c r="P1008" s="8" t="str" cm="1">
        <f t="array" ref="P10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09" spans="1:16" x14ac:dyDescent="0.8">
      <c r="A1009" s="5" t="s">
        <v>1080</v>
      </c>
      <c r="B1009" s="8">
        <v>41</v>
      </c>
      <c r="C1009" s="5" t="s">
        <v>49</v>
      </c>
      <c r="D1009" s="5" t="s">
        <v>51</v>
      </c>
      <c r="E1009" s="5" t="s">
        <v>44</v>
      </c>
      <c r="F1009" s="5" t="s">
        <v>137</v>
      </c>
      <c r="G1009" s="8">
        <v>3</v>
      </c>
      <c r="H1009" s="8">
        <v>8189</v>
      </c>
      <c r="I1009" s="5" t="s">
        <v>40</v>
      </c>
      <c r="J1009" s="8">
        <v>3</v>
      </c>
      <c r="K1009" s="8">
        <v>2</v>
      </c>
      <c r="L1009" s="8">
        <v>9</v>
      </c>
      <c r="M10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09" s="8" t="str" cm="1">
        <f t="array" ref="N1009">_xlfn.IFS(HR_Analytics56[[#This Row],[PerformanceRating]]=3,"Good",HR_Analytics56[[#This Row],[PerformanceRating]]=4, "Excellent")</f>
        <v>Good</v>
      </c>
      <c r="O1009" s="8" t="str">
        <f>IF(HR_Analytics56[[#This Row],[MonthlyIncome]]&lt;3000,"&lt; ₹3,000",IF(HR_Analytics56[[#This Row],[MonthlyIncome]]&lt;=7000,"₹ 3,000 - ₹ 7,000","&gt; ₹7,000"))</f>
        <v>&gt; ₹7,000</v>
      </c>
      <c r="P1009" s="8" t="str" cm="1">
        <f t="array" ref="P10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0" spans="1:16" x14ac:dyDescent="0.8">
      <c r="A1010" s="5" t="s">
        <v>1081</v>
      </c>
      <c r="B1010" s="8">
        <v>41</v>
      </c>
      <c r="C1010" s="5" t="s">
        <v>49</v>
      </c>
      <c r="D1010" s="5" t="s">
        <v>42</v>
      </c>
      <c r="E1010" s="5" t="s">
        <v>44</v>
      </c>
      <c r="F1010" s="5" t="s">
        <v>442</v>
      </c>
      <c r="G1010" s="8">
        <v>1</v>
      </c>
      <c r="H1010" s="8">
        <v>17181</v>
      </c>
      <c r="I1010" s="5" t="s">
        <v>49</v>
      </c>
      <c r="J1010" s="8">
        <v>3</v>
      </c>
      <c r="K1010" s="8">
        <v>2</v>
      </c>
      <c r="L1010" s="8">
        <v>7</v>
      </c>
      <c r="M10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0" s="8" t="str" cm="1">
        <f t="array" ref="N1010">_xlfn.IFS(HR_Analytics56[[#This Row],[PerformanceRating]]=3,"Good",HR_Analytics56[[#This Row],[PerformanceRating]]=4, "Excellent")</f>
        <v>Good</v>
      </c>
      <c r="O1010" s="8" t="str">
        <f>IF(HR_Analytics56[[#This Row],[MonthlyIncome]]&lt;3000,"&lt; ₹3,000",IF(HR_Analytics56[[#This Row],[MonthlyIncome]]&lt;=7000,"₹ 3,000 - ₹ 7,000","&gt; ₹7,000"))</f>
        <v>&gt; ₹7,000</v>
      </c>
      <c r="P1010" s="8" t="str" cm="1">
        <f t="array" ref="P10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1" spans="1:16" x14ac:dyDescent="0.8">
      <c r="A1011" s="5" t="s">
        <v>1082</v>
      </c>
      <c r="B1011" s="8">
        <v>41</v>
      </c>
      <c r="C1011" s="5" t="s">
        <v>49</v>
      </c>
      <c r="D1011" s="5" t="s">
        <v>42</v>
      </c>
      <c r="E1011" s="5" t="s">
        <v>44</v>
      </c>
      <c r="F1011" s="5" t="s">
        <v>45</v>
      </c>
      <c r="G1011" s="8">
        <v>1</v>
      </c>
      <c r="H1011" s="8">
        <v>2238</v>
      </c>
      <c r="I1011" s="5" t="s">
        <v>49</v>
      </c>
      <c r="J1011" s="8">
        <v>4</v>
      </c>
      <c r="K1011" s="8">
        <v>2</v>
      </c>
      <c r="L1011" s="8">
        <v>5</v>
      </c>
      <c r="M10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1" s="8" t="str" cm="1">
        <f t="array" ref="N1011">_xlfn.IFS(HR_Analytics56[[#This Row],[PerformanceRating]]=3,"Good",HR_Analytics56[[#This Row],[PerformanceRating]]=4, "Excellent")</f>
        <v>Excellent</v>
      </c>
      <c r="O1011" s="8" t="str">
        <f>IF(HR_Analytics56[[#This Row],[MonthlyIncome]]&lt;3000,"&lt; ₹3,000",IF(HR_Analytics56[[#This Row],[MonthlyIncome]]&lt;=7000,"₹ 3,000 - ₹ 7,000","&gt; ₹7,000"))</f>
        <v>&lt; ₹3,000</v>
      </c>
      <c r="P1011" s="8" t="str" cm="1">
        <f t="array" ref="P10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2" spans="1:16" x14ac:dyDescent="0.8">
      <c r="A1012" s="5" t="s">
        <v>1083</v>
      </c>
      <c r="B1012" s="8">
        <v>41</v>
      </c>
      <c r="C1012" s="5" t="s">
        <v>49</v>
      </c>
      <c r="D1012" s="5" t="s">
        <v>42</v>
      </c>
      <c r="E1012" s="5" t="s">
        <v>44</v>
      </c>
      <c r="F1012" s="5" t="s">
        <v>60</v>
      </c>
      <c r="G1012" s="8">
        <v>3</v>
      </c>
      <c r="H1012" s="8">
        <v>2451</v>
      </c>
      <c r="I1012" s="5" t="s">
        <v>49</v>
      </c>
      <c r="J1012" s="8">
        <v>3</v>
      </c>
      <c r="K1012" s="8">
        <v>2</v>
      </c>
      <c r="L1012" s="8">
        <v>9</v>
      </c>
      <c r="M10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2" s="8" t="str" cm="1">
        <f t="array" ref="N1012">_xlfn.IFS(HR_Analytics56[[#This Row],[PerformanceRating]]=3,"Good",HR_Analytics56[[#This Row],[PerformanceRating]]=4, "Excellent")</f>
        <v>Good</v>
      </c>
      <c r="O1012" s="8" t="str">
        <f>IF(HR_Analytics56[[#This Row],[MonthlyIncome]]&lt;3000,"&lt; ₹3,000",IF(HR_Analytics56[[#This Row],[MonthlyIncome]]&lt;=7000,"₹ 3,000 - ₹ 7,000","&gt; ₹7,000"))</f>
        <v>&lt; ₹3,000</v>
      </c>
      <c r="P1012" s="8" t="str" cm="1">
        <f t="array" ref="P10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3" spans="1:16" x14ac:dyDescent="0.8">
      <c r="A1013" s="5" t="s">
        <v>1084</v>
      </c>
      <c r="B1013" s="8">
        <v>41</v>
      </c>
      <c r="C1013" s="5" t="s">
        <v>40</v>
      </c>
      <c r="D1013" s="5" t="s">
        <v>51</v>
      </c>
      <c r="E1013" s="5" t="s">
        <v>53</v>
      </c>
      <c r="F1013" s="5" t="s">
        <v>54</v>
      </c>
      <c r="G1013" s="8">
        <v>2</v>
      </c>
      <c r="H1013" s="8">
        <v>3140</v>
      </c>
      <c r="I1013" s="5" t="s">
        <v>40</v>
      </c>
      <c r="J1013" s="8">
        <v>4</v>
      </c>
      <c r="K1013" s="8">
        <v>5</v>
      </c>
      <c r="L1013" s="8">
        <v>4</v>
      </c>
      <c r="M10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13" s="8" t="str" cm="1">
        <f t="array" ref="N1013">_xlfn.IFS(HR_Analytics56[[#This Row],[PerformanceRating]]=3,"Good",HR_Analytics56[[#This Row],[PerformanceRating]]=4, "Excellent")</f>
        <v>Excellent</v>
      </c>
      <c r="O1013" s="8" t="str">
        <f>IF(HR_Analytics56[[#This Row],[MonthlyIncome]]&lt;3000,"&lt; ₹3,000",IF(HR_Analytics56[[#This Row],[MonthlyIncome]]&lt;=7000,"₹ 3,000 - ₹ 7,000","&gt; ₹7,000"))</f>
        <v>₹ 3,000 - ₹ 7,000</v>
      </c>
      <c r="P1013" s="8" t="str" cm="1">
        <f t="array" ref="P10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4" spans="1:16" x14ac:dyDescent="0.8">
      <c r="A1014" s="5" t="s">
        <v>1085</v>
      </c>
      <c r="B1014" s="8">
        <v>41</v>
      </c>
      <c r="C1014" s="5" t="s">
        <v>49</v>
      </c>
      <c r="D1014" s="5" t="s">
        <v>51</v>
      </c>
      <c r="E1014" s="5" t="s">
        <v>53</v>
      </c>
      <c r="F1014" s="5" t="s">
        <v>442</v>
      </c>
      <c r="G1014" s="8">
        <v>4</v>
      </c>
      <c r="H1014" s="8">
        <v>13591</v>
      </c>
      <c r="I1014" s="5" t="s">
        <v>40</v>
      </c>
      <c r="J1014" s="8">
        <v>3</v>
      </c>
      <c r="K1014" s="8">
        <v>3</v>
      </c>
      <c r="L1014" s="8">
        <v>1</v>
      </c>
      <c r="M10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14" s="8" t="str" cm="1">
        <f t="array" ref="N1014">_xlfn.IFS(HR_Analytics56[[#This Row],[PerformanceRating]]=3,"Good",HR_Analytics56[[#This Row],[PerformanceRating]]=4, "Excellent")</f>
        <v>Good</v>
      </c>
      <c r="O1014" s="8" t="str">
        <f>IF(HR_Analytics56[[#This Row],[MonthlyIncome]]&lt;3000,"&lt; ₹3,000",IF(HR_Analytics56[[#This Row],[MonthlyIncome]]&lt;=7000,"₹ 3,000 - ₹ 7,000","&gt; ₹7,000"))</f>
        <v>&gt; ₹7,000</v>
      </c>
      <c r="P1014" s="8" t="str" cm="1">
        <f t="array" ref="P10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5" spans="1:16" x14ac:dyDescent="0.8">
      <c r="A1015" s="5" t="s">
        <v>1086</v>
      </c>
      <c r="B1015" s="8">
        <v>41</v>
      </c>
      <c r="C1015" s="5" t="s">
        <v>49</v>
      </c>
      <c r="D1015" s="5" t="s">
        <v>42</v>
      </c>
      <c r="E1015" s="5" t="s">
        <v>44</v>
      </c>
      <c r="F1015" s="5" t="s">
        <v>60</v>
      </c>
      <c r="G1015" s="8">
        <v>1</v>
      </c>
      <c r="H1015" s="8">
        <v>3072</v>
      </c>
      <c r="I1015" s="5" t="s">
        <v>49</v>
      </c>
      <c r="J1015" s="8">
        <v>3</v>
      </c>
      <c r="K1015" s="8">
        <v>2</v>
      </c>
      <c r="L1015" s="8">
        <v>1</v>
      </c>
      <c r="M10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5" s="8" t="str" cm="1">
        <f t="array" ref="N1015">_xlfn.IFS(HR_Analytics56[[#This Row],[PerformanceRating]]=3,"Good",HR_Analytics56[[#This Row],[PerformanceRating]]=4, "Excellent")</f>
        <v>Good</v>
      </c>
      <c r="O1015" s="8" t="str">
        <f>IF(HR_Analytics56[[#This Row],[MonthlyIncome]]&lt;3000,"&lt; ₹3,000",IF(HR_Analytics56[[#This Row],[MonthlyIncome]]&lt;=7000,"₹ 3,000 - ₹ 7,000","&gt; ₹7,000"))</f>
        <v>₹ 3,000 - ₹ 7,000</v>
      </c>
      <c r="P1015" s="8" t="str" cm="1">
        <f t="array" ref="P10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6" spans="1:16" x14ac:dyDescent="0.8">
      <c r="A1016" s="5" t="s">
        <v>1087</v>
      </c>
      <c r="B1016" s="8">
        <v>41</v>
      </c>
      <c r="C1016" s="5" t="s">
        <v>49</v>
      </c>
      <c r="D1016" s="5" t="s">
        <v>51</v>
      </c>
      <c r="E1016" s="5" t="s">
        <v>44</v>
      </c>
      <c r="F1016" s="5" t="s">
        <v>442</v>
      </c>
      <c r="G1016" s="8">
        <v>2</v>
      </c>
      <c r="H1016" s="8">
        <v>16015</v>
      </c>
      <c r="I1016" s="5" t="s">
        <v>49</v>
      </c>
      <c r="J1016" s="8">
        <v>3</v>
      </c>
      <c r="K1016" s="8">
        <v>2</v>
      </c>
      <c r="L1016" s="8">
        <v>22</v>
      </c>
      <c r="M10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6" s="8" t="str" cm="1">
        <f t="array" ref="N1016">_xlfn.IFS(HR_Analytics56[[#This Row],[PerformanceRating]]=3,"Good",HR_Analytics56[[#This Row],[PerformanceRating]]=4, "Excellent")</f>
        <v>Good</v>
      </c>
      <c r="O1016" s="8" t="str">
        <f>IF(HR_Analytics56[[#This Row],[MonthlyIncome]]&lt;3000,"&lt; ₹3,000",IF(HR_Analytics56[[#This Row],[MonthlyIncome]]&lt;=7000,"₹ 3,000 - ₹ 7,000","&gt; ₹7,000"))</f>
        <v>&gt; ₹7,000</v>
      </c>
      <c r="P1016" s="8" t="str" cm="1">
        <f t="array" ref="P10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7" spans="1:16" x14ac:dyDescent="0.8">
      <c r="A1017" s="5" t="s">
        <v>1088</v>
      </c>
      <c r="B1017" s="8">
        <v>41</v>
      </c>
      <c r="C1017" s="5" t="s">
        <v>49</v>
      </c>
      <c r="D1017" s="5" t="s">
        <v>42</v>
      </c>
      <c r="E1017" s="5" t="s">
        <v>44</v>
      </c>
      <c r="F1017" s="5" t="s">
        <v>112</v>
      </c>
      <c r="G1017" s="8">
        <v>2</v>
      </c>
      <c r="H1017" s="8">
        <v>6032</v>
      </c>
      <c r="I1017" s="5" t="s">
        <v>40</v>
      </c>
      <c r="J1017" s="8">
        <v>3</v>
      </c>
      <c r="K1017" s="8">
        <v>3</v>
      </c>
      <c r="L1017" s="8">
        <v>5</v>
      </c>
      <c r="M10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17" s="8" t="str" cm="1">
        <f t="array" ref="N1017">_xlfn.IFS(HR_Analytics56[[#This Row],[PerformanceRating]]=3,"Good",HR_Analytics56[[#This Row],[PerformanceRating]]=4, "Excellent")</f>
        <v>Good</v>
      </c>
      <c r="O1017" s="8" t="str">
        <f>IF(HR_Analytics56[[#This Row],[MonthlyIncome]]&lt;3000,"&lt; ₹3,000",IF(HR_Analytics56[[#This Row],[MonthlyIncome]]&lt;=7000,"₹ 3,000 - ₹ 7,000","&gt; ₹7,000"))</f>
        <v>₹ 3,000 - ₹ 7,000</v>
      </c>
      <c r="P1017" s="8" t="str" cm="1">
        <f t="array" ref="P10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8" spans="1:16" x14ac:dyDescent="0.8">
      <c r="A1018" s="5" t="s">
        <v>1089</v>
      </c>
      <c r="B1018" s="8">
        <v>41</v>
      </c>
      <c r="C1018" s="5" t="s">
        <v>40</v>
      </c>
      <c r="D1018" s="5" t="s">
        <v>51</v>
      </c>
      <c r="E1018" s="5" t="s">
        <v>44</v>
      </c>
      <c r="F1018" s="5" t="s">
        <v>137</v>
      </c>
      <c r="G1018" s="8">
        <v>2</v>
      </c>
      <c r="H1018" s="8">
        <v>9355</v>
      </c>
      <c r="I1018" s="5" t="s">
        <v>49</v>
      </c>
      <c r="J1018" s="8">
        <v>3</v>
      </c>
      <c r="K1018" s="8">
        <v>5</v>
      </c>
      <c r="L1018" s="8">
        <v>8</v>
      </c>
      <c r="M10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18" s="8" t="str" cm="1">
        <f t="array" ref="N1018">_xlfn.IFS(HR_Analytics56[[#This Row],[PerformanceRating]]=3,"Good",HR_Analytics56[[#This Row],[PerformanceRating]]=4, "Excellent")</f>
        <v>Good</v>
      </c>
      <c r="O1018" s="8" t="str">
        <f>IF(HR_Analytics56[[#This Row],[MonthlyIncome]]&lt;3000,"&lt; ₹3,000",IF(HR_Analytics56[[#This Row],[MonthlyIncome]]&lt;=7000,"₹ 3,000 - ₹ 7,000","&gt; ₹7,000"))</f>
        <v>&gt; ₹7,000</v>
      </c>
      <c r="P1018" s="8" t="str" cm="1">
        <f t="array" ref="P10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19" spans="1:16" x14ac:dyDescent="0.8">
      <c r="A1019" s="5" t="s">
        <v>1090</v>
      </c>
      <c r="B1019" s="8">
        <v>41</v>
      </c>
      <c r="C1019" s="5" t="s">
        <v>49</v>
      </c>
      <c r="D1019" s="5" t="s">
        <v>51</v>
      </c>
      <c r="E1019" s="5" t="s">
        <v>44</v>
      </c>
      <c r="F1019" s="5" t="s">
        <v>137</v>
      </c>
      <c r="G1019" s="8">
        <v>1</v>
      </c>
      <c r="H1019" s="8">
        <v>8392</v>
      </c>
      <c r="I1019" s="5" t="s">
        <v>49</v>
      </c>
      <c r="J1019" s="8">
        <v>3</v>
      </c>
      <c r="K1019" s="8">
        <v>2</v>
      </c>
      <c r="L1019" s="8">
        <v>10</v>
      </c>
      <c r="M10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19" s="8" t="str" cm="1">
        <f t="array" ref="N1019">_xlfn.IFS(HR_Analytics56[[#This Row],[PerformanceRating]]=3,"Good",HR_Analytics56[[#This Row],[PerformanceRating]]=4, "Excellent")</f>
        <v>Good</v>
      </c>
      <c r="O1019" s="8" t="str">
        <f>IF(HR_Analytics56[[#This Row],[MonthlyIncome]]&lt;3000,"&lt; ₹3,000",IF(HR_Analytics56[[#This Row],[MonthlyIncome]]&lt;=7000,"₹ 3,000 - ₹ 7,000","&gt; ₹7,000"))</f>
        <v>&gt; ₹7,000</v>
      </c>
      <c r="P1019" s="8" t="str" cm="1">
        <f t="array" ref="P10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0" spans="1:16" x14ac:dyDescent="0.8">
      <c r="A1020" s="5" t="s">
        <v>1091</v>
      </c>
      <c r="B1020" s="8">
        <v>41</v>
      </c>
      <c r="C1020" s="5" t="s">
        <v>49</v>
      </c>
      <c r="D1020" s="5" t="s">
        <v>51</v>
      </c>
      <c r="E1020" s="5" t="s">
        <v>44</v>
      </c>
      <c r="F1020" s="5" t="s">
        <v>137</v>
      </c>
      <c r="G1020" s="8">
        <v>4</v>
      </c>
      <c r="H1020" s="8">
        <v>6230</v>
      </c>
      <c r="I1020" s="5" t="s">
        <v>49</v>
      </c>
      <c r="J1020" s="8">
        <v>3</v>
      </c>
      <c r="K1020" s="8">
        <v>3</v>
      </c>
      <c r="L1020" s="8">
        <v>14</v>
      </c>
      <c r="M10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0" s="8" t="str" cm="1">
        <f t="array" ref="N1020">_xlfn.IFS(HR_Analytics56[[#This Row],[PerformanceRating]]=3,"Good",HR_Analytics56[[#This Row],[PerformanceRating]]=4, "Excellent")</f>
        <v>Good</v>
      </c>
      <c r="O1020" s="8" t="str">
        <f>IF(HR_Analytics56[[#This Row],[MonthlyIncome]]&lt;3000,"&lt; ₹3,000",IF(HR_Analytics56[[#This Row],[MonthlyIncome]]&lt;=7000,"₹ 3,000 - ₹ 7,000","&gt; ₹7,000"))</f>
        <v>₹ 3,000 - ₹ 7,000</v>
      </c>
      <c r="P1020" s="8" t="str" cm="1">
        <f t="array" ref="P10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1" spans="1:16" x14ac:dyDescent="0.8">
      <c r="A1021" s="5" t="s">
        <v>1092</v>
      </c>
      <c r="B1021" s="8">
        <v>41</v>
      </c>
      <c r="C1021" s="5" t="s">
        <v>49</v>
      </c>
      <c r="D1021" s="5" t="s">
        <v>42</v>
      </c>
      <c r="E1021" s="5" t="s">
        <v>53</v>
      </c>
      <c r="F1021" s="5" t="s">
        <v>161</v>
      </c>
      <c r="G1021" s="8">
        <v>3</v>
      </c>
      <c r="H1021" s="8">
        <v>6811</v>
      </c>
      <c r="I1021" s="5" t="s">
        <v>40</v>
      </c>
      <c r="J1021" s="8">
        <v>3</v>
      </c>
      <c r="K1021" s="8">
        <v>3</v>
      </c>
      <c r="L1021" s="8">
        <v>8</v>
      </c>
      <c r="M10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21" s="8" t="str" cm="1">
        <f t="array" ref="N1021">_xlfn.IFS(HR_Analytics56[[#This Row],[PerformanceRating]]=3,"Good",HR_Analytics56[[#This Row],[PerformanceRating]]=4, "Excellent")</f>
        <v>Good</v>
      </c>
      <c r="O1021" s="8" t="str">
        <f>IF(HR_Analytics56[[#This Row],[MonthlyIncome]]&lt;3000,"&lt; ₹3,000",IF(HR_Analytics56[[#This Row],[MonthlyIncome]]&lt;=7000,"₹ 3,000 - ₹ 7,000","&gt; ₹7,000"))</f>
        <v>₹ 3,000 - ₹ 7,000</v>
      </c>
      <c r="P1021" s="8" t="str" cm="1">
        <f t="array" ref="P10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2" spans="1:16" x14ac:dyDescent="0.8">
      <c r="A1022" s="5" t="s">
        <v>1093</v>
      </c>
      <c r="B1022" s="8">
        <v>41</v>
      </c>
      <c r="C1022" s="5" t="s">
        <v>49</v>
      </c>
      <c r="D1022" s="5" t="s">
        <v>51</v>
      </c>
      <c r="E1022" s="5" t="s">
        <v>53</v>
      </c>
      <c r="F1022" s="5" t="s">
        <v>442</v>
      </c>
      <c r="G1022" s="8">
        <v>1</v>
      </c>
      <c r="H1022" s="8">
        <v>16595</v>
      </c>
      <c r="I1022" s="5" t="s">
        <v>49</v>
      </c>
      <c r="J1022" s="8">
        <v>3</v>
      </c>
      <c r="K1022" s="8">
        <v>2</v>
      </c>
      <c r="L1022" s="8">
        <v>18</v>
      </c>
      <c r="M10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2" s="8" t="str" cm="1">
        <f t="array" ref="N1022">_xlfn.IFS(HR_Analytics56[[#This Row],[PerformanceRating]]=3,"Good",HR_Analytics56[[#This Row],[PerformanceRating]]=4, "Excellent")</f>
        <v>Good</v>
      </c>
      <c r="O1022" s="8" t="str">
        <f>IF(HR_Analytics56[[#This Row],[MonthlyIncome]]&lt;3000,"&lt; ₹3,000",IF(HR_Analytics56[[#This Row],[MonthlyIncome]]&lt;=7000,"₹ 3,000 - ₹ 7,000","&gt; ₹7,000"))</f>
        <v>&gt; ₹7,000</v>
      </c>
      <c r="P1022" s="8" t="str" cm="1">
        <f t="array" ref="P10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3" spans="1:16" x14ac:dyDescent="0.8">
      <c r="A1023" s="5" t="s">
        <v>1094</v>
      </c>
      <c r="B1023" s="8">
        <v>41</v>
      </c>
      <c r="C1023" s="5" t="s">
        <v>49</v>
      </c>
      <c r="D1023" s="5" t="s">
        <v>71</v>
      </c>
      <c r="E1023" s="5" t="s">
        <v>44</v>
      </c>
      <c r="F1023" s="5" t="s">
        <v>442</v>
      </c>
      <c r="G1023" s="8">
        <v>4</v>
      </c>
      <c r="H1023" s="8">
        <v>19141</v>
      </c>
      <c r="I1023" s="5" t="s">
        <v>49</v>
      </c>
      <c r="J1023" s="8">
        <v>3</v>
      </c>
      <c r="K1023" s="8">
        <v>2</v>
      </c>
      <c r="L1023" s="8">
        <v>21</v>
      </c>
      <c r="M10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3" s="8" t="str" cm="1">
        <f t="array" ref="N1023">_xlfn.IFS(HR_Analytics56[[#This Row],[PerformanceRating]]=3,"Good",HR_Analytics56[[#This Row],[PerformanceRating]]=4, "Excellent")</f>
        <v>Good</v>
      </c>
      <c r="O1023" s="8" t="str">
        <f>IF(HR_Analytics56[[#This Row],[MonthlyIncome]]&lt;3000,"&lt; ₹3,000",IF(HR_Analytics56[[#This Row],[MonthlyIncome]]&lt;=7000,"₹ 3,000 - ₹ 7,000","&gt; ₹7,000"))</f>
        <v>&gt; ₹7,000</v>
      </c>
      <c r="P1023" s="8" t="str" cm="1">
        <f t="array" ref="P10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4" spans="1:16" x14ac:dyDescent="0.8">
      <c r="A1024" s="5" t="s">
        <v>1095</v>
      </c>
      <c r="B1024" s="8">
        <v>41</v>
      </c>
      <c r="C1024" s="5" t="s">
        <v>49</v>
      </c>
      <c r="D1024" s="5" t="s">
        <v>71</v>
      </c>
      <c r="E1024" s="5" t="s">
        <v>44</v>
      </c>
      <c r="F1024" s="5" t="s">
        <v>442</v>
      </c>
      <c r="G1024" s="8">
        <v>3</v>
      </c>
      <c r="H1024" s="8">
        <v>19189</v>
      </c>
      <c r="I1024" s="5" t="s">
        <v>49</v>
      </c>
      <c r="J1024" s="8">
        <v>3</v>
      </c>
      <c r="K1024" s="8">
        <v>3</v>
      </c>
      <c r="L1024" s="8">
        <v>22</v>
      </c>
      <c r="M10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4" s="8" t="str" cm="1">
        <f t="array" ref="N1024">_xlfn.IFS(HR_Analytics56[[#This Row],[PerformanceRating]]=3,"Good",HR_Analytics56[[#This Row],[PerformanceRating]]=4, "Excellent")</f>
        <v>Good</v>
      </c>
      <c r="O1024" s="8" t="str">
        <f>IF(HR_Analytics56[[#This Row],[MonthlyIncome]]&lt;3000,"&lt; ₹3,000",IF(HR_Analytics56[[#This Row],[MonthlyIncome]]&lt;=7000,"₹ 3,000 - ₹ 7,000","&gt; ₹7,000"))</f>
        <v>&gt; ₹7,000</v>
      </c>
      <c r="P1024" s="8" t="str" cm="1">
        <f t="array" ref="P10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5" spans="1:16" x14ac:dyDescent="0.8">
      <c r="A1025" s="5" t="s">
        <v>1096</v>
      </c>
      <c r="B1025" s="8">
        <v>41</v>
      </c>
      <c r="C1025" s="5" t="s">
        <v>40</v>
      </c>
      <c r="D1025" s="5" t="s">
        <v>42</v>
      </c>
      <c r="E1025" s="5" t="s">
        <v>53</v>
      </c>
      <c r="F1025" s="5" t="s">
        <v>45</v>
      </c>
      <c r="G1025" s="8">
        <v>4</v>
      </c>
      <c r="H1025" s="8">
        <v>2778</v>
      </c>
      <c r="I1025" s="5" t="s">
        <v>40</v>
      </c>
      <c r="J1025" s="8">
        <v>3</v>
      </c>
      <c r="K1025" s="8">
        <v>1</v>
      </c>
      <c r="L1025" s="8">
        <v>7</v>
      </c>
      <c r="M10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25" s="8" t="str" cm="1">
        <f t="array" ref="N1025">_xlfn.IFS(HR_Analytics56[[#This Row],[PerformanceRating]]=3,"Good",HR_Analytics56[[#This Row],[PerformanceRating]]=4, "Excellent")</f>
        <v>Good</v>
      </c>
      <c r="O1025" s="8" t="str">
        <f>IF(HR_Analytics56[[#This Row],[MonthlyIncome]]&lt;3000,"&lt; ₹3,000",IF(HR_Analytics56[[#This Row],[MonthlyIncome]]&lt;=7000,"₹ 3,000 - ₹ 7,000","&gt; ₹7,000"))</f>
        <v>&lt; ₹3,000</v>
      </c>
      <c r="P1025" s="8" t="str" cm="1">
        <f t="array" ref="P10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6" spans="1:16" x14ac:dyDescent="0.8">
      <c r="A1026" s="5" t="s">
        <v>1097</v>
      </c>
      <c r="B1026" s="8">
        <v>41</v>
      </c>
      <c r="C1026" s="5" t="s">
        <v>49</v>
      </c>
      <c r="D1026" s="5" t="s">
        <v>42</v>
      </c>
      <c r="E1026" s="5" t="s">
        <v>44</v>
      </c>
      <c r="F1026" s="5" t="s">
        <v>45</v>
      </c>
      <c r="G1026" s="8">
        <v>1</v>
      </c>
      <c r="H1026" s="8">
        <v>4721</v>
      </c>
      <c r="I1026" s="5" t="s">
        <v>40</v>
      </c>
      <c r="J1026" s="8">
        <v>3</v>
      </c>
      <c r="K1026" s="8">
        <v>3</v>
      </c>
      <c r="L1026" s="8">
        <v>18</v>
      </c>
      <c r="M10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26" s="8" t="str" cm="1">
        <f t="array" ref="N1026">_xlfn.IFS(HR_Analytics56[[#This Row],[PerformanceRating]]=3,"Good",HR_Analytics56[[#This Row],[PerformanceRating]]=4, "Excellent")</f>
        <v>Good</v>
      </c>
      <c r="O1026" s="8" t="str">
        <f>IF(HR_Analytics56[[#This Row],[MonthlyIncome]]&lt;3000,"&lt; ₹3,000",IF(HR_Analytics56[[#This Row],[MonthlyIncome]]&lt;=7000,"₹ 3,000 - ₹ 7,000","&gt; ₹7,000"))</f>
        <v>₹ 3,000 - ₹ 7,000</v>
      </c>
      <c r="P1026" s="8" t="str" cm="1">
        <f t="array" ref="P10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7" spans="1:16" x14ac:dyDescent="0.8">
      <c r="A1027" s="5" t="s">
        <v>1098</v>
      </c>
      <c r="B1027" s="8">
        <v>41</v>
      </c>
      <c r="C1027" s="5" t="s">
        <v>49</v>
      </c>
      <c r="D1027" s="5" t="s">
        <v>42</v>
      </c>
      <c r="E1027" s="5" t="s">
        <v>44</v>
      </c>
      <c r="F1027" s="5" t="s">
        <v>252</v>
      </c>
      <c r="G1027" s="8">
        <v>3</v>
      </c>
      <c r="H1027" s="8">
        <v>19419</v>
      </c>
      <c r="I1027" s="5" t="s">
        <v>49</v>
      </c>
      <c r="J1027" s="8">
        <v>3</v>
      </c>
      <c r="K1027" s="8">
        <v>2</v>
      </c>
      <c r="L1027" s="8">
        <v>18</v>
      </c>
      <c r="M10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7" s="8" t="str" cm="1">
        <f t="array" ref="N1027">_xlfn.IFS(HR_Analytics56[[#This Row],[PerformanceRating]]=3,"Good",HR_Analytics56[[#This Row],[PerformanceRating]]=4, "Excellent")</f>
        <v>Good</v>
      </c>
      <c r="O1027" s="8" t="str">
        <f>IF(HR_Analytics56[[#This Row],[MonthlyIncome]]&lt;3000,"&lt; ₹3,000",IF(HR_Analytics56[[#This Row],[MonthlyIncome]]&lt;=7000,"₹ 3,000 - ₹ 7,000","&gt; ₹7,000"))</f>
        <v>&gt; ₹7,000</v>
      </c>
      <c r="P1027" s="8" t="str" cm="1">
        <f t="array" ref="P10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8" spans="1:16" x14ac:dyDescent="0.8">
      <c r="A1028" s="5" t="s">
        <v>1099</v>
      </c>
      <c r="B1028" s="8">
        <v>41</v>
      </c>
      <c r="C1028" s="5" t="s">
        <v>49</v>
      </c>
      <c r="D1028" s="5" t="s">
        <v>42</v>
      </c>
      <c r="E1028" s="5" t="s">
        <v>53</v>
      </c>
      <c r="F1028" s="5" t="s">
        <v>112</v>
      </c>
      <c r="G1028" s="8">
        <v>3</v>
      </c>
      <c r="H1028" s="8">
        <v>5003</v>
      </c>
      <c r="I1028" s="5" t="s">
        <v>49</v>
      </c>
      <c r="J1028" s="8">
        <v>3</v>
      </c>
      <c r="K1028" s="8">
        <v>6</v>
      </c>
      <c r="L1028" s="8">
        <v>2</v>
      </c>
      <c r="M10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8" s="8" t="str" cm="1">
        <f t="array" ref="N1028">_xlfn.IFS(HR_Analytics56[[#This Row],[PerformanceRating]]=3,"Good",HR_Analytics56[[#This Row],[PerformanceRating]]=4, "Excellent")</f>
        <v>Good</v>
      </c>
      <c r="O1028" s="8" t="str">
        <f>IF(HR_Analytics56[[#This Row],[MonthlyIncome]]&lt;3000,"&lt; ₹3,000",IF(HR_Analytics56[[#This Row],[MonthlyIncome]]&lt;=7000,"₹ 3,000 - ₹ 7,000","&gt; ₹7,000"))</f>
        <v>₹ 3,000 - ₹ 7,000</v>
      </c>
      <c r="P1028" s="8" t="str" cm="1">
        <f t="array" ref="P10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29" spans="1:16" x14ac:dyDescent="0.8">
      <c r="A1029" s="5" t="s">
        <v>1100</v>
      </c>
      <c r="B1029" s="8">
        <v>41</v>
      </c>
      <c r="C1029" s="5" t="s">
        <v>49</v>
      </c>
      <c r="D1029" s="5" t="s">
        <v>42</v>
      </c>
      <c r="E1029" s="5" t="s">
        <v>53</v>
      </c>
      <c r="F1029" s="5" t="s">
        <v>252</v>
      </c>
      <c r="G1029" s="8">
        <v>3</v>
      </c>
      <c r="H1029" s="8">
        <v>19973</v>
      </c>
      <c r="I1029" s="5" t="s">
        <v>49</v>
      </c>
      <c r="J1029" s="8">
        <v>4</v>
      </c>
      <c r="K1029" s="8">
        <v>3</v>
      </c>
      <c r="L1029" s="8">
        <v>21</v>
      </c>
      <c r="M10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29" s="8" t="str" cm="1">
        <f t="array" ref="N1029">_xlfn.IFS(HR_Analytics56[[#This Row],[PerformanceRating]]=3,"Good",HR_Analytics56[[#This Row],[PerformanceRating]]=4, "Excellent")</f>
        <v>Excellent</v>
      </c>
      <c r="O1029" s="8" t="str">
        <f>IF(HR_Analytics56[[#This Row],[MonthlyIncome]]&lt;3000,"&lt; ₹3,000",IF(HR_Analytics56[[#This Row],[MonthlyIncome]]&lt;=7000,"₹ 3,000 - ₹ 7,000","&gt; ₹7,000"))</f>
        <v>&gt; ₹7,000</v>
      </c>
      <c r="P1029" s="8" t="str" cm="1">
        <f t="array" ref="P102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30" spans="1:16" x14ac:dyDescent="0.8">
      <c r="A1030" s="5" t="s">
        <v>1101</v>
      </c>
      <c r="B1030" s="8">
        <v>41</v>
      </c>
      <c r="C1030" s="5" t="s">
        <v>49</v>
      </c>
      <c r="D1030" s="5" t="s">
        <v>42</v>
      </c>
      <c r="E1030" s="5" t="s">
        <v>53</v>
      </c>
      <c r="F1030" s="5" t="s">
        <v>60</v>
      </c>
      <c r="G1030" s="8">
        <v>3</v>
      </c>
      <c r="H1030" s="8">
        <v>3376</v>
      </c>
      <c r="I1030" s="5" t="s">
        <v>49</v>
      </c>
      <c r="J1030" s="8">
        <v>3</v>
      </c>
      <c r="K1030" s="8">
        <v>3</v>
      </c>
      <c r="L1030" s="8">
        <v>10</v>
      </c>
      <c r="M10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0" s="8" t="str" cm="1">
        <f t="array" ref="N1030">_xlfn.IFS(HR_Analytics56[[#This Row],[PerformanceRating]]=3,"Good",HR_Analytics56[[#This Row],[PerformanceRating]]=4, "Excellent")</f>
        <v>Good</v>
      </c>
      <c r="O1030" s="8" t="str">
        <f>IF(HR_Analytics56[[#This Row],[MonthlyIncome]]&lt;3000,"&lt; ₹3,000",IF(HR_Analytics56[[#This Row],[MonthlyIncome]]&lt;=7000,"₹ 3,000 - ₹ 7,000","&gt; ₹7,000"))</f>
        <v>₹ 3,000 - ₹ 7,000</v>
      </c>
      <c r="P1030" s="8" t="str" cm="1">
        <f t="array" ref="P10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1" spans="1:16" x14ac:dyDescent="0.8">
      <c r="A1031" s="5" t="s">
        <v>1102</v>
      </c>
      <c r="B1031" s="8">
        <v>41</v>
      </c>
      <c r="C1031" s="5" t="s">
        <v>49</v>
      </c>
      <c r="D1031" s="5" t="s">
        <v>42</v>
      </c>
      <c r="E1031" s="5" t="s">
        <v>44</v>
      </c>
      <c r="F1031" s="5" t="s">
        <v>45</v>
      </c>
      <c r="G1031" s="8">
        <v>4</v>
      </c>
      <c r="H1031" s="8">
        <v>4766</v>
      </c>
      <c r="I1031" s="5" t="s">
        <v>40</v>
      </c>
      <c r="J1031" s="8">
        <v>3</v>
      </c>
      <c r="K1031" s="8">
        <v>4</v>
      </c>
      <c r="L1031" s="8">
        <v>1</v>
      </c>
      <c r="M10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31" s="8" t="str" cm="1">
        <f t="array" ref="N1031">_xlfn.IFS(HR_Analytics56[[#This Row],[PerformanceRating]]=3,"Good",HR_Analytics56[[#This Row],[PerformanceRating]]=4, "Excellent")</f>
        <v>Good</v>
      </c>
      <c r="O1031" s="8" t="str">
        <f>IF(HR_Analytics56[[#This Row],[MonthlyIncome]]&lt;3000,"&lt; ₹3,000",IF(HR_Analytics56[[#This Row],[MonthlyIncome]]&lt;=7000,"₹ 3,000 - ₹ 7,000","&gt; ₹7,000"))</f>
        <v>₹ 3,000 - ₹ 7,000</v>
      </c>
      <c r="P1031" s="8" t="str" cm="1">
        <f t="array" ref="P10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2" spans="1:16" x14ac:dyDescent="0.8">
      <c r="A1032" s="5" t="s">
        <v>1103</v>
      </c>
      <c r="B1032" s="8">
        <v>41</v>
      </c>
      <c r="C1032" s="5" t="s">
        <v>40</v>
      </c>
      <c r="D1032" s="5" t="s">
        <v>42</v>
      </c>
      <c r="E1032" s="5" t="s">
        <v>44</v>
      </c>
      <c r="F1032" s="5" t="s">
        <v>60</v>
      </c>
      <c r="G1032" s="8">
        <v>1</v>
      </c>
      <c r="H1032" s="8">
        <v>2107</v>
      </c>
      <c r="I1032" s="5" t="s">
        <v>49</v>
      </c>
      <c r="J1032" s="8">
        <v>3</v>
      </c>
      <c r="K1032" s="8">
        <v>2</v>
      </c>
      <c r="L1032" s="8">
        <v>1</v>
      </c>
      <c r="M10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32" s="8" t="str" cm="1">
        <f t="array" ref="N1032">_xlfn.IFS(HR_Analytics56[[#This Row],[PerformanceRating]]=3,"Good",HR_Analytics56[[#This Row],[PerformanceRating]]=4, "Excellent")</f>
        <v>Good</v>
      </c>
      <c r="O1032" s="8" t="str">
        <f>IF(HR_Analytics56[[#This Row],[MonthlyIncome]]&lt;3000,"&lt; ₹3,000",IF(HR_Analytics56[[#This Row],[MonthlyIncome]]&lt;=7000,"₹ 3,000 - ₹ 7,000","&gt; ₹7,000"))</f>
        <v>&lt; ₹3,000</v>
      </c>
      <c r="P1032" s="8" t="str" cm="1">
        <f t="array" ref="P10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3" spans="1:16" x14ac:dyDescent="0.8">
      <c r="A1033" s="5" t="s">
        <v>1104</v>
      </c>
      <c r="B1033" s="8">
        <v>41</v>
      </c>
      <c r="C1033" s="5" t="s">
        <v>49</v>
      </c>
      <c r="D1033" s="5" t="s">
        <v>51</v>
      </c>
      <c r="E1033" s="5" t="s">
        <v>44</v>
      </c>
      <c r="F1033" s="5" t="s">
        <v>137</v>
      </c>
      <c r="G1033" s="8">
        <v>2</v>
      </c>
      <c r="H1033" s="8">
        <v>6151</v>
      </c>
      <c r="I1033" s="5" t="s">
        <v>49</v>
      </c>
      <c r="J1033" s="8">
        <v>3</v>
      </c>
      <c r="K1033" s="8">
        <v>4</v>
      </c>
      <c r="L1033" s="8">
        <v>19</v>
      </c>
      <c r="M10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3" s="8" t="str" cm="1">
        <f t="array" ref="N1033">_xlfn.IFS(HR_Analytics56[[#This Row],[PerformanceRating]]=3,"Good",HR_Analytics56[[#This Row],[PerformanceRating]]=4, "Excellent")</f>
        <v>Good</v>
      </c>
      <c r="O1033" s="8" t="str">
        <f>IF(HR_Analytics56[[#This Row],[MonthlyIncome]]&lt;3000,"&lt; ₹3,000",IF(HR_Analytics56[[#This Row],[MonthlyIncome]]&lt;=7000,"₹ 3,000 - ₹ 7,000","&gt; ₹7,000"))</f>
        <v>₹ 3,000 - ₹ 7,000</v>
      </c>
      <c r="P1033" s="8" t="str" cm="1">
        <f t="array" ref="P10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4" spans="1:16" x14ac:dyDescent="0.8">
      <c r="A1034" s="5" t="s">
        <v>1105</v>
      </c>
      <c r="B1034" s="8">
        <v>41</v>
      </c>
      <c r="C1034" s="5" t="s">
        <v>49</v>
      </c>
      <c r="D1034" s="5" t="s">
        <v>51</v>
      </c>
      <c r="E1034" s="5" t="s">
        <v>53</v>
      </c>
      <c r="F1034" s="5" t="s">
        <v>137</v>
      </c>
      <c r="G1034" s="8">
        <v>1</v>
      </c>
      <c r="H1034" s="8">
        <v>4103</v>
      </c>
      <c r="I1034" s="5" t="s">
        <v>49</v>
      </c>
      <c r="J1034" s="8">
        <v>3</v>
      </c>
      <c r="K1034" s="8">
        <v>2</v>
      </c>
      <c r="L1034" s="8">
        <v>9</v>
      </c>
      <c r="M10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4" s="8" t="str" cm="1">
        <f t="array" ref="N1034">_xlfn.IFS(HR_Analytics56[[#This Row],[PerformanceRating]]=3,"Good",HR_Analytics56[[#This Row],[PerformanceRating]]=4, "Excellent")</f>
        <v>Good</v>
      </c>
      <c r="O1034" s="8" t="str">
        <f>IF(HR_Analytics56[[#This Row],[MonthlyIncome]]&lt;3000,"&lt; ₹3,000",IF(HR_Analytics56[[#This Row],[MonthlyIncome]]&lt;=7000,"₹ 3,000 - ₹ 7,000","&gt; ₹7,000"))</f>
        <v>₹ 3,000 - ₹ 7,000</v>
      </c>
      <c r="P1034" s="8" t="str" cm="1">
        <f t="array" ref="P10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5" spans="1:16" x14ac:dyDescent="0.8">
      <c r="A1035" s="5" t="s">
        <v>1106</v>
      </c>
      <c r="B1035" s="8">
        <v>41</v>
      </c>
      <c r="C1035" s="5" t="s">
        <v>49</v>
      </c>
      <c r="D1035" s="5" t="s">
        <v>42</v>
      </c>
      <c r="E1035" s="5" t="s">
        <v>53</v>
      </c>
      <c r="F1035" s="5" t="s">
        <v>60</v>
      </c>
      <c r="G1035" s="8">
        <v>4</v>
      </c>
      <c r="H1035" s="8">
        <v>5467</v>
      </c>
      <c r="I1035" s="5" t="s">
        <v>40</v>
      </c>
      <c r="J1035" s="8">
        <v>3</v>
      </c>
      <c r="K1035" s="8">
        <v>4</v>
      </c>
      <c r="L1035" s="8">
        <v>6</v>
      </c>
      <c r="M10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35" s="8" t="str" cm="1">
        <f t="array" ref="N1035">_xlfn.IFS(HR_Analytics56[[#This Row],[PerformanceRating]]=3,"Good",HR_Analytics56[[#This Row],[PerformanceRating]]=4, "Excellent")</f>
        <v>Good</v>
      </c>
      <c r="O1035" s="8" t="str">
        <f>IF(HR_Analytics56[[#This Row],[MonthlyIncome]]&lt;3000,"&lt; ₹3,000",IF(HR_Analytics56[[#This Row],[MonthlyIncome]]&lt;=7000,"₹ 3,000 - ₹ 7,000","&gt; ₹7,000"))</f>
        <v>₹ 3,000 - ₹ 7,000</v>
      </c>
      <c r="P1035" s="8" t="str" cm="1">
        <f t="array" ref="P10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6" spans="1:16" x14ac:dyDescent="0.8">
      <c r="A1036" s="5" t="s">
        <v>1107</v>
      </c>
      <c r="B1036" s="8">
        <v>41</v>
      </c>
      <c r="C1036" s="5" t="s">
        <v>49</v>
      </c>
      <c r="D1036" s="5" t="s">
        <v>42</v>
      </c>
      <c r="E1036" s="5" t="s">
        <v>44</v>
      </c>
      <c r="F1036" s="5" t="s">
        <v>60</v>
      </c>
      <c r="G1036" s="8">
        <v>3</v>
      </c>
      <c r="H1036" s="8">
        <v>2127</v>
      </c>
      <c r="I1036" s="5" t="s">
        <v>40</v>
      </c>
      <c r="J1036" s="8">
        <v>3</v>
      </c>
      <c r="K1036" s="8">
        <v>5</v>
      </c>
      <c r="L1036" s="8">
        <v>4</v>
      </c>
      <c r="M10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36" s="8" t="str" cm="1">
        <f t="array" ref="N1036">_xlfn.IFS(HR_Analytics56[[#This Row],[PerformanceRating]]=3,"Good",HR_Analytics56[[#This Row],[PerformanceRating]]=4, "Excellent")</f>
        <v>Good</v>
      </c>
      <c r="O1036" s="8" t="str">
        <f>IF(HR_Analytics56[[#This Row],[MonthlyIncome]]&lt;3000,"&lt; ₹3,000",IF(HR_Analytics56[[#This Row],[MonthlyIncome]]&lt;=7000,"₹ 3,000 - ₹ 7,000","&gt; ₹7,000"))</f>
        <v>&lt; ₹3,000</v>
      </c>
      <c r="P1036" s="8" t="str" cm="1">
        <f t="array" ref="P10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7" spans="1:16" x14ac:dyDescent="0.8">
      <c r="A1037" s="5" t="s">
        <v>1108</v>
      </c>
      <c r="B1037" s="8">
        <v>41</v>
      </c>
      <c r="C1037" s="5" t="s">
        <v>49</v>
      </c>
      <c r="D1037" s="5" t="s">
        <v>51</v>
      </c>
      <c r="E1037" s="5" t="s">
        <v>44</v>
      </c>
      <c r="F1037" s="5" t="s">
        <v>137</v>
      </c>
      <c r="G1037" s="8">
        <v>3</v>
      </c>
      <c r="H1037" s="8">
        <v>7082</v>
      </c>
      <c r="I1037" s="5" t="s">
        <v>40</v>
      </c>
      <c r="J1037" s="8">
        <v>3</v>
      </c>
      <c r="K1037" s="8">
        <v>2</v>
      </c>
      <c r="L1037" s="8">
        <v>2</v>
      </c>
      <c r="M10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37" s="8" t="str" cm="1">
        <f t="array" ref="N1037">_xlfn.IFS(HR_Analytics56[[#This Row],[PerformanceRating]]=3,"Good",HR_Analytics56[[#This Row],[PerformanceRating]]=4, "Excellent")</f>
        <v>Good</v>
      </c>
      <c r="O1037" s="8" t="str">
        <f>IF(HR_Analytics56[[#This Row],[MonthlyIncome]]&lt;3000,"&lt; ₹3,000",IF(HR_Analytics56[[#This Row],[MonthlyIncome]]&lt;=7000,"₹ 3,000 - ₹ 7,000","&gt; ₹7,000"))</f>
        <v>&gt; ₹7,000</v>
      </c>
      <c r="P1037" s="8" t="str" cm="1">
        <f t="array" ref="P10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8" spans="1:16" x14ac:dyDescent="0.8">
      <c r="A1038" s="5" t="s">
        <v>1109</v>
      </c>
      <c r="B1038" s="8">
        <v>41</v>
      </c>
      <c r="C1038" s="5" t="s">
        <v>49</v>
      </c>
      <c r="D1038" s="5" t="s">
        <v>51</v>
      </c>
      <c r="E1038" s="5" t="s">
        <v>44</v>
      </c>
      <c r="F1038" s="5" t="s">
        <v>137</v>
      </c>
      <c r="G1038" s="8">
        <v>3</v>
      </c>
      <c r="H1038" s="8">
        <v>9241</v>
      </c>
      <c r="I1038" s="5" t="s">
        <v>49</v>
      </c>
      <c r="J1038" s="8">
        <v>3</v>
      </c>
      <c r="K1038" s="8">
        <v>3</v>
      </c>
      <c r="L1038" s="8">
        <v>10</v>
      </c>
      <c r="M10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8" s="8" t="str" cm="1">
        <f t="array" ref="N1038">_xlfn.IFS(HR_Analytics56[[#This Row],[PerformanceRating]]=3,"Good",HR_Analytics56[[#This Row],[PerformanceRating]]=4, "Excellent")</f>
        <v>Good</v>
      </c>
      <c r="O1038" s="8" t="str">
        <f>IF(HR_Analytics56[[#This Row],[MonthlyIncome]]&lt;3000,"&lt; ₹3,000",IF(HR_Analytics56[[#This Row],[MonthlyIncome]]&lt;=7000,"₹ 3,000 - ₹ 7,000","&gt; ₹7,000"))</f>
        <v>&gt; ₹7,000</v>
      </c>
      <c r="P1038" s="8" t="str" cm="1">
        <f t="array" ref="P10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39" spans="1:16" x14ac:dyDescent="0.8">
      <c r="A1039" s="5" t="s">
        <v>1110</v>
      </c>
      <c r="B1039" s="8">
        <v>41</v>
      </c>
      <c r="C1039" s="5" t="s">
        <v>49</v>
      </c>
      <c r="D1039" s="5" t="s">
        <v>71</v>
      </c>
      <c r="E1039" s="5" t="s">
        <v>44</v>
      </c>
      <c r="F1039" s="5" t="s">
        <v>71</v>
      </c>
      <c r="G1039" s="8">
        <v>2</v>
      </c>
      <c r="H1039" s="8">
        <v>6430</v>
      </c>
      <c r="I1039" s="5" t="s">
        <v>49</v>
      </c>
      <c r="J1039" s="8">
        <v>3</v>
      </c>
      <c r="K1039" s="8">
        <v>4</v>
      </c>
      <c r="L1039" s="8">
        <v>3</v>
      </c>
      <c r="M10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39" s="8" t="str" cm="1">
        <f t="array" ref="N1039">_xlfn.IFS(HR_Analytics56[[#This Row],[PerformanceRating]]=3,"Good",HR_Analytics56[[#This Row],[PerformanceRating]]=4, "Excellent")</f>
        <v>Good</v>
      </c>
      <c r="O1039" s="8" t="str">
        <f>IF(HR_Analytics56[[#This Row],[MonthlyIncome]]&lt;3000,"&lt; ₹3,000",IF(HR_Analytics56[[#This Row],[MonthlyIncome]]&lt;=7000,"₹ 3,000 - ₹ 7,000","&gt; ₹7,000"))</f>
        <v>₹ 3,000 - ₹ 7,000</v>
      </c>
      <c r="P1039" s="8" t="str" cm="1">
        <f t="array" ref="P10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0" spans="1:16" x14ac:dyDescent="0.8">
      <c r="A1040" s="5" t="s">
        <v>1111</v>
      </c>
      <c r="B1040" s="8">
        <v>41</v>
      </c>
      <c r="C1040" s="5" t="s">
        <v>49</v>
      </c>
      <c r="D1040" s="5" t="s">
        <v>42</v>
      </c>
      <c r="E1040" s="5" t="s">
        <v>44</v>
      </c>
      <c r="F1040" s="5" t="s">
        <v>45</v>
      </c>
      <c r="G1040" s="8">
        <v>1</v>
      </c>
      <c r="H1040" s="8">
        <v>2289</v>
      </c>
      <c r="I1040" s="5" t="s">
        <v>49</v>
      </c>
      <c r="J1040" s="8">
        <v>4</v>
      </c>
      <c r="K1040" s="8">
        <v>2</v>
      </c>
      <c r="L1040" s="8">
        <v>5</v>
      </c>
      <c r="M10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0" s="8" t="str" cm="1">
        <f t="array" ref="N1040">_xlfn.IFS(HR_Analytics56[[#This Row],[PerformanceRating]]=3,"Good",HR_Analytics56[[#This Row],[PerformanceRating]]=4, "Excellent")</f>
        <v>Excellent</v>
      </c>
      <c r="O1040" s="8" t="str">
        <f>IF(HR_Analytics56[[#This Row],[MonthlyIncome]]&lt;3000,"&lt; ₹3,000",IF(HR_Analytics56[[#This Row],[MonthlyIncome]]&lt;=7000,"₹ 3,000 - ₹ 7,000","&gt; ₹7,000"))</f>
        <v>&lt; ₹3,000</v>
      </c>
      <c r="P1040" s="8" t="str" cm="1">
        <f t="array" ref="P10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1" spans="1:16" x14ac:dyDescent="0.8">
      <c r="A1041" s="5" t="s">
        <v>1112</v>
      </c>
      <c r="B1041" s="8">
        <v>41</v>
      </c>
      <c r="C1041" s="5" t="s">
        <v>49</v>
      </c>
      <c r="D1041" s="5" t="s">
        <v>42</v>
      </c>
      <c r="E1041" s="5" t="s">
        <v>44</v>
      </c>
      <c r="F1041" s="5" t="s">
        <v>161</v>
      </c>
      <c r="G1041" s="8">
        <v>2</v>
      </c>
      <c r="H1041" s="8">
        <v>6870</v>
      </c>
      <c r="I1041" s="5" t="s">
        <v>49</v>
      </c>
      <c r="J1041" s="8">
        <v>3</v>
      </c>
      <c r="K1041" s="8">
        <v>3</v>
      </c>
      <c r="L1041" s="8">
        <v>3</v>
      </c>
      <c r="M10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1" s="8" t="str" cm="1">
        <f t="array" ref="N1041">_xlfn.IFS(HR_Analytics56[[#This Row],[PerformanceRating]]=3,"Good",HR_Analytics56[[#This Row],[PerformanceRating]]=4, "Excellent")</f>
        <v>Good</v>
      </c>
      <c r="O1041" s="8" t="str">
        <f>IF(HR_Analytics56[[#This Row],[MonthlyIncome]]&lt;3000,"&lt; ₹3,000",IF(HR_Analytics56[[#This Row],[MonthlyIncome]]&lt;=7000,"₹ 3,000 - ₹ 7,000","&gt; ₹7,000"))</f>
        <v>₹ 3,000 - ₹ 7,000</v>
      </c>
      <c r="P1041" s="8" t="str" cm="1">
        <f t="array" ref="P10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2" spans="1:16" x14ac:dyDescent="0.8">
      <c r="A1042" s="5" t="s">
        <v>1113</v>
      </c>
      <c r="B1042" s="8">
        <v>41</v>
      </c>
      <c r="C1042" s="5" t="s">
        <v>49</v>
      </c>
      <c r="D1042" s="5" t="s">
        <v>51</v>
      </c>
      <c r="E1042" s="5" t="s">
        <v>53</v>
      </c>
      <c r="F1042" s="5" t="s">
        <v>137</v>
      </c>
      <c r="G1042" s="8">
        <v>3</v>
      </c>
      <c r="H1042" s="8">
        <v>10447</v>
      </c>
      <c r="I1042" s="5" t="s">
        <v>40</v>
      </c>
      <c r="J1042" s="8">
        <v>3</v>
      </c>
      <c r="K1042" s="8">
        <v>3</v>
      </c>
      <c r="L1042" s="8">
        <v>22</v>
      </c>
      <c r="M10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42" s="8" t="str" cm="1">
        <f t="array" ref="N1042">_xlfn.IFS(HR_Analytics56[[#This Row],[PerformanceRating]]=3,"Good",HR_Analytics56[[#This Row],[PerformanceRating]]=4, "Excellent")</f>
        <v>Good</v>
      </c>
      <c r="O1042" s="8" t="str">
        <f>IF(HR_Analytics56[[#This Row],[MonthlyIncome]]&lt;3000,"&lt; ₹3,000",IF(HR_Analytics56[[#This Row],[MonthlyIncome]]&lt;=7000,"₹ 3,000 - ₹ 7,000","&gt; ₹7,000"))</f>
        <v>&gt; ₹7,000</v>
      </c>
      <c r="P1042" s="8" t="str" cm="1">
        <f t="array" ref="P10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3" spans="1:16" x14ac:dyDescent="0.8">
      <c r="A1043" s="5" t="s">
        <v>1114</v>
      </c>
      <c r="B1043" s="8">
        <v>41</v>
      </c>
      <c r="C1043" s="5" t="s">
        <v>49</v>
      </c>
      <c r="D1043" s="5" t="s">
        <v>51</v>
      </c>
      <c r="E1043" s="5" t="s">
        <v>53</v>
      </c>
      <c r="F1043" s="5" t="s">
        <v>137</v>
      </c>
      <c r="G1043" s="8">
        <v>2</v>
      </c>
      <c r="H1043" s="8">
        <v>4393</v>
      </c>
      <c r="I1043" s="5" t="s">
        <v>49</v>
      </c>
      <c r="J1043" s="8">
        <v>4</v>
      </c>
      <c r="K1043" s="8">
        <v>3</v>
      </c>
      <c r="L1043" s="8">
        <v>5</v>
      </c>
      <c r="M10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3" s="8" t="str" cm="1">
        <f t="array" ref="N1043">_xlfn.IFS(HR_Analytics56[[#This Row],[PerformanceRating]]=3,"Good",HR_Analytics56[[#This Row],[PerformanceRating]]=4, "Excellent")</f>
        <v>Excellent</v>
      </c>
      <c r="O1043" s="8" t="str">
        <f>IF(HR_Analytics56[[#This Row],[MonthlyIncome]]&lt;3000,"&lt; ₹3,000",IF(HR_Analytics56[[#This Row],[MonthlyIncome]]&lt;=7000,"₹ 3,000 - ₹ 7,000","&gt; ₹7,000"))</f>
        <v>₹ 3,000 - ₹ 7,000</v>
      </c>
      <c r="P1043" s="8" t="str" cm="1">
        <f t="array" ref="P104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44" spans="1:16" x14ac:dyDescent="0.8">
      <c r="A1044" s="5" t="s">
        <v>1115</v>
      </c>
      <c r="B1044" s="8">
        <v>41</v>
      </c>
      <c r="C1044" s="5" t="s">
        <v>49</v>
      </c>
      <c r="D1044" s="5" t="s">
        <v>42</v>
      </c>
      <c r="E1044" s="5" t="s">
        <v>44</v>
      </c>
      <c r="F1044" s="5" t="s">
        <v>60</v>
      </c>
      <c r="G1044" s="8">
        <v>4</v>
      </c>
      <c r="H1044" s="8">
        <v>2782</v>
      </c>
      <c r="I1044" s="5" t="s">
        <v>49</v>
      </c>
      <c r="J1044" s="8">
        <v>4</v>
      </c>
      <c r="K1044" s="8">
        <v>3</v>
      </c>
      <c r="L1044" s="8">
        <v>5</v>
      </c>
      <c r="M10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4" s="8" t="str" cm="1">
        <f t="array" ref="N1044">_xlfn.IFS(HR_Analytics56[[#This Row],[PerformanceRating]]=3,"Good",HR_Analytics56[[#This Row],[PerformanceRating]]=4, "Excellent")</f>
        <v>Excellent</v>
      </c>
      <c r="O1044" s="8" t="str">
        <f>IF(HR_Analytics56[[#This Row],[MonthlyIncome]]&lt;3000,"&lt; ₹3,000",IF(HR_Analytics56[[#This Row],[MonthlyIncome]]&lt;=7000,"₹ 3,000 - ₹ 7,000","&gt; ₹7,000"))</f>
        <v>&lt; ₹3,000</v>
      </c>
      <c r="P1044" s="8" t="str" cm="1">
        <f t="array" ref="P104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45" spans="1:16" x14ac:dyDescent="0.8">
      <c r="A1045" s="5" t="s">
        <v>1116</v>
      </c>
      <c r="B1045" s="8">
        <v>41</v>
      </c>
      <c r="C1045" s="5" t="s">
        <v>49</v>
      </c>
      <c r="D1045" s="5" t="s">
        <v>42</v>
      </c>
      <c r="E1045" s="5" t="s">
        <v>53</v>
      </c>
      <c r="F1045" s="5" t="s">
        <v>112</v>
      </c>
      <c r="G1045" s="8">
        <v>2</v>
      </c>
      <c r="H1045" s="8">
        <v>13570</v>
      </c>
      <c r="I1045" s="5" t="s">
        <v>49</v>
      </c>
      <c r="J1045" s="8">
        <v>4</v>
      </c>
      <c r="K1045" s="8">
        <v>3</v>
      </c>
      <c r="L1045" s="8">
        <v>20</v>
      </c>
      <c r="M10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5" s="8" t="str" cm="1">
        <f t="array" ref="N1045">_xlfn.IFS(HR_Analytics56[[#This Row],[PerformanceRating]]=3,"Good",HR_Analytics56[[#This Row],[PerformanceRating]]=4, "Excellent")</f>
        <v>Excellent</v>
      </c>
      <c r="O1045" s="8" t="str">
        <f>IF(HR_Analytics56[[#This Row],[MonthlyIncome]]&lt;3000,"&lt; ₹3,000",IF(HR_Analytics56[[#This Row],[MonthlyIncome]]&lt;=7000,"₹ 3,000 - ₹ 7,000","&gt; ₹7,000"))</f>
        <v>&gt; ₹7,000</v>
      </c>
      <c r="P1045" s="8" t="str" cm="1">
        <f t="array" ref="P104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46" spans="1:16" x14ac:dyDescent="0.8">
      <c r="A1046" s="5" t="s">
        <v>1117</v>
      </c>
      <c r="B1046" s="8">
        <v>41</v>
      </c>
      <c r="C1046" s="5" t="s">
        <v>49</v>
      </c>
      <c r="D1046" s="5" t="s">
        <v>51</v>
      </c>
      <c r="E1046" s="5" t="s">
        <v>44</v>
      </c>
      <c r="F1046" s="5" t="s">
        <v>137</v>
      </c>
      <c r="G1046" s="8">
        <v>2</v>
      </c>
      <c r="H1046" s="8">
        <v>8938</v>
      </c>
      <c r="I1046" s="5" t="s">
        <v>49</v>
      </c>
      <c r="J1046" s="8">
        <v>3</v>
      </c>
      <c r="K1046" s="8">
        <v>5</v>
      </c>
      <c r="L1046" s="8">
        <v>5</v>
      </c>
      <c r="M10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6" s="8" t="str" cm="1">
        <f t="array" ref="N1046">_xlfn.IFS(HR_Analytics56[[#This Row],[PerformanceRating]]=3,"Good",HR_Analytics56[[#This Row],[PerformanceRating]]=4, "Excellent")</f>
        <v>Good</v>
      </c>
      <c r="O1046" s="8" t="str">
        <f>IF(HR_Analytics56[[#This Row],[MonthlyIncome]]&lt;3000,"&lt; ₹3,000",IF(HR_Analytics56[[#This Row],[MonthlyIncome]]&lt;=7000,"₹ 3,000 - ₹ 7,000","&gt; ₹7,000"))</f>
        <v>&gt; ₹7,000</v>
      </c>
      <c r="P1046" s="8" t="str" cm="1">
        <f t="array" ref="P10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7" spans="1:16" x14ac:dyDescent="0.8">
      <c r="A1047" s="5" t="s">
        <v>1118</v>
      </c>
      <c r="B1047" s="8">
        <v>42</v>
      </c>
      <c r="C1047" s="5" t="s">
        <v>49</v>
      </c>
      <c r="D1047" s="5" t="s">
        <v>51</v>
      </c>
      <c r="E1047" s="5" t="s">
        <v>44</v>
      </c>
      <c r="F1047" s="5" t="s">
        <v>137</v>
      </c>
      <c r="G1047" s="8">
        <v>2</v>
      </c>
      <c r="H1047" s="8">
        <v>6825</v>
      </c>
      <c r="I1047" s="5" t="s">
        <v>49</v>
      </c>
      <c r="J1047" s="8">
        <v>3</v>
      </c>
      <c r="K1047" s="8">
        <v>2</v>
      </c>
      <c r="L1047" s="8">
        <v>9</v>
      </c>
      <c r="M10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7" s="8" t="str" cm="1">
        <f t="array" ref="N1047">_xlfn.IFS(HR_Analytics56[[#This Row],[PerformanceRating]]=3,"Good",HR_Analytics56[[#This Row],[PerformanceRating]]=4, "Excellent")</f>
        <v>Good</v>
      </c>
      <c r="O1047" s="8" t="str">
        <f>IF(HR_Analytics56[[#This Row],[MonthlyIncome]]&lt;3000,"&lt; ₹3,000",IF(HR_Analytics56[[#This Row],[MonthlyIncome]]&lt;=7000,"₹ 3,000 - ₹ 7,000","&gt; ₹7,000"))</f>
        <v>₹ 3,000 - ₹ 7,000</v>
      </c>
      <c r="P1047" s="8" t="str" cm="1">
        <f t="array" ref="P10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8" spans="1:16" x14ac:dyDescent="0.8">
      <c r="A1048" s="5" t="s">
        <v>1119</v>
      </c>
      <c r="B1048" s="8">
        <v>42</v>
      </c>
      <c r="C1048" s="5" t="s">
        <v>49</v>
      </c>
      <c r="D1048" s="5" t="s">
        <v>42</v>
      </c>
      <c r="E1048" s="5" t="s">
        <v>53</v>
      </c>
      <c r="F1048" s="5" t="s">
        <v>112</v>
      </c>
      <c r="G1048" s="8">
        <v>3</v>
      </c>
      <c r="H1048" s="8">
        <v>5265</v>
      </c>
      <c r="I1048" s="5" t="s">
        <v>49</v>
      </c>
      <c r="J1048" s="8">
        <v>3</v>
      </c>
      <c r="K1048" s="8">
        <v>5</v>
      </c>
      <c r="L1048" s="8">
        <v>5</v>
      </c>
      <c r="M10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8" s="8" t="str" cm="1">
        <f t="array" ref="N1048">_xlfn.IFS(HR_Analytics56[[#This Row],[PerformanceRating]]=3,"Good",HR_Analytics56[[#This Row],[PerformanceRating]]=4, "Excellent")</f>
        <v>Good</v>
      </c>
      <c r="O1048" s="8" t="str">
        <f>IF(HR_Analytics56[[#This Row],[MonthlyIncome]]&lt;3000,"&lt; ₹3,000",IF(HR_Analytics56[[#This Row],[MonthlyIncome]]&lt;=7000,"₹ 3,000 - ₹ 7,000","&gt; ₹7,000"))</f>
        <v>₹ 3,000 - ₹ 7,000</v>
      </c>
      <c r="P1048" s="8" t="str" cm="1">
        <f t="array" ref="P10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49" spans="1:16" x14ac:dyDescent="0.8">
      <c r="A1049" s="5" t="s">
        <v>1120</v>
      </c>
      <c r="B1049" s="8">
        <v>42</v>
      </c>
      <c r="C1049" s="5" t="s">
        <v>49</v>
      </c>
      <c r="D1049" s="5" t="s">
        <v>42</v>
      </c>
      <c r="E1049" s="5" t="s">
        <v>44</v>
      </c>
      <c r="F1049" s="5" t="s">
        <v>442</v>
      </c>
      <c r="G1049" s="8">
        <v>4</v>
      </c>
      <c r="H1049" s="8">
        <v>19232</v>
      </c>
      <c r="I1049" s="5" t="s">
        <v>49</v>
      </c>
      <c r="J1049" s="8">
        <v>3</v>
      </c>
      <c r="K1049" s="8">
        <v>3</v>
      </c>
      <c r="L1049" s="8">
        <v>22</v>
      </c>
      <c r="M10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49" s="8" t="str" cm="1">
        <f t="array" ref="N1049">_xlfn.IFS(HR_Analytics56[[#This Row],[PerformanceRating]]=3,"Good",HR_Analytics56[[#This Row],[PerformanceRating]]=4, "Excellent")</f>
        <v>Good</v>
      </c>
      <c r="O1049" s="8" t="str">
        <f>IF(HR_Analytics56[[#This Row],[MonthlyIncome]]&lt;3000,"&lt; ₹3,000",IF(HR_Analytics56[[#This Row],[MonthlyIncome]]&lt;=7000,"₹ 3,000 - ₹ 7,000","&gt; ₹7,000"))</f>
        <v>&gt; ₹7,000</v>
      </c>
      <c r="P1049" s="8" t="str" cm="1">
        <f t="array" ref="P10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0" spans="1:16" x14ac:dyDescent="0.8">
      <c r="A1050" s="5" t="s">
        <v>1121</v>
      </c>
      <c r="B1050" s="8">
        <v>42</v>
      </c>
      <c r="C1050" s="5" t="s">
        <v>49</v>
      </c>
      <c r="D1050" s="5" t="s">
        <v>42</v>
      </c>
      <c r="E1050" s="5" t="s">
        <v>53</v>
      </c>
      <c r="F1050" s="5" t="s">
        <v>60</v>
      </c>
      <c r="G1050" s="8">
        <v>1</v>
      </c>
      <c r="H1050" s="8">
        <v>6545</v>
      </c>
      <c r="I1050" s="5" t="s">
        <v>40</v>
      </c>
      <c r="J1050" s="8">
        <v>3</v>
      </c>
      <c r="K1050" s="8">
        <v>1</v>
      </c>
      <c r="L1050" s="8">
        <v>3</v>
      </c>
      <c r="M10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50" s="8" t="str" cm="1">
        <f t="array" ref="N1050">_xlfn.IFS(HR_Analytics56[[#This Row],[PerformanceRating]]=3,"Good",HR_Analytics56[[#This Row],[PerformanceRating]]=4, "Excellent")</f>
        <v>Good</v>
      </c>
      <c r="O1050" s="8" t="str">
        <f>IF(HR_Analytics56[[#This Row],[MonthlyIncome]]&lt;3000,"&lt; ₹3,000",IF(HR_Analytics56[[#This Row],[MonthlyIncome]]&lt;=7000,"₹ 3,000 - ₹ 7,000","&gt; ₹7,000"))</f>
        <v>₹ 3,000 - ₹ 7,000</v>
      </c>
      <c r="P1050" s="8" t="str" cm="1">
        <f t="array" ref="P10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1" spans="1:16" x14ac:dyDescent="0.8">
      <c r="A1051" s="5" t="s">
        <v>1122</v>
      </c>
      <c r="B1051" s="8">
        <v>42</v>
      </c>
      <c r="C1051" s="5" t="s">
        <v>49</v>
      </c>
      <c r="D1051" s="5" t="s">
        <v>42</v>
      </c>
      <c r="E1051" s="5" t="s">
        <v>53</v>
      </c>
      <c r="F1051" s="5" t="s">
        <v>45</v>
      </c>
      <c r="G1051" s="8">
        <v>1</v>
      </c>
      <c r="H1051" s="8">
        <v>2593</v>
      </c>
      <c r="I1051" s="5" t="s">
        <v>40</v>
      </c>
      <c r="J1051" s="8">
        <v>3</v>
      </c>
      <c r="K1051" s="8">
        <v>4</v>
      </c>
      <c r="L1051" s="8">
        <v>9</v>
      </c>
      <c r="M10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51" s="8" t="str" cm="1">
        <f t="array" ref="N1051">_xlfn.IFS(HR_Analytics56[[#This Row],[PerformanceRating]]=3,"Good",HR_Analytics56[[#This Row],[PerformanceRating]]=4, "Excellent")</f>
        <v>Good</v>
      </c>
      <c r="O1051" s="8" t="str">
        <f>IF(HR_Analytics56[[#This Row],[MonthlyIncome]]&lt;3000,"&lt; ₹3,000",IF(HR_Analytics56[[#This Row],[MonthlyIncome]]&lt;=7000,"₹ 3,000 - ₹ 7,000","&gt; ₹7,000"))</f>
        <v>&lt; ₹3,000</v>
      </c>
      <c r="P1051" s="8" t="str" cm="1">
        <f t="array" ref="P10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2" spans="1:16" x14ac:dyDescent="0.8">
      <c r="A1052" s="5" t="s">
        <v>1123</v>
      </c>
      <c r="B1052" s="8">
        <v>42</v>
      </c>
      <c r="C1052" s="5" t="s">
        <v>49</v>
      </c>
      <c r="D1052" s="5" t="s">
        <v>51</v>
      </c>
      <c r="E1052" s="5" t="s">
        <v>44</v>
      </c>
      <c r="F1052" s="5" t="s">
        <v>137</v>
      </c>
      <c r="G1052" s="8">
        <v>3</v>
      </c>
      <c r="H1052" s="8">
        <v>4907</v>
      </c>
      <c r="I1052" s="5" t="s">
        <v>49</v>
      </c>
      <c r="J1052" s="8">
        <v>4</v>
      </c>
      <c r="K1052" s="8">
        <v>3</v>
      </c>
      <c r="L1052" s="8">
        <v>20</v>
      </c>
      <c r="M10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2" s="8" t="str" cm="1">
        <f t="array" ref="N1052">_xlfn.IFS(HR_Analytics56[[#This Row],[PerformanceRating]]=3,"Good",HR_Analytics56[[#This Row],[PerformanceRating]]=4, "Excellent")</f>
        <v>Excellent</v>
      </c>
      <c r="O1052" s="8" t="str">
        <f>IF(HR_Analytics56[[#This Row],[MonthlyIncome]]&lt;3000,"&lt; ₹3,000",IF(HR_Analytics56[[#This Row],[MonthlyIncome]]&lt;=7000,"₹ 3,000 - ₹ 7,000","&gt; ₹7,000"))</f>
        <v>₹ 3,000 - ₹ 7,000</v>
      </c>
      <c r="P1052" s="8" t="str" cm="1">
        <f t="array" ref="P105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53" spans="1:16" x14ac:dyDescent="0.8">
      <c r="A1053" s="5" t="s">
        <v>1124</v>
      </c>
      <c r="B1053" s="8">
        <v>42</v>
      </c>
      <c r="C1053" s="5" t="s">
        <v>49</v>
      </c>
      <c r="D1053" s="5" t="s">
        <v>51</v>
      </c>
      <c r="E1053" s="5" t="s">
        <v>53</v>
      </c>
      <c r="F1053" s="5" t="s">
        <v>137</v>
      </c>
      <c r="G1053" s="8">
        <v>2</v>
      </c>
      <c r="H1053" s="8">
        <v>13525</v>
      </c>
      <c r="I1053" s="5" t="s">
        <v>49</v>
      </c>
      <c r="J1053" s="8">
        <v>3</v>
      </c>
      <c r="K1053" s="8">
        <v>2</v>
      </c>
      <c r="L1053" s="8">
        <v>20</v>
      </c>
      <c r="M10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3" s="8" t="str" cm="1">
        <f t="array" ref="N1053">_xlfn.IFS(HR_Analytics56[[#This Row],[PerformanceRating]]=3,"Good",HR_Analytics56[[#This Row],[PerformanceRating]]=4, "Excellent")</f>
        <v>Good</v>
      </c>
      <c r="O1053" s="8" t="str">
        <f>IF(HR_Analytics56[[#This Row],[MonthlyIncome]]&lt;3000,"&lt; ₹3,000",IF(HR_Analytics56[[#This Row],[MonthlyIncome]]&lt;=7000,"₹ 3,000 - ₹ 7,000","&gt; ₹7,000"))</f>
        <v>&gt; ₹7,000</v>
      </c>
      <c r="P1053" s="8" t="str" cm="1">
        <f t="array" ref="P10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4" spans="1:16" x14ac:dyDescent="0.8">
      <c r="A1054" s="5" t="s">
        <v>1125</v>
      </c>
      <c r="B1054" s="8">
        <v>42</v>
      </c>
      <c r="C1054" s="5" t="s">
        <v>49</v>
      </c>
      <c r="D1054" s="5" t="s">
        <v>42</v>
      </c>
      <c r="E1054" s="5" t="s">
        <v>53</v>
      </c>
      <c r="F1054" s="5" t="s">
        <v>252</v>
      </c>
      <c r="G1054" s="8">
        <v>4</v>
      </c>
      <c r="H1054" s="8">
        <v>15992</v>
      </c>
      <c r="I1054" s="5" t="s">
        <v>49</v>
      </c>
      <c r="J1054" s="8">
        <v>3</v>
      </c>
      <c r="K1054" s="8">
        <v>2</v>
      </c>
      <c r="L1054" s="8">
        <v>1</v>
      </c>
      <c r="M10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4" s="8" t="str" cm="1">
        <f t="array" ref="N1054">_xlfn.IFS(HR_Analytics56[[#This Row],[PerformanceRating]]=3,"Good",HR_Analytics56[[#This Row],[PerformanceRating]]=4, "Excellent")</f>
        <v>Good</v>
      </c>
      <c r="O1054" s="8" t="str">
        <f>IF(HR_Analytics56[[#This Row],[MonthlyIncome]]&lt;3000,"&lt; ₹3,000",IF(HR_Analytics56[[#This Row],[MonthlyIncome]]&lt;=7000,"₹ 3,000 - ₹ 7,000","&gt; ₹7,000"))</f>
        <v>&gt; ₹7,000</v>
      </c>
      <c r="P1054" s="8" t="str" cm="1">
        <f t="array" ref="P10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5" spans="1:16" x14ac:dyDescent="0.8">
      <c r="A1055" s="5" t="s">
        <v>1126</v>
      </c>
      <c r="B1055" s="8">
        <v>42</v>
      </c>
      <c r="C1055" s="5" t="s">
        <v>49</v>
      </c>
      <c r="D1055" s="5" t="s">
        <v>71</v>
      </c>
      <c r="E1055" s="5" t="s">
        <v>44</v>
      </c>
      <c r="F1055" s="5" t="s">
        <v>71</v>
      </c>
      <c r="G1055" s="8">
        <v>3</v>
      </c>
      <c r="H1055" s="8">
        <v>2696</v>
      </c>
      <c r="I1055" s="5" t="s">
        <v>40</v>
      </c>
      <c r="J1055" s="8">
        <v>3</v>
      </c>
      <c r="K1055" s="8">
        <v>5</v>
      </c>
      <c r="L1055" s="8">
        <v>3</v>
      </c>
      <c r="M10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55" s="8" t="str" cm="1">
        <f t="array" ref="N1055">_xlfn.IFS(HR_Analytics56[[#This Row],[PerformanceRating]]=3,"Good",HR_Analytics56[[#This Row],[PerformanceRating]]=4, "Excellent")</f>
        <v>Good</v>
      </c>
      <c r="O1055" s="8" t="str">
        <f>IF(HR_Analytics56[[#This Row],[MonthlyIncome]]&lt;3000,"&lt; ₹3,000",IF(HR_Analytics56[[#This Row],[MonthlyIncome]]&lt;=7000,"₹ 3,000 - ₹ 7,000","&gt; ₹7,000"))</f>
        <v>&lt; ₹3,000</v>
      </c>
      <c r="P1055" s="8" t="str" cm="1">
        <f t="array" ref="P10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6" spans="1:16" x14ac:dyDescent="0.8">
      <c r="A1056" s="5" t="s">
        <v>1127</v>
      </c>
      <c r="B1056" s="8">
        <v>42</v>
      </c>
      <c r="C1056" s="5" t="s">
        <v>49</v>
      </c>
      <c r="D1056" s="5" t="s">
        <v>42</v>
      </c>
      <c r="E1056" s="5" t="s">
        <v>44</v>
      </c>
      <c r="F1056" s="5" t="s">
        <v>161</v>
      </c>
      <c r="G1056" s="8">
        <v>4</v>
      </c>
      <c r="H1056" s="8">
        <v>6781</v>
      </c>
      <c r="I1056" s="5" t="s">
        <v>49</v>
      </c>
      <c r="J1056" s="8">
        <v>4</v>
      </c>
      <c r="K1056" s="8">
        <v>6</v>
      </c>
      <c r="L1056" s="8">
        <v>1</v>
      </c>
      <c r="M10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6" s="8" t="str" cm="1">
        <f t="array" ref="N1056">_xlfn.IFS(HR_Analytics56[[#This Row],[PerformanceRating]]=3,"Good",HR_Analytics56[[#This Row],[PerformanceRating]]=4, "Excellent")</f>
        <v>Excellent</v>
      </c>
      <c r="O1056" s="8" t="str">
        <f>IF(HR_Analytics56[[#This Row],[MonthlyIncome]]&lt;3000,"&lt; ₹3,000",IF(HR_Analytics56[[#This Row],[MonthlyIncome]]&lt;=7000,"₹ 3,000 - ₹ 7,000","&gt; ₹7,000"))</f>
        <v>₹ 3,000 - ₹ 7,000</v>
      </c>
      <c r="P1056" s="8" t="str" cm="1">
        <f t="array" ref="P10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7" spans="1:16" x14ac:dyDescent="0.8">
      <c r="A1057" s="5" t="s">
        <v>1128</v>
      </c>
      <c r="B1057" s="8">
        <v>42</v>
      </c>
      <c r="C1057" s="5" t="s">
        <v>49</v>
      </c>
      <c r="D1057" s="5" t="s">
        <v>42</v>
      </c>
      <c r="E1057" s="5" t="s">
        <v>53</v>
      </c>
      <c r="F1057" s="5" t="s">
        <v>45</v>
      </c>
      <c r="G1057" s="8">
        <v>1</v>
      </c>
      <c r="H1057" s="8">
        <v>2576</v>
      </c>
      <c r="I1057" s="5" t="s">
        <v>49</v>
      </c>
      <c r="J1057" s="8">
        <v>3</v>
      </c>
      <c r="K1057" s="8">
        <v>5</v>
      </c>
      <c r="L1057" s="8">
        <v>5</v>
      </c>
      <c r="M10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7" s="8" t="str" cm="1">
        <f t="array" ref="N1057">_xlfn.IFS(HR_Analytics56[[#This Row],[PerformanceRating]]=3,"Good",HR_Analytics56[[#This Row],[PerformanceRating]]=4, "Excellent")</f>
        <v>Good</v>
      </c>
      <c r="O1057" s="8" t="str">
        <f>IF(HR_Analytics56[[#This Row],[MonthlyIncome]]&lt;3000,"&lt; ₹3,000",IF(HR_Analytics56[[#This Row],[MonthlyIncome]]&lt;=7000,"₹ 3,000 - ₹ 7,000","&gt; ₹7,000"))</f>
        <v>&lt; ₹3,000</v>
      </c>
      <c r="P1057" s="8" t="str" cm="1">
        <f t="array" ref="P10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8" spans="1:16" x14ac:dyDescent="0.8">
      <c r="A1058" s="5" t="s">
        <v>1129</v>
      </c>
      <c r="B1058" s="8">
        <v>42</v>
      </c>
      <c r="C1058" s="5" t="s">
        <v>49</v>
      </c>
      <c r="D1058" s="5" t="s">
        <v>42</v>
      </c>
      <c r="E1058" s="5" t="s">
        <v>53</v>
      </c>
      <c r="F1058" s="5" t="s">
        <v>60</v>
      </c>
      <c r="G1058" s="8">
        <v>3</v>
      </c>
      <c r="H1058" s="8">
        <v>4556</v>
      </c>
      <c r="I1058" s="5" t="s">
        <v>49</v>
      </c>
      <c r="J1058" s="8">
        <v>3</v>
      </c>
      <c r="K1058" s="8">
        <v>3</v>
      </c>
      <c r="L1058" s="8">
        <v>5</v>
      </c>
      <c r="M10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8" s="8" t="str" cm="1">
        <f t="array" ref="N1058">_xlfn.IFS(HR_Analytics56[[#This Row],[PerformanceRating]]=3,"Good",HR_Analytics56[[#This Row],[PerformanceRating]]=4, "Excellent")</f>
        <v>Good</v>
      </c>
      <c r="O1058" s="8" t="str">
        <f>IF(HR_Analytics56[[#This Row],[MonthlyIncome]]&lt;3000,"&lt; ₹3,000",IF(HR_Analytics56[[#This Row],[MonthlyIncome]]&lt;=7000,"₹ 3,000 - ₹ 7,000","&gt; ₹7,000"))</f>
        <v>₹ 3,000 - ₹ 7,000</v>
      </c>
      <c r="P1058" s="8" t="str" cm="1">
        <f t="array" ref="P10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59" spans="1:16" x14ac:dyDescent="0.8">
      <c r="A1059" s="5" t="s">
        <v>1130</v>
      </c>
      <c r="B1059" s="8">
        <v>42</v>
      </c>
      <c r="C1059" s="5" t="s">
        <v>49</v>
      </c>
      <c r="D1059" s="5" t="s">
        <v>42</v>
      </c>
      <c r="E1059" s="5" t="s">
        <v>53</v>
      </c>
      <c r="F1059" s="5" t="s">
        <v>161</v>
      </c>
      <c r="G1059" s="8">
        <v>4</v>
      </c>
      <c r="H1059" s="8">
        <v>4523</v>
      </c>
      <c r="I1059" s="5" t="s">
        <v>49</v>
      </c>
      <c r="J1059" s="8">
        <v>3</v>
      </c>
      <c r="K1059" s="8">
        <v>4</v>
      </c>
      <c r="L1059" s="8">
        <v>6</v>
      </c>
      <c r="M10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59" s="8" t="str" cm="1">
        <f t="array" ref="N1059">_xlfn.IFS(HR_Analytics56[[#This Row],[PerformanceRating]]=3,"Good",HR_Analytics56[[#This Row],[PerformanceRating]]=4, "Excellent")</f>
        <v>Good</v>
      </c>
      <c r="O1059" s="8" t="str">
        <f>IF(HR_Analytics56[[#This Row],[MonthlyIncome]]&lt;3000,"&lt; ₹3,000",IF(HR_Analytics56[[#This Row],[MonthlyIncome]]&lt;=7000,"₹ 3,000 - ₹ 7,000","&gt; ₹7,000"))</f>
        <v>₹ 3,000 - ₹ 7,000</v>
      </c>
      <c r="P1059" s="8" t="str" cm="1">
        <f t="array" ref="P10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0" spans="1:16" x14ac:dyDescent="0.8">
      <c r="A1060" s="5" t="s">
        <v>1131</v>
      </c>
      <c r="B1060" s="8">
        <v>42</v>
      </c>
      <c r="C1060" s="5" t="s">
        <v>49</v>
      </c>
      <c r="D1060" s="5" t="s">
        <v>42</v>
      </c>
      <c r="E1060" s="5" t="s">
        <v>44</v>
      </c>
      <c r="F1060" s="5" t="s">
        <v>45</v>
      </c>
      <c r="G1060" s="8">
        <v>3</v>
      </c>
      <c r="H1060" s="8">
        <v>2093</v>
      </c>
      <c r="I1060" s="5" t="s">
        <v>49</v>
      </c>
      <c r="J1060" s="8">
        <v>3</v>
      </c>
      <c r="K1060" s="8">
        <v>4</v>
      </c>
      <c r="L1060" s="8">
        <v>2</v>
      </c>
      <c r="M10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0" s="8" t="str" cm="1">
        <f t="array" ref="N1060">_xlfn.IFS(HR_Analytics56[[#This Row],[PerformanceRating]]=3,"Good",HR_Analytics56[[#This Row],[PerformanceRating]]=4, "Excellent")</f>
        <v>Good</v>
      </c>
      <c r="O1060" s="8" t="str">
        <f>IF(HR_Analytics56[[#This Row],[MonthlyIncome]]&lt;3000,"&lt; ₹3,000",IF(HR_Analytics56[[#This Row],[MonthlyIncome]]&lt;=7000,"₹ 3,000 - ₹ 7,000","&gt; ₹7,000"))</f>
        <v>&lt; ₹3,000</v>
      </c>
      <c r="P1060" s="8" t="str" cm="1">
        <f t="array" ref="P10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1" spans="1:16" x14ac:dyDescent="0.8">
      <c r="A1061" s="5" t="s">
        <v>1132</v>
      </c>
      <c r="B1061" s="8">
        <v>42</v>
      </c>
      <c r="C1061" s="5" t="s">
        <v>49</v>
      </c>
      <c r="D1061" s="5" t="s">
        <v>42</v>
      </c>
      <c r="E1061" s="5" t="s">
        <v>44</v>
      </c>
      <c r="F1061" s="5" t="s">
        <v>112</v>
      </c>
      <c r="G1061" s="8">
        <v>1</v>
      </c>
      <c r="H1061" s="8">
        <v>7406</v>
      </c>
      <c r="I1061" s="5" t="s">
        <v>40</v>
      </c>
      <c r="J1061" s="8">
        <v>4</v>
      </c>
      <c r="K1061" s="8">
        <v>5</v>
      </c>
      <c r="L1061" s="8">
        <v>10</v>
      </c>
      <c r="M10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61" s="8" t="str" cm="1">
        <f t="array" ref="N1061">_xlfn.IFS(HR_Analytics56[[#This Row],[PerformanceRating]]=3,"Good",HR_Analytics56[[#This Row],[PerformanceRating]]=4, "Excellent")</f>
        <v>Excellent</v>
      </c>
      <c r="O1061" s="8" t="str">
        <f>IF(HR_Analytics56[[#This Row],[MonthlyIncome]]&lt;3000,"&lt; ₹3,000",IF(HR_Analytics56[[#This Row],[MonthlyIncome]]&lt;=7000,"₹ 3,000 - ₹ 7,000","&gt; ₹7,000"))</f>
        <v>&gt; ₹7,000</v>
      </c>
      <c r="P1061" s="8" t="str" cm="1">
        <f t="array" ref="P106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62" spans="1:16" x14ac:dyDescent="0.8">
      <c r="A1062" s="5" t="s">
        <v>1133</v>
      </c>
      <c r="B1062" s="8">
        <v>42</v>
      </c>
      <c r="C1062" s="5" t="s">
        <v>49</v>
      </c>
      <c r="D1062" s="5" t="s">
        <v>42</v>
      </c>
      <c r="E1062" s="5" t="s">
        <v>53</v>
      </c>
      <c r="F1062" s="5" t="s">
        <v>161</v>
      </c>
      <c r="G1062" s="8">
        <v>4</v>
      </c>
      <c r="H1062" s="8">
        <v>4089</v>
      </c>
      <c r="I1062" s="5" t="s">
        <v>49</v>
      </c>
      <c r="J1062" s="8">
        <v>3</v>
      </c>
      <c r="K1062" s="8">
        <v>4</v>
      </c>
      <c r="L1062" s="8">
        <v>10</v>
      </c>
      <c r="M10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2" s="8" t="str" cm="1">
        <f t="array" ref="N1062">_xlfn.IFS(HR_Analytics56[[#This Row],[PerformanceRating]]=3,"Good",HR_Analytics56[[#This Row],[PerformanceRating]]=4, "Excellent")</f>
        <v>Good</v>
      </c>
      <c r="O1062" s="8" t="str">
        <f>IF(HR_Analytics56[[#This Row],[MonthlyIncome]]&lt;3000,"&lt; ₹3,000",IF(HR_Analytics56[[#This Row],[MonthlyIncome]]&lt;=7000,"₹ 3,000 - ₹ 7,000","&gt; ₹7,000"))</f>
        <v>₹ 3,000 - ₹ 7,000</v>
      </c>
      <c r="P1062" s="8" t="str" cm="1">
        <f t="array" ref="P10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3" spans="1:16" x14ac:dyDescent="0.8">
      <c r="A1063" s="5" t="s">
        <v>1134</v>
      </c>
      <c r="B1063" s="8">
        <v>42</v>
      </c>
      <c r="C1063" s="5" t="s">
        <v>40</v>
      </c>
      <c r="D1063" s="5" t="s">
        <v>42</v>
      </c>
      <c r="E1063" s="5" t="s">
        <v>44</v>
      </c>
      <c r="F1063" s="5" t="s">
        <v>60</v>
      </c>
      <c r="G1063" s="8">
        <v>3</v>
      </c>
      <c r="H1063" s="8">
        <v>2759</v>
      </c>
      <c r="I1063" s="5" t="s">
        <v>40</v>
      </c>
      <c r="J1063" s="8">
        <v>3</v>
      </c>
      <c r="K1063" s="8">
        <v>2</v>
      </c>
      <c r="L1063" s="8">
        <v>2</v>
      </c>
      <c r="M10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63" s="8" t="str" cm="1">
        <f t="array" ref="N1063">_xlfn.IFS(HR_Analytics56[[#This Row],[PerformanceRating]]=3,"Good",HR_Analytics56[[#This Row],[PerformanceRating]]=4, "Excellent")</f>
        <v>Good</v>
      </c>
      <c r="O1063" s="8" t="str">
        <f>IF(HR_Analytics56[[#This Row],[MonthlyIncome]]&lt;3000,"&lt; ₹3,000",IF(HR_Analytics56[[#This Row],[MonthlyIncome]]&lt;=7000,"₹ 3,000 - ₹ 7,000","&gt; ₹7,000"))</f>
        <v>&lt; ₹3,000</v>
      </c>
      <c r="P1063" s="8" t="str" cm="1">
        <f t="array" ref="P10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4" spans="1:16" x14ac:dyDescent="0.8">
      <c r="A1064" s="5" t="s">
        <v>1135</v>
      </c>
      <c r="B1064" s="8">
        <v>42</v>
      </c>
      <c r="C1064" s="5" t="s">
        <v>49</v>
      </c>
      <c r="D1064" s="5" t="s">
        <v>42</v>
      </c>
      <c r="E1064" s="5" t="s">
        <v>44</v>
      </c>
      <c r="F1064" s="5" t="s">
        <v>442</v>
      </c>
      <c r="G1064" s="8">
        <v>4</v>
      </c>
      <c r="H1064" s="8">
        <v>18430</v>
      </c>
      <c r="I1064" s="5" t="s">
        <v>49</v>
      </c>
      <c r="J1064" s="8">
        <v>3</v>
      </c>
      <c r="K1064" s="8">
        <v>4</v>
      </c>
      <c r="L1064" s="8">
        <v>24</v>
      </c>
      <c r="M10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4" s="8" t="str" cm="1">
        <f t="array" ref="N1064">_xlfn.IFS(HR_Analytics56[[#This Row],[PerformanceRating]]=3,"Good",HR_Analytics56[[#This Row],[PerformanceRating]]=4, "Excellent")</f>
        <v>Good</v>
      </c>
      <c r="O1064" s="8" t="str">
        <f>IF(HR_Analytics56[[#This Row],[MonthlyIncome]]&lt;3000,"&lt; ₹3,000",IF(HR_Analytics56[[#This Row],[MonthlyIncome]]&lt;=7000,"₹ 3,000 - ₹ 7,000","&gt; ₹7,000"))</f>
        <v>&gt; ₹7,000</v>
      </c>
      <c r="P1064" s="8" t="str" cm="1">
        <f t="array" ref="P10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5" spans="1:16" x14ac:dyDescent="0.8">
      <c r="A1065" s="5" t="s">
        <v>1136</v>
      </c>
      <c r="B1065" s="8">
        <v>42</v>
      </c>
      <c r="C1065" s="5" t="s">
        <v>49</v>
      </c>
      <c r="D1065" s="5" t="s">
        <v>42</v>
      </c>
      <c r="E1065" s="5" t="s">
        <v>53</v>
      </c>
      <c r="F1065" s="5" t="s">
        <v>112</v>
      </c>
      <c r="G1065" s="8">
        <v>4</v>
      </c>
      <c r="H1065" s="8">
        <v>6062</v>
      </c>
      <c r="I1065" s="5" t="s">
        <v>40</v>
      </c>
      <c r="J1065" s="8">
        <v>3</v>
      </c>
      <c r="K1065" s="8">
        <v>4</v>
      </c>
      <c r="L1065" s="8">
        <v>4</v>
      </c>
      <c r="M10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65" s="8" t="str" cm="1">
        <f t="array" ref="N1065">_xlfn.IFS(HR_Analytics56[[#This Row],[PerformanceRating]]=3,"Good",HR_Analytics56[[#This Row],[PerformanceRating]]=4, "Excellent")</f>
        <v>Good</v>
      </c>
      <c r="O1065" s="8" t="str">
        <f>IF(HR_Analytics56[[#This Row],[MonthlyIncome]]&lt;3000,"&lt; ₹3,000",IF(HR_Analytics56[[#This Row],[MonthlyIncome]]&lt;=7000,"₹ 3,000 - ₹ 7,000","&gt; ₹7,000"))</f>
        <v>₹ 3,000 - ₹ 7,000</v>
      </c>
      <c r="P1065" s="8" t="str" cm="1">
        <f t="array" ref="P10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6" spans="1:16" x14ac:dyDescent="0.8">
      <c r="A1066" s="5" t="s">
        <v>1137</v>
      </c>
      <c r="B1066" s="8">
        <v>42</v>
      </c>
      <c r="C1066" s="5" t="s">
        <v>49</v>
      </c>
      <c r="D1066" s="5" t="s">
        <v>42</v>
      </c>
      <c r="E1066" s="5" t="s">
        <v>44</v>
      </c>
      <c r="F1066" s="5" t="s">
        <v>112</v>
      </c>
      <c r="G1066" s="8">
        <v>2</v>
      </c>
      <c r="H1066" s="8">
        <v>4434</v>
      </c>
      <c r="I1066" s="5" t="s">
        <v>49</v>
      </c>
      <c r="J1066" s="8">
        <v>3</v>
      </c>
      <c r="K1066" s="8">
        <v>3</v>
      </c>
      <c r="L1066" s="8">
        <v>9</v>
      </c>
      <c r="M10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6" s="8" t="str" cm="1">
        <f t="array" ref="N1066">_xlfn.IFS(HR_Analytics56[[#This Row],[PerformanceRating]]=3,"Good",HR_Analytics56[[#This Row],[PerformanceRating]]=4, "Excellent")</f>
        <v>Good</v>
      </c>
      <c r="O1066" s="8" t="str">
        <f>IF(HR_Analytics56[[#This Row],[MonthlyIncome]]&lt;3000,"&lt; ₹3,000",IF(HR_Analytics56[[#This Row],[MonthlyIncome]]&lt;=7000,"₹ 3,000 - ₹ 7,000","&gt; ₹7,000"))</f>
        <v>₹ 3,000 - ₹ 7,000</v>
      </c>
      <c r="P1066" s="8" t="str" cm="1">
        <f t="array" ref="P10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7" spans="1:16" x14ac:dyDescent="0.8">
      <c r="A1067" s="5" t="s">
        <v>1138</v>
      </c>
      <c r="B1067" s="8">
        <v>42</v>
      </c>
      <c r="C1067" s="5" t="s">
        <v>49</v>
      </c>
      <c r="D1067" s="5" t="s">
        <v>42</v>
      </c>
      <c r="E1067" s="5" t="s">
        <v>44</v>
      </c>
      <c r="F1067" s="5" t="s">
        <v>60</v>
      </c>
      <c r="G1067" s="8">
        <v>4</v>
      </c>
      <c r="H1067" s="8">
        <v>2515</v>
      </c>
      <c r="I1067" s="5" t="s">
        <v>40</v>
      </c>
      <c r="J1067" s="8">
        <v>3</v>
      </c>
      <c r="K1067" s="8">
        <v>2</v>
      </c>
      <c r="L1067" s="8">
        <v>2</v>
      </c>
      <c r="M10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67" s="8" t="str" cm="1">
        <f t="array" ref="N1067">_xlfn.IFS(HR_Analytics56[[#This Row],[PerformanceRating]]=3,"Good",HR_Analytics56[[#This Row],[PerformanceRating]]=4, "Excellent")</f>
        <v>Good</v>
      </c>
      <c r="O1067" s="8" t="str">
        <f>IF(HR_Analytics56[[#This Row],[MonthlyIncome]]&lt;3000,"&lt; ₹3,000",IF(HR_Analytics56[[#This Row],[MonthlyIncome]]&lt;=7000,"₹ 3,000 - ₹ 7,000","&gt; ₹7,000"))</f>
        <v>&lt; ₹3,000</v>
      </c>
      <c r="P1067" s="8" t="str" cm="1">
        <f t="array" ref="P10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8" spans="1:16" x14ac:dyDescent="0.8">
      <c r="A1068" s="5" t="s">
        <v>1139</v>
      </c>
      <c r="B1068" s="8">
        <v>42</v>
      </c>
      <c r="C1068" s="5" t="s">
        <v>49</v>
      </c>
      <c r="D1068" s="5" t="s">
        <v>42</v>
      </c>
      <c r="E1068" s="5" t="s">
        <v>53</v>
      </c>
      <c r="F1068" s="5" t="s">
        <v>45</v>
      </c>
      <c r="G1068" s="8">
        <v>4</v>
      </c>
      <c r="H1068" s="8">
        <v>5231</v>
      </c>
      <c r="I1068" s="5" t="s">
        <v>40</v>
      </c>
      <c r="J1068" s="8">
        <v>3</v>
      </c>
      <c r="K1068" s="8">
        <v>1</v>
      </c>
      <c r="L1068" s="8">
        <v>5</v>
      </c>
      <c r="M10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68" s="8" t="str" cm="1">
        <f t="array" ref="N1068">_xlfn.IFS(HR_Analytics56[[#This Row],[PerformanceRating]]=3,"Good",HR_Analytics56[[#This Row],[PerformanceRating]]=4, "Excellent")</f>
        <v>Good</v>
      </c>
      <c r="O1068" s="8" t="str">
        <f>IF(HR_Analytics56[[#This Row],[MonthlyIncome]]&lt;3000,"&lt; ₹3,000",IF(HR_Analytics56[[#This Row],[MonthlyIncome]]&lt;=7000,"₹ 3,000 - ₹ 7,000","&gt; ₹7,000"))</f>
        <v>₹ 3,000 - ₹ 7,000</v>
      </c>
      <c r="P1068" s="8" t="str" cm="1">
        <f t="array" ref="P10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69" spans="1:16" x14ac:dyDescent="0.8">
      <c r="A1069" s="5" t="s">
        <v>1140</v>
      </c>
      <c r="B1069" s="8">
        <v>42</v>
      </c>
      <c r="C1069" s="5" t="s">
        <v>49</v>
      </c>
      <c r="D1069" s="5" t="s">
        <v>51</v>
      </c>
      <c r="E1069" s="5" t="s">
        <v>53</v>
      </c>
      <c r="F1069" s="5" t="s">
        <v>137</v>
      </c>
      <c r="G1069" s="8">
        <v>3</v>
      </c>
      <c r="H1069" s="8">
        <v>6244</v>
      </c>
      <c r="I1069" s="5" t="s">
        <v>49</v>
      </c>
      <c r="J1069" s="8">
        <v>3</v>
      </c>
      <c r="K1069" s="8">
        <v>6</v>
      </c>
      <c r="L1069" s="8">
        <v>5</v>
      </c>
      <c r="M10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69" s="8" t="str" cm="1">
        <f t="array" ref="N1069">_xlfn.IFS(HR_Analytics56[[#This Row],[PerformanceRating]]=3,"Good",HR_Analytics56[[#This Row],[PerformanceRating]]=4, "Excellent")</f>
        <v>Good</v>
      </c>
      <c r="O1069" s="8" t="str">
        <f>IF(HR_Analytics56[[#This Row],[MonthlyIncome]]&lt;3000,"&lt; ₹3,000",IF(HR_Analytics56[[#This Row],[MonthlyIncome]]&lt;=7000,"₹ 3,000 - ₹ 7,000","&gt; ₹7,000"))</f>
        <v>₹ 3,000 - ₹ 7,000</v>
      </c>
      <c r="P1069" s="8" t="str" cm="1">
        <f t="array" ref="P10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0" spans="1:16" x14ac:dyDescent="0.8">
      <c r="A1070" s="5" t="s">
        <v>1141</v>
      </c>
      <c r="B1070" s="8">
        <v>42</v>
      </c>
      <c r="C1070" s="5" t="s">
        <v>49</v>
      </c>
      <c r="D1070" s="5" t="s">
        <v>51</v>
      </c>
      <c r="E1070" s="5" t="s">
        <v>44</v>
      </c>
      <c r="F1070" s="5" t="s">
        <v>442</v>
      </c>
      <c r="G1070" s="8">
        <v>3</v>
      </c>
      <c r="H1070" s="8">
        <v>18303</v>
      </c>
      <c r="I1070" s="5" t="s">
        <v>49</v>
      </c>
      <c r="J1070" s="8">
        <v>3</v>
      </c>
      <c r="K1070" s="8">
        <v>3</v>
      </c>
      <c r="L1070" s="8">
        <v>1</v>
      </c>
      <c r="M10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0" s="8" t="str" cm="1">
        <f t="array" ref="N1070">_xlfn.IFS(HR_Analytics56[[#This Row],[PerformanceRating]]=3,"Good",HR_Analytics56[[#This Row],[PerformanceRating]]=4, "Excellent")</f>
        <v>Good</v>
      </c>
      <c r="O1070" s="8" t="str">
        <f>IF(HR_Analytics56[[#This Row],[MonthlyIncome]]&lt;3000,"&lt; ₹3,000",IF(HR_Analytics56[[#This Row],[MonthlyIncome]]&lt;=7000,"₹ 3,000 - ₹ 7,000","&gt; ₹7,000"))</f>
        <v>&gt; ₹7,000</v>
      </c>
      <c r="P1070" s="8" t="str" cm="1">
        <f t="array" ref="P10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1" spans="1:16" x14ac:dyDescent="0.8">
      <c r="A1071" s="5" t="s">
        <v>1142</v>
      </c>
      <c r="B1071" s="8">
        <v>42</v>
      </c>
      <c r="C1071" s="5" t="s">
        <v>49</v>
      </c>
      <c r="D1071" s="5" t="s">
        <v>42</v>
      </c>
      <c r="E1071" s="5" t="s">
        <v>44</v>
      </c>
      <c r="F1071" s="5" t="s">
        <v>442</v>
      </c>
      <c r="G1071" s="8">
        <v>1</v>
      </c>
      <c r="H1071" s="8">
        <v>17665</v>
      </c>
      <c r="I1071" s="5" t="s">
        <v>49</v>
      </c>
      <c r="J1071" s="8">
        <v>3</v>
      </c>
      <c r="K1071" s="8">
        <v>3</v>
      </c>
      <c r="L1071" s="8">
        <v>22</v>
      </c>
      <c r="M10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1" s="8" t="str" cm="1">
        <f t="array" ref="N1071">_xlfn.IFS(HR_Analytics56[[#This Row],[PerformanceRating]]=3,"Good",HR_Analytics56[[#This Row],[PerformanceRating]]=4, "Excellent")</f>
        <v>Good</v>
      </c>
      <c r="O1071" s="8" t="str">
        <f>IF(HR_Analytics56[[#This Row],[MonthlyIncome]]&lt;3000,"&lt; ₹3,000",IF(HR_Analytics56[[#This Row],[MonthlyIncome]]&lt;=7000,"₹ 3,000 - ₹ 7,000","&gt; ₹7,000"))</f>
        <v>&gt; ₹7,000</v>
      </c>
      <c r="P1071" s="8" t="str" cm="1">
        <f t="array" ref="P10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2" spans="1:16" x14ac:dyDescent="0.8">
      <c r="A1072" s="5" t="s">
        <v>1143</v>
      </c>
      <c r="B1072" s="8">
        <v>42</v>
      </c>
      <c r="C1072" s="5" t="s">
        <v>49</v>
      </c>
      <c r="D1072" s="5" t="s">
        <v>42</v>
      </c>
      <c r="E1072" s="5" t="s">
        <v>44</v>
      </c>
      <c r="F1072" s="5" t="s">
        <v>45</v>
      </c>
      <c r="G1072" s="8">
        <v>4</v>
      </c>
      <c r="H1072" s="8">
        <v>4272</v>
      </c>
      <c r="I1072" s="5" t="s">
        <v>49</v>
      </c>
      <c r="J1072" s="8">
        <v>3</v>
      </c>
      <c r="K1072" s="8">
        <v>3</v>
      </c>
      <c r="L1072" s="8">
        <v>1</v>
      </c>
      <c r="M10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2" s="8" t="str" cm="1">
        <f t="array" ref="N1072">_xlfn.IFS(HR_Analytics56[[#This Row],[PerformanceRating]]=3,"Good",HR_Analytics56[[#This Row],[PerformanceRating]]=4, "Excellent")</f>
        <v>Good</v>
      </c>
      <c r="O1072" s="8" t="str">
        <f>IF(HR_Analytics56[[#This Row],[MonthlyIncome]]&lt;3000,"&lt; ₹3,000",IF(HR_Analytics56[[#This Row],[MonthlyIncome]]&lt;=7000,"₹ 3,000 - ₹ 7,000","&gt; ₹7,000"))</f>
        <v>₹ 3,000 - ₹ 7,000</v>
      </c>
      <c r="P1072" s="8" t="str" cm="1">
        <f t="array" ref="P10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3" spans="1:16" x14ac:dyDescent="0.8">
      <c r="A1073" s="5" t="s">
        <v>1144</v>
      </c>
      <c r="B1073" s="8">
        <v>42</v>
      </c>
      <c r="C1073" s="5" t="s">
        <v>40</v>
      </c>
      <c r="D1073" s="5" t="s">
        <v>51</v>
      </c>
      <c r="E1073" s="5" t="s">
        <v>44</v>
      </c>
      <c r="F1073" s="5" t="s">
        <v>137</v>
      </c>
      <c r="G1073" s="8">
        <v>1</v>
      </c>
      <c r="H1073" s="8">
        <v>13758</v>
      </c>
      <c r="I1073" s="5" t="s">
        <v>40</v>
      </c>
      <c r="J1073" s="8">
        <v>3</v>
      </c>
      <c r="K1073" s="8">
        <v>2</v>
      </c>
      <c r="L1073" s="8">
        <v>21</v>
      </c>
      <c r="M10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073" s="8" t="str" cm="1">
        <f t="array" ref="N1073">_xlfn.IFS(HR_Analytics56[[#This Row],[PerformanceRating]]=3,"Good",HR_Analytics56[[#This Row],[PerformanceRating]]=4, "Excellent")</f>
        <v>Good</v>
      </c>
      <c r="O1073" s="8" t="str">
        <f>IF(HR_Analytics56[[#This Row],[MonthlyIncome]]&lt;3000,"&lt; ₹3,000",IF(HR_Analytics56[[#This Row],[MonthlyIncome]]&lt;=7000,"₹ 3,000 - ₹ 7,000","&gt; ₹7,000"))</f>
        <v>&gt; ₹7,000</v>
      </c>
      <c r="P1073" s="8" t="str" cm="1">
        <f t="array" ref="P10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4" spans="1:16" x14ac:dyDescent="0.8">
      <c r="A1074" s="5" t="s">
        <v>1145</v>
      </c>
      <c r="B1074" s="8">
        <v>42</v>
      </c>
      <c r="C1074" s="5" t="s">
        <v>49</v>
      </c>
      <c r="D1074" s="5" t="s">
        <v>51</v>
      </c>
      <c r="E1074" s="5" t="s">
        <v>44</v>
      </c>
      <c r="F1074" s="5" t="s">
        <v>137</v>
      </c>
      <c r="G1074" s="8">
        <v>1</v>
      </c>
      <c r="H1074" s="8">
        <v>5155</v>
      </c>
      <c r="I1074" s="5" t="s">
        <v>49</v>
      </c>
      <c r="J1074" s="8">
        <v>3</v>
      </c>
      <c r="K1074" s="8">
        <v>3</v>
      </c>
      <c r="L1074" s="8">
        <v>6</v>
      </c>
      <c r="M10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4" s="8" t="str" cm="1">
        <f t="array" ref="N1074">_xlfn.IFS(HR_Analytics56[[#This Row],[PerformanceRating]]=3,"Good",HR_Analytics56[[#This Row],[PerformanceRating]]=4, "Excellent")</f>
        <v>Good</v>
      </c>
      <c r="O1074" s="8" t="str">
        <f>IF(HR_Analytics56[[#This Row],[MonthlyIncome]]&lt;3000,"&lt; ₹3,000",IF(HR_Analytics56[[#This Row],[MonthlyIncome]]&lt;=7000,"₹ 3,000 - ₹ 7,000","&gt; ₹7,000"))</f>
        <v>₹ 3,000 - ₹ 7,000</v>
      </c>
      <c r="P1074" s="8" t="str" cm="1">
        <f t="array" ref="P10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5" spans="1:16" x14ac:dyDescent="0.8">
      <c r="A1075" s="5" t="s">
        <v>1146</v>
      </c>
      <c r="B1075" s="8">
        <v>42</v>
      </c>
      <c r="C1075" s="5" t="s">
        <v>49</v>
      </c>
      <c r="D1075" s="5" t="s">
        <v>71</v>
      </c>
      <c r="E1075" s="5" t="s">
        <v>44</v>
      </c>
      <c r="F1075" s="5" t="s">
        <v>71</v>
      </c>
      <c r="G1075" s="8">
        <v>1</v>
      </c>
      <c r="H1075" s="8">
        <v>6272</v>
      </c>
      <c r="I1075" s="5" t="s">
        <v>49</v>
      </c>
      <c r="J1075" s="8">
        <v>3</v>
      </c>
      <c r="K1075" s="8">
        <v>3</v>
      </c>
      <c r="L1075" s="8">
        <v>4</v>
      </c>
      <c r="M10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5" s="8" t="str" cm="1">
        <f t="array" ref="N1075">_xlfn.IFS(HR_Analytics56[[#This Row],[PerformanceRating]]=3,"Good",HR_Analytics56[[#This Row],[PerformanceRating]]=4, "Excellent")</f>
        <v>Good</v>
      </c>
      <c r="O1075" s="8" t="str">
        <f>IF(HR_Analytics56[[#This Row],[MonthlyIncome]]&lt;3000,"&lt; ₹3,000",IF(HR_Analytics56[[#This Row],[MonthlyIncome]]&lt;=7000,"₹ 3,000 - ₹ 7,000","&gt; ₹7,000"))</f>
        <v>₹ 3,000 - ₹ 7,000</v>
      </c>
      <c r="P1075" s="8" t="str" cm="1">
        <f t="array" ref="P10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6" spans="1:16" x14ac:dyDescent="0.8">
      <c r="A1076" s="5" t="s">
        <v>1147</v>
      </c>
      <c r="B1076" s="8">
        <v>42</v>
      </c>
      <c r="C1076" s="5" t="s">
        <v>49</v>
      </c>
      <c r="D1076" s="5" t="s">
        <v>42</v>
      </c>
      <c r="E1076" s="5" t="s">
        <v>53</v>
      </c>
      <c r="F1076" s="5" t="s">
        <v>252</v>
      </c>
      <c r="G1076" s="8">
        <v>1</v>
      </c>
      <c r="H1076" s="8">
        <v>13191</v>
      </c>
      <c r="I1076" s="5" t="s">
        <v>40</v>
      </c>
      <c r="J1076" s="8">
        <v>3</v>
      </c>
      <c r="K1076" s="8">
        <v>6</v>
      </c>
      <c r="L1076" s="8">
        <v>1</v>
      </c>
      <c r="M10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76" s="8" t="str" cm="1">
        <f t="array" ref="N1076">_xlfn.IFS(HR_Analytics56[[#This Row],[PerformanceRating]]=3,"Good",HR_Analytics56[[#This Row],[PerformanceRating]]=4, "Excellent")</f>
        <v>Good</v>
      </c>
      <c r="O1076" s="8" t="str">
        <f>IF(HR_Analytics56[[#This Row],[MonthlyIncome]]&lt;3000,"&lt; ₹3,000",IF(HR_Analytics56[[#This Row],[MonthlyIncome]]&lt;=7000,"₹ 3,000 - ₹ 7,000","&gt; ₹7,000"))</f>
        <v>&gt; ₹7,000</v>
      </c>
      <c r="P1076" s="8" t="str" cm="1">
        <f t="array" ref="P10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7" spans="1:16" x14ac:dyDescent="0.8">
      <c r="A1077" s="5" t="s">
        <v>1148</v>
      </c>
      <c r="B1077" s="8">
        <v>42</v>
      </c>
      <c r="C1077" s="5" t="s">
        <v>49</v>
      </c>
      <c r="D1077" s="5" t="s">
        <v>42</v>
      </c>
      <c r="E1077" s="5" t="s">
        <v>53</v>
      </c>
      <c r="F1077" s="5" t="s">
        <v>60</v>
      </c>
      <c r="G1077" s="8">
        <v>2</v>
      </c>
      <c r="H1077" s="8">
        <v>2372</v>
      </c>
      <c r="I1077" s="5" t="s">
        <v>40</v>
      </c>
      <c r="J1077" s="8">
        <v>3</v>
      </c>
      <c r="K1077" s="8">
        <v>2</v>
      </c>
      <c r="L1077" s="8">
        <v>1</v>
      </c>
      <c r="M10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77" s="8" t="str" cm="1">
        <f t="array" ref="N1077">_xlfn.IFS(HR_Analytics56[[#This Row],[PerformanceRating]]=3,"Good",HR_Analytics56[[#This Row],[PerformanceRating]]=4, "Excellent")</f>
        <v>Good</v>
      </c>
      <c r="O1077" s="8" t="str">
        <f>IF(HR_Analytics56[[#This Row],[MonthlyIncome]]&lt;3000,"&lt; ₹3,000",IF(HR_Analytics56[[#This Row],[MonthlyIncome]]&lt;=7000,"₹ 3,000 - ₹ 7,000","&gt; ₹7,000"))</f>
        <v>&lt; ₹3,000</v>
      </c>
      <c r="P1077" s="8" t="str" cm="1">
        <f t="array" ref="P10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8" spans="1:16" x14ac:dyDescent="0.8">
      <c r="A1078" s="5" t="s">
        <v>1149</v>
      </c>
      <c r="B1078" s="8">
        <v>42</v>
      </c>
      <c r="C1078" s="5" t="s">
        <v>49</v>
      </c>
      <c r="D1078" s="5" t="s">
        <v>42</v>
      </c>
      <c r="E1078" s="5" t="s">
        <v>44</v>
      </c>
      <c r="F1078" s="5" t="s">
        <v>442</v>
      </c>
      <c r="G1078" s="8">
        <v>3</v>
      </c>
      <c r="H1078" s="8">
        <v>17861</v>
      </c>
      <c r="I1078" s="5" t="s">
        <v>40</v>
      </c>
      <c r="J1078" s="8">
        <v>3</v>
      </c>
      <c r="K1078" s="8">
        <v>3</v>
      </c>
      <c r="L1078" s="8">
        <v>20</v>
      </c>
      <c r="M10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78" s="8" t="str" cm="1">
        <f t="array" ref="N1078">_xlfn.IFS(HR_Analytics56[[#This Row],[PerformanceRating]]=3,"Good",HR_Analytics56[[#This Row],[PerformanceRating]]=4, "Excellent")</f>
        <v>Good</v>
      </c>
      <c r="O1078" s="8" t="str">
        <f>IF(HR_Analytics56[[#This Row],[MonthlyIncome]]&lt;3000,"&lt; ₹3,000",IF(HR_Analytics56[[#This Row],[MonthlyIncome]]&lt;=7000,"₹ 3,000 - ₹ 7,000","&gt; ₹7,000"))</f>
        <v>&gt; ₹7,000</v>
      </c>
      <c r="P1078" s="8" t="str" cm="1">
        <f t="array" ref="P10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79" spans="1:16" x14ac:dyDescent="0.8">
      <c r="A1079" s="5" t="s">
        <v>1150</v>
      </c>
      <c r="B1079" s="8">
        <v>42</v>
      </c>
      <c r="C1079" s="5" t="s">
        <v>49</v>
      </c>
      <c r="D1079" s="5" t="s">
        <v>71</v>
      </c>
      <c r="E1079" s="5" t="s">
        <v>53</v>
      </c>
      <c r="F1079" s="5" t="s">
        <v>442</v>
      </c>
      <c r="G1079" s="8">
        <v>1</v>
      </c>
      <c r="H1079" s="8">
        <v>16799</v>
      </c>
      <c r="I1079" s="5" t="s">
        <v>49</v>
      </c>
      <c r="J1079" s="8">
        <v>3</v>
      </c>
      <c r="K1079" s="8">
        <v>5</v>
      </c>
      <c r="L1079" s="8">
        <v>20</v>
      </c>
      <c r="M10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79" s="8" t="str" cm="1">
        <f t="array" ref="N1079">_xlfn.IFS(HR_Analytics56[[#This Row],[PerformanceRating]]=3,"Good",HR_Analytics56[[#This Row],[PerformanceRating]]=4, "Excellent")</f>
        <v>Good</v>
      </c>
      <c r="O1079" s="8" t="str">
        <f>IF(HR_Analytics56[[#This Row],[MonthlyIncome]]&lt;3000,"&lt; ₹3,000",IF(HR_Analytics56[[#This Row],[MonthlyIncome]]&lt;=7000,"₹ 3,000 - ₹ 7,000","&gt; ₹7,000"))</f>
        <v>&gt; ₹7,000</v>
      </c>
      <c r="P1079" s="8" t="str" cm="1">
        <f t="array" ref="P10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0" spans="1:16" x14ac:dyDescent="0.8">
      <c r="A1080" s="5" t="s">
        <v>1151</v>
      </c>
      <c r="B1080" s="8">
        <v>42</v>
      </c>
      <c r="C1080" s="5" t="s">
        <v>49</v>
      </c>
      <c r="D1080" s="5" t="s">
        <v>42</v>
      </c>
      <c r="E1080" s="5" t="s">
        <v>53</v>
      </c>
      <c r="F1080" s="5" t="s">
        <v>45</v>
      </c>
      <c r="G1080" s="8">
        <v>4</v>
      </c>
      <c r="H1080" s="8">
        <v>3673</v>
      </c>
      <c r="I1080" s="5" t="s">
        <v>49</v>
      </c>
      <c r="J1080" s="8">
        <v>3</v>
      </c>
      <c r="K1080" s="8">
        <v>3</v>
      </c>
      <c r="L1080" s="8">
        <v>12</v>
      </c>
      <c r="M10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0" s="8" t="str" cm="1">
        <f t="array" ref="N1080">_xlfn.IFS(HR_Analytics56[[#This Row],[PerformanceRating]]=3,"Good",HR_Analytics56[[#This Row],[PerformanceRating]]=4, "Excellent")</f>
        <v>Good</v>
      </c>
      <c r="O1080" s="8" t="str">
        <f>IF(HR_Analytics56[[#This Row],[MonthlyIncome]]&lt;3000,"&lt; ₹3,000",IF(HR_Analytics56[[#This Row],[MonthlyIncome]]&lt;=7000,"₹ 3,000 - ₹ 7,000","&gt; ₹7,000"))</f>
        <v>₹ 3,000 - ₹ 7,000</v>
      </c>
      <c r="P1080" s="8" t="str" cm="1">
        <f t="array" ref="P10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1" spans="1:16" x14ac:dyDescent="0.8">
      <c r="A1081" s="5" t="s">
        <v>1152</v>
      </c>
      <c r="B1081" s="8">
        <v>42</v>
      </c>
      <c r="C1081" s="5" t="s">
        <v>49</v>
      </c>
      <c r="D1081" s="5" t="s">
        <v>42</v>
      </c>
      <c r="E1081" s="5" t="s">
        <v>44</v>
      </c>
      <c r="F1081" s="5" t="s">
        <v>45</v>
      </c>
      <c r="G1081" s="8">
        <v>2</v>
      </c>
      <c r="H1081" s="8">
        <v>4841</v>
      </c>
      <c r="I1081" s="5" t="s">
        <v>49</v>
      </c>
      <c r="J1081" s="8">
        <v>3</v>
      </c>
      <c r="K1081" s="8">
        <v>3</v>
      </c>
      <c r="L1081" s="8">
        <v>1</v>
      </c>
      <c r="M10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1" s="8" t="str" cm="1">
        <f t="array" ref="N1081">_xlfn.IFS(HR_Analytics56[[#This Row],[PerformanceRating]]=3,"Good",HR_Analytics56[[#This Row],[PerformanceRating]]=4, "Excellent")</f>
        <v>Good</v>
      </c>
      <c r="O1081" s="8" t="str">
        <f>IF(HR_Analytics56[[#This Row],[MonthlyIncome]]&lt;3000,"&lt; ₹3,000",IF(HR_Analytics56[[#This Row],[MonthlyIncome]]&lt;=7000,"₹ 3,000 - ₹ 7,000","&gt; ₹7,000"))</f>
        <v>₹ 3,000 - ₹ 7,000</v>
      </c>
      <c r="P1081" s="8" t="str" cm="1">
        <f t="array" ref="P10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2" spans="1:16" x14ac:dyDescent="0.8">
      <c r="A1082" s="5" t="s">
        <v>1153</v>
      </c>
      <c r="B1082" s="8">
        <v>42</v>
      </c>
      <c r="C1082" s="5" t="s">
        <v>49</v>
      </c>
      <c r="D1082" s="5" t="s">
        <v>42</v>
      </c>
      <c r="E1082" s="5" t="s">
        <v>44</v>
      </c>
      <c r="F1082" s="5" t="s">
        <v>161</v>
      </c>
      <c r="G1082" s="8">
        <v>4</v>
      </c>
      <c r="H1082" s="8">
        <v>10124</v>
      </c>
      <c r="I1082" s="5" t="s">
        <v>40</v>
      </c>
      <c r="J1082" s="8">
        <v>3</v>
      </c>
      <c r="K1082" s="8">
        <v>3</v>
      </c>
      <c r="L1082" s="8">
        <v>20</v>
      </c>
      <c r="M10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82" s="8" t="str" cm="1">
        <f t="array" ref="N1082">_xlfn.IFS(HR_Analytics56[[#This Row],[PerformanceRating]]=3,"Good",HR_Analytics56[[#This Row],[PerformanceRating]]=4, "Excellent")</f>
        <v>Good</v>
      </c>
      <c r="O1082" s="8" t="str">
        <f>IF(HR_Analytics56[[#This Row],[MonthlyIncome]]&lt;3000,"&lt; ₹3,000",IF(HR_Analytics56[[#This Row],[MonthlyIncome]]&lt;=7000,"₹ 3,000 - ₹ 7,000","&gt; ₹7,000"))</f>
        <v>&gt; ₹7,000</v>
      </c>
      <c r="P1082" s="8" t="str" cm="1">
        <f t="array" ref="P10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3" spans="1:16" x14ac:dyDescent="0.8">
      <c r="A1083" s="5" t="s">
        <v>1154</v>
      </c>
      <c r="B1083" s="8">
        <v>42</v>
      </c>
      <c r="C1083" s="5" t="s">
        <v>49</v>
      </c>
      <c r="D1083" s="5" t="s">
        <v>42</v>
      </c>
      <c r="E1083" s="5" t="s">
        <v>44</v>
      </c>
      <c r="F1083" s="5" t="s">
        <v>442</v>
      </c>
      <c r="G1083" s="8">
        <v>4</v>
      </c>
      <c r="H1083" s="8">
        <v>19613</v>
      </c>
      <c r="I1083" s="5" t="s">
        <v>49</v>
      </c>
      <c r="J1083" s="8">
        <v>4</v>
      </c>
      <c r="K1083" s="8">
        <v>2</v>
      </c>
      <c r="L1083" s="8">
        <v>1</v>
      </c>
      <c r="M10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3" s="8" t="str" cm="1">
        <f t="array" ref="N1083">_xlfn.IFS(HR_Analytics56[[#This Row],[PerformanceRating]]=3,"Good",HR_Analytics56[[#This Row],[PerformanceRating]]=4, "Excellent")</f>
        <v>Excellent</v>
      </c>
      <c r="O1083" s="8" t="str">
        <f>IF(HR_Analytics56[[#This Row],[MonthlyIncome]]&lt;3000,"&lt; ₹3,000",IF(HR_Analytics56[[#This Row],[MonthlyIncome]]&lt;=7000,"₹ 3,000 - ₹ 7,000","&gt; ₹7,000"))</f>
        <v>&gt; ₹7,000</v>
      </c>
      <c r="P1083" s="8" t="str" cm="1">
        <f t="array" ref="P10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4" spans="1:16" x14ac:dyDescent="0.8">
      <c r="A1084" s="5" t="s">
        <v>1155</v>
      </c>
      <c r="B1084" s="8">
        <v>42</v>
      </c>
      <c r="C1084" s="5" t="s">
        <v>49</v>
      </c>
      <c r="D1084" s="5" t="s">
        <v>42</v>
      </c>
      <c r="E1084" s="5" t="s">
        <v>44</v>
      </c>
      <c r="F1084" s="5" t="s">
        <v>45</v>
      </c>
      <c r="G1084" s="8">
        <v>2</v>
      </c>
      <c r="H1084" s="8">
        <v>2766</v>
      </c>
      <c r="I1084" s="5" t="s">
        <v>49</v>
      </c>
      <c r="J1084" s="8">
        <v>4</v>
      </c>
      <c r="K1084" s="8">
        <v>6</v>
      </c>
      <c r="L1084" s="8">
        <v>5</v>
      </c>
      <c r="M10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4" s="8" t="str" cm="1">
        <f t="array" ref="N1084">_xlfn.IFS(HR_Analytics56[[#This Row],[PerformanceRating]]=3,"Good",HR_Analytics56[[#This Row],[PerformanceRating]]=4, "Excellent")</f>
        <v>Excellent</v>
      </c>
      <c r="O1084" s="8" t="str">
        <f>IF(HR_Analytics56[[#This Row],[MonthlyIncome]]&lt;3000,"&lt; ₹3,000",IF(HR_Analytics56[[#This Row],[MonthlyIncome]]&lt;=7000,"₹ 3,000 - ₹ 7,000","&gt; ₹7,000"))</f>
        <v>&lt; ₹3,000</v>
      </c>
      <c r="P1084" s="8" t="str" cm="1">
        <f t="array" ref="P108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85" spans="1:16" x14ac:dyDescent="0.8">
      <c r="A1085" s="5" t="s">
        <v>1156</v>
      </c>
      <c r="B1085" s="8">
        <v>42</v>
      </c>
      <c r="C1085" s="5" t="s">
        <v>49</v>
      </c>
      <c r="D1085" s="5" t="s">
        <v>42</v>
      </c>
      <c r="E1085" s="5" t="s">
        <v>44</v>
      </c>
      <c r="F1085" s="5" t="s">
        <v>161</v>
      </c>
      <c r="G1085" s="8">
        <v>1</v>
      </c>
      <c r="H1085" s="8">
        <v>5538</v>
      </c>
      <c r="I1085" s="5" t="s">
        <v>49</v>
      </c>
      <c r="J1085" s="8">
        <v>3</v>
      </c>
      <c r="K1085" s="8">
        <v>2</v>
      </c>
      <c r="L1085" s="8">
        <v>0</v>
      </c>
      <c r="M10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5" s="8" t="str" cm="1">
        <f t="array" ref="N1085">_xlfn.IFS(HR_Analytics56[[#This Row],[PerformanceRating]]=3,"Good",HR_Analytics56[[#This Row],[PerformanceRating]]=4, "Excellent")</f>
        <v>Good</v>
      </c>
      <c r="O1085" s="8" t="str">
        <f>IF(HR_Analytics56[[#This Row],[MonthlyIncome]]&lt;3000,"&lt; ₹3,000",IF(HR_Analytics56[[#This Row],[MonthlyIncome]]&lt;=7000,"₹ 3,000 - ₹ 7,000","&gt; ₹7,000"))</f>
        <v>₹ 3,000 - ₹ 7,000</v>
      </c>
      <c r="P1085" s="8" t="str" cm="1">
        <f t="array" ref="P10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6" spans="1:16" x14ac:dyDescent="0.8">
      <c r="A1086" s="5" t="s">
        <v>1157</v>
      </c>
      <c r="B1086" s="8">
        <v>42</v>
      </c>
      <c r="C1086" s="5" t="s">
        <v>49</v>
      </c>
      <c r="D1086" s="5" t="s">
        <v>42</v>
      </c>
      <c r="E1086" s="5" t="s">
        <v>44</v>
      </c>
      <c r="F1086" s="5" t="s">
        <v>60</v>
      </c>
      <c r="G1086" s="8">
        <v>3</v>
      </c>
      <c r="H1086" s="8">
        <v>2936</v>
      </c>
      <c r="I1086" s="5" t="s">
        <v>49</v>
      </c>
      <c r="J1086" s="8">
        <v>4</v>
      </c>
      <c r="K1086" s="8">
        <v>1</v>
      </c>
      <c r="L1086" s="8">
        <v>6</v>
      </c>
      <c r="M10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6" s="8" t="str" cm="1">
        <f t="array" ref="N1086">_xlfn.IFS(HR_Analytics56[[#This Row],[PerformanceRating]]=3,"Good",HR_Analytics56[[#This Row],[PerformanceRating]]=4, "Excellent")</f>
        <v>Excellent</v>
      </c>
      <c r="O1086" s="8" t="str">
        <f>IF(HR_Analytics56[[#This Row],[MonthlyIncome]]&lt;3000,"&lt; ₹3,000",IF(HR_Analytics56[[#This Row],[MonthlyIncome]]&lt;=7000,"₹ 3,000 - ₹ 7,000","&gt; ₹7,000"))</f>
        <v>&lt; ₹3,000</v>
      </c>
      <c r="P1086" s="8" t="str" cm="1">
        <f t="array" ref="P1086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87" spans="1:16" x14ac:dyDescent="0.8">
      <c r="A1087" s="5" t="s">
        <v>1158</v>
      </c>
      <c r="B1087" s="8">
        <v>42</v>
      </c>
      <c r="C1087" s="5" t="s">
        <v>49</v>
      </c>
      <c r="D1087" s="5" t="s">
        <v>42</v>
      </c>
      <c r="E1087" s="5" t="s">
        <v>44</v>
      </c>
      <c r="F1087" s="5" t="s">
        <v>45</v>
      </c>
      <c r="G1087" s="8">
        <v>3</v>
      </c>
      <c r="H1087" s="8">
        <v>3968</v>
      </c>
      <c r="I1087" s="5" t="s">
        <v>49</v>
      </c>
      <c r="J1087" s="8">
        <v>3</v>
      </c>
      <c r="K1087" s="8">
        <v>3</v>
      </c>
      <c r="L1087" s="8">
        <v>0</v>
      </c>
      <c r="M10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7" s="8" t="str" cm="1">
        <f t="array" ref="N1087">_xlfn.IFS(HR_Analytics56[[#This Row],[PerformanceRating]]=3,"Good",HR_Analytics56[[#This Row],[PerformanceRating]]=4, "Excellent")</f>
        <v>Good</v>
      </c>
      <c r="O1087" s="8" t="str">
        <f>IF(HR_Analytics56[[#This Row],[MonthlyIncome]]&lt;3000,"&lt; ₹3,000",IF(HR_Analytics56[[#This Row],[MonthlyIncome]]&lt;=7000,"₹ 3,000 - ₹ 7,000","&gt; ₹7,000"))</f>
        <v>₹ 3,000 - ₹ 7,000</v>
      </c>
      <c r="P1087" s="8" t="str" cm="1">
        <f t="array" ref="P10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8" spans="1:16" x14ac:dyDescent="0.8">
      <c r="A1088" s="5" t="s">
        <v>1159</v>
      </c>
      <c r="B1088" s="8">
        <v>42</v>
      </c>
      <c r="C1088" s="5" t="s">
        <v>49</v>
      </c>
      <c r="D1088" s="5" t="s">
        <v>42</v>
      </c>
      <c r="E1088" s="5" t="s">
        <v>44</v>
      </c>
      <c r="F1088" s="5" t="s">
        <v>252</v>
      </c>
      <c r="G1088" s="8">
        <v>1</v>
      </c>
      <c r="H1088" s="8">
        <v>13348</v>
      </c>
      <c r="I1088" s="5" t="s">
        <v>49</v>
      </c>
      <c r="J1088" s="8">
        <v>3</v>
      </c>
      <c r="K1088" s="8">
        <v>3</v>
      </c>
      <c r="L1088" s="8">
        <v>13</v>
      </c>
      <c r="M10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88" s="8" t="str" cm="1">
        <f t="array" ref="N1088">_xlfn.IFS(HR_Analytics56[[#This Row],[PerformanceRating]]=3,"Good",HR_Analytics56[[#This Row],[PerformanceRating]]=4, "Excellent")</f>
        <v>Good</v>
      </c>
      <c r="O1088" s="8" t="str">
        <f>IF(HR_Analytics56[[#This Row],[MonthlyIncome]]&lt;3000,"&lt; ₹3,000",IF(HR_Analytics56[[#This Row],[MonthlyIncome]]&lt;=7000,"₹ 3,000 - ₹ 7,000","&gt; ₹7,000"))</f>
        <v>&gt; ₹7,000</v>
      </c>
      <c r="P1088" s="8" t="str" cm="1">
        <f t="array" ref="P10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89" spans="1:16" x14ac:dyDescent="0.8">
      <c r="A1089" s="5" t="s">
        <v>1160</v>
      </c>
      <c r="B1089" s="8">
        <v>42</v>
      </c>
      <c r="C1089" s="5" t="s">
        <v>49</v>
      </c>
      <c r="D1089" s="5" t="s">
        <v>51</v>
      </c>
      <c r="E1089" s="5" t="s">
        <v>44</v>
      </c>
      <c r="F1089" s="5" t="s">
        <v>137</v>
      </c>
      <c r="G1089" s="8">
        <v>4</v>
      </c>
      <c r="H1089" s="8">
        <v>5087</v>
      </c>
      <c r="I1089" s="5" t="s">
        <v>40</v>
      </c>
      <c r="J1089" s="8">
        <v>3</v>
      </c>
      <c r="K1089" s="8">
        <v>4</v>
      </c>
      <c r="L1089" s="8">
        <v>0</v>
      </c>
      <c r="M10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89" s="8" t="str" cm="1">
        <f t="array" ref="N1089">_xlfn.IFS(HR_Analytics56[[#This Row],[PerformanceRating]]=3,"Good",HR_Analytics56[[#This Row],[PerformanceRating]]=4, "Excellent")</f>
        <v>Good</v>
      </c>
      <c r="O1089" s="8" t="str">
        <f>IF(HR_Analytics56[[#This Row],[MonthlyIncome]]&lt;3000,"&lt; ₹3,000",IF(HR_Analytics56[[#This Row],[MonthlyIncome]]&lt;=7000,"₹ 3,000 - ₹ 7,000","&gt; ₹7,000"))</f>
        <v>₹ 3,000 - ₹ 7,000</v>
      </c>
      <c r="P1089" s="8" t="str" cm="1">
        <f t="array" ref="P10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0" spans="1:16" x14ac:dyDescent="0.8">
      <c r="A1090" s="5" t="s">
        <v>1161</v>
      </c>
      <c r="B1090" s="8">
        <v>42</v>
      </c>
      <c r="C1090" s="5" t="s">
        <v>49</v>
      </c>
      <c r="D1090" s="5" t="s">
        <v>42</v>
      </c>
      <c r="E1090" s="5" t="s">
        <v>44</v>
      </c>
      <c r="F1090" s="5" t="s">
        <v>60</v>
      </c>
      <c r="G1090" s="8">
        <v>3</v>
      </c>
      <c r="H1090" s="8">
        <v>4332</v>
      </c>
      <c r="I1090" s="5" t="s">
        <v>49</v>
      </c>
      <c r="J1090" s="8">
        <v>3</v>
      </c>
      <c r="K1090" s="8">
        <v>2</v>
      </c>
      <c r="L1090" s="8">
        <v>20</v>
      </c>
      <c r="M10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0" s="8" t="str" cm="1">
        <f t="array" ref="N1090">_xlfn.IFS(HR_Analytics56[[#This Row],[PerformanceRating]]=3,"Good",HR_Analytics56[[#This Row],[PerformanceRating]]=4, "Excellent")</f>
        <v>Good</v>
      </c>
      <c r="O1090" s="8" t="str">
        <f>IF(HR_Analytics56[[#This Row],[MonthlyIncome]]&lt;3000,"&lt; ₹3,000",IF(HR_Analytics56[[#This Row],[MonthlyIncome]]&lt;=7000,"₹ 3,000 - ₹ 7,000","&gt; ₹7,000"))</f>
        <v>₹ 3,000 - ₹ 7,000</v>
      </c>
      <c r="P1090" s="8" t="str" cm="1">
        <f t="array" ref="P10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1" spans="1:16" x14ac:dyDescent="0.8">
      <c r="A1091" s="5" t="s">
        <v>1162</v>
      </c>
      <c r="B1091" s="8">
        <v>42</v>
      </c>
      <c r="C1091" s="5" t="s">
        <v>49</v>
      </c>
      <c r="D1091" s="5" t="s">
        <v>42</v>
      </c>
      <c r="E1091" s="5" t="s">
        <v>44</v>
      </c>
      <c r="F1091" s="5" t="s">
        <v>60</v>
      </c>
      <c r="G1091" s="8">
        <v>1</v>
      </c>
      <c r="H1091" s="8">
        <v>5410</v>
      </c>
      <c r="I1091" s="5" t="s">
        <v>40</v>
      </c>
      <c r="J1091" s="8">
        <v>3</v>
      </c>
      <c r="K1091" s="8">
        <v>3</v>
      </c>
      <c r="L1091" s="8">
        <v>4</v>
      </c>
      <c r="M10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91" s="8" t="str" cm="1">
        <f t="array" ref="N1091">_xlfn.IFS(HR_Analytics56[[#This Row],[PerformanceRating]]=3,"Good",HR_Analytics56[[#This Row],[PerformanceRating]]=4, "Excellent")</f>
        <v>Good</v>
      </c>
      <c r="O1091" s="8" t="str">
        <f>IF(HR_Analytics56[[#This Row],[MonthlyIncome]]&lt;3000,"&lt; ₹3,000",IF(HR_Analytics56[[#This Row],[MonthlyIncome]]&lt;=7000,"₹ 3,000 - ₹ 7,000","&gt; ₹7,000"))</f>
        <v>₹ 3,000 - ₹ 7,000</v>
      </c>
      <c r="P1091" s="8" t="str" cm="1">
        <f t="array" ref="P10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2" spans="1:16" x14ac:dyDescent="0.8">
      <c r="A1092" s="5" t="s">
        <v>1163</v>
      </c>
      <c r="B1092" s="8">
        <v>42</v>
      </c>
      <c r="C1092" s="5" t="s">
        <v>49</v>
      </c>
      <c r="D1092" s="5" t="s">
        <v>42</v>
      </c>
      <c r="E1092" s="5" t="s">
        <v>44</v>
      </c>
      <c r="F1092" s="5" t="s">
        <v>442</v>
      </c>
      <c r="G1092" s="8">
        <v>3</v>
      </c>
      <c r="H1092" s="8">
        <v>18880</v>
      </c>
      <c r="I1092" s="5" t="s">
        <v>49</v>
      </c>
      <c r="J1092" s="8">
        <v>3</v>
      </c>
      <c r="K1092" s="8">
        <v>2</v>
      </c>
      <c r="L1092" s="8">
        <v>22</v>
      </c>
      <c r="M10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2" s="8" t="str" cm="1">
        <f t="array" ref="N1092">_xlfn.IFS(HR_Analytics56[[#This Row],[PerformanceRating]]=3,"Good",HR_Analytics56[[#This Row],[PerformanceRating]]=4, "Excellent")</f>
        <v>Good</v>
      </c>
      <c r="O1092" s="8" t="str">
        <f>IF(HR_Analytics56[[#This Row],[MonthlyIncome]]&lt;3000,"&lt; ₹3,000",IF(HR_Analytics56[[#This Row],[MonthlyIncome]]&lt;=7000,"₹ 3,000 - ₹ 7,000","&gt; ₹7,000"))</f>
        <v>&gt; ₹7,000</v>
      </c>
      <c r="P1092" s="8" t="str" cm="1">
        <f t="array" ref="P10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3" spans="1:16" x14ac:dyDescent="0.8">
      <c r="A1093" s="5" t="s">
        <v>1164</v>
      </c>
      <c r="B1093" s="8">
        <v>43</v>
      </c>
      <c r="C1093" s="5" t="s">
        <v>49</v>
      </c>
      <c r="D1093" s="5" t="s">
        <v>42</v>
      </c>
      <c r="E1093" s="5" t="s">
        <v>53</v>
      </c>
      <c r="F1093" s="5" t="s">
        <v>60</v>
      </c>
      <c r="G1093" s="8">
        <v>3</v>
      </c>
      <c r="H1093" s="8">
        <v>2645</v>
      </c>
      <c r="I1093" s="5" t="s">
        <v>49</v>
      </c>
      <c r="J1093" s="8">
        <v>3</v>
      </c>
      <c r="K1093" s="8">
        <v>3</v>
      </c>
      <c r="L1093" s="8">
        <v>5</v>
      </c>
      <c r="M10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3" s="8" t="str" cm="1">
        <f t="array" ref="N1093">_xlfn.IFS(HR_Analytics56[[#This Row],[PerformanceRating]]=3,"Good",HR_Analytics56[[#This Row],[PerformanceRating]]=4, "Excellent")</f>
        <v>Good</v>
      </c>
      <c r="O1093" s="8" t="str">
        <f>IF(HR_Analytics56[[#This Row],[MonthlyIncome]]&lt;3000,"&lt; ₹3,000",IF(HR_Analytics56[[#This Row],[MonthlyIncome]]&lt;=7000,"₹ 3,000 - ₹ 7,000","&gt; ₹7,000"))</f>
        <v>&lt; ₹3,000</v>
      </c>
      <c r="P1093" s="8" t="str" cm="1">
        <f t="array" ref="P10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4" spans="1:16" x14ac:dyDescent="0.8">
      <c r="A1094" s="5" t="s">
        <v>1165</v>
      </c>
      <c r="B1094" s="8">
        <v>43</v>
      </c>
      <c r="C1094" s="5" t="s">
        <v>49</v>
      </c>
      <c r="D1094" s="5" t="s">
        <v>51</v>
      </c>
      <c r="E1094" s="5" t="s">
        <v>44</v>
      </c>
      <c r="F1094" s="5" t="s">
        <v>442</v>
      </c>
      <c r="G1094" s="8">
        <v>4</v>
      </c>
      <c r="H1094" s="8">
        <v>16959</v>
      </c>
      <c r="I1094" s="5" t="s">
        <v>40</v>
      </c>
      <c r="J1094" s="8">
        <v>3</v>
      </c>
      <c r="K1094" s="8">
        <v>3</v>
      </c>
      <c r="L1094" s="8">
        <v>25</v>
      </c>
      <c r="M10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94" s="8" t="str" cm="1">
        <f t="array" ref="N1094">_xlfn.IFS(HR_Analytics56[[#This Row],[PerformanceRating]]=3,"Good",HR_Analytics56[[#This Row],[PerformanceRating]]=4, "Excellent")</f>
        <v>Good</v>
      </c>
      <c r="O1094" s="8" t="str">
        <f>IF(HR_Analytics56[[#This Row],[MonthlyIncome]]&lt;3000,"&lt; ₹3,000",IF(HR_Analytics56[[#This Row],[MonthlyIncome]]&lt;=7000,"₹ 3,000 - ₹ 7,000","&gt; ₹7,000"))</f>
        <v>&gt; ₹7,000</v>
      </c>
      <c r="P1094" s="8" t="str" cm="1">
        <f t="array" ref="P10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5" spans="1:16" x14ac:dyDescent="0.8">
      <c r="A1095" s="5" t="s">
        <v>1166</v>
      </c>
      <c r="B1095" s="8">
        <v>43</v>
      </c>
      <c r="C1095" s="5" t="s">
        <v>49</v>
      </c>
      <c r="D1095" s="5" t="s">
        <v>42</v>
      </c>
      <c r="E1095" s="5" t="s">
        <v>53</v>
      </c>
      <c r="F1095" s="5" t="s">
        <v>60</v>
      </c>
      <c r="G1095" s="8">
        <v>3</v>
      </c>
      <c r="H1095" s="8">
        <v>4739</v>
      </c>
      <c r="I1095" s="5" t="s">
        <v>49</v>
      </c>
      <c r="J1095" s="8">
        <v>3</v>
      </c>
      <c r="K1095" s="8">
        <v>2</v>
      </c>
      <c r="L1095" s="8">
        <v>3</v>
      </c>
      <c r="M10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5" s="8" t="str" cm="1">
        <f t="array" ref="N1095">_xlfn.IFS(HR_Analytics56[[#This Row],[PerformanceRating]]=3,"Good",HR_Analytics56[[#This Row],[PerformanceRating]]=4, "Excellent")</f>
        <v>Good</v>
      </c>
      <c r="O1095" s="8" t="str">
        <f>IF(HR_Analytics56[[#This Row],[MonthlyIncome]]&lt;3000,"&lt; ₹3,000",IF(HR_Analytics56[[#This Row],[MonthlyIncome]]&lt;=7000,"₹ 3,000 - ₹ 7,000","&gt; ₹7,000"))</f>
        <v>₹ 3,000 - ₹ 7,000</v>
      </c>
      <c r="P1095" s="8" t="str" cm="1">
        <f t="array" ref="P10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6" spans="1:16" x14ac:dyDescent="0.8">
      <c r="A1096" s="5" t="s">
        <v>1167</v>
      </c>
      <c r="B1096" s="8">
        <v>43</v>
      </c>
      <c r="C1096" s="5" t="s">
        <v>49</v>
      </c>
      <c r="D1096" s="5" t="s">
        <v>42</v>
      </c>
      <c r="E1096" s="5" t="s">
        <v>44</v>
      </c>
      <c r="F1096" s="5" t="s">
        <v>60</v>
      </c>
      <c r="G1096" s="8">
        <v>4</v>
      </c>
      <c r="H1096" s="8">
        <v>2089</v>
      </c>
      <c r="I1096" s="5" t="s">
        <v>49</v>
      </c>
      <c r="J1096" s="8">
        <v>3</v>
      </c>
      <c r="K1096" s="8">
        <v>3</v>
      </c>
      <c r="L1096" s="8">
        <v>5</v>
      </c>
      <c r="M10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6" s="8" t="str" cm="1">
        <f t="array" ref="N1096">_xlfn.IFS(HR_Analytics56[[#This Row],[PerformanceRating]]=3,"Good",HR_Analytics56[[#This Row],[PerformanceRating]]=4, "Excellent")</f>
        <v>Good</v>
      </c>
      <c r="O1096" s="8" t="str">
        <f>IF(HR_Analytics56[[#This Row],[MonthlyIncome]]&lt;3000,"&lt; ₹3,000",IF(HR_Analytics56[[#This Row],[MonthlyIncome]]&lt;=7000,"₹ 3,000 - ₹ 7,000","&gt; ₹7,000"))</f>
        <v>&lt; ₹3,000</v>
      </c>
      <c r="P1096" s="8" t="str" cm="1">
        <f t="array" ref="P10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7" spans="1:16" x14ac:dyDescent="0.8">
      <c r="A1097" s="5" t="s">
        <v>1168</v>
      </c>
      <c r="B1097" s="8">
        <v>43</v>
      </c>
      <c r="C1097" s="5" t="s">
        <v>49</v>
      </c>
      <c r="D1097" s="5" t="s">
        <v>51</v>
      </c>
      <c r="E1097" s="5" t="s">
        <v>53</v>
      </c>
      <c r="F1097" s="5" t="s">
        <v>442</v>
      </c>
      <c r="G1097" s="8">
        <v>4</v>
      </c>
      <c r="H1097" s="8">
        <v>16064</v>
      </c>
      <c r="I1097" s="5" t="s">
        <v>40</v>
      </c>
      <c r="J1097" s="8">
        <v>4</v>
      </c>
      <c r="K1097" s="8">
        <v>3</v>
      </c>
      <c r="L1097" s="8">
        <v>17</v>
      </c>
      <c r="M10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097" s="8" t="str" cm="1">
        <f t="array" ref="N1097">_xlfn.IFS(HR_Analytics56[[#This Row],[PerformanceRating]]=3,"Good",HR_Analytics56[[#This Row],[PerformanceRating]]=4, "Excellent")</f>
        <v>Excellent</v>
      </c>
      <c r="O1097" s="8" t="str">
        <f>IF(HR_Analytics56[[#This Row],[MonthlyIncome]]&lt;3000,"&lt; ₹3,000",IF(HR_Analytics56[[#This Row],[MonthlyIncome]]&lt;=7000,"₹ 3,000 - ₹ 7,000","&gt; ₹7,000"))</f>
        <v>&gt; ₹7,000</v>
      </c>
      <c r="P1097" s="8" t="str" cm="1">
        <f t="array" ref="P109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098" spans="1:16" x14ac:dyDescent="0.8">
      <c r="A1098" s="5" t="s">
        <v>1169</v>
      </c>
      <c r="B1098" s="8">
        <v>43</v>
      </c>
      <c r="C1098" s="5" t="s">
        <v>49</v>
      </c>
      <c r="D1098" s="5" t="s">
        <v>42</v>
      </c>
      <c r="E1098" s="5" t="s">
        <v>53</v>
      </c>
      <c r="F1098" s="5" t="s">
        <v>45</v>
      </c>
      <c r="G1098" s="8">
        <v>4</v>
      </c>
      <c r="H1098" s="8">
        <v>2455</v>
      </c>
      <c r="I1098" s="5" t="s">
        <v>49</v>
      </c>
      <c r="J1098" s="8">
        <v>3</v>
      </c>
      <c r="K1098" s="8">
        <v>5</v>
      </c>
      <c r="L1098" s="8">
        <v>8</v>
      </c>
      <c r="M10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8" s="8" t="str" cm="1">
        <f t="array" ref="N1098">_xlfn.IFS(HR_Analytics56[[#This Row],[PerformanceRating]]=3,"Good",HR_Analytics56[[#This Row],[PerformanceRating]]=4, "Excellent")</f>
        <v>Good</v>
      </c>
      <c r="O1098" s="8" t="str">
        <f>IF(HR_Analytics56[[#This Row],[MonthlyIncome]]&lt;3000,"&lt; ₹3,000",IF(HR_Analytics56[[#This Row],[MonthlyIncome]]&lt;=7000,"₹ 3,000 - ₹ 7,000","&gt; ₹7,000"))</f>
        <v>&lt; ₹3,000</v>
      </c>
      <c r="P1098" s="8" t="str" cm="1">
        <f t="array" ref="P10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099" spans="1:16" x14ac:dyDescent="0.8">
      <c r="A1099" s="5" t="s">
        <v>1170</v>
      </c>
      <c r="B1099" s="8">
        <v>43</v>
      </c>
      <c r="C1099" s="5" t="s">
        <v>49</v>
      </c>
      <c r="D1099" s="5" t="s">
        <v>42</v>
      </c>
      <c r="E1099" s="5" t="s">
        <v>53</v>
      </c>
      <c r="F1099" s="5" t="s">
        <v>45</v>
      </c>
      <c r="G1099" s="8">
        <v>3</v>
      </c>
      <c r="H1099" s="8">
        <v>5257</v>
      </c>
      <c r="I1099" s="5" t="s">
        <v>49</v>
      </c>
      <c r="J1099" s="8">
        <v>3</v>
      </c>
      <c r="K1099" s="8">
        <v>3</v>
      </c>
      <c r="L1099" s="8">
        <v>9</v>
      </c>
      <c r="M10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099" s="8" t="str" cm="1">
        <f t="array" ref="N1099">_xlfn.IFS(HR_Analytics56[[#This Row],[PerformanceRating]]=3,"Good",HR_Analytics56[[#This Row],[PerformanceRating]]=4, "Excellent")</f>
        <v>Good</v>
      </c>
      <c r="O1099" s="8" t="str">
        <f>IF(HR_Analytics56[[#This Row],[MonthlyIncome]]&lt;3000,"&lt; ₹3,000",IF(HR_Analytics56[[#This Row],[MonthlyIncome]]&lt;=7000,"₹ 3,000 - ₹ 7,000","&gt; ₹7,000"))</f>
        <v>₹ 3,000 - ₹ 7,000</v>
      </c>
      <c r="P1099" s="8" t="str" cm="1">
        <f t="array" ref="P10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0" spans="1:16" x14ac:dyDescent="0.8">
      <c r="A1100" s="5" t="s">
        <v>1171</v>
      </c>
      <c r="B1100" s="8">
        <v>43</v>
      </c>
      <c r="C1100" s="5" t="s">
        <v>49</v>
      </c>
      <c r="D1100" s="5" t="s">
        <v>42</v>
      </c>
      <c r="E1100" s="5" t="s">
        <v>53</v>
      </c>
      <c r="F1100" s="5" t="s">
        <v>161</v>
      </c>
      <c r="G1100" s="8">
        <v>1</v>
      </c>
      <c r="H1100" s="8">
        <v>9985</v>
      </c>
      <c r="I1100" s="5" t="s">
        <v>49</v>
      </c>
      <c r="J1100" s="8">
        <v>3</v>
      </c>
      <c r="K1100" s="8">
        <v>1</v>
      </c>
      <c r="L1100" s="8">
        <v>1</v>
      </c>
      <c r="M11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0" s="8" t="str" cm="1">
        <f t="array" ref="N1100">_xlfn.IFS(HR_Analytics56[[#This Row],[PerformanceRating]]=3,"Good",HR_Analytics56[[#This Row],[PerformanceRating]]=4, "Excellent")</f>
        <v>Good</v>
      </c>
      <c r="O1100" s="8" t="str">
        <f>IF(HR_Analytics56[[#This Row],[MonthlyIncome]]&lt;3000,"&lt; ₹3,000",IF(HR_Analytics56[[#This Row],[MonthlyIncome]]&lt;=7000,"₹ 3,000 - ₹ 7,000","&gt; ₹7,000"))</f>
        <v>&gt; ₹7,000</v>
      </c>
      <c r="P1100" s="8" t="str" cm="1">
        <f t="array" ref="P11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1" spans="1:16" x14ac:dyDescent="0.8">
      <c r="A1101" s="5" t="s">
        <v>1172</v>
      </c>
      <c r="B1101" s="8">
        <v>43</v>
      </c>
      <c r="C1101" s="5" t="s">
        <v>49</v>
      </c>
      <c r="D1101" s="5" t="s">
        <v>42</v>
      </c>
      <c r="E1101" s="5" t="s">
        <v>44</v>
      </c>
      <c r="F1101" s="5" t="s">
        <v>252</v>
      </c>
      <c r="G1101" s="8">
        <v>2</v>
      </c>
      <c r="H1101" s="8">
        <v>14336</v>
      </c>
      <c r="I1101" s="5" t="s">
        <v>49</v>
      </c>
      <c r="J1101" s="8">
        <v>3</v>
      </c>
      <c r="K1101" s="8">
        <v>3</v>
      </c>
      <c r="L1101" s="8">
        <v>25</v>
      </c>
      <c r="M11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1" s="8" t="str" cm="1">
        <f t="array" ref="N1101">_xlfn.IFS(HR_Analytics56[[#This Row],[PerformanceRating]]=3,"Good",HR_Analytics56[[#This Row],[PerformanceRating]]=4, "Excellent")</f>
        <v>Good</v>
      </c>
      <c r="O1101" s="8" t="str">
        <f>IF(HR_Analytics56[[#This Row],[MonthlyIncome]]&lt;3000,"&lt; ₹3,000",IF(HR_Analytics56[[#This Row],[MonthlyIncome]]&lt;=7000,"₹ 3,000 - ₹ 7,000","&gt; ₹7,000"))</f>
        <v>&gt; ₹7,000</v>
      </c>
      <c r="P1101" s="8" t="str" cm="1">
        <f t="array" ref="P11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2" spans="1:16" x14ac:dyDescent="0.8">
      <c r="A1102" s="5" t="s">
        <v>1173</v>
      </c>
      <c r="B1102" s="8">
        <v>43</v>
      </c>
      <c r="C1102" s="5" t="s">
        <v>49</v>
      </c>
      <c r="D1102" s="5" t="s">
        <v>42</v>
      </c>
      <c r="E1102" s="5" t="s">
        <v>44</v>
      </c>
      <c r="F1102" s="5" t="s">
        <v>45</v>
      </c>
      <c r="G1102" s="8">
        <v>4</v>
      </c>
      <c r="H1102" s="8">
        <v>2258</v>
      </c>
      <c r="I1102" s="5" t="s">
        <v>49</v>
      </c>
      <c r="J1102" s="8">
        <v>4</v>
      </c>
      <c r="K1102" s="8">
        <v>1</v>
      </c>
      <c r="L1102" s="8">
        <v>3</v>
      </c>
      <c r="M11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2" s="8" t="str" cm="1">
        <f t="array" ref="N1102">_xlfn.IFS(HR_Analytics56[[#This Row],[PerformanceRating]]=3,"Good",HR_Analytics56[[#This Row],[PerformanceRating]]=4, "Excellent")</f>
        <v>Excellent</v>
      </c>
      <c r="O1102" s="8" t="str">
        <f>IF(HR_Analytics56[[#This Row],[MonthlyIncome]]&lt;3000,"&lt; ₹3,000",IF(HR_Analytics56[[#This Row],[MonthlyIncome]]&lt;=7000,"₹ 3,000 - ₹ 7,000","&gt; ₹7,000"))</f>
        <v>&lt; ₹3,000</v>
      </c>
      <c r="P1102" s="8" t="str" cm="1">
        <f t="array" ref="P110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03" spans="1:16" x14ac:dyDescent="0.8">
      <c r="A1103" s="5" t="s">
        <v>1174</v>
      </c>
      <c r="B1103" s="8">
        <v>43</v>
      </c>
      <c r="C1103" s="5" t="s">
        <v>49</v>
      </c>
      <c r="D1103" s="5" t="s">
        <v>42</v>
      </c>
      <c r="E1103" s="5" t="s">
        <v>53</v>
      </c>
      <c r="F1103" s="5" t="s">
        <v>161</v>
      </c>
      <c r="G1103" s="8">
        <v>3</v>
      </c>
      <c r="H1103" s="8">
        <v>4522</v>
      </c>
      <c r="I1103" s="5" t="s">
        <v>40</v>
      </c>
      <c r="J1103" s="8">
        <v>3</v>
      </c>
      <c r="K1103" s="8">
        <v>3</v>
      </c>
      <c r="L1103" s="8">
        <v>5</v>
      </c>
      <c r="M11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03" s="8" t="str" cm="1">
        <f t="array" ref="N1103">_xlfn.IFS(HR_Analytics56[[#This Row],[PerformanceRating]]=3,"Good",HR_Analytics56[[#This Row],[PerformanceRating]]=4, "Excellent")</f>
        <v>Good</v>
      </c>
      <c r="O1103" s="8" t="str">
        <f>IF(HR_Analytics56[[#This Row],[MonthlyIncome]]&lt;3000,"&lt; ₹3,000",IF(HR_Analytics56[[#This Row],[MonthlyIncome]]&lt;=7000,"₹ 3,000 - ₹ 7,000","&gt; ₹7,000"))</f>
        <v>₹ 3,000 - ₹ 7,000</v>
      </c>
      <c r="P1103" s="8" t="str" cm="1">
        <f t="array" ref="P11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4" spans="1:16" x14ac:dyDescent="0.8">
      <c r="A1104" s="5" t="s">
        <v>1175</v>
      </c>
      <c r="B1104" s="8">
        <v>43</v>
      </c>
      <c r="C1104" s="5" t="s">
        <v>49</v>
      </c>
      <c r="D1104" s="5" t="s">
        <v>42</v>
      </c>
      <c r="E1104" s="5" t="s">
        <v>44</v>
      </c>
      <c r="F1104" s="5" t="s">
        <v>252</v>
      </c>
      <c r="G1104" s="8">
        <v>4</v>
      </c>
      <c r="H1104" s="8">
        <v>16627</v>
      </c>
      <c r="I1104" s="5" t="s">
        <v>40</v>
      </c>
      <c r="J1104" s="8">
        <v>3</v>
      </c>
      <c r="K1104" s="8">
        <v>3</v>
      </c>
      <c r="L1104" s="8">
        <v>1</v>
      </c>
      <c r="M11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04" s="8" t="str" cm="1">
        <f t="array" ref="N1104">_xlfn.IFS(HR_Analytics56[[#This Row],[PerformanceRating]]=3,"Good",HR_Analytics56[[#This Row],[PerformanceRating]]=4, "Excellent")</f>
        <v>Good</v>
      </c>
      <c r="O1104" s="8" t="str">
        <f>IF(HR_Analytics56[[#This Row],[MonthlyIncome]]&lt;3000,"&lt; ₹3,000",IF(HR_Analytics56[[#This Row],[MonthlyIncome]]&lt;=7000,"₹ 3,000 - ₹ 7,000","&gt; ₹7,000"))</f>
        <v>&gt; ₹7,000</v>
      </c>
      <c r="P1104" s="8" t="str" cm="1">
        <f t="array" ref="P11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5" spans="1:16" x14ac:dyDescent="0.8">
      <c r="A1105" s="5" t="s">
        <v>1176</v>
      </c>
      <c r="B1105" s="8">
        <v>43</v>
      </c>
      <c r="C1105" s="5" t="s">
        <v>49</v>
      </c>
      <c r="D1105" s="5" t="s">
        <v>42</v>
      </c>
      <c r="E1105" s="5" t="s">
        <v>44</v>
      </c>
      <c r="F1105" s="5" t="s">
        <v>45</v>
      </c>
      <c r="G1105" s="8">
        <v>3</v>
      </c>
      <c r="H1105" s="8">
        <v>5679</v>
      </c>
      <c r="I1105" s="5" t="s">
        <v>40</v>
      </c>
      <c r="J1105" s="8">
        <v>3</v>
      </c>
      <c r="K1105" s="8">
        <v>3</v>
      </c>
      <c r="L1105" s="8">
        <v>8</v>
      </c>
      <c r="M11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05" s="8" t="str" cm="1">
        <f t="array" ref="N1105">_xlfn.IFS(HR_Analytics56[[#This Row],[PerformanceRating]]=3,"Good",HR_Analytics56[[#This Row],[PerformanceRating]]=4, "Excellent")</f>
        <v>Good</v>
      </c>
      <c r="O1105" s="8" t="str">
        <f>IF(HR_Analytics56[[#This Row],[MonthlyIncome]]&lt;3000,"&lt; ₹3,000",IF(HR_Analytics56[[#This Row],[MonthlyIncome]]&lt;=7000,"₹ 3,000 - ₹ 7,000","&gt; ₹7,000"))</f>
        <v>₹ 3,000 - ₹ 7,000</v>
      </c>
      <c r="P1105" s="8" t="str" cm="1">
        <f t="array" ref="P11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6" spans="1:16" x14ac:dyDescent="0.8">
      <c r="A1106" s="5" t="s">
        <v>1177</v>
      </c>
      <c r="B1106" s="8">
        <v>43</v>
      </c>
      <c r="C1106" s="5" t="s">
        <v>49</v>
      </c>
      <c r="D1106" s="5" t="s">
        <v>51</v>
      </c>
      <c r="E1106" s="5" t="s">
        <v>44</v>
      </c>
      <c r="F1106" s="5" t="s">
        <v>137</v>
      </c>
      <c r="G1106" s="8">
        <v>4</v>
      </c>
      <c r="H1106" s="8">
        <v>6804</v>
      </c>
      <c r="I1106" s="5" t="s">
        <v>49</v>
      </c>
      <c r="J1106" s="8">
        <v>3</v>
      </c>
      <c r="K1106" s="8">
        <v>5</v>
      </c>
      <c r="L1106" s="8">
        <v>2</v>
      </c>
      <c r="M11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6" s="8" t="str" cm="1">
        <f t="array" ref="N1106">_xlfn.IFS(HR_Analytics56[[#This Row],[PerformanceRating]]=3,"Good",HR_Analytics56[[#This Row],[PerformanceRating]]=4, "Excellent")</f>
        <v>Good</v>
      </c>
      <c r="O1106" s="8" t="str">
        <f>IF(HR_Analytics56[[#This Row],[MonthlyIncome]]&lt;3000,"&lt; ₹3,000",IF(HR_Analytics56[[#This Row],[MonthlyIncome]]&lt;=7000,"₹ 3,000 - ₹ 7,000","&gt; ₹7,000"))</f>
        <v>₹ 3,000 - ₹ 7,000</v>
      </c>
      <c r="P1106" s="8" t="str" cm="1">
        <f t="array" ref="P11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7" spans="1:16" x14ac:dyDescent="0.8">
      <c r="A1107" s="5" t="s">
        <v>1178</v>
      </c>
      <c r="B1107" s="8">
        <v>43</v>
      </c>
      <c r="C1107" s="5" t="s">
        <v>49</v>
      </c>
      <c r="D1107" s="5" t="s">
        <v>42</v>
      </c>
      <c r="E1107" s="5" t="s">
        <v>44</v>
      </c>
      <c r="F1107" s="5" t="s">
        <v>252</v>
      </c>
      <c r="G1107" s="8">
        <v>1</v>
      </c>
      <c r="H1107" s="8">
        <v>17159</v>
      </c>
      <c r="I1107" s="5" t="s">
        <v>49</v>
      </c>
      <c r="J1107" s="8">
        <v>4</v>
      </c>
      <c r="K1107" s="8">
        <v>3</v>
      </c>
      <c r="L1107" s="8">
        <v>4</v>
      </c>
      <c r="M11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7" s="8" t="str" cm="1">
        <f t="array" ref="N1107">_xlfn.IFS(HR_Analytics56[[#This Row],[PerformanceRating]]=3,"Good",HR_Analytics56[[#This Row],[PerformanceRating]]=4, "Excellent")</f>
        <v>Excellent</v>
      </c>
      <c r="O1107" s="8" t="str">
        <f>IF(HR_Analytics56[[#This Row],[MonthlyIncome]]&lt;3000,"&lt; ₹3,000",IF(HR_Analytics56[[#This Row],[MonthlyIncome]]&lt;=7000,"₹ 3,000 - ₹ 7,000","&gt; ₹7,000"))</f>
        <v>&gt; ₹7,000</v>
      </c>
      <c r="P1107" s="8" t="str" cm="1">
        <f t="array" ref="P11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8" spans="1:16" x14ac:dyDescent="0.8">
      <c r="A1108" s="5" t="s">
        <v>1179</v>
      </c>
      <c r="B1108" s="8">
        <v>43</v>
      </c>
      <c r="C1108" s="5" t="s">
        <v>49</v>
      </c>
      <c r="D1108" s="5" t="s">
        <v>42</v>
      </c>
      <c r="E1108" s="5" t="s">
        <v>53</v>
      </c>
      <c r="F1108" s="5" t="s">
        <v>161</v>
      </c>
      <c r="G1108" s="8">
        <v>4</v>
      </c>
      <c r="H1108" s="8">
        <v>5562</v>
      </c>
      <c r="I1108" s="5" t="s">
        <v>49</v>
      </c>
      <c r="J1108" s="8">
        <v>3</v>
      </c>
      <c r="K1108" s="8">
        <v>2</v>
      </c>
      <c r="L1108" s="8">
        <v>5</v>
      </c>
      <c r="M11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8" s="8" t="str" cm="1">
        <f t="array" ref="N1108">_xlfn.IFS(HR_Analytics56[[#This Row],[PerformanceRating]]=3,"Good",HR_Analytics56[[#This Row],[PerformanceRating]]=4, "Excellent")</f>
        <v>Good</v>
      </c>
      <c r="O1108" s="8" t="str">
        <f>IF(HR_Analytics56[[#This Row],[MonthlyIncome]]&lt;3000,"&lt; ₹3,000",IF(HR_Analytics56[[#This Row],[MonthlyIncome]]&lt;=7000,"₹ 3,000 - ₹ 7,000","&gt; ₹7,000"))</f>
        <v>₹ 3,000 - ₹ 7,000</v>
      </c>
      <c r="P1108" s="8" t="str" cm="1">
        <f t="array" ref="P11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09" spans="1:16" x14ac:dyDescent="0.8">
      <c r="A1109" s="5" t="s">
        <v>1180</v>
      </c>
      <c r="B1109" s="8">
        <v>43</v>
      </c>
      <c r="C1109" s="5" t="s">
        <v>49</v>
      </c>
      <c r="D1109" s="5" t="s">
        <v>42</v>
      </c>
      <c r="E1109" s="5" t="s">
        <v>53</v>
      </c>
      <c r="F1109" s="5" t="s">
        <v>112</v>
      </c>
      <c r="G1109" s="8">
        <v>2</v>
      </c>
      <c r="H1109" s="8">
        <v>4765</v>
      </c>
      <c r="I1109" s="5" t="s">
        <v>49</v>
      </c>
      <c r="J1109" s="8">
        <v>4</v>
      </c>
      <c r="K1109" s="8">
        <v>2</v>
      </c>
      <c r="L1109" s="8">
        <v>1</v>
      </c>
      <c r="M11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09" s="8" t="str" cm="1">
        <f t="array" ref="N1109">_xlfn.IFS(HR_Analytics56[[#This Row],[PerformanceRating]]=3,"Good",HR_Analytics56[[#This Row],[PerformanceRating]]=4, "Excellent")</f>
        <v>Excellent</v>
      </c>
      <c r="O1109" s="8" t="str">
        <f>IF(HR_Analytics56[[#This Row],[MonthlyIncome]]&lt;3000,"&lt; ₹3,000",IF(HR_Analytics56[[#This Row],[MonthlyIncome]]&lt;=7000,"₹ 3,000 - ₹ 7,000","&gt; ₹7,000"))</f>
        <v>₹ 3,000 - ₹ 7,000</v>
      </c>
      <c r="P1109" s="8" t="str" cm="1">
        <f t="array" ref="P11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0" spans="1:16" x14ac:dyDescent="0.8">
      <c r="A1110" s="5" t="s">
        <v>1181</v>
      </c>
      <c r="B1110" s="8">
        <v>43</v>
      </c>
      <c r="C1110" s="5" t="s">
        <v>49</v>
      </c>
      <c r="D1110" s="5" t="s">
        <v>51</v>
      </c>
      <c r="E1110" s="5" t="s">
        <v>44</v>
      </c>
      <c r="F1110" s="5" t="s">
        <v>137</v>
      </c>
      <c r="G1110" s="8">
        <v>4</v>
      </c>
      <c r="H1110" s="8">
        <v>10798</v>
      </c>
      <c r="I1110" s="5" t="s">
        <v>49</v>
      </c>
      <c r="J1110" s="8">
        <v>3</v>
      </c>
      <c r="K1110" s="8">
        <v>5</v>
      </c>
      <c r="L1110" s="8">
        <v>1</v>
      </c>
      <c r="M11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0" s="8" t="str" cm="1">
        <f t="array" ref="N1110">_xlfn.IFS(HR_Analytics56[[#This Row],[PerformanceRating]]=3,"Good",HR_Analytics56[[#This Row],[PerformanceRating]]=4, "Excellent")</f>
        <v>Good</v>
      </c>
      <c r="O1110" s="8" t="str">
        <f>IF(HR_Analytics56[[#This Row],[MonthlyIncome]]&lt;3000,"&lt; ₹3,000",IF(HR_Analytics56[[#This Row],[MonthlyIncome]]&lt;=7000,"₹ 3,000 - ₹ 7,000","&gt; ₹7,000"))</f>
        <v>&gt; ₹7,000</v>
      </c>
      <c r="P1110" s="8" t="str" cm="1">
        <f t="array" ref="P11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1" spans="1:16" x14ac:dyDescent="0.8">
      <c r="A1111" s="5" t="s">
        <v>1182</v>
      </c>
      <c r="B1111" s="8">
        <v>43</v>
      </c>
      <c r="C1111" s="5" t="s">
        <v>49</v>
      </c>
      <c r="D1111" s="5" t="s">
        <v>42</v>
      </c>
      <c r="E1111" s="5" t="s">
        <v>53</v>
      </c>
      <c r="F1111" s="5" t="s">
        <v>112</v>
      </c>
      <c r="G1111" s="8">
        <v>1</v>
      </c>
      <c r="H1111" s="8">
        <v>10820</v>
      </c>
      <c r="I1111" s="5" t="s">
        <v>49</v>
      </c>
      <c r="J1111" s="8">
        <v>3</v>
      </c>
      <c r="K1111" s="8">
        <v>1</v>
      </c>
      <c r="L1111" s="8">
        <v>8</v>
      </c>
      <c r="M11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1" s="8" t="str" cm="1">
        <f t="array" ref="N1111">_xlfn.IFS(HR_Analytics56[[#This Row],[PerformanceRating]]=3,"Good",HR_Analytics56[[#This Row],[PerformanceRating]]=4, "Excellent")</f>
        <v>Good</v>
      </c>
      <c r="O1111" s="8" t="str">
        <f>IF(HR_Analytics56[[#This Row],[MonthlyIncome]]&lt;3000,"&lt; ₹3,000",IF(HR_Analytics56[[#This Row],[MonthlyIncome]]&lt;=7000,"₹ 3,000 - ₹ 7,000","&gt; ₹7,000"))</f>
        <v>&gt; ₹7,000</v>
      </c>
      <c r="P1111" s="8" t="str" cm="1">
        <f t="array" ref="P11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2" spans="1:16" x14ac:dyDescent="0.8">
      <c r="A1112" s="5" t="s">
        <v>1183</v>
      </c>
      <c r="B1112" s="8">
        <v>43</v>
      </c>
      <c r="C1112" s="5" t="s">
        <v>40</v>
      </c>
      <c r="D1112" s="5" t="s">
        <v>51</v>
      </c>
      <c r="E1112" s="5" t="s">
        <v>53</v>
      </c>
      <c r="F1112" s="5" t="s">
        <v>137</v>
      </c>
      <c r="G1112" s="8">
        <v>3</v>
      </c>
      <c r="H1112" s="8">
        <v>5346</v>
      </c>
      <c r="I1112" s="5" t="s">
        <v>49</v>
      </c>
      <c r="J1112" s="8">
        <v>3</v>
      </c>
      <c r="K1112" s="8">
        <v>2</v>
      </c>
      <c r="L1112" s="8">
        <v>4</v>
      </c>
      <c r="M11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12" s="8" t="str" cm="1">
        <f t="array" ref="N1112">_xlfn.IFS(HR_Analytics56[[#This Row],[PerformanceRating]]=3,"Good",HR_Analytics56[[#This Row],[PerformanceRating]]=4, "Excellent")</f>
        <v>Good</v>
      </c>
      <c r="O1112" s="8" t="str">
        <f>IF(HR_Analytics56[[#This Row],[MonthlyIncome]]&lt;3000,"&lt; ₹3,000",IF(HR_Analytics56[[#This Row],[MonthlyIncome]]&lt;=7000,"₹ 3,000 - ₹ 7,000","&gt; ₹7,000"))</f>
        <v>₹ 3,000 - ₹ 7,000</v>
      </c>
      <c r="P1112" s="8" t="str" cm="1">
        <f t="array" ref="P11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3" spans="1:16" x14ac:dyDescent="0.8">
      <c r="A1113" s="5" t="s">
        <v>1184</v>
      </c>
      <c r="B1113" s="8">
        <v>43</v>
      </c>
      <c r="C1113" s="5" t="s">
        <v>49</v>
      </c>
      <c r="D1113" s="5" t="s">
        <v>42</v>
      </c>
      <c r="E1113" s="5" t="s">
        <v>44</v>
      </c>
      <c r="F1113" s="5" t="s">
        <v>252</v>
      </c>
      <c r="G1113" s="8">
        <v>4</v>
      </c>
      <c r="H1113" s="8">
        <v>19740</v>
      </c>
      <c r="I1113" s="5" t="s">
        <v>49</v>
      </c>
      <c r="J1113" s="8">
        <v>3</v>
      </c>
      <c r="K1113" s="8">
        <v>2</v>
      </c>
      <c r="L1113" s="8">
        <v>8</v>
      </c>
      <c r="M11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3" s="8" t="str" cm="1">
        <f t="array" ref="N1113">_xlfn.IFS(HR_Analytics56[[#This Row],[PerformanceRating]]=3,"Good",HR_Analytics56[[#This Row],[PerformanceRating]]=4, "Excellent")</f>
        <v>Good</v>
      </c>
      <c r="O1113" s="8" t="str">
        <f>IF(HR_Analytics56[[#This Row],[MonthlyIncome]]&lt;3000,"&lt; ₹3,000",IF(HR_Analytics56[[#This Row],[MonthlyIncome]]&lt;=7000,"₹ 3,000 - ₹ 7,000","&gt; ₹7,000"))</f>
        <v>&gt; ₹7,000</v>
      </c>
      <c r="P1113" s="8" t="str" cm="1">
        <f t="array" ref="P11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4" spans="1:16" x14ac:dyDescent="0.8">
      <c r="A1114" s="5" t="s">
        <v>1185</v>
      </c>
      <c r="B1114" s="8">
        <v>43</v>
      </c>
      <c r="C1114" s="5" t="s">
        <v>49</v>
      </c>
      <c r="D1114" s="5" t="s">
        <v>51</v>
      </c>
      <c r="E1114" s="5" t="s">
        <v>53</v>
      </c>
      <c r="F1114" s="5" t="s">
        <v>137</v>
      </c>
      <c r="G1114" s="8">
        <v>4</v>
      </c>
      <c r="H1114" s="8">
        <v>10231</v>
      </c>
      <c r="I1114" s="5" t="s">
        <v>49</v>
      </c>
      <c r="J1114" s="8">
        <v>3</v>
      </c>
      <c r="K1114" s="8">
        <v>3</v>
      </c>
      <c r="L1114" s="8">
        <v>21</v>
      </c>
      <c r="M11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4" s="8" t="str" cm="1">
        <f t="array" ref="N1114">_xlfn.IFS(HR_Analytics56[[#This Row],[PerformanceRating]]=3,"Good",HR_Analytics56[[#This Row],[PerformanceRating]]=4, "Excellent")</f>
        <v>Good</v>
      </c>
      <c r="O1114" s="8" t="str">
        <f>IF(HR_Analytics56[[#This Row],[MonthlyIncome]]&lt;3000,"&lt; ₹3,000",IF(HR_Analytics56[[#This Row],[MonthlyIncome]]&lt;=7000,"₹ 3,000 - ₹ 7,000","&gt; ₹7,000"))</f>
        <v>&gt; ₹7,000</v>
      </c>
      <c r="P1114" s="8" t="str" cm="1">
        <f t="array" ref="P11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5" spans="1:16" x14ac:dyDescent="0.8">
      <c r="A1115" s="5" t="s">
        <v>1186</v>
      </c>
      <c r="B1115" s="8">
        <v>43</v>
      </c>
      <c r="C1115" s="5" t="s">
        <v>49</v>
      </c>
      <c r="D1115" s="5" t="s">
        <v>42</v>
      </c>
      <c r="E1115" s="5" t="s">
        <v>53</v>
      </c>
      <c r="F1115" s="5" t="s">
        <v>60</v>
      </c>
      <c r="G1115" s="8">
        <v>3</v>
      </c>
      <c r="H1115" s="8">
        <v>4081</v>
      </c>
      <c r="I1115" s="5" t="s">
        <v>40</v>
      </c>
      <c r="J1115" s="8">
        <v>3</v>
      </c>
      <c r="K1115" s="8">
        <v>3</v>
      </c>
      <c r="L1115" s="8">
        <v>20</v>
      </c>
      <c r="M11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15" s="8" t="str" cm="1">
        <f t="array" ref="N1115">_xlfn.IFS(HR_Analytics56[[#This Row],[PerformanceRating]]=3,"Good",HR_Analytics56[[#This Row],[PerformanceRating]]=4, "Excellent")</f>
        <v>Good</v>
      </c>
      <c r="O1115" s="8" t="str">
        <f>IF(HR_Analytics56[[#This Row],[MonthlyIncome]]&lt;3000,"&lt; ₹3,000",IF(HR_Analytics56[[#This Row],[MonthlyIncome]]&lt;=7000,"₹ 3,000 - ₹ 7,000","&gt; ₹7,000"))</f>
        <v>₹ 3,000 - ₹ 7,000</v>
      </c>
      <c r="P1115" s="8" t="str" cm="1">
        <f t="array" ref="P11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6" spans="1:16" x14ac:dyDescent="0.8">
      <c r="A1116" s="5" t="s">
        <v>1187</v>
      </c>
      <c r="B1116" s="8">
        <v>43</v>
      </c>
      <c r="C1116" s="5" t="s">
        <v>49</v>
      </c>
      <c r="D1116" s="5" t="s">
        <v>42</v>
      </c>
      <c r="E1116" s="5" t="s">
        <v>44</v>
      </c>
      <c r="F1116" s="5" t="s">
        <v>45</v>
      </c>
      <c r="G1116" s="8">
        <v>2</v>
      </c>
      <c r="H1116" s="8">
        <v>4876</v>
      </c>
      <c r="I1116" s="5" t="s">
        <v>49</v>
      </c>
      <c r="J1116" s="8">
        <v>3</v>
      </c>
      <c r="K1116" s="8">
        <v>0</v>
      </c>
      <c r="L1116" s="8">
        <v>6</v>
      </c>
      <c r="M11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6" s="8" t="str" cm="1">
        <f t="array" ref="N1116">_xlfn.IFS(HR_Analytics56[[#This Row],[PerformanceRating]]=3,"Good",HR_Analytics56[[#This Row],[PerformanceRating]]=4, "Excellent")</f>
        <v>Good</v>
      </c>
      <c r="O1116" s="8" t="str">
        <f>IF(HR_Analytics56[[#This Row],[MonthlyIncome]]&lt;3000,"&lt; ₹3,000",IF(HR_Analytics56[[#This Row],[MonthlyIncome]]&lt;=7000,"₹ 3,000 - ₹ 7,000","&gt; ₹7,000"))</f>
        <v>₹ 3,000 - ₹ 7,000</v>
      </c>
      <c r="P1116" s="8" t="str" cm="1">
        <f t="array" ref="P11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7" spans="1:16" x14ac:dyDescent="0.8">
      <c r="A1117" s="5" t="s">
        <v>1188</v>
      </c>
      <c r="B1117" s="8">
        <v>43</v>
      </c>
      <c r="C1117" s="5" t="s">
        <v>49</v>
      </c>
      <c r="D1117" s="5" t="s">
        <v>42</v>
      </c>
      <c r="E1117" s="5" t="s">
        <v>44</v>
      </c>
      <c r="F1117" s="5" t="s">
        <v>252</v>
      </c>
      <c r="G1117" s="8">
        <v>3</v>
      </c>
      <c r="H1117" s="8">
        <v>17603</v>
      </c>
      <c r="I1117" s="5" t="s">
        <v>49</v>
      </c>
      <c r="J1117" s="8">
        <v>4</v>
      </c>
      <c r="K1117" s="8">
        <v>3</v>
      </c>
      <c r="L1117" s="8">
        <v>14</v>
      </c>
      <c r="M11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17" s="8" t="str" cm="1">
        <f t="array" ref="N1117">_xlfn.IFS(HR_Analytics56[[#This Row],[PerformanceRating]]=3,"Good",HR_Analytics56[[#This Row],[PerformanceRating]]=4, "Excellent")</f>
        <v>Excellent</v>
      </c>
      <c r="O1117" s="8" t="str">
        <f>IF(HR_Analytics56[[#This Row],[MonthlyIncome]]&lt;3000,"&lt; ₹3,000",IF(HR_Analytics56[[#This Row],[MonthlyIncome]]&lt;=7000,"₹ 3,000 - ₹ 7,000","&gt; ₹7,000"))</f>
        <v>&gt; ₹7,000</v>
      </c>
      <c r="P1117" s="8" t="str" cm="1">
        <f t="array" ref="P111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18" spans="1:16" x14ac:dyDescent="0.8">
      <c r="A1118" s="5" t="s">
        <v>1189</v>
      </c>
      <c r="B1118" s="8">
        <v>43</v>
      </c>
      <c r="C1118" s="5" t="s">
        <v>49</v>
      </c>
      <c r="D1118" s="5" t="s">
        <v>51</v>
      </c>
      <c r="E1118" s="5" t="s">
        <v>44</v>
      </c>
      <c r="F1118" s="5" t="s">
        <v>137</v>
      </c>
      <c r="G1118" s="8">
        <v>4</v>
      </c>
      <c r="H1118" s="8">
        <v>7847</v>
      </c>
      <c r="I1118" s="5" t="s">
        <v>40</v>
      </c>
      <c r="J1118" s="8">
        <v>3</v>
      </c>
      <c r="K1118" s="8">
        <v>3</v>
      </c>
      <c r="L1118" s="8">
        <v>10</v>
      </c>
      <c r="M11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18" s="8" t="str" cm="1">
        <f t="array" ref="N1118">_xlfn.IFS(HR_Analytics56[[#This Row],[PerformanceRating]]=3,"Good",HR_Analytics56[[#This Row],[PerformanceRating]]=4, "Excellent")</f>
        <v>Good</v>
      </c>
      <c r="O1118" s="8" t="str">
        <f>IF(HR_Analytics56[[#This Row],[MonthlyIncome]]&lt;3000,"&lt; ₹3,000",IF(HR_Analytics56[[#This Row],[MonthlyIncome]]&lt;=7000,"₹ 3,000 - ₹ 7,000","&gt; ₹7,000"))</f>
        <v>&gt; ₹7,000</v>
      </c>
      <c r="P1118" s="8" t="str" cm="1">
        <f t="array" ref="P11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19" spans="1:16" x14ac:dyDescent="0.8">
      <c r="A1119" s="5" t="s">
        <v>1190</v>
      </c>
      <c r="B1119" s="8">
        <v>43</v>
      </c>
      <c r="C1119" s="5" t="s">
        <v>40</v>
      </c>
      <c r="D1119" s="5" t="s">
        <v>42</v>
      </c>
      <c r="E1119" s="5" t="s">
        <v>44</v>
      </c>
      <c r="F1119" s="5" t="s">
        <v>60</v>
      </c>
      <c r="G1119" s="8">
        <v>3</v>
      </c>
      <c r="H1119" s="8">
        <v>2437</v>
      </c>
      <c r="I1119" s="5" t="s">
        <v>40</v>
      </c>
      <c r="J1119" s="8">
        <v>3</v>
      </c>
      <c r="K1119" s="8">
        <v>4</v>
      </c>
      <c r="L1119" s="8">
        <v>1</v>
      </c>
      <c r="M11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19" s="8" t="str" cm="1">
        <f t="array" ref="N1119">_xlfn.IFS(HR_Analytics56[[#This Row],[PerformanceRating]]=3,"Good",HR_Analytics56[[#This Row],[PerformanceRating]]=4, "Excellent")</f>
        <v>Good</v>
      </c>
      <c r="O1119" s="8" t="str">
        <f>IF(HR_Analytics56[[#This Row],[MonthlyIncome]]&lt;3000,"&lt; ₹3,000",IF(HR_Analytics56[[#This Row],[MonthlyIncome]]&lt;=7000,"₹ 3,000 - ₹ 7,000","&gt; ₹7,000"))</f>
        <v>&lt; ₹3,000</v>
      </c>
      <c r="P1119" s="8" t="str" cm="1">
        <f t="array" ref="P11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0" spans="1:16" x14ac:dyDescent="0.8">
      <c r="A1120" s="5" t="s">
        <v>1191</v>
      </c>
      <c r="B1120" s="8">
        <v>43</v>
      </c>
      <c r="C1120" s="5" t="s">
        <v>49</v>
      </c>
      <c r="D1120" s="5" t="s">
        <v>71</v>
      </c>
      <c r="E1120" s="5" t="s">
        <v>44</v>
      </c>
      <c r="F1120" s="5" t="s">
        <v>71</v>
      </c>
      <c r="G1120" s="8">
        <v>4</v>
      </c>
      <c r="H1120" s="8">
        <v>3539</v>
      </c>
      <c r="I1120" s="5" t="s">
        <v>49</v>
      </c>
      <c r="J1120" s="8">
        <v>3</v>
      </c>
      <c r="K1120" s="8">
        <v>5</v>
      </c>
      <c r="L1120" s="8">
        <v>9</v>
      </c>
      <c r="M11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0" s="8" t="str" cm="1">
        <f t="array" ref="N1120">_xlfn.IFS(HR_Analytics56[[#This Row],[PerformanceRating]]=3,"Good",HR_Analytics56[[#This Row],[PerformanceRating]]=4, "Excellent")</f>
        <v>Good</v>
      </c>
      <c r="O1120" s="8" t="str">
        <f>IF(HR_Analytics56[[#This Row],[MonthlyIncome]]&lt;3000,"&lt; ₹3,000",IF(HR_Analytics56[[#This Row],[MonthlyIncome]]&lt;=7000,"₹ 3,000 - ₹ 7,000","&gt; ₹7,000"))</f>
        <v>₹ 3,000 - ₹ 7,000</v>
      </c>
      <c r="P1120" s="8" t="str" cm="1">
        <f t="array" ref="P11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1" spans="1:16" x14ac:dyDescent="0.8">
      <c r="A1121" s="5" t="s">
        <v>1192</v>
      </c>
      <c r="B1121" s="8">
        <v>43</v>
      </c>
      <c r="C1121" s="5" t="s">
        <v>49</v>
      </c>
      <c r="D1121" s="5" t="s">
        <v>42</v>
      </c>
      <c r="E1121" s="5" t="s">
        <v>44</v>
      </c>
      <c r="F1121" s="5" t="s">
        <v>60</v>
      </c>
      <c r="G1121" s="8">
        <v>3</v>
      </c>
      <c r="H1121" s="8">
        <v>2438</v>
      </c>
      <c r="I1121" s="5" t="s">
        <v>49</v>
      </c>
      <c r="J1121" s="8">
        <v>3</v>
      </c>
      <c r="K1121" s="8">
        <v>2</v>
      </c>
      <c r="L1121" s="8">
        <v>3</v>
      </c>
      <c r="M11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1" s="8" t="str" cm="1">
        <f t="array" ref="N1121">_xlfn.IFS(HR_Analytics56[[#This Row],[PerformanceRating]]=3,"Good",HR_Analytics56[[#This Row],[PerformanceRating]]=4, "Excellent")</f>
        <v>Good</v>
      </c>
      <c r="O1121" s="8" t="str">
        <f>IF(HR_Analytics56[[#This Row],[MonthlyIncome]]&lt;3000,"&lt; ₹3,000",IF(HR_Analytics56[[#This Row],[MonthlyIncome]]&lt;=7000,"₹ 3,000 - ₹ 7,000","&gt; ₹7,000"))</f>
        <v>&lt; ₹3,000</v>
      </c>
      <c r="P1121" s="8" t="str" cm="1">
        <f t="array" ref="P11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2" spans="1:16" x14ac:dyDescent="0.8">
      <c r="A1122" s="5" t="s">
        <v>1193</v>
      </c>
      <c r="B1122" s="8">
        <v>43</v>
      </c>
      <c r="C1122" s="5" t="s">
        <v>49</v>
      </c>
      <c r="D1122" s="5" t="s">
        <v>51</v>
      </c>
      <c r="E1122" s="5" t="s">
        <v>44</v>
      </c>
      <c r="F1122" s="5" t="s">
        <v>137</v>
      </c>
      <c r="G1122" s="8">
        <v>4</v>
      </c>
      <c r="H1122" s="8">
        <v>5675</v>
      </c>
      <c r="I1122" s="5" t="s">
        <v>49</v>
      </c>
      <c r="J1122" s="8">
        <v>4</v>
      </c>
      <c r="K1122" s="8">
        <v>5</v>
      </c>
      <c r="L1122" s="8">
        <v>7</v>
      </c>
      <c r="M11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2" s="8" t="str" cm="1">
        <f t="array" ref="N1122">_xlfn.IFS(HR_Analytics56[[#This Row],[PerformanceRating]]=3,"Good",HR_Analytics56[[#This Row],[PerformanceRating]]=4, "Excellent")</f>
        <v>Excellent</v>
      </c>
      <c r="O1122" s="8" t="str">
        <f>IF(HR_Analytics56[[#This Row],[MonthlyIncome]]&lt;3000,"&lt; ₹3,000",IF(HR_Analytics56[[#This Row],[MonthlyIncome]]&lt;=7000,"₹ 3,000 - ₹ 7,000","&gt; ₹7,000"))</f>
        <v>₹ 3,000 - ₹ 7,000</v>
      </c>
      <c r="P1122" s="8" t="str" cm="1">
        <f t="array" ref="P112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23" spans="1:16" x14ac:dyDescent="0.8">
      <c r="A1123" s="5" t="s">
        <v>1194</v>
      </c>
      <c r="B1123" s="8">
        <v>43</v>
      </c>
      <c r="C1123" s="5" t="s">
        <v>49</v>
      </c>
      <c r="D1123" s="5" t="s">
        <v>42</v>
      </c>
      <c r="E1123" s="5" t="s">
        <v>53</v>
      </c>
      <c r="F1123" s="5" t="s">
        <v>442</v>
      </c>
      <c r="G1123" s="8">
        <v>3</v>
      </c>
      <c r="H1123" s="8">
        <v>19392</v>
      </c>
      <c r="I1123" s="5" t="s">
        <v>49</v>
      </c>
      <c r="J1123" s="8">
        <v>3</v>
      </c>
      <c r="K1123" s="8">
        <v>2</v>
      </c>
      <c r="L1123" s="8">
        <v>16</v>
      </c>
      <c r="M11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3" s="8" t="str" cm="1">
        <f t="array" ref="N1123">_xlfn.IFS(HR_Analytics56[[#This Row],[PerformanceRating]]=3,"Good",HR_Analytics56[[#This Row],[PerformanceRating]]=4, "Excellent")</f>
        <v>Good</v>
      </c>
      <c r="O1123" s="8" t="str">
        <f>IF(HR_Analytics56[[#This Row],[MonthlyIncome]]&lt;3000,"&lt; ₹3,000",IF(HR_Analytics56[[#This Row],[MonthlyIncome]]&lt;=7000,"₹ 3,000 - ₹ 7,000","&gt; ₹7,000"))</f>
        <v>&gt; ₹7,000</v>
      </c>
      <c r="P1123" s="8" t="str" cm="1">
        <f t="array" ref="P11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4" spans="1:16" x14ac:dyDescent="0.8">
      <c r="A1124" s="5" t="s">
        <v>1195</v>
      </c>
      <c r="B1124" s="8">
        <v>43</v>
      </c>
      <c r="C1124" s="5" t="s">
        <v>49</v>
      </c>
      <c r="D1124" s="5" t="s">
        <v>42</v>
      </c>
      <c r="E1124" s="5" t="s">
        <v>44</v>
      </c>
      <c r="F1124" s="5" t="s">
        <v>161</v>
      </c>
      <c r="G1124" s="8">
        <v>3</v>
      </c>
      <c r="H1124" s="8">
        <v>7510</v>
      </c>
      <c r="I1124" s="5" t="s">
        <v>49</v>
      </c>
      <c r="J1124" s="8">
        <v>3</v>
      </c>
      <c r="K1124" s="8">
        <v>1</v>
      </c>
      <c r="L1124" s="8">
        <v>10</v>
      </c>
      <c r="M11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4" s="8" t="str" cm="1">
        <f t="array" ref="N1124">_xlfn.IFS(HR_Analytics56[[#This Row],[PerformanceRating]]=3,"Good",HR_Analytics56[[#This Row],[PerformanceRating]]=4, "Excellent")</f>
        <v>Good</v>
      </c>
      <c r="O1124" s="8" t="str">
        <f>IF(HR_Analytics56[[#This Row],[MonthlyIncome]]&lt;3000,"&lt; ₹3,000",IF(HR_Analytics56[[#This Row],[MonthlyIncome]]&lt;=7000,"₹ 3,000 - ₹ 7,000","&gt; ₹7,000"))</f>
        <v>&gt; ₹7,000</v>
      </c>
      <c r="P1124" s="8" t="str" cm="1">
        <f t="array" ref="P11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5" spans="1:16" x14ac:dyDescent="0.8">
      <c r="A1125" s="5" t="s">
        <v>1196</v>
      </c>
      <c r="B1125" s="8">
        <v>44</v>
      </c>
      <c r="C1125" s="5" t="s">
        <v>49</v>
      </c>
      <c r="D1125" s="5" t="s">
        <v>42</v>
      </c>
      <c r="E1125" s="5" t="s">
        <v>53</v>
      </c>
      <c r="F1125" s="5" t="s">
        <v>161</v>
      </c>
      <c r="G1125" s="8">
        <v>4</v>
      </c>
      <c r="H1125" s="8">
        <v>10248</v>
      </c>
      <c r="I1125" s="5" t="s">
        <v>49</v>
      </c>
      <c r="J1125" s="8">
        <v>3</v>
      </c>
      <c r="K1125" s="8">
        <v>4</v>
      </c>
      <c r="L1125" s="8">
        <v>22</v>
      </c>
      <c r="M11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5" s="8" t="str" cm="1">
        <f t="array" ref="N1125">_xlfn.IFS(HR_Analytics56[[#This Row],[PerformanceRating]]=3,"Good",HR_Analytics56[[#This Row],[PerformanceRating]]=4, "Excellent")</f>
        <v>Good</v>
      </c>
      <c r="O1125" s="8" t="str">
        <f>IF(HR_Analytics56[[#This Row],[MonthlyIncome]]&lt;3000,"&lt; ₹3,000",IF(HR_Analytics56[[#This Row],[MonthlyIncome]]&lt;=7000,"₹ 3,000 - ₹ 7,000","&gt; ₹7,000"))</f>
        <v>&gt; ₹7,000</v>
      </c>
      <c r="P1125" s="8" t="str" cm="1">
        <f t="array" ref="P11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6" spans="1:16" x14ac:dyDescent="0.8">
      <c r="A1126" s="5" t="s">
        <v>1197</v>
      </c>
      <c r="B1126" s="8">
        <v>44</v>
      </c>
      <c r="C1126" s="5" t="s">
        <v>49</v>
      </c>
      <c r="D1126" s="5" t="s">
        <v>42</v>
      </c>
      <c r="E1126" s="5" t="s">
        <v>44</v>
      </c>
      <c r="F1126" s="5" t="s">
        <v>161</v>
      </c>
      <c r="G1126" s="8">
        <v>4</v>
      </c>
      <c r="H1126" s="8">
        <v>6465</v>
      </c>
      <c r="I1126" s="5" t="s">
        <v>40</v>
      </c>
      <c r="J1126" s="8">
        <v>3</v>
      </c>
      <c r="K1126" s="8">
        <v>5</v>
      </c>
      <c r="L1126" s="8">
        <v>4</v>
      </c>
      <c r="M11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26" s="8" t="str" cm="1">
        <f t="array" ref="N1126">_xlfn.IFS(HR_Analytics56[[#This Row],[PerformanceRating]]=3,"Good",HR_Analytics56[[#This Row],[PerformanceRating]]=4, "Excellent")</f>
        <v>Good</v>
      </c>
      <c r="O1126" s="8" t="str">
        <f>IF(HR_Analytics56[[#This Row],[MonthlyIncome]]&lt;3000,"&lt; ₹3,000",IF(HR_Analytics56[[#This Row],[MonthlyIncome]]&lt;=7000,"₹ 3,000 - ₹ 7,000","&gt; ₹7,000"))</f>
        <v>₹ 3,000 - ₹ 7,000</v>
      </c>
      <c r="P1126" s="8" t="str" cm="1">
        <f t="array" ref="P11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7" spans="1:16" x14ac:dyDescent="0.8">
      <c r="A1127" s="5" t="s">
        <v>1198</v>
      </c>
      <c r="B1127" s="8">
        <v>44</v>
      </c>
      <c r="C1127" s="5" t="s">
        <v>49</v>
      </c>
      <c r="D1127" s="5" t="s">
        <v>51</v>
      </c>
      <c r="E1127" s="5" t="s">
        <v>53</v>
      </c>
      <c r="F1127" s="5" t="s">
        <v>137</v>
      </c>
      <c r="G1127" s="8">
        <v>1</v>
      </c>
      <c r="H1127" s="8">
        <v>5454</v>
      </c>
      <c r="I1127" s="5" t="s">
        <v>40</v>
      </c>
      <c r="J1127" s="8">
        <v>4</v>
      </c>
      <c r="K1127" s="8">
        <v>2</v>
      </c>
      <c r="L1127" s="8">
        <v>4</v>
      </c>
      <c r="M11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27" s="8" t="str" cm="1">
        <f t="array" ref="N1127">_xlfn.IFS(HR_Analytics56[[#This Row],[PerformanceRating]]=3,"Good",HR_Analytics56[[#This Row],[PerformanceRating]]=4, "Excellent")</f>
        <v>Excellent</v>
      </c>
      <c r="O1127" s="8" t="str">
        <f>IF(HR_Analytics56[[#This Row],[MonthlyIncome]]&lt;3000,"&lt; ₹3,000",IF(HR_Analytics56[[#This Row],[MonthlyIncome]]&lt;=7000,"₹ 3,000 - ₹ 7,000","&gt; ₹7,000"))</f>
        <v>₹ 3,000 - ₹ 7,000</v>
      </c>
      <c r="P1127" s="8" t="str" cm="1">
        <f t="array" ref="P11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8" spans="1:16" x14ac:dyDescent="0.8">
      <c r="A1128" s="5" t="s">
        <v>1199</v>
      </c>
      <c r="B1128" s="8">
        <v>44</v>
      </c>
      <c r="C1128" s="5" t="s">
        <v>49</v>
      </c>
      <c r="D1128" s="5" t="s">
        <v>42</v>
      </c>
      <c r="E1128" s="5" t="s">
        <v>44</v>
      </c>
      <c r="F1128" s="5" t="s">
        <v>45</v>
      </c>
      <c r="G1128" s="8">
        <v>2</v>
      </c>
      <c r="H1128" s="8">
        <v>2042</v>
      </c>
      <c r="I1128" s="5" t="s">
        <v>49</v>
      </c>
      <c r="J1128" s="8">
        <v>3</v>
      </c>
      <c r="K1128" s="8">
        <v>3</v>
      </c>
      <c r="L1128" s="8">
        <v>3</v>
      </c>
      <c r="M11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28" s="8" t="str" cm="1">
        <f t="array" ref="N1128">_xlfn.IFS(HR_Analytics56[[#This Row],[PerformanceRating]]=3,"Good",HR_Analytics56[[#This Row],[PerformanceRating]]=4, "Excellent")</f>
        <v>Good</v>
      </c>
      <c r="O1128" s="8" t="str">
        <f>IF(HR_Analytics56[[#This Row],[MonthlyIncome]]&lt;3000,"&lt; ₹3,000",IF(HR_Analytics56[[#This Row],[MonthlyIncome]]&lt;=7000,"₹ 3,000 - ₹ 7,000","&gt; ₹7,000"))</f>
        <v>&lt; ₹3,000</v>
      </c>
      <c r="P1128" s="8" t="str" cm="1">
        <f t="array" ref="P11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29" spans="1:16" x14ac:dyDescent="0.8">
      <c r="A1129" s="5" t="s">
        <v>1200</v>
      </c>
      <c r="B1129" s="8">
        <v>44</v>
      </c>
      <c r="C1129" s="5" t="s">
        <v>40</v>
      </c>
      <c r="D1129" s="5" t="s">
        <v>42</v>
      </c>
      <c r="E1129" s="5" t="s">
        <v>44</v>
      </c>
      <c r="F1129" s="5" t="s">
        <v>45</v>
      </c>
      <c r="G1129" s="8">
        <v>3</v>
      </c>
      <c r="H1129" s="8">
        <v>3161</v>
      </c>
      <c r="I1129" s="5" t="s">
        <v>40</v>
      </c>
      <c r="J1129" s="8">
        <v>4</v>
      </c>
      <c r="K1129" s="8">
        <v>0</v>
      </c>
      <c r="L1129" s="8">
        <v>1</v>
      </c>
      <c r="M11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29" s="8" t="str" cm="1">
        <f t="array" ref="N1129">_xlfn.IFS(HR_Analytics56[[#This Row],[PerformanceRating]]=3,"Good",HR_Analytics56[[#This Row],[PerformanceRating]]=4, "Excellent")</f>
        <v>Excellent</v>
      </c>
      <c r="O1129" s="8" t="str">
        <f>IF(HR_Analytics56[[#This Row],[MonthlyIncome]]&lt;3000,"&lt; ₹3,000",IF(HR_Analytics56[[#This Row],[MonthlyIncome]]&lt;=7000,"₹ 3,000 - ₹ 7,000","&gt; ₹7,000"))</f>
        <v>₹ 3,000 - ₹ 7,000</v>
      </c>
      <c r="P1129" s="8" t="str" cm="1">
        <f t="array" ref="P11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0" spans="1:16" x14ac:dyDescent="0.8">
      <c r="A1130" s="5" t="s">
        <v>1201</v>
      </c>
      <c r="B1130" s="8">
        <v>44</v>
      </c>
      <c r="C1130" s="5" t="s">
        <v>49</v>
      </c>
      <c r="D1130" s="5" t="s">
        <v>71</v>
      </c>
      <c r="E1130" s="5" t="s">
        <v>53</v>
      </c>
      <c r="F1130" s="5" t="s">
        <v>71</v>
      </c>
      <c r="G1130" s="8">
        <v>3</v>
      </c>
      <c r="H1130" s="8">
        <v>5985</v>
      </c>
      <c r="I1130" s="5" t="s">
        <v>49</v>
      </c>
      <c r="J1130" s="8">
        <v>3</v>
      </c>
      <c r="K1130" s="8">
        <v>1</v>
      </c>
      <c r="L1130" s="8">
        <v>2</v>
      </c>
      <c r="M11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30" s="8" t="str" cm="1">
        <f t="array" ref="N1130">_xlfn.IFS(HR_Analytics56[[#This Row],[PerformanceRating]]=3,"Good",HR_Analytics56[[#This Row],[PerformanceRating]]=4, "Excellent")</f>
        <v>Good</v>
      </c>
      <c r="O1130" s="8" t="str">
        <f>IF(HR_Analytics56[[#This Row],[MonthlyIncome]]&lt;3000,"&lt; ₹3,000",IF(HR_Analytics56[[#This Row],[MonthlyIncome]]&lt;=7000,"₹ 3,000 - ₹ 7,000","&gt; ₹7,000"))</f>
        <v>₹ 3,000 - ₹ 7,000</v>
      </c>
      <c r="P1130" s="8" t="str" cm="1">
        <f t="array" ref="P11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1" spans="1:16" x14ac:dyDescent="0.8">
      <c r="A1131" s="5" t="s">
        <v>1202</v>
      </c>
      <c r="B1131" s="8">
        <v>44</v>
      </c>
      <c r="C1131" s="5" t="s">
        <v>49</v>
      </c>
      <c r="D1131" s="5" t="s">
        <v>42</v>
      </c>
      <c r="E1131" s="5" t="s">
        <v>44</v>
      </c>
      <c r="F1131" s="5" t="s">
        <v>442</v>
      </c>
      <c r="G1131" s="8">
        <v>4</v>
      </c>
      <c r="H1131" s="8">
        <v>19513</v>
      </c>
      <c r="I1131" s="5" t="s">
        <v>40</v>
      </c>
      <c r="J1131" s="8">
        <v>3</v>
      </c>
      <c r="K1131" s="8">
        <v>2</v>
      </c>
      <c r="L1131" s="8">
        <v>2</v>
      </c>
      <c r="M11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31" s="8" t="str" cm="1">
        <f t="array" ref="N1131">_xlfn.IFS(HR_Analytics56[[#This Row],[PerformanceRating]]=3,"Good",HR_Analytics56[[#This Row],[PerformanceRating]]=4, "Excellent")</f>
        <v>Good</v>
      </c>
      <c r="O1131" s="8" t="str">
        <f>IF(HR_Analytics56[[#This Row],[MonthlyIncome]]&lt;3000,"&lt; ₹3,000",IF(HR_Analytics56[[#This Row],[MonthlyIncome]]&lt;=7000,"₹ 3,000 - ₹ 7,000","&gt; ₹7,000"))</f>
        <v>&gt; ₹7,000</v>
      </c>
      <c r="P1131" s="8" t="str" cm="1">
        <f t="array" ref="P11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2" spans="1:16" x14ac:dyDescent="0.8">
      <c r="A1132" s="5" t="s">
        <v>1203</v>
      </c>
      <c r="B1132" s="8">
        <v>44</v>
      </c>
      <c r="C1132" s="5" t="s">
        <v>49</v>
      </c>
      <c r="D1132" s="5" t="s">
        <v>42</v>
      </c>
      <c r="E1132" s="5" t="s">
        <v>44</v>
      </c>
      <c r="F1132" s="5" t="s">
        <v>45</v>
      </c>
      <c r="G1132" s="8">
        <v>3</v>
      </c>
      <c r="H1132" s="8">
        <v>3708</v>
      </c>
      <c r="I1132" s="5" t="s">
        <v>49</v>
      </c>
      <c r="J1132" s="8">
        <v>3</v>
      </c>
      <c r="K1132" s="8">
        <v>5</v>
      </c>
      <c r="L1132" s="8">
        <v>5</v>
      </c>
      <c r="M11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32" s="8" t="str" cm="1">
        <f t="array" ref="N1132">_xlfn.IFS(HR_Analytics56[[#This Row],[PerformanceRating]]=3,"Good",HR_Analytics56[[#This Row],[PerformanceRating]]=4, "Excellent")</f>
        <v>Good</v>
      </c>
      <c r="O1132" s="8" t="str">
        <f>IF(HR_Analytics56[[#This Row],[MonthlyIncome]]&lt;3000,"&lt; ₹3,000",IF(HR_Analytics56[[#This Row],[MonthlyIncome]]&lt;=7000,"₹ 3,000 - ₹ 7,000","&gt; ₹7,000"))</f>
        <v>₹ 3,000 - ₹ 7,000</v>
      </c>
      <c r="P1132" s="8" t="str" cm="1">
        <f t="array" ref="P11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3" spans="1:16" x14ac:dyDescent="0.8">
      <c r="A1133" s="5" t="s">
        <v>1204</v>
      </c>
      <c r="B1133" s="8">
        <v>44</v>
      </c>
      <c r="C1133" s="5" t="s">
        <v>49</v>
      </c>
      <c r="D1133" s="5" t="s">
        <v>42</v>
      </c>
      <c r="E1133" s="5" t="s">
        <v>44</v>
      </c>
      <c r="F1133" s="5" t="s">
        <v>161</v>
      </c>
      <c r="G1133" s="8">
        <v>2</v>
      </c>
      <c r="H1133" s="8">
        <v>5933</v>
      </c>
      <c r="I1133" s="5" t="s">
        <v>49</v>
      </c>
      <c r="J1133" s="8">
        <v>3</v>
      </c>
      <c r="K1133" s="8">
        <v>2</v>
      </c>
      <c r="L1133" s="8">
        <v>5</v>
      </c>
      <c r="M11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33" s="8" t="str" cm="1">
        <f t="array" ref="N1133">_xlfn.IFS(HR_Analytics56[[#This Row],[PerformanceRating]]=3,"Good",HR_Analytics56[[#This Row],[PerformanceRating]]=4, "Excellent")</f>
        <v>Good</v>
      </c>
      <c r="O1133" s="8" t="str">
        <f>IF(HR_Analytics56[[#This Row],[MonthlyIncome]]&lt;3000,"&lt; ₹3,000",IF(HR_Analytics56[[#This Row],[MonthlyIncome]]&lt;=7000,"₹ 3,000 - ₹ 7,000","&gt; ₹7,000"))</f>
        <v>₹ 3,000 - ₹ 7,000</v>
      </c>
      <c r="P1133" s="8" t="str" cm="1">
        <f t="array" ref="P11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4" spans="1:16" x14ac:dyDescent="0.8">
      <c r="A1134" s="5" t="s">
        <v>1205</v>
      </c>
      <c r="B1134" s="8">
        <v>44</v>
      </c>
      <c r="C1134" s="5" t="s">
        <v>49</v>
      </c>
      <c r="D1134" s="5" t="s">
        <v>42</v>
      </c>
      <c r="E1134" s="5" t="s">
        <v>44</v>
      </c>
      <c r="F1134" s="5" t="s">
        <v>45</v>
      </c>
      <c r="G1134" s="8">
        <v>4</v>
      </c>
      <c r="H1134" s="8">
        <v>2818</v>
      </c>
      <c r="I1134" s="5" t="s">
        <v>40</v>
      </c>
      <c r="J1134" s="8">
        <v>4</v>
      </c>
      <c r="K1134" s="8">
        <v>2</v>
      </c>
      <c r="L1134" s="8">
        <v>3</v>
      </c>
      <c r="M11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34" s="8" t="str" cm="1">
        <f t="array" ref="N1134">_xlfn.IFS(HR_Analytics56[[#This Row],[PerformanceRating]]=3,"Good",HR_Analytics56[[#This Row],[PerformanceRating]]=4, "Excellent")</f>
        <v>Excellent</v>
      </c>
      <c r="O1134" s="8" t="str">
        <f>IF(HR_Analytics56[[#This Row],[MonthlyIncome]]&lt;3000,"&lt; ₹3,000",IF(HR_Analytics56[[#This Row],[MonthlyIncome]]&lt;=7000,"₹ 3,000 - ₹ 7,000","&gt; ₹7,000"))</f>
        <v>&lt; ₹3,000</v>
      </c>
      <c r="P1134" s="8" t="str" cm="1">
        <f t="array" ref="P11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5" spans="1:16" x14ac:dyDescent="0.8">
      <c r="A1135" s="5" t="s">
        <v>1206</v>
      </c>
      <c r="B1135" s="8">
        <v>44</v>
      </c>
      <c r="C1135" s="5" t="s">
        <v>49</v>
      </c>
      <c r="D1135" s="5" t="s">
        <v>42</v>
      </c>
      <c r="E1135" s="5" t="s">
        <v>44</v>
      </c>
      <c r="F1135" s="5" t="s">
        <v>60</v>
      </c>
      <c r="G1135" s="8">
        <v>1</v>
      </c>
      <c r="H1135" s="8">
        <v>2559</v>
      </c>
      <c r="I1135" s="5" t="s">
        <v>40</v>
      </c>
      <c r="J1135" s="8">
        <v>3</v>
      </c>
      <c r="K1135" s="8">
        <v>0</v>
      </c>
      <c r="L1135" s="8">
        <v>8</v>
      </c>
      <c r="M11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35" s="8" t="str" cm="1">
        <f t="array" ref="N1135">_xlfn.IFS(HR_Analytics56[[#This Row],[PerformanceRating]]=3,"Good",HR_Analytics56[[#This Row],[PerformanceRating]]=4, "Excellent")</f>
        <v>Good</v>
      </c>
      <c r="O1135" s="8" t="str">
        <f>IF(HR_Analytics56[[#This Row],[MonthlyIncome]]&lt;3000,"&lt; ₹3,000",IF(HR_Analytics56[[#This Row],[MonthlyIncome]]&lt;=7000,"₹ 3,000 - ₹ 7,000","&gt; ₹7,000"))</f>
        <v>&lt; ₹3,000</v>
      </c>
      <c r="P1135" s="8" t="str" cm="1">
        <f t="array" ref="P11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6" spans="1:16" x14ac:dyDescent="0.8">
      <c r="A1136" s="5" t="s">
        <v>1207</v>
      </c>
      <c r="B1136" s="8">
        <v>44</v>
      </c>
      <c r="C1136" s="5" t="s">
        <v>49</v>
      </c>
      <c r="D1136" s="5" t="s">
        <v>51</v>
      </c>
      <c r="E1136" s="5" t="s">
        <v>53</v>
      </c>
      <c r="F1136" s="5" t="s">
        <v>137</v>
      </c>
      <c r="G1136" s="8">
        <v>4</v>
      </c>
      <c r="H1136" s="8">
        <v>13320</v>
      </c>
      <c r="I1136" s="5" t="s">
        <v>40</v>
      </c>
      <c r="J1136" s="8">
        <v>3</v>
      </c>
      <c r="K1136" s="8">
        <v>2</v>
      </c>
      <c r="L1136" s="8">
        <v>12</v>
      </c>
      <c r="M11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36" s="8" t="str" cm="1">
        <f t="array" ref="N1136">_xlfn.IFS(HR_Analytics56[[#This Row],[PerformanceRating]]=3,"Good",HR_Analytics56[[#This Row],[PerformanceRating]]=4, "Excellent")</f>
        <v>Good</v>
      </c>
      <c r="O1136" s="8" t="str">
        <f>IF(HR_Analytics56[[#This Row],[MonthlyIncome]]&lt;3000,"&lt; ₹3,000",IF(HR_Analytics56[[#This Row],[MonthlyIncome]]&lt;=7000,"₹ 3,000 - ₹ 7,000","&gt; ₹7,000"))</f>
        <v>&gt; ₹7,000</v>
      </c>
      <c r="P1136" s="8" t="str" cm="1">
        <f t="array" ref="P11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7" spans="1:16" x14ac:dyDescent="0.8">
      <c r="A1137" s="5" t="s">
        <v>1208</v>
      </c>
      <c r="B1137" s="8">
        <v>44</v>
      </c>
      <c r="C1137" s="5" t="s">
        <v>40</v>
      </c>
      <c r="D1137" s="5" t="s">
        <v>71</v>
      </c>
      <c r="E1137" s="5" t="s">
        <v>44</v>
      </c>
      <c r="F1137" s="5" t="s">
        <v>71</v>
      </c>
      <c r="G1137" s="8">
        <v>1</v>
      </c>
      <c r="H1137" s="8">
        <v>10482</v>
      </c>
      <c r="I1137" s="5" t="s">
        <v>49</v>
      </c>
      <c r="J1137" s="8">
        <v>3</v>
      </c>
      <c r="K1137" s="8">
        <v>1</v>
      </c>
      <c r="L1137" s="8">
        <v>20</v>
      </c>
      <c r="M11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37" s="8" t="str" cm="1">
        <f t="array" ref="N1137">_xlfn.IFS(HR_Analytics56[[#This Row],[PerformanceRating]]=3,"Good",HR_Analytics56[[#This Row],[PerformanceRating]]=4, "Excellent")</f>
        <v>Good</v>
      </c>
      <c r="O1137" s="8" t="str">
        <f>IF(HR_Analytics56[[#This Row],[MonthlyIncome]]&lt;3000,"&lt; ₹3,000",IF(HR_Analytics56[[#This Row],[MonthlyIncome]]&lt;=7000,"₹ 3,000 - ₹ 7,000","&gt; ₹7,000"))</f>
        <v>&gt; ₹7,000</v>
      </c>
      <c r="P1137" s="8" t="str" cm="1">
        <f t="array" ref="P11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8" spans="1:16" x14ac:dyDescent="0.8">
      <c r="A1138" s="5" t="s">
        <v>1209</v>
      </c>
      <c r="B1138" s="8">
        <v>44</v>
      </c>
      <c r="C1138" s="5" t="s">
        <v>40</v>
      </c>
      <c r="D1138" s="5" t="s">
        <v>42</v>
      </c>
      <c r="E1138" s="5" t="s">
        <v>44</v>
      </c>
      <c r="F1138" s="5" t="s">
        <v>60</v>
      </c>
      <c r="G1138" s="8">
        <v>3</v>
      </c>
      <c r="H1138" s="8">
        <v>2936</v>
      </c>
      <c r="I1138" s="5" t="s">
        <v>40</v>
      </c>
      <c r="J1138" s="8">
        <v>3</v>
      </c>
      <c r="K1138" s="8">
        <v>4</v>
      </c>
      <c r="L1138" s="8">
        <v>6</v>
      </c>
      <c r="M11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38" s="8" t="str" cm="1">
        <f t="array" ref="N1138">_xlfn.IFS(HR_Analytics56[[#This Row],[PerformanceRating]]=3,"Good",HR_Analytics56[[#This Row],[PerformanceRating]]=4, "Excellent")</f>
        <v>Good</v>
      </c>
      <c r="O1138" s="8" t="str">
        <f>IF(HR_Analytics56[[#This Row],[MonthlyIncome]]&lt;3000,"&lt; ₹3,000",IF(HR_Analytics56[[#This Row],[MonthlyIncome]]&lt;=7000,"₹ 3,000 - ₹ 7,000","&gt; ₹7,000"))</f>
        <v>&lt; ₹3,000</v>
      </c>
      <c r="P1138" s="8" t="str" cm="1">
        <f t="array" ref="P11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39" spans="1:16" x14ac:dyDescent="0.8">
      <c r="A1139" s="5" t="s">
        <v>1210</v>
      </c>
      <c r="B1139" s="8">
        <v>44</v>
      </c>
      <c r="C1139" s="5" t="s">
        <v>49</v>
      </c>
      <c r="D1139" s="5" t="s">
        <v>42</v>
      </c>
      <c r="E1139" s="5" t="s">
        <v>44</v>
      </c>
      <c r="F1139" s="5" t="s">
        <v>60</v>
      </c>
      <c r="G1139" s="8">
        <v>3</v>
      </c>
      <c r="H1139" s="8">
        <v>2290</v>
      </c>
      <c r="I1139" s="5" t="s">
        <v>49</v>
      </c>
      <c r="J1139" s="8">
        <v>3</v>
      </c>
      <c r="K1139" s="8">
        <v>3</v>
      </c>
      <c r="L1139" s="8">
        <v>0</v>
      </c>
      <c r="M11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39" s="8" t="str" cm="1">
        <f t="array" ref="N1139">_xlfn.IFS(HR_Analytics56[[#This Row],[PerformanceRating]]=3,"Good",HR_Analytics56[[#This Row],[PerformanceRating]]=4, "Excellent")</f>
        <v>Good</v>
      </c>
      <c r="O1139" s="8" t="str">
        <f>IF(HR_Analytics56[[#This Row],[MonthlyIncome]]&lt;3000,"&lt; ₹3,000",IF(HR_Analytics56[[#This Row],[MonthlyIncome]]&lt;=7000,"₹ 3,000 - ₹ 7,000","&gt; ₹7,000"))</f>
        <v>&lt; ₹3,000</v>
      </c>
      <c r="P1139" s="8" t="str" cm="1">
        <f t="array" ref="P11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0" spans="1:16" x14ac:dyDescent="0.8">
      <c r="A1140" s="5" t="s">
        <v>1211</v>
      </c>
      <c r="B1140" s="8">
        <v>44</v>
      </c>
      <c r="C1140" s="5" t="s">
        <v>49</v>
      </c>
      <c r="D1140" s="5" t="s">
        <v>42</v>
      </c>
      <c r="E1140" s="5" t="s">
        <v>44</v>
      </c>
      <c r="F1140" s="5" t="s">
        <v>60</v>
      </c>
      <c r="G1140" s="8">
        <v>4</v>
      </c>
      <c r="H1140" s="8">
        <v>4541</v>
      </c>
      <c r="I1140" s="5" t="s">
        <v>49</v>
      </c>
      <c r="J1140" s="8">
        <v>4</v>
      </c>
      <c r="K1140" s="8">
        <v>3</v>
      </c>
      <c r="L1140" s="8">
        <v>20</v>
      </c>
      <c r="M11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0" s="8" t="str" cm="1">
        <f t="array" ref="N1140">_xlfn.IFS(HR_Analytics56[[#This Row],[PerformanceRating]]=3,"Good",HR_Analytics56[[#This Row],[PerformanceRating]]=4, "Excellent")</f>
        <v>Excellent</v>
      </c>
      <c r="O1140" s="8" t="str">
        <f>IF(HR_Analytics56[[#This Row],[MonthlyIncome]]&lt;3000,"&lt; ₹3,000",IF(HR_Analytics56[[#This Row],[MonthlyIncome]]&lt;=7000,"₹ 3,000 - ₹ 7,000","&gt; ₹7,000"))</f>
        <v>₹ 3,000 - ₹ 7,000</v>
      </c>
      <c r="P1140" s="8" t="str" cm="1">
        <f t="array" ref="P114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41" spans="1:16" x14ac:dyDescent="0.8">
      <c r="A1141" s="5" t="s">
        <v>1212</v>
      </c>
      <c r="B1141" s="8">
        <v>44</v>
      </c>
      <c r="C1141" s="5" t="s">
        <v>49</v>
      </c>
      <c r="D1141" s="5" t="s">
        <v>42</v>
      </c>
      <c r="E1141" s="5" t="s">
        <v>53</v>
      </c>
      <c r="F1141" s="5" t="s">
        <v>60</v>
      </c>
      <c r="G1141" s="8">
        <v>4</v>
      </c>
      <c r="H1141" s="8">
        <v>2011</v>
      </c>
      <c r="I1141" s="5" t="s">
        <v>49</v>
      </c>
      <c r="J1141" s="8">
        <v>3</v>
      </c>
      <c r="K1141" s="8">
        <v>5</v>
      </c>
      <c r="L1141" s="8">
        <v>10</v>
      </c>
      <c r="M11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1" s="8" t="str" cm="1">
        <f t="array" ref="N1141">_xlfn.IFS(HR_Analytics56[[#This Row],[PerformanceRating]]=3,"Good",HR_Analytics56[[#This Row],[PerformanceRating]]=4, "Excellent")</f>
        <v>Good</v>
      </c>
      <c r="O1141" s="8" t="str">
        <f>IF(HR_Analytics56[[#This Row],[MonthlyIncome]]&lt;3000,"&lt; ₹3,000",IF(HR_Analytics56[[#This Row],[MonthlyIncome]]&lt;=7000,"₹ 3,000 - ₹ 7,000","&gt; ₹7,000"))</f>
        <v>&lt; ₹3,000</v>
      </c>
      <c r="P1141" s="8" t="str" cm="1">
        <f t="array" ref="P11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2" spans="1:16" x14ac:dyDescent="0.8">
      <c r="A1142" s="5" t="s">
        <v>1213</v>
      </c>
      <c r="B1142" s="8">
        <v>44</v>
      </c>
      <c r="C1142" s="5" t="s">
        <v>49</v>
      </c>
      <c r="D1142" s="5" t="s">
        <v>51</v>
      </c>
      <c r="E1142" s="5" t="s">
        <v>44</v>
      </c>
      <c r="F1142" s="5" t="s">
        <v>442</v>
      </c>
      <c r="G1142" s="8">
        <v>2</v>
      </c>
      <c r="H1142" s="8">
        <v>18213</v>
      </c>
      <c r="I1142" s="5" t="s">
        <v>49</v>
      </c>
      <c r="J1142" s="8">
        <v>3</v>
      </c>
      <c r="K1142" s="8">
        <v>5</v>
      </c>
      <c r="L1142" s="8">
        <v>22</v>
      </c>
      <c r="M11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2" s="8" t="str" cm="1">
        <f t="array" ref="N1142">_xlfn.IFS(HR_Analytics56[[#This Row],[PerformanceRating]]=3,"Good",HR_Analytics56[[#This Row],[PerformanceRating]]=4, "Excellent")</f>
        <v>Good</v>
      </c>
      <c r="O1142" s="8" t="str">
        <f>IF(HR_Analytics56[[#This Row],[MonthlyIncome]]&lt;3000,"&lt; ₹3,000",IF(HR_Analytics56[[#This Row],[MonthlyIncome]]&lt;=7000,"₹ 3,000 - ₹ 7,000","&gt; ₹7,000"))</f>
        <v>&gt; ₹7,000</v>
      </c>
      <c r="P1142" s="8" t="str" cm="1">
        <f t="array" ref="P11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3" spans="1:16" x14ac:dyDescent="0.8">
      <c r="A1143" s="5" t="s">
        <v>1214</v>
      </c>
      <c r="B1143" s="8">
        <v>44</v>
      </c>
      <c r="C1143" s="5" t="s">
        <v>49</v>
      </c>
      <c r="D1143" s="5" t="s">
        <v>42</v>
      </c>
      <c r="E1143" s="5" t="s">
        <v>44</v>
      </c>
      <c r="F1143" s="5" t="s">
        <v>442</v>
      </c>
      <c r="G1143" s="8">
        <v>1</v>
      </c>
      <c r="H1143" s="8">
        <v>19190</v>
      </c>
      <c r="I1143" s="5" t="s">
        <v>49</v>
      </c>
      <c r="J1143" s="8">
        <v>3</v>
      </c>
      <c r="K1143" s="8">
        <v>4</v>
      </c>
      <c r="L1143" s="8">
        <v>25</v>
      </c>
      <c r="M11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3" s="8" t="str" cm="1">
        <f t="array" ref="N1143">_xlfn.IFS(HR_Analytics56[[#This Row],[PerformanceRating]]=3,"Good",HR_Analytics56[[#This Row],[PerformanceRating]]=4, "Excellent")</f>
        <v>Good</v>
      </c>
      <c r="O1143" s="8" t="str">
        <f>IF(HR_Analytics56[[#This Row],[MonthlyIncome]]&lt;3000,"&lt; ₹3,000",IF(HR_Analytics56[[#This Row],[MonthlyIncome]]&lt;=7000,"₹ 3,000 - ₹ 7,000","&gt; ₹7,000"))</f>
        <v>&gt; ₹7,000</v>
      </c>
      <c r="P1143" s="8" t="str" cm="1">
        <f t="array" ref="P11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4" spans="1:16" x14ac:dyDescent="0.8">
      <c r="A1144" s="5" t="s">
        <v>1215</v>
      </c>
      <c r="B1144" s="8">
        <v>44</v>
      </c>
      <c r="C1144" s="5" t="s">
        <v>40</v>
      </c>
      <c r="D1144" s="5" t="s">
        <v>42</v>
      </c>
      <c r="E1144" s="5" t="s">
        <v>53</v>
      </c>
      <c r="F1144" s="5" t="s">
        <v>161</v>
      </c>
      <c r="G1144" s="8">
        <v>4</v>
      </c>
      <c r="H1144" s="8">
        <v>7978</v>
      </c>
      <c r="I1144" s="5" t="s">
        <v>49</v>
      </c>
      <c r="J1144" s="8">
        <v>3</v>
      </c>
      <c r="K1144" s="8">
        <v>2</v>
      </c>
      <c r="L1144" s="8">
        <v>10</v>
      </c>
      <c r="M11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44" s="8" t="str" cm="1">
        <f t="array" ref="N1144">_xlfn.IFS(HR_Analytics56[[#This Row],[PerformanceRating]]=3,"Good",HR_Analytics56[[#This Row],[PerformanceRating]]=4, "Excellent")</f>
        <v>Good</v>
      </c>
      <c r="O1144" s="8" t="str">
        <f>IF(HR_Analytics56[[#This Row],[MonthlyIncome]]&lt;3000,"&lt; ₹3,000",IF(HR_Analytics56[[#This Row],[MonthlyIncome]]&lt;=7000,"₹ 3,000 - ₹ 7,000","&gt; ₹7,000"))</f>
        <v>&gt; ₹7,000</v>
      </c>
      <c r="P1144" s="8" t="str" cm="1">
        <f t="array" ref="P11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5" spans="1:16" x14ac:dyDescent="0.8">
      <c r="A1145" s="5" t="s">
        <v>1216</v>
      </c>
      <c r="B1145" s="8">
        <v>44</v>
      </c>
      <c r="C1145" s="5" t="s">
        <v>40</v>
      </c>
      <c r="D1145" s="5" t="s">
        <v>42</v>
      </c>
      <c r="E1145" s="5" t="s">
        <v>44</v>
      </c>
      <c r="F1145" s="5" t="s">
        <v>45</v>
      </c>
      <c r="G1145" s="8">
        <v>1</v>
      </c>
      <c r="H1145" s="8">
        <v>2362</v>
      </c>
      <c r="I1145" s="5" t="s">
        <v>49</v>
      </c>
      <c r="J1145" s="8">
        <v>3</v>
      </c>
      <c r="K1145" s="8">
        <v>4</v>
      </c>
      <c r="L1145" s="8">
        <v>3</v>
      </c>
      <c r="M11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45" s="8" t="str" cm="1">
        <f t="array" ref="N1145">_xlfn.IFS(HR_Analytics56[[#This Row],[PerformanceRating]]=3,"Good",HR_Analytics56[[#This Row],[PerformanceRating]]=4, "Excellent")</f>
        <v>Good</v>
      </c>
      <c r="O1145" s="8" t="str">
        <f>IF(HR_Analytics56[[#This Row],[MonthlyIncome]]&lt;3000,"&lt; ₹3,000",IF(HR_Analytics56[[#This Row],[MonthlyIncome]]&lt;=7000,"₹ 3,000 - ₹ 7,000","&gt; ₹7,000"))</f>
        <v>&lt; ₹3,000</v>
      </c>
      <c r="P1145" s="8" t="str" cm="1">
        <f t="array" ref="P11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6" spans="1:16" x14ac:dyDescent="0.8">
      <c r="A1146" s="5" t="s">
        <v>1217</v>
      </c>
      <c r="B1146" s="8">
        <v>44</v>
      </c>
      <c r="C1146" s="5" t="s">
        <v>49</v>
      </c>
      <c r="D1146" s="5" t="s">
        <v>42</v>
      </c>
      <c r="E1146" s="5" t="s">
        <v>44</v>
      </c>
      <c r="F1146" s="5" t="s">
        <v>45</v>
      </c>
      <c r="G1146" s="8">
        <v>3</v>
      </c>
      <c r="H1146" s="8">
        <v>3162</v>
      </c>
      <c r="I1146" s="5" t="s">
        <v>49</v>
      </c>
      <c r="J1146" s="8">
        <v>3</v>
      </c>
      <c r="K1146" s="8">
        <v>5</v>
      </c>
      <c r="L1146" s="8">
        <v>5</v>
      </c>
      <c r="M11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6" s="8" t="str" cm="1">
        <f t="array" ref="N1146">_xlfn.IFS(HR_Analytics56[[#This Row],[PerformanceRating]]=3,"Good",HR_Analytics56[[#This Row],[PerformanceRating]]=4, "Excellent")</f>
        <v>Good</v>
      </c>
      <c r="O1146" s="8" t="str">
        <f>IF(HR_Analytics56[[#This Row],[MonthlyIncome]]&lt;3000,"&lt; ₹3,000",IF(HR_Analytics56[[#This Row],[MonthlyIncome]]&lt;=7000,"₹ 3,000 - ₹ 7,000","&gt; ₹7,000"))</f>
        <v>₹ 3,000 - ₹ 7,000</v>
      </c>
      <c r="P1146" s="8" t="str" cm="1">
        <f t="array" ref="P11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7" spans="1:16" x14ac:dyDescent="0.8">
      <c r="A1147" s="5" t="s">
        <v>1218</v>
      </c>
      <c r="B1147" s="8">
        <v>44</v>
      </c>
      <c r="C1147" s="5" t="s">
        <v>49</v>
      </c>
      <c r="D1147" s="5" t="s">
        <v>42</v>
      </c>
      <c r="E1147" s="5" t="s">
        <v>44</v>
      </c>
      <c r="F1147" s="5" t="s">
        <v>60</v>
      </c>
      <c r="G1147" s="8">
        <v>2</v>
      </c>
      <c r="H1147" s="8">
        <v>3420</v>
      </c>
      <c r="I1147" s="5" t="s">
        <v>49</v>
      </c>
      <c r="J1147" s="8">
        <v>3</v>
      </c>
      <c r="K1147" s="8">
        <v>3</v>
      </c>
      <c r="L1147" s="8">
        <v>5</v>
      </c>
      <c r="M11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7" s="8" t="str" cm="1">
        <f t="array" ref="N1147">_xlfn.IFS(HR_Analytics56[[#This Row],[PerformanceRating]]=3,"Good",HR_Analytics56[[#This Row],[PerformanceRating]]=4, "Excellent")</f>
        <v>Good</v>
      </c>
      <c r="O1147" s="8" t="str">
        <f>IF(HR_Analytics56[[#This Row],[MonthlyIncome]]&lt;3000,"&lt; ₹3,000",IF(HR_Analytics56[[#This Row],[MonthlyIncome]]&lt;=7000,"₹ 3,000 - ₹ 7,000","&gt; ₹7,000"))</f>
        <v>₹ 3,000 - ₹ 7,000</v>
      </c>
      <c r="P1147" s="8" t="str" cm="1">
        <f t="array" ref="P11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8" spans="1:16" x14ac:dyDescent="0.8">
      <c r="A1148" s="5" t="s">
        <v>1219</v>
      </c>
      <c r="B1148" s="8">
        <v>44</v>
      </c>
      <c r="C1148" s="5" t="s">
        <v>49</v>
      </c>
      <c r="D1148" s="5" t="s">
        <v>51</v>
      </c>
      <c r="E1148" s="5" t="s">
        <v>53</v>
      </c>
      <c r="F1148" s="5" t="s">
        <v>137</v>
      </c>
      <c r="G1148" s="8">
        <v>3</v>
      </c>
      <c r="H1148" s="8">
        <v>4768</v>
      </c>
      <c r="I1148" s="5" t="s">
        <v>49</v>
      </c>
      <c r="J1148" s="8">
        <v>3</v>
      </c>
      <c r="K1148" s="8">
        <v>4</v>
      </c>
      <c r="L1148" s="8">
        <v>1</v>
      </c>
      <c r="M11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48" s="8" t="str" cm="1">
        <f t="array" ref="N1148">_xlfn.IFS(HR_Analytics56[[#This Row],[PerformanceRating]]=3,"Good",HR_Analytics56[[#This Row],[PerformanceRating]]=4, "Excellent")</f>
        <v>Good</v>
      </c>
      <c r="O1148" s="8" t="str">
        <f>IF(HR_Analytics56[[#This Row],[MonthlyIncome]]&lt;3000,"&lt; ₹3,000",IF(HR_Analytics56[[#This Row],[MonthlyIncome]]&lt;=7000,"₹ 3,000 - ₹ 7,000","&gt; ₹7,000"))</f>
        <v>₹ 3,000 - ₹ 7,000</v>
      </c>
      <c r="P1148" s="8" t="str" cm="1">
        <f t="array" ref="P11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49" spans="1:16" x14ac:dyDescent="0.8">
      <c r="A1149" s="5" t="s">
        <v>1220</v>
      </c>
      <c r="B1149" s="8">
        <v>44</v>
      </c>
      <c r="C1149" s="5" t="s">
        <v>49</v>
      </c>
      <c r="D1149" s="5" t="s">
        <v>42</v>
      </c>
      <c r="E1149" s="5" t="s">
        <v>44</v>
      </c>
      <c r="F1149" s="5" t="s">
        <v>112</v>
      </c>
      <c r="G1149" s="8">
        <v>3</v>
      </c>
      <c r="H1149" s="8">
        <v>10209</v>
      </c>
      <c r="I1149" s="5" t="s">
        <v>40</v>
      </c>
      <c r="J1149" s="8">
        <v>3</v>
      </c>
      <c r="K1149" s="8">
        <v>2</v>
      </c>
      <c r="L1149" s="8">
        <v>2</v>
      </c>
      <c r="M11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49" s="8" t="str" cm="1">
        <f t="array" ref="N1149">_xlfn.IFS(HR_Analytics56[[#This Row],[PerformanceRating]]=3,"Good",HR_Analytics56[[#This Row],[PerformanceRating]]=4, "Excellent")</f>
        <v>Good</v>
      </c>
      <c r="O1149" s="8" t="str">
        <f>IF(HR_Analytics56[[#This Row],[MonthlyIncome]]&lt;3000,"&lt; ₹3,000",IF(HR_Analytics56[[#This Row],[MonthlyIncome]]&lt;=7000,"₹ 3,000 - ₹ 7,000","&gt; ₹7,000"))</f>
        <v>&gt; ₹7,000</v>
      </c>
      <c r="P1149" s="8" t="str" cm="1">
        <f t="array" ref="P11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0" spans="1:16" x14ac:dyDescent="0.8">
      <c r="A1150" s="5" t="s">
        <v>1221</v>
      </c>
      <c r="B1150" s="8">
        <v>44</v>
      </c>
      <c r="C1150" s="5" t="s">
        <v>49</v>
      </c>
      <c r="D1150" s="5" t="s">
        <v>42</v>
      </c>
      <c r="E1150" s="5" t="s">
        <v>44</v>
      </c>
      <c r="F1150" s="5" t="s">
        <v>252</v>
      </c>
      <c r="G1150" s="8">
        <v>1</v>
      </c>
      <c r="H1150" s="8">
        <v>16328</v>
      </c>
      <c r="I1150" s="5" t="s">
        <v>49</v>
      </c>
      <c r="J1150" s="8">
        <v>3</v>
      </c>
      <c r="K1150" s="8">
        <v>1</v>
      </c>
      <c r="L1150" s="8">
        <v>20</v>
      </c>
      <c r="M11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50" s="8" t="str" cm="1">
        <f t="array" ref="N1150">_xlfn.IFS(HR_Analytics56[[#This Row],[PerformanceRating]]=3,"Good",HR_Analytics56[[#This Row],[PerformanceRating]]=4, "Excellent")</f>
        <v>Good</v>
      </c>
      <c r="O1150" s="8" t="str">
        <f>IF(HR_Analytics56[[#This Row],[MonthlyIncome]]&lt;3000,"&lt; ₹3,000",IF(HR_Analytics56[[#This Row],[MonthlyIncome]]&lt;=7000,"₹ 3,000 - ₹ 7,000","&gt; ₹7,000"))</f>
        <v>&gt; ₹7,000</v>
      </c>
      <c r="P1150" s="8" t="str" cm="1">
        <f t="array" ref="P11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1" spans="1:16" x14ac:dyDescent="0.8">
      <c r="A1151" s="5" t="s">
        <v>1222</v>
      </c>
      <c r="B1151" s="8">
        <v>44</v>
      </c>
      <c r="C1151" s="5" t="s">
        <v>49</v>
      </c>
      <c r="D1151" s="5" t="s">
        <v>42</v>
      </c>
      <c r="E1151" s="5" t="s">
        <v>53</v>
      </c>
      <c r="F1151" s="5" t="s">
        <v>252</v>
      </c>
      <c r="G1151" s="8">
        <v>4</v>
      </c>
      <c r="H1151" s="8">
        <v>19049</v>
      </c>
      <c r="I1151" s="5" t="s">
        <v>40</v>
      </c>
      <c r="J1151" s="8">
        <v>3</v>
      </c>
      <c r="K1151" s="8">
        <v>4</v>
      </c>
      <c r="L1151" s="8">
        <v>22</v>
      </c>
      <c r="M11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1" s="8" t="str" cm="1">
        <f t="array" ref="N1151">_xlfn.IFS(HR_Analytics56[[#This Row],[PerformanceRating]]=3,"Good",HR_Analytics56[[#This Row],[PerformanceRating]]=4, "Excellent")</f>
        <v>Good</v>
      </c>
      <c r="O1151" s="8" t="str">
        <f>IF(HR_Analytics56[[#This Row],[MonthlyIncome]]&lt;3000,"&lt; ₹3,000",IF(HR_Analytics56[[#This Row],[MonthlyIncome]]&lt;=7000,"₹ 3,000 - ₹ 7,000","&gt; ₹7,000"))</f>
        <v>&gt; ₹7,000</v>
      </c>
      <c r="P1151" s="8" t="str" cm="1">
        <f t="array" ref="P11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2" spans="1:16" x14ac:dyDescent="0.8">
      <c r="A1152" s="5" t="s">
        <v>1223</v>
      </c>
      <c r="B1152" s="8">
        <v>44</v>
      </c>
      <c r="C1152" s="5" t="s">
        <v>49</v>
      </c>
      <c r="D1152" s="5" t="s">
        <v>71</v>
      </c>
      <c r="E1152" s="5" t="s">
        <v>44</v>
      </c>
      <c r="F1152" s="5" t="s">
        <v>71</v>
      </c>
      <c r="G1152" s="8">
        <v>4</v>
      </c>
      <c r="H1152" s="8">
        <v>5743</v>
      </c>
      <c r="I1152" s="5" t="s">
        <v>40</v>
      </c>
      <c r="J1152" s="8">
        <v>3</v>
      </c>
      <c r="K1152" s="8">
        <v>3</v>
      </c>
      <c r="L1152" s="8">
        <v>10</v>
      </c>
      <c r="M11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2" s="8" t="str" cm="1">
        <f t="array" ref="N1152">_xlfn.IFS(HR_Analytics56[[#This Row],[PerformanceRating]]=3,"Good",HR_Analytics56[[#This Row],[PerformanceRating]]=4, "Excellent")</f>
        <v>Good</v>
      </c>
      <c r="O1152" s="8" t="str">
        <f>IF(HR_Analytics56[[#This Row],[MonthlyIncome]]&lt;3000,"&lt; ₹3,000",IF(HR_Analytics56[[#This Row],[MonthlyIncome]]&lt;=7000,"₹ 3,000 - ₹ 7,000","&gt; ₹7,000"))</f>
        <v>₹ 3,000 - ₹ 7,000</v>
      </c>
      <c r="P1152" s="8" t="str" cm="1">
        <f t="array" ref="P11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3" spans="1:16" x14ac:dyDescent="0.8">
      <c r="A1153" s="5" t="s">
        <v>1224</v>
      </c>
      <c r="B1153" s="8">
        <v>44</v>
      </c>
      <c r="C1153" s="5" t="s">
        <v>49</v>
      </c>
      <c r="D1153" s="5" t="s">
        <v>71</v>
      </c>
      <c r="E1153" s="5" t="s">
        <v>53</v>
      </c>
      <c r="F1153" s="5" t="s">
        <v>71</v>
      </c>
      <c r="G1153" s="8">
        <v>4</v>
      </c>
      <c r="H1153" s="8">
        <v>3195</v>
      </c>
      <c r="I1153" s="5" t="s">
        <v>40</v>
      </c>
      <c r="J1153" s="8">
        <v>3</v>
      </c>
      <c r="K1153" s="8">
        <v>2</v>
      </c>
      <c r="L1153" s="8">
        <v>2</v>
      </c>
      <c r="M11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3" s="8" t="str" cm="1">
        <f t="array" ref="N1153">_xlfn.IFS(HR_Analytics56[[#This Row],[PerformanceRating]]=3,"Good",HR_Analytics56[[#This Row],[PerformanceRating]]=4, "Excellent")</f>
        <v>Good</v>
      </c>
      <c r="O1153" s="8" t="str">
        <f>IF(HR_Analytics56[[#This Row],[MonthlyIncome]]&lt;3000,"&lt; ₹3,000",IF(HR_Analytics56[[#This Row],[MonthlyIncome]]&lt;=7000,"₹ 3,000 - ₹ 7,000","&gt; ₹7,000"))</f>
        <v>₹ 3,000 - ₹ 7,000</v>
      </c>
      <c r="P1153" s="8" t="str" cm="1">
        <f t="array" ref="P11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4" spans="1:16" x14ac:dyDescent="0.8">
      <c r="A1154" s="5" t="s">
        <v>1225</v>
      </c>
      <c r="B1154" s="8">
        <v>44</v>
      </c>
      <c r="C1154" s="5" t="s">
        <v>49</v>
      </c>
      <c r="D1154" s="5" t="s">
        <v>42</v>
      </c>
      <c r="E1154" s="5" t="s">
        <v>53</v>
      </c>
      <c r="F1154" s="5" t="s">
        <v>161</v>
      </c>
      <c r="G1154" s="8">
        <v>4</v>
      </c>
      <c r="H1154" s="8">
        <v>7879</v>
      </c>
      <c r="I1154" s="5" t="s">
        <v>40</v>
      </c>
      <c r="J1154" s="8">
        <v>3</v>
      </c>
      <c r="K1154" s="8">
        <v>2</v>
      </c>
      <c r="L1154" s="8">
        <v>8</v>
      </c>
      <c r="M11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4" s="8" t="str" cm="1">
        <f t="array" ref="N1154">_xlfn.IFS(HR_Analytics56[[#This Row],[PerformanceRating]]=3,"Good",HR_Analytics56[[#This Row],[PerformanceRating]]=4, "Excellent")</f>
        <v>Good</v>
      </c>
      <c r="O1154" s="8" t="str">
        <f>IF(HR_Analytics56[[#This Row],[MonthlyIncome]]&lt;3000,"&lt; ₹3,000",IF(HR_Analytics56[[#This Row],[MonthlyIncome]]&lt;=7000,"₹ 3,000 - ₹ 7,000","&gt; ₹7,000"))</f>
        <v>&gt; ₹7,000</v>
      </c>
      <c r="P1154" s="8" t="str" cm="1">
        <f t="array" ref="P11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5" spans="1:16" x14ac:dyDescent="0.8">
      <c r="A1155" s="5" t="s">
        <v>1226</v>
      </c>
      <c r="B1155" s="8">
        <v>44</v>
      </c>
      <c r="C1155" s="5" t="s">
        <v>40</v>
      </c>
      <c r="D1155" s="5" t="s">
        <v>42</v>
      </c>
      <c r="E1155" s="5" t="s">
        <v>44</v>
      </c>
      <c r="F1155" s="5" t="s">
        <v>60</v>
      </c>
      <c r="G1155" s="8">
        <v>2</v>
      </c>
      <c r="H1155" s="8">
        <v>2342</v>
      </c>
      <c r="I1155" s="5" t="s">
        <v>40</v>
      </c>
      <c r="J1155" s="8">
        <v>3</v>
      </c>
      <c r="K1155" s="8">
        <v>2</v>
      </c>
      <c r="L1155" s="8">
        <v>5</v>
      </c>
      <c r="M11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55" s="8" t="str" cm="1">
        <f t="array" ref="N1155">_xlfn.IFS(HR_Analytics56[[#This Row],[PerformanceRating]]=3,"Good",HR_Analytics56[[#This Row],[PerformanceRating]]=4, "Excellent")</f>
        <v>Good</v>
      </c>
      <c r="O1155" s="8" t="str">
        <f>IF(HR_Analytics56[[#This Row],[MonthlyIncome]]&lt;3000,"&lt; ₹3,000",IF(HR_Analytics56[[#This Row],[MonthlyIncome]]&lt;=7000,"₹ 3,000 - ₹ 7,000","&gt; ₹7,000"))</f>
        <v>&lt; ₹3,000</v>
      </c>
      <c r="P1155" s="8" t="str" cm="1">
        <f t="array" ref="P11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6" spans="1:16" x14ac:dyDescent="0.8">
      <c r="A1156" s="5" t="s">
        <v>1227</v>
      </c>
      <c r="B1156" s="8">
        <v>44</v>
      </c>
      <c r="C1156" s="5" t="s">
        <v>49</v>
      </c>
      <c r="D1156" s="5" t="s">
        <v>42</v>
      </c>
      <c r="E1156" s="5" t="s">
        <v>44</v>
      </c>
      <c r="F1156" s="5" t="s">
        <v>161</v>
      </c>
      <c r="G1156" s="8">
        <v>1</v>
      </c>
      <c r="H1156" s="8">
        <v>5033</v>
      </c>
      <c r="I1156" s="5" t="s">
        <v>49</v>
      </c>
      <c r="J1156" s="8">
        <v>3</v>
      </c>
      <c r="K1156" s="8">
        <v>5</v>
      </c>
      <c r="L1156" s="8">
        <v>2</v>
      </c>
      <c r="M11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56" s="8" t="str" cm="1">
        <f t="array" ref="N1156">_xlfn.IFS(HR_Analytics56[[#This Row],[PerformanceRating]]=3,"Good",HR_Analytics56[[#This Row],[PerformanceRating]]=4, "Excellent")</f>
        <v>Good</v>
      </c>
      <c r="O1156" s="8" t="str">
        <f>IF(HR_Analytics56[[#This Row],[MonthlyIncome]]&lt;3000,"&lt; ₹3,000",IF(HR_Analytics56[[#This Row],[MonthlyIncome]]&lt;=7000,"₹ 3,000 - ₹ 7,000","&gt; ₹7,000"))</f>
        <v>₹ 3,000 - ₹ 7,000</v>
      </c>
      <c r="P1156" s="8" t="str" cm="1">
        <f t="array" ref="P11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7" spans="1:16" x14ac:dyDescent="0.8">
      <c r="A1157" s="5" t="s">
        <v>1228</v>
      </c>
      <c r="B1157" s="8">
        <v>44</v>
      </c>
      <c r="C1157" s="5" t="s">
        <v>49</v>
      </c>
      <c r="D1157" s="5" t="s">
        <v>42</v>
      </c>
      <c r="E1157" s="5" t="s">
        <v>44</v>
      </c>
      <c r="F1157" s="5" t="s">
        <v>60</v>
      </c>
      <c r="G1157" s="8">
        <v>4</v>
      </c>
      <c r="H1157" s="8">
        <v>2436</v>
      </c>
      <c r="I1157" s="5" t="s">
        <v>40</v>
      </c>
      <c r="J1157" s="8">
        <v>3</v>
      </c>
      <c r="K1157" s="8">
        <v>2</v>
      </c>
      <c r="L1157" s="8">
        <v>4</v>
      </c>
      <c r="M11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7" s="8" t="str" cm="1">
        <f t="array" ref="N1157">_xlfn.IFS(HR_Analytics56[[#This Row],[PerformanceRating]]=3,"Good",HR_Analytics56[[#This Row],[PerformanceRating]]=4, "Excellent")</f>
        <v>Good</v>
      </c>
      <c r="O1157" s="8" t="str">
        <f>IF(HR_Analytics56[[#This Row],[MonthlyIncome]]&lt;3000,"&lt; ₹3,000",IF(HR_Analytics56[[#This Row],[MonthlyIncome]]&lt;=7000,"₹ 3,000 - ₹ 7,000","&gt; ₹7,000"))</f>
        <v>&lt; ₹3,000</v>
      </c>
      <c r="P1157" s="8" t="str" cm="1">
        <f t="array" ref="P11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8" spans="1:16" x14ac:dyDescent="0.8">
      <c r="A1158" s="5" t="s">
        <v>1229</v>
      </c>
      <c r="B1158" s="8">
        <v>45</v>
      </c>
      <c r="C1158" s="5" t="s">
        <v>49</v>
      </c>
      <c r="D1158" s="5" t="s">
        <v>42</v>
      </c>
      <c r="E1158" s="5" t="s">
        <v>44</v>
      </c>
      <c r="F1158" s="5" t="s">
        <v>60</v>
      </c>
      <c r="G1158" s="8">
        <v>1</v>
      </c>
      <c r="H1158" s="8">
        <v>9724</v>
      </c>
      <c r="I1158" s="5" t="s">
        <v>49</v>
      </c>
      <c r="J1158" s="8">
        <v>3</v>
      </c>
      <c r="K1158" s="8">
        <v>2</v>
      </c>
      <c r="L1158" s="8">
        <v>1</v>
      </c>
      <c r="M11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58" s="8" t="str" cm="1">
        <f t="array" ref="N1158">_xlfn.IFS(HR_Analytics56[[#This Row],[PerformanceRating]]=3,"Good",HR_Analytics56[[#This Row],[PerformanceRating]]=4, "Excellent")</f>
        <v>Good</v>
      </c>
      <c r="O1158" s="8" t="str">
        <f>IF(HR_Analytics56[[#This Row],[MonthlyIncome]]&lt;3000,"&lt; ₹3,000",IF(HR_Analytics56[[#This Row],[MonthlyIncome]]&lt;=7000,"₹ 3,000 - ₹ 7,000","&gt; ₹7,000"))</f>
        <v>&gt; ₹7,000</v>
      </c>
      <c r="P1158" s="8" t="str" cm="1">
        <f t="array" ref="P11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59" spans="1:16" x14ac:dyDescent="0.8">
      <c r="A1159" s="5" t="s">
        <v>1230</v>
      </c>
      <c r="B1159" s="8">
        <v>45</v>
      </c>
      <c r="C1159" s="5" t="s">
        <v>49</v>
      </c>
      <c r="D1159" s="5" t="s">
        <v>42</v>
      </c>
      <c r="E1159" s="5" t="s">
        <v>44</v>
      </c>
      <c r="F1159" s="5" t="s">
        <v>252</v>
      </c>
      <c r="G1159" s="8">
        <v>1</v>
      </c>
      <c r="H1159" s="8">
        <v>13245</v>
      </c>
      <c r="I1159" s="5" t="s">
        <v>40</v>
      </c>
      <c r="J1159" s="8">
        <v>3</v>
      </c>
      <c r="K1159" s="8">
        <v>3</v>
      </c>
      <c r="L1159" s="8">
        <v>0</v>
      </c>
      <c r="M11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59" s="8" t="str" cm="1">
        <f t="array" ref="N1159">_xlfn.IFS(HR_Analytics56[[#This Row],[PerformanceRating]]=3,"Good",HR_Analytics56[[#This Row],[PerformanceRating]]=4, "Excellent")</f>
        <v>Good</v>
      </c>
      <c r="O1159" s="8" t="str">
        <f>IF(HR_Analytics56[[#This Row],[MonthlyIncome]]&lt;3000,"&lt; ₹3,000",IF(HR_Analytics56[[#This Row],[MonthlyIncome]]&lt;=7000,"₹ 3,000 - ₹ 7,000","&gt; ₹7,000"))</f>
        <v>&gt; ₹7,000</v>
      </c>
      <c r="P1159" s="8" t="str" cm="1">
        <f t="array" ref="P11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0" spans="1:16" x14ac:dyDescent="0.8">
      <c r="A1160" s="5" t="s">
        <v>1231</v>
      </c>
      <c r="B1160" s="8">
        <v>45</v>
      </c>
      <c r="C1160" s="5" t="s">
        <v>49</v>
      </c>
      <c r="D1160" s="5" t="s">
        <v>42</v>
      </c>
      <c r="E1160" s="5" t="s">
        <v>44</v>
      </c>
      <c r="F1160" s="5" t="s">
        <v>60</v>
      </c>
      <c r="G1160" s="8">
        <v>4</v>
      </c>
      <c r="H1160" s="8">
        <v>3452</v>
      </c>
      <c r="I1160" s="5" t="s">
        <v>49</v>
      </c>
      <c r="J1160" s="8">
        <v>3</v>
      </c>
      <c r="K1160" s="8">
        <v>2</v>
      </c>
      <c r="L1160" s="8">
        <v>6</v>
      </c>
      <c r="M11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0" s="8" t="str" cm="1">
        <f t="array" ref="N1160">_xlfn.IFS(HR_Analytics56[[#This Row],[PerformanceRating]]=3,"Good",HR_Analytics56[[#This Row],[PerformanceRating]]=4, "Excellent")</f>
        <v>Good</v>
      </c>
      <c r="O1160" s="8" t="str">
        <f>IF(HR_Analytics56[[#This Row],[MonthlyIncome]]&lt;3000,"&lt; ₹3,000",IF(HR_Analytics56[[#This Row],[MonthlyIncome]]&lt;=7000,"₹ 3,000 - ₹ 7,000","&gt; ₹7,000"))</f>
        <v>₹ 3,000 - ₹ 7,000</v>
      </c>
      <c r="P1160" s="8" t="str" cm="1">
        <f t="array" ref="P11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1" spans="1:16" x14ac:dyDescent="0.8">
      <c r="A1161" s="5" t="s">
        <v>1232</v>
      </c>
      <c r="B1161" s="8">
        <v>45</v>
      </c>
      <c r="C1161" s="5" t="s">
        <v>49</v>
      </c>
      <c r="D1161" s="5" t="s">
        <v>42</v>
      </c>
      <c r="E1161" s="5" t="s">
        <v>44</v>
      </c>
      <c r="F1161" s="5" t="s">
        <v>45</v>
      </c>
      <c r="G1161" s="8">
        <v>2</v>
      </c>
      <c r="H1161" s="8">
        <v>2348</v>
      </c>
      <c r="I1161" s="5" t="s">
        <v>49</v>
      </c>
      <c r="J1161" s="8">
        <v>3</v>
      </c>
      <c r="K1161" s="8">
        <v>2</v>
      </c>
      <c r="L1161" s="8">
        <v>17</v>
      </c>
      <c r="M11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1" s="8" t="str" cm="1">
        <f t="array" ref="N1161">_xlfn.IFS(HR_Analytics56[[#This Row],[PerformanceRating]]=3,"Good",HR_Analytics56[[#This Row],[PerformanceRating]]=4, "Excellent")</f>
        <v>Good</v>
      </c>
      <c r="O1161" s="8" t="str">
        <f>IF(HR_Analytics56[[#This Row],[MonthlyIncome]]&lt;3000,"&lt; ₹3,000",IF(HR_Analytics56[[#This Row],[MonthlyIncome]]&lt;=7000,"₹ 3,000 - ₹ 7,000","&gt; ₹7,000"))</f>
        <v>&lt; ₹3,000</v>
      </c>
      <c r="P1161" s="8" t="str" cm="1">
        <f t="array" ref="P11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2" spans="1:16" x14ac:dyDescent="0.8">
      <c r="A1162" s="5" t="s">
        <v>1233</v>
      </c>
      <c r="B1162" s="8">
        <v>45</v>
      </c>
      <c r="C1162" s="5" t="s">
        <v>49</v>
      </c>
      <c r="D1162" s="5" t="s">
        <v>51</v>
      </c>
      <c r="E1162" s="5" t="s">
        <v>53</v>
      </c>
      <c r="F1162" s="5" t="s">
        <v>137</v>
      </c>
      <c r="G1162" s="8">
        <v>1</v>
      </c>
      <c r="H1162" s="8">
        <v>5006</v>
      </c>
      <c r="I1162" s="5" t="s">
        <v>40</v>
      </c>
      <c r="J1162" s="8">
        <v>3</v>
      </c>
      <c r="K1162" s="8">
        <v>3</v>
      </c>
      <c r="L1162" s="8">
        <v>5</v>
      </c>
      <c r="M11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62" s="8" t="str" cm="1">
        <f t="array" ref="N1162">_xlfn.IFS(HR_Analytics56[[#This Row],[PerformanceRating]]=3,"Good",HR_Analytics56[[#This Row],[PerformanceRating]]=4, "Excellent")</f>
        <v>Good</v>
      </c>
      <c r="O1162" s="8" t="str">
        <f>IF(HR_Analytics56[[#This Row],[MonthlyIncome]]&lt;3000,"&lt; ₹3,000",IF(HR_Analytics56[[#This Row],[MonthlyIncome]]&lt;=7000,"₹ 3,000 - ₹ 7,000","&gt; ₹7,000"))</f>
        <v>₹ 3,000 - ₹ 7,000</v>
      </c>
      <c r="P1162" s="8" t="str" cm="1">
        <f t="array" ref="P11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3" spans="1:16" x14ac:dyDescent="0.8">
      <c r="A1163" s="5" t="s">
        <v>1234</v>
      </c>
      <c r="B1163" s="8">
        <v>45</v>
      </c>
      <c r="C1163" s="5" t="s">
        <v>49</v>
      </c>
      <c r="D1163" s="5" t="s">
        <v>42</v>
      </c>
      <c r="E1163" s="5" t="s">
        <v>44</v>
      </c>
      <c r="F1163" s="5" t="s">
        <v>442</v>
      </c>
      <c r="G1163" s="8">
        <v>4</v>
      </c>
      <c r="H1163" s="8">
        <v>16792</v>
      </c>
      <c r="I1163" s="5" t="s">
        <v>49</v>
      </c>
      <c r="J1163" s="8">
        <v>4</v>
      </c>
      <c r="K1163" s="8">
        <v>1</v>
      </c>
      <c r="L1163" s="8">
        <v>20</v>
      </c>
      <c r="M11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3" s="8" t="str" cm="1">
        <f t="array" ref="N1163">_xlfn.IFS(HR_Analytics56[[#This Row],[PerformanceRating]]=3,"Good",HR_Analytics56[[#This Row],[PerformanceRating]]=4, "Excellent")</f>
        <v>Excellent</v>
      </c>
      <c r="O1163" s="8" t="str">
        <f>IF(HR_Analytics56[[#This Row],[MonthlyIncome]]&lt;3000,"&lt; ₹3,000",IF(HR_Analytics56[[#This Row],[MonthlyIncome]]&lt;=7000,"₹ 3,000 - ₹ 7,000","&gt; ₹7,000"))</f>
        <v>&gt; ₹7,000</v>
      </c>
      <c r="P1163" s="8" t="str" cm="1">
        <f t="array" ref="P116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64" spans="1:16" x14ac:dyDescent="0.8">
      <c r="A1164" s="5" t="s">
        <v>1235</v>
      </c>
      <c r="B1164" s="8">
        <v>45</v>
      </c>
      <c r="C1164" s="5" t="s">
        <v>49</v>
      </c>
      <c r="D1164" s="5" t="s">
        <v>51</v>
      </c>
      <c r="E1164" s="5" t="s">
        <v>53</v>
      </c>
      <c r="F1164" s="5" t="s">
        <v>137</v>
      </c>
      <c r="G1164" s="8">
        <v>4</v>
      </c>
      <c r="H1164" s="8">
        <v>8865</v>
      </c>
      <c r="I1164" s="5" t="s">
        <v>49</v>
      </c>
      <c r="J1164" s="8">
        <v>3</v>
      </c>
      <c r="K1164" s="8">
        <v>2</v>
      </c>
      <c r="L1164" s="8">
        <v>19</v>
      </c>
      <c r="M11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4" s="8" t="str" cm="1">
        <f t="array" ref="N1164">_xlfn.IFS(HR_Analytics56[[#This Row],[PerformanceRating]]=3,"Good",HR_Analytics56[[#This Row],[PerformanceRating]]=4, "Excellent")</f>
        <v>Good</v>
      </c>
      <c r="O1164" s="8" t="str">
        <f>IF(HR_Analytics56[[#This Row],[MonthlyIncome]]&lt;3000,"&lt; ₹3,000",IF(HR_Analytics56[[#This Row],[MonthlyIncome]]&lt;=7000,"₹ 3,000 - ₹ 7,000","&gt; ₹7,000"))</f>
        <v>&gt; ₹7,000</v>
      </c>
      <c r="P1164" s="8" t="str" cm="1">
        <f t="array" ref="P11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5" spans="1:16" x14ac:dyDescent="0.8">
      <c r="A1165" s="5" t="s">
        <v>1236</v>
      </c>
      <c r="B1165" s="8">
        <v>45</v>
      </c>
      <c r="C1165" s="5" t="s">
        <v>49</v>
      </c>
      <c r="D1165" s="5" t="s">
        <v>42</v>
      </c>
      <c r="E1165" s="5" t="s">
        <v>44</v>
      </c>
      <c r="F1165" s="5" t="s">
        <v>442</v>
      </c>
      <c r="G1165" s="8">
        <v>4</v>
      </c>
      <c r="H1165" s="8">
        <v>19202</v>
      </c>
      <c r="I1165" s="5" t="s">
        <v>49</v>
      </c>
      <c r="J1165" s="8">
        <v>3</v>
      </c>
      <c r="K1165" s="8">
        <v>2</v>
      </c>
      <c r="L1165" s="8">
        <v>24</v>
      </c>
      <c r="M11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5" s="8" t="str" cm="1">
        <f t="array" ref="N1165">_xlfn.IFS(HR_Analytics56[[#This Row],[PerformanceRating]]=3,"Good",HR_Analytics56[[#This Row],[PerformanceRating]]=4, "Excellent")</f>
        <v>Good</v>
      </c>
      <c r="O1165" s="8" t="str">
        <f>IF(HR_Analytics56[[#This Row],[MonthlyIncome]]&lt;3000,"&lt; ₹3,000",IF(HR_Analytics56[[#This Row],[MonthlyIncome]]&lt;=7000,"₹ 3,000 - ₹ 7,000","&gt; ₹7,000"))</f>
        <v>&gt; ₹7,000</v>
      </c>
      <c r="P1165" s="8" t="str" cm="1">
        <f t="array" ref="P11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6" spans="1:16" x14ac:dyDescent="0.8">
      <c r="A1166" s="5" t="s">
        <v>1237</v>
      </c>
      <c r="B1166" s="8">
        <v>45</v>
      </c>
      <c r="C1166" s="5" t="s">
        <v>49</v>
      </c>
      <c r="D1166" s="5" t="s">
        <v>42</v>
      </c>
      <c r="E1166" s="5" t="s">
        <v>44</v>
      </c>
      <c r="F1166" s="5" t="s">
        <v>112</v>
      </c>
      <c r="G1166" s="8">
        <v>3</v>
      </c>
      <c r="H1166" s="8">
        <v>6434</v>
      </c>
      <c r="I1166" s="5" t="s">
        <v>49</v>
      </c>
      <c r="J1166" s="8">
        <v>3</v>
      </c>
      <c r="K1166" s="8">
        <v>1</v>
      </c>
      <c r="L1166" s="8">
        <v>3</v>
      </c>
      <c r="M11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6" s="8" t="str" cm="1">
        <f t="array" ref="N1166">_xlfn.IFS(HR_Analytics56[[#This Row],[PerformanceRating]]=3,"Good",HR_Analytics56[[#This Row],[PerformanceRating]]=4, "Excellent")</f>
        <v>Good</v>
      </c>
      <c r="O1166" s="8" t="str">
        <f>IF(HR_Analytics56[[#This Row],[MonthlyIncome]]&lt;3000,"&lt; ₹3,000",IF(HR_Analytics56[[#This Row],[MonthlyIncome]]&lt;=7000,"₹ 3,000 - ₹ 7,000","&gt; ₹7,000"))</f>
        <v>₹ 3,000 - ₹ 7,000</v>
      </c>
      <c r="P1166" s="8" t="str" cm="1">
        <f t="array" ref="P11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7" spans="1:16" x14ac:dyDescent="0.8">
      <c r="A1167" s="5" t="s">
        <v>1238</v>
      </c>
      <c r="B1167" s="8">
        <v>45</v>
      </c>
      <c r="C1167" s="5" t="s">
        <v>49</v>
      </c>
      <c r="D1167" s="5" t="s">
        <v>42</v>
      </c>
      <c r="E1167" s="5" t="s">
        <v>44</v>
      </c>
      <c r="F1167" s="5" t="s">
        <v>161</v>
      </c>
      <c r="G1167" s="8">
        <v>4</v>
      </c>
      <c r="H1167" s="8">
        <v>13496</v>
      </c>
      <c r="I1167" s="5" t="s">
        <v>40</v>
      </c>
      <c r="J1167" s="8">
        <v>3</v>
      </c>
      <c r="K1167" s="8">
        <v>2</v>
      </c>
      <c r="L1167" s="8">
        <v>20</v>
      </c>
      <c r="M11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67" s="8" t="str" cm="1">
        <f t="array" ref="N1167">_xlfn.IFS(HR_Analytics56[[#This Row],[PerformanceRating]]=3,"Good",HR_Analytics56[[#This Row],[PerformanceRating]]=4, "Excellent")</f>
        <v>Good</v>
      </c>
      <c r="O1167" s="8" t="str">
        <f>IF(HR_Analytics56[[#This Row],[MonthlyIncome]]&lt;3000,"&lt; ₹3,000",IF(HR_Analytics56[[#This Row],[MonthlyIncome]]&lt;=7000,"₹ 3,000 - ₹ 7,000","&gt; ₹7,000"))</f>
        <v>&gt; ₹7,000</v>
      </c>
      <c r="P1167" s="8" t="str" cm="1">
        <f t="array" ref="P11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8" spans="1:16" x14ac:dyDescent="0.8">
      <c r="A1168" s="5" t="s">
        <v>1239</v>
      </c>
      <c r="B1168" s="8">
        <v>45</v>
      </c>
      <c r="C1168" s="5" t="s">
        <v>49</v>
      </c>
      <c r="D1168" s="5" t="s">
        <v>42</v>
      </c>
      <c r="E1168" s="5" t="s">
        <v>44</v>
      </c>
      <c r="F1168" s="5" t="s">
        <v>45</v>
      </c>
      <c r="G1168" s="8">
        <v>1</v>
      </c>
      <c r="H1168" s="8">
        <v>5210</v>
      </c>
      <c r="I1168" s="5" t="s">
        <v>49</v>
      </c>
      <c r="J1168" s="8">
        <v>3</v>
      </c>
      <c r="K1168" s="8">
        <v>2</v>
      </c>
      <c r="L1168" s="8">
        <v>24</v>
      </c>
      <c r="M11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8" s="8" t="str" cm="1">
        <f t="array" ref="N1168">_xlfn.IFS(HR_Analytics56[[#This Row],[PerformanceRating]]=3,"Good",HR_Analytics56[[#This Row],[PerformanceRating]]=4, "Excellent")</f>
        <v>Good</v>
      </c>
      <c r="O1168" s="8" t="str">
        <f>IF(HR_Analytics56[[#This Row],[MonthlyIncome]]&lt;3000,"&lt; ₹3,000",IF(HR_Analytics56[[#This Row],[MonthlyIncome]]&lt;=7000,"₹ 3,000 - ₹ 7,000","&gt; ₹7,000"))</f>
        <v>₹ 3,000 - ₹ 7,000</v>
      </c>
      <c r="P1168" s="8" t="str" cm="1">
        <f t="array" ref="P11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69" spans="1:16" x14ac:dyDescent="0.8">
      <c r="A1169" s="5" t="s">
        <v>1240</v>
      </c>
      <c r="B1169" s="8">
        <v>45</v>
      </c>
      <c r="C1169" s="5" t="s">
        <v>49</v>
      </c>
      <c r="D1169" s="5" t="s">
        <v>42</v>
      </c>
      <c r="E1169" s="5" t="s">
        <v>44</v>
      </c>
      <c r="F1169" s="5" t="s">
        <v>60</v>
      </c>
      <c r="G1169" s="8">
        <v>4</v>
      </c>
      <c r="H1169" s="8">
        <v>3697</v>
      </c>
      <c r="I1169" s="5" t="s">
        <v>49</v>
      </c>
      <c r="J1169" s="8">
        <v>3</v>
      </c>
      <c r="K1169" s="8">
        <v>3</v>
      </c>
      <c r="L1169" s="8">
        <v>10</v>
      </c>
      <c r="M11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69" s="8" t="str" cm="1">
        <f t="array" ref="N1169">_xlfn.IFS(HR_Analytics56[[#This Row],[PerformanceRating]]=3,"Good",HR_Analytics56[[#This Row],[PerformanceRating]]=4, "Excellent")</f>
        <v>Good</v>
      </c>
      <c r="O1169" s="8" t="str">
        <f>IF(HR_Analytics56[[#This Row],[MonthlyIncome]]&lt;3000,"&lt; ₹3,000",IF(HR_Analytics56[[#This Row],[MonthlyIncome]]&lt;=7000,"₹ 3,000 - ₹ 7,000","&gt; ₹7,000"))</f>
        <v>₹ 3,000 - ₹ 7,000</v>
      </c>
      <c r="P1169" s="8" t="str" cm="1">
        <f t="array" ref="P11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0" spans="1:16" x14ac:dyDescent="0.8">
      <c r="A1170" s="5" t="s">
        <v>1241</v>
      </c>
      <c r="B1170" s="8">
        <v>45</v>
      </c>
      <c r="C1170" s="5" t="s">
        <v>49</v>
      </c>
      <c r="D1170" s="5" t="s">
        <v>42</v>
      </c>
      <c r="E1170" s="5" t="s">
        <v>44</v>
      </c>
      <c r="F1170" s="5" t="s">
        <v>60</v>
      </c>
      <c r="G1170" s="8">
        <v>4</v>
      </c>
      <c r="H1170" s="8">
        <v>2654</v>
      </c>
      <c r="I1170" s="5" t="s">
        <v>49</v>
      </c>
      <c r="J1170" s="8">
        <v>4</v>
      </c>
      <c r="K1170" s="8">
        <v>3</v>
      </c>
      <c r="L1170" s="8">
        <v>2</v>
      </c>
      <c r="M11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0" s="8" t="str" cm="1">
        <f t="array" ref="N1170">_xlfn.IFS(HR_Analytics56[[#This Row],[PerformanceRating]]=3,"Good",HR_Analytics56[[#This Row],[PerformanceRating]]=4, "Excellent")</f>
        <v>Excellent</v>
      </c>
      <c r="O1170" s="8" t="str">
        <f>IF(HR_Analytics56[[#This Row],[MonthlyIncome]]&lt;3000,"&lt; ₹3,000",IF(HR_Analytics56[[#This Row],[MonthlyIncome]]&lt;=7000,"₹ 3,000 - ₹ 7,000","&gt; ₹7,000"))</f>
        <v>&lt; ₹3,000</v>
      </c>
      <c r="P1170" s="8" t="str" cm="1">
        <f t="array" ref="P117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71" spans="1:16" x14ac:dyDescent="0.8">
      <c r="A1171" s="5" t="s">
        <v>1242</v>
      </c>
      <c r="B1171" s="8">
        <v>45</v>
      </c>
      <c r="C1171" s="5" t="s">
        <v>49</v>
      </c>
      <c r="D1171" s="5" t="s">
        <v>51</v>
      </c>
      <c r="E1171" s="5" t="s">
        <v>44</v>
      </c>
      <c r="F1171" s="5" t="s">
        <v>137</v>
      </c>
      <c r="G1171" s="8">
        <v>2</v>
      </c>
      <c r="H1171" s="8">
        <v>4805</v>
      </c>
      <c r="I1171" s="5" t="s">
        <v>49</v>
      </c>
      <c r="J1171" s="8">
        <v>3</v>
      </c>
      <c r="K1171" s="8">
        <v>3</v>
      </c>
      <c r="L1171" s="8">
        <v>8</v>
      </c>
      <c r="M11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1" s="8" t="str" cm="1">
        <f t="array" ref="N1171">_xlfn.IFS(HR_Analytics56[[#This Row],[PerformanceRating]]=3,"Good",HR_Analytics56[[#This Row],[PerformanceRating]]=4, "Excellent")</f>
        <v>Good</v>
      </c>
      <c r="O1171" s="8" t="str">
        <f>IF(HR_Analytics56[[#This Row],[MonthlyIncome]]&lt;3000,"&lt; ₹3,000",IF(HR_Analytics56[[#This Row],[MonthlyIncome]]&lt;=7000,"₹ 3,000 - ₹ 7,000","&gt; ₹7,000"))</f>
        <v>₹ 3,000 - ₹ 7,000</v>
      </c>
      <c r="P1171" s="8" t="str" cm="1">
        <f t="array" ref="P11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2" spans="1:16" x14ac:dyDescent="0.8">
      <c r="A1172" s="5" t="s">
        <v>1243</v>
      </c>
      <c r="B1172" s="8">
        <v>45</v>
      </c>
      <c r="C1172" s="5" t="s">
        <v>40</v>
      </c>
      <c r="D1172" s="5" t="s">
        <v>51</v>
      </c>
      <c r="E1172" s="5" t="s">
        <v>53</v>
      </c>
      <c r="F1172" s="5" t="s">
        <v>137</v>
      </c>
      <c r="G1172" s="8">
        <v>1</v>
      </c>
      <c r="H1172" s="8">
        <v>4286</v>
      </c>
      <c r="I1172" s="5" t="s">
        <v>49</v>
      </c>
      <c r="J1172" s="8">
        <v>3</v>
      </c>
      <c r="K1172" s="8">
        <v>4</v>
      </c>
      <c r="L1172" s="8">
        <v>1</v>
      </c>
      <c r="M11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72" s="8" t="str" cm="1">
        <f t="array" ref="N1172">_xlfn.IFS(HR_Analytics56[[#This Row],[PerformanceRating]]=3,"Good",HR_Analytics56[[#This Row],[PerformanceRating]]=4, "Excellent")</f>
        <v>Good</v>
      </c>
      <c r="O1172" s="8" t="str">
        <f>IF(HR_Analytics56[[#This Row],[MonthlyIncome]]&lt;3000,"&lt; ₹3,000",IF(HR_Analytics56[[#This Row],[MonthlyIncome]]&lt;=7000,"₹ 3,000 - ₹ 7,000","&gt; ₹7,000"))</f>
        <v>₹ 3,000 - ₹ 7,000</v>
      </c>
      <c r="P1172" s="8" t="str" cm="1">
        <f t="array" ref="P11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3" spans="1:16" x14ac:dyDescent="0.8">
      <c r="A1173" s="5" t="s">
        <v>1244</v>
      </c>
      <c r="B1173" s="8">
        <v>45</v>
      </c>
      <c r="C1173" s="5" t="s">
        <v>49</v>
      </c>
      <c r="D1173" s="5" t="s">
        <v>51</v>
      </c>
      <c r="E1173" s="5" t="s">
        <v>44</v>
      </c>
      <c r="F1173" s="5" t="s">
        <v>54</v>
      </c>
      <c r="G1173" s="8">
        <v>3</v>
      </c>
      <c r="H1173" s="8">
        <v>6632</v>
      </c>
      <c r="I1173" s="5" t="s">
        <v>49</v>
      </c>
      <c r="J1173" s="8">
        <v>3</v>
      </c>
      <c r="K1173" s="8">
        <v>3</v>
      </c>
      <c r="L1173" s="8">
        <v>8</v>
      </c>
      <c r="M11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3" s="8" t="str" cm="1">
        <f t="array" ref="N1173">_xlfn.IFS(HR_Analytics56[[#This Row],[PerformanceRating]]=3,"Good",HR_Analytics56[[#This Row],[PerformanceRating]]=4, "Excellent")</f>
        <v>Good</v>
      </c>
      <c r="O1173" s="8" t="str">
        <f>IF(HR_Analytics56[[#This Row],[MonthlyIncome]]&lt;3000,"&lt; ₹3,000",IF(HR_Analytics56[[#This Row],[MonthlyIncome]]&lt;=7000,"₹ 3,000 - ₹ 7,000","&gt; ₹7,000"))</f>
        <v>₹ 3,000 - ₹ 7,000</v>
      </c>
      <c r="P1173" s="8" t="str" cm="1">
        <f t="array" ref="P11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4" spans="1:16" x14ac:dyDescent="0.8">
      <c r="A1174" s="5" t="s">
        <v>1245</v>
      </c>
      <c r="B1174" s="8">
        <v>45</v>
      </c>
      <c r="C1174" s="5" t="s">
        <v>49</v>
      </c>
      <c r="D1174" s="5" t="s">
        <v>42</v>
      </c>
      <c r="E1174" s="5" t="s">
        <v>53</v>
      </c>
      <c r="F1174" s="5" t="s">
        <v>60</v>
      </c>
      <c r="G1174" s="8">
        <v>3</v>
      </c>
      <c r="H1174" s="8">
        <v>2274</v>
      </c>
      <c r="I1174" s="5" t="s">
        <v>49</v>
      </c>
      <c r="J1174" s="8">
        <v>3</v>
      </c>
      <c r="K1174" s="8">
        <v>3</v>
      </c>
      <c r="L1174" s="8">
        <v>1</v>
      </c>
      <c r="M11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4" s="8" t="str" cm="1">
        <f t="array" ref="N1174">_xlfn.IFS(HR_Analytics56[[#This Row],[PerformanceRating]]=3,"Good",HR_Analytics56[[#This Row],[PerformanceRating]]=4, "Excellent")</f>
        <v>Good</v>
      </c>
      <c r="O1174" s="8" t="str">
        <f>IF(HR_Analytics56[[#This Row],[MonthlyIncome]]&lt;3000,"&lt; ₹3,000",IF(HR_Analytics56[[#This Row],[MonthlyIncome]]&lt;=7000,"₹ 3,000 - ₹ 7,000","&gt; ₹7,000"))</f>
        <v>&lt; ₹3,000</v>
      </c>
      <c r="P1174" s="8" t="str" cm="1">
        <f t="array" ref="P11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5" spans="1:16" x14ac:dyDescent="0.8">
      <c r="A1175" s="5" t="s">
        <v>1246</v>
      </c>
      <c r="B1175" s="8">
        <v>45</v>
      </c>
      <c r="C1175" s="5" t="s">
        <v>49</v>
      </c>
      <c r="D1175" s="5" t="s">
        <v>51</v>
      </c>
      <c r="E1175" s="5" t="s">
        <v>44</v>
      </c>
      <c r="F1175" s="5" t="s">
        <v>137</v>
      </c>
      <c r="G1175" s="8">
        <v>1</v>
      </c>
      <c r="H1175" s="8">
        <v>10761</v>
      </c>
      <c r="I1175" s="5" t="s">
        <v>40</v>
      </c>
      <c r="J1175" s="8">
        <v>3</v>
      </c>
      <c r="K1175" s="8">
        <v>2</v>
      </c>
      <c r="L1175" s="8">
        <v>5</v>
      </c>
      <c r="M11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75" s="8" t="str" cm="1">
        <f t="array" ref="N1175">_xlfn.IFS(HR_Analytics56[[#This Row],[PerformanceRating]]=3,"Good",HR_Analytics56[[#This Row],[PerformanceRating]]=4, "Excellent")</f>
        <v>Good</v>
      </c>
      <c r="O1175" s="8" t="str">
        <f>IF(HR_Analytics56[[#This Row],[MonthlyIncome]]&lt;3000,"&lt; ₹3,000",IF(HR_Analytics56[[#This Row],[MonthlyIncome]]&lt;=7000,"₹ 3,000 - ₹ 7,000","&gt; ₹7,000"))</f>
        <v>&gt; ₹7,000</v>
      </c>
      <c r="P1175" s="8" t="str" cm="1">
        <f t="array" ref="P11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6" spans="1:16" x14ac:dyDescent="0.8">
      <c r="A1176" s="5" t="s">
        <v>1247</v>
      </c>
      <c r="B1176" s="8">
        <v>45</v>
      </c>
      <c r="C1176" s="5" t="s">
        <v>49</v>
      </c>
      <c r="D1176" s="5" t="s">
        <v>42</v>
      </c>
      <c r="E1176" s="5" t="s">
        <v>44</v>
      </c>
      <c r="F1176" s="5" t="s">
        <v>45</v>
      </c>
      <c r="G1176" s="8">
        <v>2</v>
      </c>
      <c r="H1176" s="8">
        <v>4447</v>
      </c>
      <c r="I1176" s="5" t="s">
        <v>49</v>
      </c>
      <c r="J1176" s="8">
        <v>3</v>
      </c>
      <c r="K1176" s="8">
        <v>5</v>
      </c>
      <c r="L1176" s="8">
        <v>9</v>
      </c>
      <c r="M11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6" s="8" t="str" cm="1">
        <f t="array" ref="N1176">_xlfn.IFS(HR_Analytics56[[#This Row],[PerformanceRating]]=3,"Good",HR_Analytics56[[#This Row],[PerformanceRating]]=4, "Excellent")</f>
        <v>Good</v>
      </c>
      <c r="O1176" s="8" t="str">
        <f>IF(HR_Analytics56[[#This Row],[MonthlyIncome]]&lt;3000,"&lt; ₹3,000",IF(HR_Analytics56[[#This Row],[MonthlyIncome]]&lt;=7000,"₹ 3,000 - ₹ 7,000","&gt; ₹7,000"))</f>
        <v>₹ 3,000 - ₹ 7,000</v>
      </c>
      <c r="P1176" s="8" t="str" cm="1">
        <f t="array" ref="P11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7" spans="1:16" x14ac:dyDescent="0.8">
      <c r="A1177" s="5" t="s">
        <v>1248</v>
      </c>
      <c r="B1177" s="8">
        <v>45</v>
      </c>
      <c r="C1177" s="5" t="s">
        <v>49</v>
      </c>
      <c r="D1177" s="5" t="s">
        <v>42</v>
      </c>
      <c r="E1177" s="5" t="s">
        <v>53</v>
      </c>
      <c r="F1177" s="5" t="s">
        <v>45</v>
      </c>
      <c r="G1177" s="8">
        <v>4</v>
      </c>
      <c r="H1177" s="8">
        <v>2270</v>
      </c>
      <c r="I1177" s="5" t="s">
        <v>49</v>
      </c>
      <c r="J1177" s="8">
        <v>3</v>
      </c>
      <c r="K1177" s="8">
        <v>2</v>
      </c>
      <c r="L1177" s="8">
        <v>5</v>
      </c>
      <c r="M11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7" s="8" t="str" cm="1">
        <f t="array" ref="N1177">_xlfn.IFS(HR_Analytics56[[#This Row],[PerformanceRating]]=3,"Good",HR_Analytics56[[#This Row],[PerformanceRating]]=4, "Excellent")</f>
        <v>Good</v>
      </c>
      <c r="O1177" s="8" t="str">
        <f>IF(HR_Analytics56[[#This Row],[MonthlyIncome]]&lt;3000,"&lt; ₹3,000",IF(HR_Analytics56[[#This Row],[MonthlyIncome]]&lt;=7000,"₹ 3,000 - ₹ 7,000","&gt; ₹7,000"))</f>
        <v>&lt; ₹3,000</v>
      </c>
      <c r="P1177" s="8" t="str" cm="1">
        <f t="array" ref="P11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8" spans="1:16" x14ac:dyDescent="0.8">
      <c r="A1178" s="5" t="s">
        <v>1249</v>
      </c>
      <c r="B1178" s="8">
        <v>45</v>
      </c>
      <c r="C1178" s="5" t="s">
        <v>49</v>
      </c>
      <c r="D1178" s="5" t="s">
        <v>42</v>
      </c>
      <c r="E1178" s="5" t="s">
        <v>44</v>
      </c>
      <c r="F1178" s="5" t="s">
        <v>45</v>
      </c>
      <c r="G1178" s="8">
        <v>1</v>
      </c>
      <c r="H1178" s="8">
        <v>3633</v>
      </c>
      <c r="I1178" s="5" t="s">
        <v>40</v>
      </c>
      <c r="J1178" s="8">
        <v>3</v>
      </c>
      <c r="K1178" s="8">
        <v>2</v>
      </c>
      <c r="L1178" s="8">
        <v>9</v>
      </c>
      <c r="M11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78" s="8" t="str" cm="1">
        <f t="array" ref="N1178">_xlfn.IFS(HR_Analytics56[[#This Row],[PerformanceRating]]=3,"Good",HR_Analytics56[[#This Row],[PerformanceRating]]=4, "Excellent")</f>
        <v>Good</v>
      </c>
      <c r="O1178" s="8" t="str">
        <f>IF(HR_Analytics56[[#This Row],[MonthlyIncome]]&lt;3000,"&lt; ₹3,000",IF(HR_Analytics56[[#This Row],[MonthlyIncome]]&lt;=7000,"₹ 3,000 - ₹ 7,000","&gt; ₹7,000"))</f>
        <v>₹ 3,000 - ₹ 7,000</v>
      </c>
      <c r="P1178" s="8" t="str" cm="1">
        <f t="array" ref="P11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79" spans="1:16" x14ac:dyDescent="0.8">
      <c r="A1179" s="5" t="s">
        <v>1250</v>
      </c>
      <c r="B1179" s="8">
        <v>45</v>
      </c>
      <c r="C1179" s="5" t="s">
        <v>49</v>
      </c>
      <c r="D1179" s="5" t="s">
        <v>51</v>
      </c>
      <c r="E1179" s="5" t="s">
        <v>53</v>
      </c>
      <c r="F1179" s="5" t="s">
        <v>442</v>
      </c>
      <c r="G1179" s="8">
        <v>4</v>
      </c>
      <c r="H1179" s="8">
        <v>17650</v>
      </c>
      <c r="I1179" s="5" t="s">
        <v>49</v>
      </c>
      <c r="J1179" s="8">
        <v>3</v>
      </c>
      <c r="K1179" s="8">
        <v>4</v>
      </c>
      <c r="L1179" s="8">
        <v>9</v>
      </c>
      <c r="M11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79" s="8" t="str" cm="1">
        <f t="array" ref="N1179">_xlfn.IFS(HR_Analytics56[[#This Row],[PerformanceRating]]=3,"Good",HR_Analytics56[[#This Row],[PerformanceRating]]=4, "Excellent")</f>
        <v>Good</v>
      </c>
      <c r="O1179" s="8" t="str">
        <f>IF(HR_Analytics56[[#This Row],[MonthlyIncome]]&lt;3000,"&lt; ₹3,000",IF(HR_Analytics56[[#This Row],[MonthlyIncome]]&lt;=7000,"₹ 3,000 - ₹ 7,000","&gt; ₹7,000"))</f>
        <v>&gt; ₹7,000</v>
      </c>
      <c r="P1179" s="8" t="str" cm="1">
        <f t="array" ref="P11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0" spans="1:16" x14ac:dyDescent="0.8">
      <c r="A1180" s="5" t="s">
        <v>1251</v>
      </c>
      <c r="B1180" s="8">
        <v>45</v>
      </c>
      <c r="C1180" s="5" t="s">
        <v>49</v>
      </c>
      <c r="D1180" s="5" t="s">
        <v>71</v>
      </c>
      <c r="E1180" s="5" t="s">
        <v>44</v>
      </c>
      <c r="F1180" s="5" t="s">
        <v>71</v>
      </c>
      <c r="G1180" s="8">
        <v>2</v>
      </c>
      <c r="H1180" s="8">
        <v>2177</v>
      </c>
      <c r="I1180" s="5" t="s">
        <v>49</v>
      </c>
      <c r="J1180" s="8">
        <v>3</v>
      </c>
      <c r="K1180" s="8">
        <v>3</v>
      </c>
      <c r="L1180" s="8">
        <v>6</v>
      </c>
      <c r="M11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0" s="8" t="str" cm="1">
        <f t="array" ref="N1180">_xlfn.IFS(HR_Analytics56[[#This Row],[PerformanceRating]]=3,"Good",HR_Analytics56[[#This Row],[PerformanceRating]]=4, "Excellent")</f>
        <v>Good</v>
      </c>
      <c r="O1180" s="8" t="str">
        <f>IF(HR_Analytics56[[#This Row],[MonthlyIncome]]&lt;3000,"&lt; ₹3,000",IF(HR_Analytics56[[#This Row],[MonthlyIncome]]&lt;=7000,"₹ 3,000 - ₹ 7,000","&gt; ₹7,000"))</f>
        <v>&lt; ₹3,000</v>
      </c>
      <c r="P1180" s="8" t="str" cm="1">
        <f t="array" ref="P11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1" spans="1:16" x14ac:dyDescent="0.8">
      <c r="A1181" s="5" t="s">
        <v>1252</v>
      </c>
      <c r="B1181" s="8">
        <v>45</v>
      </c>
      <c r="C1181" s="5" t="s">
        <v>49</v>
      </c>
      <c r="D1181" s="5" t="s">
        <v>51</v>
      </c>
      <c r="E1181" s="5" t="s">
        <v>53</v>
      </c>
      <c r="F1181" s="5" t="s">
        <v>137</v>
      </c>
      <c r="G1181" s="8">
        <v>3</v>
      </c>
      <c r="H1181" s="8">
        <v>5593</v>
      </c>
      <c r="I1181" s="5" t="s">
        <v>49</v>
      </c>
      <c r="J1181" s="8">
        <v>3</v>
      </c>
      <c r="K1181" s="8">
        <v>2</v>
      </c>
      <c r="L1181" s="8">
        <v>15</v>
      </c>
      <c r="M11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1" s="8" t="str" cm="1">
        <f t="array" ref="N1181">_xlfn.IFS(HR_Analytics56[[#This Row],[PerformanceRating]]=3,"Good",HR_Analytics56[[#This Row],[PerformanceRating]]=4, "Excellent")</f>
        <v>Good</v>
      </c>
      <c r="O1181" s="8" t="str">
        <f>IF(HR_Analytics56[[#This Row],[MonthlyIncome]]&lt;3000,"&lt; ₹3,000",IF(HR_Analytics56[[#This Row],[MonthlyIncome]]&lt;=7000,"₹ 3,000 - ₹ 7,000","&gt; ₹7,000"))</f>
        <v>₹ 3,000 - ₹ 7,000</v>
      </c>
      <c r="P1181" s="8" t="str" cm="1">
        <f t="array" ref="P11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2" spans="1:16" x14ac:dyDescent="0.8">
      <c r="A1182" s="5" t="s">
        <v>1253</v>
      </c>
      <c r="B1182" s="8">
        <v>45</v>
      </c>
      <c r="C1182" s="5" t="s">
        <v>49</v>
      </c>
      <c r="D1182" s="5" t="s">
        <v>42</v>
      </c>
      <c r="E1182" s="5" t="s">
        <v>53</v>
      </c>
      <c r="F1182" s="5" t="s">
        <v>60</v>
      </c>
      <c r="G1182" s="8">
        <v>3</v>
      </c>
      <c r="H1182" s="8">
        <v>4477</v>
      </c>
      <c r="I1182" s="5" t="s">
        <v>40</v>
      </c>
      <c r="J1182" s="8">
        <v>3</v>
      </c>
      <c r="K1182" s="8">
        <v>2</v>
      </c>
      <c r="L1182" s="8">
        <v>3</v>
      </c>
      <c r="M11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82" s="8" t="str" cm="1">
        <f t="array" ref="N1182">_xlfn.IFS(HR_Analytics56[[#This Row],[PerformanceRating]]=3,"Good",HR_Analytics56[[#This Row],[PerformanceRating]]=4, "Excellent")</f>
        <v>Good</v>
      </c>
      <c r="O1182" s="8" t="str">
        <f>IF(HR_Analytics56[[#This Row],[MonthlyIncome]]&lt;3000,"&lt; ₹3,000",IF(HR_Analytics56[[#This Row],[MonthlyIncome]]&lt;=7000,"₹ 3,000 - ₹ 7,000","&gt; ₹7,000"))</f>
        <v>₹ 3,000 - ₹ 7,000</v>
      </c>
      <c r="P1182" s="8" t="str" cm="1">
        <f t="array" ref="P11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3" spans="1:16" x14ac:dyDescent="0.8">
      <c r="A1183" s="5" t="s">
        <v>1254</v>
      </c>
      <c r="B1183" s="8">
        <v>45</v>
      </c>
      <c r="C1183" s="5" t="s">
        <v>40</v>
      </c>
      <c r="D1183" s="5" t="s">
        <v>51</v>
      </c>
      <c r="E1183" s="5" t="s">
        <v>53</v>
      </c>
      <c r="F1183" s="5" t="s">
        <v>442</v>
      </c>
      <c r="G1183" s="8">
        <v>2</v>
      </c>
      <c r="H1183" s="8">
        <v>18824</v>
      </c>
      <c r="I1183" s="5" t="s">
        <v>40</v>
      </c>
      <c r="J1183" s="8">
        <v>3</v>
      </c>
      <c r="K1183" s="8">
        <v>2</v>
      </c>
      <c r="L1183" s="8">
        <v>24</v>
      </c>
      <c r="M11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183" s="8" t="str" cm="1">
        <f t="array" ref="N1183">_xlfn.IFS(HR_Analytics56[[#This Row],[PerformanceRating]]=3,"Good",HR_Analytics56[[#This Row],[PerformanceRating]]=4, "Excellent")</f>
        <v>Good</v>
      </c>
      <c r="O1183" s="8" t="str">
        <f>IF(HR_Analytics56[[#This Row],[MonthlyIncome]]&lt;3000,"&lt; ₹3,000",IF(HR_Analytics56[[#This Row],[MonthlyIncome]]&lt;=7000,"₹ 3,000 - ₹ 7,000","&gt; ₹7,000"))</f>
        <v>&gt; ₹7,000</v>
      </c>
      <c r="P1183" s="8" t="str" cm="1">
        <f t="array" ref="P11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4" spans="1:16" x14ac:dyDescent="0.8">
      <c r="A1184" s="5" t="s">
        <v>1255</v>
      </c>
      <c r="B1184" s="8">
        <v>45</v>
      </c>
      <c r="C1184" s="5" t="s">
        <v>49</v>
      </c>
      <c r="D1184" s="5" t="s">
        <v>42</v>
      </c>
      <c r="E1184" s="5" t="s">
        <v>53</v>
      </c>
      <c r="F1184" s="5" t="s">
        <v>442</v>
      </c>
      <c r="G1184" s="8">
        <v>2</v>
      </c>
      <c r="H1184" s="8">
        <v>18061</v>
      </c>
      <c r="I1184" s="5" t="s">
        <v>49</v>
      </c>
      <c r="J1184" s="8">
        <v>4</v>
      </c>
      <c r="K1184" s="8">
        <v>4</v>
      </c>
      <c r="L1184" s="8">
        <v>0</v>
      </c>
      <c r="M11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4" s="8" t="str" cm="1">
        <f t="array" ref="N1184">_xlfn.IFS(HR_Analytics56[[#This Row],[PerformanceRating]]=3,"Good",HR_Analytics56[[#This Row],[PerformanceRating]]=4, "Excellent")</f>
        <v>Excellent</v>
      </c>
      <c r="O1184" s="8" t="str">
        <f>IF(HR_Analytics56[[#This Row],[MonthlyIncome]]&lt;3000,"&lt; ₹3,000",IF(HR_Analytics56[[#This Row],[MonthlyIncome]]&lt;=7000,"₹ 3,000 - ₹ 7,000","&gt; ₹7,000"))</f>
        <v>&gt; ₹7,000</v>
      </c>
      <c r="P1184" s="8" t="str" cm="1">
        <f t="array" ref="P118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85" spans="1:16" x14ac:dyDescent="0.8">
      <c r="A1185" s="5" t="s">
        <v>1256</v>
      </c>
      <c r="B1185" s="8">
        <v>45</v>
      </c>
      <c r="C1185" s="5" t="s">
        <v>49</v>
      </c>
      <c r="D1185" s="5" t="s">
        <v>42</v>
      </c>
      <c r="E1185" s="5" t="s">
        <v>44</v>
      </c>
      <c r="F1185" s="5" t="s">
        <v>161</v>
      </c>
      <c r="G1185" s="8">
        <v>1</v>
      </c>
      <c r="H1185" s="8">
        <v>10851</v>
      </c>
      <c r="I1185" s="5" t="s">
        <v>40</v>
      </c>
      <c r="J1185" s="8">
        <v>3</v>
      </c>
      <c r="K1185" s="8">
        <v>2</v>
      </c>
      <c r="L1185" s="8">
        <v>7</v>
      </c>
      <c r="M11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85" s="8" t="str" cm="1">
        <f t="array" ref="N1185">_xlfn.IFS(HR_Analytics56[[#This Row],[PerformanceRating]]=3,"Good",HR_Analytics56[[#This Row],[PerformanceRating]]=4, "Excellent")</f>
        <v>Good</v>
      </c>
      <c r="O1185" s="8" t="str">
        <f>IF(HR_Analytics56[[#This Row],[MonthlyIncome]]&lt;3000,"&lt; ₹3,000",IF(HR_Analytics56[[#This Row],[MonthlyIncome]]&lt;=7000,"₹ 3,000 - ₹ 7,000","&gt; ₹7,000"))</f>
        <v>&gt; ₹7,000</v>
      </c>
      <c r="P1185" s="8" t="str" cm="1">
        <f t="array" ref="P11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6" spans="1:16" x14ac:dyDescent="0.8">
      <c r="A1186" s="5" t="s">
        <v>1257</v>
      </c>
      <c r="B1186" s="8">
        <v>45</v>
      </c>
      <c r="C1186" s="5" t="s">
        <v>49</v>
      </c>
      <c r="D1186" s="5" t="s">
        <v>42</v>
      </c>
      <c r="E1186" s="5" t="s">
        <v>44</v>
      </c>
      <c r="F1186" s="5" t="s">
        <v>112</v>
      </c>
      <c r="G1186" s="8">
        <v>4</v>
      </c>
      <c r="H1186" s="8">
        <v>9380</v>
      </c>
      <c r="I1186" s="5" t="s">
        <v>40</v>
      </c>
      <c r="J1186" s="8">
        <v>3</v>
      </c>
      <c r="K1186" s="8">
        <v>4</v>
      </c>
      <c r="L1186" s="8">
        <v>3</v>
      </c>
      <c r="M11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86" s="8" t="str" cm="1">
        <f t="array" ref="N1186">_xlfn.IFS(HR_Analytics56[[#This Row],[PerformanceRating]]=3,"Good",HR_Analytics56[[#This Row],[PerformanceRating]]=4, "Excellent")</f>
        <v>Good</v>
      </c>
      <c r="O1186" s="8" t="str">
        <f>IF(HR_Analytics56[[#This Row],[MonthlyIncome]]&lt;3000,"&lt; ₹3,000",IF(HR_Analytics56[[#This Row],[MonthlyIncome]]&lt;=7000,"₹ 3,000 - ₹ 7,000","&gt; ₹7,000"))</f>
        <v>&gt; ₹7,000</v>
      </c>
      <c r="P1186" s="8" t="str" cm="1">
        <f t="array" ref="P11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7" spans="1:16" x14ac:dyDescent="0.8">
      <c r="A1187" s="5" t="s">
        <v>1258</v>
      </c>
      <c r="B1187" s="8">
        <v>45</v>
      </c>
      <c r="C1187" s="5" t="s">
        <v>49</v>
      </c>
      <c r="D1187" s="5" t="s">
        <v>42</v>
      </c>
      <c r="E1187" s="5" t="s">
        <v>44</v>
      </c>
      <c r="F1187" s="5" t="s">
        <v>60</v>
      </c>
      <c r="G1187" s="8">
        <v>4</v>
      </c>
      <c r="H1187" s="8">
        <v>2132</v>
      </c>
      <c r="I1187" s="5" t="s">
        <v>49</v>
      </c>
      <c r="J1187" s="8">
        <v>4</v>
      </c>
      <c r="K1187" s="8">
        <v>3</v>
      </c>
      <c r="L1187" s="8">
        <v>5</v>
      </c>
      <c r="M11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7" s="8" t="str" cm="1">
        <f t="array" ref="N1187">_xlfn.IFS(HR_Analytics56[[#This Row],[PerformanceRating]]=3,"Good",HR_Analytics56[[#This Row],[PerformanceRating]]=4, "Excellent")</f>
        <v>Excellent</v>
      </c>
      <c r="O1187" s="8" t="str">
        <f>IF(HR_Analytics56[[#This Row],[MonthlyIncome]]&lt;3000,"&lt; ₹3,000",IF(HR_Analytics56[[#This Row],[MonthlyIncome]]&lt;=7000,"₹ 3,000 - ₹ 7,000","&gt; ₹7,000"))</f>
        <v>&lt; ₹3,000</v>
      </c>
      <c r="P1187" s="8" t="str" cm="1">
        <f t="array" ref="P118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88" spans="1:16" x14ac:dyDescent="0.8">
      <c r="A1188" s="5" t="s">
        <v>1259</v>
      </c>
      <c r="B1188" s="8">
        <v>45</v>
      </c>
      <c r="C1188" s="5" t="s">
        <v>49</v>
      </c>
      <c r="D1188" s="5" t="s">
        <v>42</v>
      </c>
      <c r="E1188" s="5" t="s">
        <v>44</v>
      </c>
      <c r="F1188" s="5" t="s">
        <v>161</v>
      </c>
      <c r="G1188" s="8">
        <v>2</v>
      </c>
      <c r="H1188" s="8">
        <v>7441</v>
      </c>
      <c r="I1188" s="5" t="s">
        <v>49</v>
      </c>
      <c r="J1188" s="8">
        <v>3</v>
      </c>
      <c r="K1188" s="8">
        <v>4</v>
      </c>
      <c r="L1188" s="8">
        <v>10</v>
      </c>
      <c r="M11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88" s="8" t="str" cm="1">
        <f t="array" ref="N1188">_xlfn.IFS(HR_Analytics56[[#This Row],[PerformanceRating]]=3,"Good",HR_Analytics56[[#This Row],[PerformanceRating]]=4, "Excellent")</f>
        <v>Good</v>
      </c>
      <c r="O1188" s="8" t="str">
        <f>IF(HR_Analytics56[[#This Row],[MonthlyIncome]]&lt;3000,"&lt; ₹3,000",IF(HR_Analytics56[[#This Row],[MonthlyIncome]]&lt;=7000,"₹ 3,000 - ₹ 7,000","&gt; ₹7,000"))</f>
        <v>&gt; ₹7,000</v>
      </c>
      <c r="P1188" s="8" t="str" cm="1">
        <f t="array" ref="P11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89" spans="1:16" x14ac:dyDescent="0.8">
      <c r="A1189" s="5" t="s">
        <v>1260</v>
      </c>
      <c r="B1189" s="8">
        <v>45</v>
      </c>
      <c r="C1189" s="5" t="s">
        <v>49</v>
      </c>
      <c r="D1189" s="5" t="s">
        <v>42</v>
      </c>
      <c r="E1189" s="5" t="s">
        <v>53</v>
      </c>
      <c r="F1189" s="5" t="s">
        <v>45</v>
      </c>
      <c r="G1189" s="8">
        <v>1</v>
      </c>
      <c r="H1189" s="8">
        <v>5769</v>
      </c>
      <c r="I1189" s="5" t="s">
        <v>40</v>
      </c>
      <c r="J1189" s="8">
        <v>3</v>
      </c>
      <c r="K1189" s="8">
        <v>3</v>
      </c>
      <c r="L1189" s="8">
        <v>10</v>
      </c>
      <c r="M11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189" s="8" t="str" cm="1">
        <f t="array" ref="N1189">_xlfn.IFS(HR_Analytics56[[#This Row],[PerformanceRating]]=3,"Good",HR_Analytics56[[#This Row],[PerformanceRating]]=4, "Excellent")</f>
        <v>Good</v>
      </c>
      <c r="O1189" s="8" t="str">
        <f>IF(HR_Analytics56[[#This Row],[MonthlyIncome]]&lt;3000,"&lt; ₹3,000",IF(HR_Analytics56[[#This Row],[MonthlyIncome]]&lt;=7000,"₹ 3,000 - ₹ 7,000","&gt; ₹7,000"))</f>
        <v>₹ 3,000 - ₹ 7,000</v>
      </c>
      <c r="P1189" s="8" t="str" cm="1">
        <f t="array" ref="P11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0" spans="1:16" x14ac:dyDescent="0.8">
      <c r="A1190" s="5" t="s">
        <v>1261</v>
      </c>
      <c r="B1190" s="8">
        <v>45</v>
      </c>
      <c r="C1190" s="5" t="s">
        <v>49</v>
      </c>
      <c r="D1190" s="5" t="s">
        <v>51</v>
      </c>
      <c r="E1190" s="5" t="s">
        <v>44</v>
      </c>
      <c r="F1190" s="5" t="s">
        <v>137</v>
      </c>
      <c r="G1190" s="8">
        <v>1</v>
      </c>
      <c r="H1190" s="8">
        <v>4385</v>
      </c>
      <c r="I1190" s="5" t="s">
        <v>49</v>
      </c>
      <c r="J1190" s="8">
        <v>3</v>
      </c>
      <c r="K1190" s="8">
        <v>2</v>
      </c>
      <c r="L1190" s="8">
        <v>10</v>
      </c>
      <c r="M11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0" s="8" t="str" cm="1">
        <f t="array" ref="N1190">_xlfn.IFS(HR_Analytics56[[#This Row],[PerformanceRating]]=3,"Good",HR_Analytics56[[#This Row],[PerformanceRating]]=4, "Excellent")</f>
        <v>Good</v>
      </c>
      <c r="O1190" s="8" t="str">
        <f>IF(HR_Analytics56[[#This Row],[MonthlyIncome]]&lt;3000,"&lt; ₹3,000",IF(HR_Analytics56[[#This Row],[MonthlyIncome]]&lt;=7000,"₹ 3,000 - ₹ 7,000","&gt; ₹7,000"))</f>
        <v>₹ 3,000 - ₹ 7,000</v>
      </c>
      <c r="P1190" s="8" t="str" cm="1">
        <f t="array" ref="P11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1" spans="1:16" x14ac:dyDescent="0.8">
      <c r="A1191" s="5" t="s">
        <v>1262</v>
      </c>
      <c r="B1191" s="8">
        <v>45</v>
      </c>
      <c r="C1191" s="5" t="s">
        <v>49</v>
      </c>
      <c r="D1191" s="5" t="s">
        <v>42</v>
      </c>
      <c r="E1191" s="5" t="s">
        <v>53</v>
      </c>
      <c r="F1191" s="5" t="s">
        <v>112</v>
      </c>
      <c r="G1191" s="8">
        <v>4</v>
      </c>
      <c r="H1191" s="8">
        <v>5770</v>
      </c>
      <c r="I1191" s="5" t="s">
        <v>49</v>
      </c>
      <c r="J1191" s="8">
        <v>3</v>
      </c>
      <c r="K1191" s="8">
        <v>3</v>
      </c>
      <c r="L1191" s="8">
        <v>10</v>
      </c>
      <c r="M11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1" s="8" t="str" cm="1">
        <f t="array" ref="N1191">_xlfn.IFS(HR_Analytics56[[#This Row],[PerformanceRating]]=3,"Good",HR_Analytics56[[#This Row],[PerformanceRating]]=4, "Excellent")</f>
        <v>Good</v>
      </c>
      <c r="O1191" s="8" t="str">
        <f>IF(HR_Analytics56[[#This Row],[MonthlyIncome]]&lt;3000,"&lt; ₹3,000",IF(HR_Analytics56[[#This Row],[MonthlyIncome]]&lt;=7000,"₹ 3,000 - ₹ 7,000","&gt; ₹7,000"))</f>
        <v>₹ 3,000 - ₹ 7,000</v>
      </c>
      <c r="P1191" s="8" t="str" cm="1">
        <f t="array" ref="P11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2" spans="1:16" x14ac:dyDescent="0.8">
      <c r="A1192" s="5" t="s">
        <v>1263</v>
      </c>
      <c r="B1192" s="8">
        <v>45</v>
      </c>
      <c r="C1192" s="5" t="s">
        <v>49</v>
      </c>
      <c r="D1192" s="5" t="s">
        <v>42</v>
      </c>
      <c r="E1192" s="5" t="s">
        <v>44</v>
      </c>
      <c r="F1192" s="5" t="s">
        <v>161</v>
      </c>
      <c r="G1192" s="8">
        <v>3</v>
      </c>
      <c r="H1192" s="8">
        <v>10748</v>
      </c>
      <c r="I1192" s="5" t="s">
        <v>49</v>
      </c>
      <c r="J1192" s="8">
        <v>4</v>
      </c>
      <c r="K1192" s="8">
        <v>3</v>
      </c>
      <c r="L1192" s="8">
        <v>23</v>
      </c>
      <c r="M11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2" s="8" t="str" cm="1">
        <f t="array" ref="N1192">_xlfn.IFS(HR_Analytics56[[#This Row],[PerformanceRating]]=3,"Good",HR_Analytics56[[#This Row],[PerformanceRating]]=4, "Excellent")</f>
        <v>Excellent</v>
      </c>
      <c r="O1192" s="8" t="str">
        <f>IF(HR_Analytics56[[#This Row],[MonthlyIncome]]&lt;3000,"&lt; ₹3,000",IF(HR_Analytics56[[#This Row],[MonthlyIncome]]&lt;=7000,"₹ 3,000 - ₹ 7,000","&gt; ₹7,000"))</f>
        <v>&gt; ₹7,000</v>
      </c>
      <c r="P1192" s="8" t="str" cm="1">
        <f t="array" ref="P119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93" spans="1:16" x14ac:dyDescent="0.8">
      <c r="A1193" s="5" t="s">
        <v>1264</v>
      </c>
      <c r="B1193" s="8">
        <v>45</v>
      </c>
      <c r="C1193" s="5" t="s">
        <v>49</v>
      </c>
      <c r="D1193" s="5" t="s">
        <v>42</v>
      </c>
      <c r="E1193" s="5" t="s">
        <v>53</v>
      </c>
      <c r="F1193" s="5" t="s">
        <v>252</v>
      </c>
      <c r="G1193" s="8">
        <v>2</v>
      </c>
      <c r="H1193" s="8">
        <v>16704</v>
      </c>
      <c r="I1193" s="5" t="s">
        <v>49</v>
      </c>
      <c r="J1193" s="8">
        <v>3</v>
      </c>
      <c r="K1193" s="8">
        <v>2</v>
      </c>
      <c r="L1193" s="8">
        <v>21</v>
      </c>
      <c r="M11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3" s="8" t="str" cm="1">
        <f t="array" ref="N1193">_xlfn.IFS(HR_Analytics56[[#This Row],[PerformanceRating]]=3,"Good",HR_Analytics56[[#This Row],[PerformanceRating]]=4, "Excellent")</f>
        <v>Good</v>
      </c>
      <c r="O1193" s="8" t="str">
        <f>IF(HR_Analytics56[[#This Row],[MonthlyIncome]]&lt;3000,"&lt; ₹3,000",IF(HR_Analytics56[[#This Row],[MonthlyIncome]]&lt;=7000,"₹ 3,000 - ₹ 7,000","&gt; ₹7,000"))</f>
        <v>&gt; ₹7,000</v>
      </c>
      <c r="P1193" s="8" t="str" cm="1">
        <f t="array" ref="P11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4" spans="1:16" x14ac:dyDescent="0.8">
      <c r="A1194" s="5" t="s">
        <v>1265</v>
      </c>
      <c r="B1194" s="8">
        <v>45</v>
      </c>
      <c r="C1194" s="5" t="s">
        <v>49</v>
      </c>
      <c r="D1194" s="5" t="s">
        <v>71</v>
      </c>
      <c r="E1194" s="5" t="s">
        <v>53</v>
      </c>
      <c r="F1194" s="5" t="s">
        <v>71</v>
      </c>
      <c r="G1194" s="8">
        <v>3</v>
      </c>
      <c r="H1194" s="8">
        <v>9756</v>
      </c>
      <c r="I1194" s="5" t="s">
        <v>49</v>
      </c>
      <c r="J1194" s="8">
        <v>4</v>
      </c>
      <c r="K1194" s="8">
        <v>2</v>
      </c>
      <c r="L1194" s="8">
        <v>5</v>
      </c>
      <c r="M11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4" s="8" t="str" cm="1">
        <f t="array" ref="N1194">_xlfn.IFS(HR_Analytics56[[#This Row],[PerformanceRating]]=3,"Good",HR_Analytics56[[#This Row],[PerformanceRating]]=4, "Excellent")</f>
        <v>Excellent</v>
      </c>
      <c r="O1194" s="8" t="str">
        <f>IF(HR_Analytics56[[#This Row],[MonthlyIncome]]&lt;3000,"&lt; ₹3,000",IF(HR_Analytics56[[#This Row],[MonthlyIncome]]&lt;=7000,"₹ 3,000 - ₹ 7,000","&gt; ₹7,000"))</f>
        <v>&gt; ₹7,000</v>
      </c>
      <c r="P1194" s="8" t="str" cm="1">
        <f t="array" ref="P11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5" spans="1:16" x14ac:dyDescent="0.8">
      <c r="A1195" s="5" t="s">
        <v>1266</v>
      </c>
      <c r="B1195" s="8">
        <v>45</v>
      </c>
      <c r="C1195" s="5" t="s">
        <v>49</v>
      </c>
      <c r="D1195" s="5" t="s">
        <v>51</v>
      </c>
      <c r="E1195" s="5" t="s">
        <v>53</v>
      </c>
      <c r="F1195" s="5" t="s">
        <v>137</v>
      </c>
      <c r="G1195" s="8">
        <v>3</v>
      </c>
      <c r="H1195" s="8">
        <v>5154</v>
      </c>
      <c r="I1195" s="5" t="s">
        <v>49</v>
      </c>
      <c r="J1195" s="8">
        <v>4</v>
      </c>
      <c r="K1195" s="8">
        <v>3</v>
      </c>
      <c r="L1195" s="8">
        <v>8</v>
      </c>
      <c r="M11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5" s="8" t="str" cm="1">
        <f t="array" ref="N1195">_xlfn.IFS(HR_Analytics56[[#This Row],[PerformanceRating]]=3,"Good",HR_Analytics56[[#This Row],[PerformanceRating]]=4, "Excellent")</f>
        <v>Excellent</v>
      </c>
      <c r="O1195" s="8" t="str">
        <f>IF(HR_Analytics56[[#This Row],[MonthlyIncome]]&lt;3000,"&lt; ₹3,000",IF(HR_Analytics56[[#This Row],[MonthlyIncome]]&lt;=7000,"₹ 3,000 - ₹ 7,000","&gt; ₹7,000"))</f>
        <v>₹ 3,000 - ₹ 7,000</v>
      </c>
      <c r="P1195" s="8" t="str" cm="1">
        <f t="array" ref="P119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196" spans="1:16" x14ac:dyDescent="0.8">
      <c r="A1196" s="5" t="s">
        <v>1267</v>
      </c>
      <c r="B1196" s="8">
        <v>45</v>
      </c>
      <c r="C1196" s="5" t="s">
        <v>49</v>
      </c>
      <c r="D1196" s="5" t="s">
        <v>42</v>
      </c>
      <c r="E1196" s="5" t="s">
        <v>53</v>
      </c>
      <c r="F1196" s="5" t="s">
        <v>112</v>
      </c>
      <c r="G1196" s="8">
        <v>4</v>
      </c>
      <c r="H1196" s="8">
        <v>5906</v>
      </c>
      <c r="I1196" s="5" t="s">
        <v>49</v>
      </c>
      <c r="J1196" s="8">
        <v>3</v>
      </c>
      <c r="K1196" s="8">
        <v>2</v>
      </c>
      <c r="L1196" s="8">
        <v>9</v>
      </c>
      <c r="M11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6" s="8" t="str" cm="1">
        <f t="array" ref="N1196">_xlfn.IFS(HR_Analytics56[[#This Row],[PerformanceRating]]=3,"Good",HR_Analytics56[[#This Row],[PerformanceRating]]=4, "Excellent")</f>
        <v>Good</v>
      </c>
      <c r="O1196" s="8" t="str">
        <f>IF(HR_Analytics56[[#This Row],[MonthlyIncome]]&lt;3000,"&lt; ₹3,000",IF(HR_Analytics56[[#This Row],[MonthlyIncome]]&lt;=7000,"₹ 3,000 - ₹ 7,000","&gt; ₹7,000"))</f>
        <v>₹ 3,000 - ₹ 7,000</v>
      </c>
      <c r="P1196" s="8" t="str" cm="1">
        <f t="array" ref="P11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7" spans="1:16" x14ac:dyDescent="0.8">
      <c r="A1197" s="5" t="s">
        <v>1268</v>
      </c>
      <c r="B1197" s="8">
        <v>45</v>
      </c>
      <c r="C1197" s="5" t="s">
        <v>49</v>
      </c>
      <c r="D1197" s="5" t="s">
        <v>42</v>
      </c>
      <c r="E1197" s="5" t="s">
        <v>44</v>
      </c>
      <c r="F1197" s="5" t="s">
        <v>161</v>
      </c>
      <c r="G1197" s="8">
        <v>3</v>
      </c>
      <c r="H1197" s="8">
        <v>5399</v>
      </c>
      <c r="I1197" s="5" t="s">
        <v>49</v>
      </c>
      <c r="J1197" s="8">
        <v>3</v>
      </c>
      <c r="K1197" s="8">
        <v>3</v>
      </c>
      <c r="L1197" s="8">
        <v>4</v>
      </c>
      <c r="M11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7" s="8" t="str" cm="1">
        <f t="array" ref="N1197">_xlfn.IFS(HR_Analytics56[[#This Row],[PerformanceRating]]=3,"Good",HR_Analytics56[[#This Row],[PerformanceRating]]=4, "Excellent")</f>
        <v>Good</v>
      </c>
      <c r="O1197" s="8" t="str">
        <f>IF(HR_Analytics56[[#This Row],[MonthlyIncome]]&lt;3000,"&lt; ₹3,000",IF(HR_Analytics56[[#This Row],[MonthlyIncome]]&lt;=7000,"₹ 3,000 - ₹ 7,000","&gt; ₹7,000"))</f>
        <v>₹ 3,000 - ₹ 7,000</v>
      </c>
      <c r="P1197" s="8" t="str" cm="1">
        <f t="array" ref="P11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8" spans="1:16" x14ac:dyDescent="0.8">
      <c r="A1198" s="5" t="s">
        <v>1269</v>
      </c>
      <c r="B1198" s="8">
        <v>45</v>
      </c>
      <c r="C1198" s="5" t="s">
        <v>49</v>
      </c>
      <c r="D1198" s="5" t="s">
        <v>51</v>
      </c>
      <c r="E1198" s="5" t="s">
        <v>53</v>
      </c>
      <c r="F1198" s="5" t="s">
        <v>137</v>
      </c>
      <c r="G1198" s="8">
        <v>3</v>
      </c>
      <c r="H1198" s="8">
        <v>4850</v>
      </c>
      <c r="I1198" s="5" t="s">
        <v>49</v>
      </c>
      <c r="J1198" s="8">
        <v>3</v>
      </c>
      <c r="K1198" s="8">
        <v>3</v>
      </c>
      <c r="L1198" s="8">
        <v>5</v>
      </c>
      <c r="M11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8" s="8" t="str" cm="1">
        <f t="array" ref="N1198">_xlfn.IFS(HR_Analytics56[[#This Row],[PerformanceRating]]=3,"Good",HR_Analytics56[[#This Row],[PerformanceRating]]=4, "Excellent")</f>
        <v>Good</v>
      </c>
      <c r="O1198" s="8" t="str">
        <f>IF(HR_Analytics56[[#This Row],[MonthlyIncome]]&lt;3000,"&lt; ₹3,000",IF(HR_Analytics56[[#This Row],[MonthlyIncome]]&lt;=7000,"₹ 3,000 - ₹ 7,000","&gt; ₹7,000"))</f>
        <v>₹ 3,000 - ₹ 7,000</v>
      </c>
      <c r="P1198" s="8" t="str" cm="1">
        <f t="array" ref="P11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199" spans="1:16" x14ac:dyDescent="0.8">
      <c r="A1199" s="5" t="s">
        <v>1270</v>
      </c>
      <c r="B1199" s="8">
        <v>46</v>
      </c>
      <c r="C1199" s="5" t="s">
        <v>49</v>
      </c>
      <c r="D1199" s="5" t="s">
        <v>51</v>
      </c>
      <c r="E1199" s="5" t="s">
        <v>53</v>
      </c>
      <c r="F1199" s="5" t="s">
        <v>442</v>
      </c>
      <c r="G1199" s="8">
        <v>1</v>
      </c>
      <c r="H1199" s="8">
        <v>18947</v>
      </c>
      <c r="I1199" s="5" t="s">
        <v>49</v>
      </c>
      <c r="J1199" s="8">
        <v>3</v>
      </c>
      <c r="K1199" s="8">
        <v>2</v>
      </c>
      <c r="L1199" s="8">
        <v>2</v>
      </c>
      <c r="M11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199" s="8" t="str" cm="1">
        <f t="array" ref="N1199">_xlfn.IFS(HR_Analytics56[[#This Row],[PerformanceRating]]=3,"Good",HR_Analytics56[[#This Row],[PerformanceRating]]=4, "Excellent")</f>
        <v>Good</v>
      </c>
      <c r="O1199" s="8" t="str">
        <f>IF(HR_Analytics56[[#This Row],[MonthlyIncome]]&lt;3000,"&lt; ₹3,000",IF(HR_Analytics56[[#This Row],[MonthlyIncome]]&lt;=7000,"₹ 3,000 - ₹ 7,000","&gt; ₹7,000"))</f>
        <v>&gt; ₹7,000</v>
      </c>
      <c r="P1199" s="8" t="str" cm="1">
        <f t="array" ref="P11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0" spans="1:16" x14ac:dyDescent="0.8">
      <c r="A1200" s="5" t="s">
        <v>1272</v>
      </c>
      <c r="B1200" s="8">
        <v>46</v>
      </c>
      <c r="C1200" s="5" t="s">
        <v>49</v>
      </c>
      <c r="D1200" s="5" t="s">
        <v>51</v>
      </c>
      <c r="E1200" s="5" t="s">
        <v>44</v>
      </c>
      <c r="F1200" s="5" t="s">
        <v>137</v>
      </c>
      <c r="G1200" s="8">
        <v>4</v>
      </c>
      <c r="H1200" s="8">
        <v>5772</v>
      </c>
      <c r="I1200" s="5" t="s">
        <v>40</v>
      </c>
      <c r="J1200" s="8">
        <v>4</v>
      </c>
      <c r="K1200" s="8">
        <v>4</v>
      </c>
      <c r="L1200" s="8">
        <v>9</v>
      </c>
      <c r="M12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0" s="8" t="str" cm="1">
        <f t="array" ref="N1200">_xlfn.IFS(HR_Analytics56[[#This Row],[PerformanceRating]]=3,"Good",HR_Analytics56[[#This Row],[PerformanceRating]]=4, "Excellent")</f>
        <v>Excellent</v>
      </c>
      <c r="O1200" s="8" t="str">
        <f>IF(HR_Analytics56[[#This Row],[MonthlyIncome]]&lt;3000,"&lt; ₹3,000",IF(HR_Analytics56[[#This Row],[MonthlyIncome]]&lt;=7000,"₹ 3,000 - ₹ 7,000","&gt; ₹7,000"))</f>
        <v>₹ 3,000 - ₹ 7,000</v>
      </c>
      <c r="P1200" s="8" t="str" cm="1">
        <f t="array" ref="P120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01" spans="1:16" x14ac:dyDescent="0.8">
      <c r="A1201" s="5" t="s">
        <v>1273</v>
      </c>
      <c r="B1201" s="8">
        <v>46</v>
      </c>
      <c r="C1201" s="5" t="s">
        <v>49</v>
      </c>
      <c r="D1201" s="5" t="s">
        <v>71</v>
      </c>
      <c r="E1201" s="5" t="s">
        <v>44</v>
      </c>
      <c r="F1201" s="5" t="s">
        <v>71</v>
      </c>
      <c r="G1201" s="8">
        <v>2</v>
      </c>
      <c r="H1201" s="8">
        <v>5021</v>
      </c>
      <c r="I1201" s="5" t="s">
        <v>40</v>
      </c>
      <c r="J1201" s="8">
        <v>4</v>
      </c>
      <c r="K1201" s="8">
        <v>2</v>
      </c>
      <c r="L1201" s="8">
        <v>4</v>
      </c>
      <c r="M12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1" s="8" t="str" cm="1">
        <f t="array" ref="N1201">_xlfn.IFS(HR_Analytics56[[#This Row],[PerformanceRating]]=3,"Good",HR_Analytics56[[#This Row],[PerformanceRating]]=4, "Excellent")</f>
        <v>Excellent</v>
      </c>
      <c r="O1201" s="8" t="str">
        <f>IF(HR_Analytics56[[#This Row],[MonthlyIncome]]&lt;3000,"&lt; ₹3,000",IF(HR_Analytics56[[#This Row],[MonthlyIncome]]&lt;=7000,"₹ 3,000 - ₹ 7,000","&gt; ₹7,000"))</f>
        <v>₹ 3,000 - ₹ 7,000</v>
      </c>
      <c r="P1201" s="8" t="str" cm="1">
        <f t="array" ref="P12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2" spans="1:16" x14ac:dyDescent="0.8">
      <c r="A1202" s="5" t="s">
        <v>1274</v>
      </c>
      <c r="B1202" s="8">
        <v>46</v>
      </c>
      <c r="C1202" s="5" t="s">
        <v>40</v>
      </c>
      <c r="D1202" s="5" t="s">
        <v>51</v>
      </c>
      <c r="E1202" s="5" t="s">
        <v>44</v>
      </c>
      <c r="F1202" s="5" t="s">
        <v>137</v>
      </c>
      <c r="G1202" s="8">
        <v>4</v>
      </c>
      <c r="H1202" s="8">
        <v>9619</v>
      </c>
      <c r="I1202" s="5" t="s">
        <v>49</v>
      </c>
      <c r="J1202" s="8">
        <v>3</v>
      </c>
      <c r="K1202" s="8">
        <v>3</v>
      </c>
      <c r="L1202" s="8">
        <v>9</v>
      </c>
      <c r="M12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2" s="8" t="str" cm="1">
        <f t="array" ref="N1202">_xlfn.IFS(HR_Analytics56[[#This Row],[PerformanceRating]]=3,"Good",HR_Analytics56[[#This Row],[PerformanceRating]]=4, "Excellent")</f>
        <v>Good</v>
      </c>
      <c r="O1202" s="8" t="str">
        <f>IF(HR_Analytics56[[#This Row],[MonthlyIncome]]&lt;3000,"&lt; ₹3,000",IF(HR_Analytics56[[#This Row],[MonthlyIncome]]&lt;=7000,"₹ 3,000 - ₹ 7,000","&gt; ₹7,000"))</f>
        <v>&gt; ₹7,000</v>
      </c>
      <c r="P1202" s="8" t="str" cm="1">
        <f t="array" ref="P12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3" spans="1:16" x14ac:dyDescent="0.8">
      <c r="A1203" s="5" t="s">
        <v>1275</v>
      </c>
      <c r="B1203" s="8">
        <v>46</v>
      </c>
      <c r="C1203" s="5" t="s">
        <v>49</v>
      </c>
      <c r="D1203" s="5" t="s">
        <v>42</v>
      </c>
      <c r="E1203" s="5" t="s">
        <v>44</v>
      </c>
      <c r="F1203" s="5" t="s">
        <v>161</v>
      </c>
      <c r="G1203" s="8">
        <v>1</v>
      </c>
      <c r="H1203" s="8">
        <v>10673</v>
      </c>
      <c r="I1203" s="5" t="s">
        <v>40</v>
      </c>
      <c r="J1203" s="8">
        <v>3</v>
      </c>
      <c r="K1203" s="8">
        <v>5</v>
      </c>
      <c r="L1203" s="8">
        <v>10</v>
      </c>
      <c r="M12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3" s="8" t="str" cm="1">
        <f t="array" ref="N1203">_xlfn.IFS(HR_Analytics56[[#This Row],[PerformanceRating]]=3,"Good",HR_Analytics56[[#This Row],[PerformanceRating]]=4, "Excellent")</f>
        <v>Good</v>
      </c>
      <c r="O1203" s="8" t="str">
        <f>IF(HR_Analytics56[[#This Row],[MonthlyIncome]]&lt;3000,"&lt; ₹3,000",IF(HR_Analytics56[[#This Row],[MonthlyIncome]]&lt;=7000,"₹ 3,000 - ₹ 7,000","&gt; ₹7,000"))</f>
        <v>&gt; ₹7,000</v>
      </c>
      <c r="P1203" s="8" t="str" cm="1">
        <f t="array" ref="P12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4" spans="1:16" x14ac:dyDescent="0.8">
      <c r="A1204" s="5" t="s">
        <v>1276</v>
      </c>
      <c r="B1204" s="8">
        <v>46</v>
      </c>
      <c r="C1204" s="5" t="s">
        <v>49</v>
      </c>
      <c r="D1204" s="5" t="s">
        <v>51</v>
      </c>
      <c r="E1204" s="5" t="s">
        <v>53</v>
      </c>
      <c r="F1204" s="5" t="s">
        <v>137</v>
      </c>
      <c r="G1204" s="8">
        <v>1</v>
      </c>
      <c r="H1204" s="8">
        <v>10453</v>
      </c>
      <c r="I1204" s="5" t="s">
        <v>49</v>
      </c>
      <c r="J1204" s="8">
        <v>4</v>
      </c>
      <c r="K1204" s="8">
        <v>2</v>
      </c>
      <c r="L1204" s="8">
        <v>24</v>
      </c>
      <c r="M12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04" s="8" t="str" cm="1">
        <f t="array" ref="N1204">_xlfn.IFS(HR_Analytics56[[#This Row],[PerformanceRating]]=3,"Good",HR_Analytics56[[#This Row],[PerformanceRating]]=4, "Excellent")</f>
        <v>Excellent</v>
      </c>
      <c r="O1204" s="8" t="str">
        <f>IF(HR_Analytics56[[#This Row],[MonthlyIncome]]&lt;3000,"&lt; ₹3,000",IF(HR_Analytics56[[#This Row],[MonthlyIncome]]&lt;=7000,"₹ 3,000 - ₹ 7,000","&gt; ₹7,000"))</f>
        <v>&gt; ₹7,000</v>
      </c>
      <c r="P1204" s="8" t="str" cm="1">
        <f t="array" ref="P12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5" spans="1:16" x14ac:dyDescent="0.8">
      <c r="A1205" s="5" t="s">
        <v>1277</v>
      </c>
      <c r="B1205" s="8">
        <v>46</v>
      </c>
      <c r="C1205" s="5" t="s">
        <v>49</v>
      </c>
      <c r="D1205" s="5" t="s">
        <v>42</v>
      </c>
      <c r="E1205" s="5" t="s">
        <v>44</v>
      </c>
      <c r="F1205" s="5" t="s">
        <v>161</v>
      </c>
      <c r="G1205" s="8">
        <v>1</v>
      </c>
      <c r="H1205" s="8">
        <v>9396</v>
      </c>
      <c r="I1205" s="5" t="s">
        <v>49</v>
      </c>
      <c r="J1205" s="8">
        <v>3</v>
      </c>
      <c r="K1205" s="8">
        <v>3</v>
      </c>
      <c r="L1205" s="8">
        <v>4</v>
      </c>
      <c r="M12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05" s="8" t="str" cm="1">
        <f t="array" ref="N1205">_xlfn.IFS(HR_Analytics56[[#This Row],[PerformanceRating]]=3,"Good",HR_Analytics56[[#This Row],[PerformanceRating]]=4, "Excellent")</f>
        <v>Good</v>
      </c>
      <c r="O1205" s="8" t="str">
        <f>IF(HR_Analytics56[[#This Row],[MonthlyIncome]]&lt;3000,"&lt; ₹3,000",IF(HR_Analytics56[[#This Row],[MonthlyIncome]]&lt;=7000,"₹ 3,000 - ₹ 7,000","&gt; ₹7,000"))</f>
        <v>&gt; ₹7,000</v>
      </c>
      <c r="P1205" s="8" t="str" cm="1">
        <f t="array" ref="P12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6" spans="1:16" x14ac:dyDescent="0.8">
      <c r="A1206" s="5" t="s">
        <v>1278</v>
      </c>
      <c r="B1206" s="8">
        <v>46</v>
      </c>
      <c r="C1206" s="5" t="s">
        <v>49</v>
      </c>
      <c r="D1206" s="5" t="s">
        <v>51</v>
      </c>
      <c r="E1206" s="5" t="s">
        <v>53</v>
      </c>
      <c r="F1206" s="5" t="s">
        <v>442</v>
      </c>
      <c r="G1206" s="8">
        <v>2</v>
      </c>
      <c r="H1206" s="8">
        <v>16872</v>
      </c>
      <c r="I1206" s="5" t="s">
        <v>40</v>
      </c>
      <c r="J1206" s="8">
        <v>3</v>
      </c>
      <c r="K1206" s="8">
        <v>2</v>
      </c>
      <c r="L1206" s="8">
        <v>7</v>
      </c>
      <c r="M12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06" s="8" t="str" cm="1">
        <f t="array" ref="N1206">_xlfn.IFS(HR_Analytics56[[#This Row],[PerformanceRating]]=3,"Good",HR_Analytics56[[#This Row],[PerformanceRating]]=4, "Excellent")</f>
        <v>Good</v>
      </c>
      <c r="O1206" s="8" t="str">
        <f>IF(HR_Analytics56[[#This Row],[MonthlyIncome]]&lt;3000,"&lt; ₹3,000",IF(HR_Analytics56[[#This Row],[MonthlyIncome]]&lt;=7000,"₹ 3,000 - ₹ 7,000","&gt; ₹7,000"))</f>
        <v>&gt; ₹7,000</v>
      </c>
      <c r="P1206" s="8" t="str" cm="1">
        <f t="array" ref="P12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7" spans="1:16" x14ac:dyDescent="0.8">
      <c r="A1207" s="5" t="s">
        <v>1279</v>
      </c>
      <c r="B1207" s="8">
        <v>46</v>
      </c>
      <c r="C1207" s="5" t="s">
        <v>49</v>
      </c>
      <c r="D1207" s="5" t="s">
        <v>42</v>
      </c>
      <c r="E1207" s="5" t="s">
        <v>53</v>
      </c>
      <c r="F1207" s="5" t="s">
        <v>112</v>
      </c>
      <c r="G1207" s="8">
        <v>3</v>
      </c>
      <c r="H1207" s="8">
        <v>5258</v>
      </c>
      <c r="I1207" s="5" t="s">
        <v>49</v>
      </c>
      <c r="J1207" s="8">
        <v>3</v>
      </c>
      <c r="K1207" s="8">
        <v>2</v>
      </c>
      <c r="L1207" s="8">
        <v>1</v>
      </c>
      <c r="M12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07" s="8" t="str" cm="1">
        <f t="array" ref="N1207">_xlfn.IFS(HR_Analytics56[[#This Row],[PerformanceRating]]=3,"Good",HR_Analytics56[[#This Row],[PerformanceRating]]=4, "Excellent")</f>
        <v>Good</v>
      </c>
      <c r="O1207" s="8" t="str">
        <f>IF(HR_Analytics56[[#This Row],[MonthlyIncome]]&lt;3000,"&lt; ₹3,000",IF(HR_Analytics56[[#This Row],[MonthlyIncome]]&lt;=7000,"₹ 3,000 - ₹ 7,000","&gt; ₹7,000"))</f>
        <v>₹ 3,000 - ₹ 7,000</v>
      </c>
      <c r="P1207" s="8" t="str" cm="1">
        <f t="array" ref="P12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8" spans="1:16" x14ac:dyDescent="0.8">
      <c r="A1208" s="5" t="s">
        <v>1280</v>
      </c>
      <c r="B1208" s="8">
        <v>46</v>
      </c>
      <c r="C1208" s="5" t="s">
        <v>49</v>
      </c>
      <c r="D1208" s="5" t="s">
        <v>42</v>
      </c>
      <c r="E1208" s="5" t="s">
        <v>53</v>
      </c>
      <c r="F1208" s="5" t="s">
        <v>112</v>
      </c>
      <c r="G1208" s="8">
        <v>3</v>
      </c>
      <c r="H1208" s="8">
        <v>4810</v>
      </c>
      <c r="I1208" s="5" t="s">
        <v>49</v>
      </c>
      <c r="J1208" s="8">
        <v>3</v>
      </c>
      <c r="K1208" s="8">
        <v>5</v>
      </c>
      <c r="L1208" s="8">
        <v>10</v>
      </c>
      <c r="M12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08" s="8" t="str" cm="1">
        <f t="array" ref="N1208">_xlfn.IFS(HR_Analytics56[[#This Row],[PerformanceRating]]=3,"Good",HR_Analytics56[[#This Row],[PerformanceRating]]=4, "Excellent")</f>
        <v>Good</v>
      </c>
      <c r="O1208" s="8" t="str">
        <f>IF(HR_Analytics56[[#This Row],[MonthlyIncome]]&lt;3000,"&lt; ₹3,000",IF(HR_Analytics56[[#This Row],[MonthlyIncome]]&lt;=7000,"₹ 3,000 - ₹ 7,000","&gt; ₹7,000"))</f>
        <v>₹ 3,000 - ₹ 7,000</v>
      </c>
      <c r="P1208" s="8" t="str" cm="1">
        <f t="array" ref="P12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09" spans="1:16" x14ac:dyDescent="0.8">
      <c r="A1209" s="5" t="s">
        <v>1281</v>
      </c>
      <c r="B1209" s="8">
        <v>46</v>
      </c>
      <c r="C1209" s="5" t="s">
        <v>49</v>
      </c>
      <c r="D1209" s="5" t="s">
        <v>42</v>
      </c>
      <c r="E1209" s="5" t="s">
        <v>44</v>
      </c>
      <c r="F1209" s="5" t="s">
        <v>252</v>
      </c>
      <c r="G1209" s="8">
        <v>3</v>
      </c>
      <c r="H1209" s="8">
        <v>17861</v>
      </c>
      <c r="I1209" s="5" t="s">
        <v>49</v>
      </c>
      <c r="J1209" s="8">
        <v>3</v>
      </c>
      <c r="K1209" s="8">
        <v>2</v>
      </c>
      <c r="L1209" s="8">
        <v>3</v>
      </c>
      <c r="M12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09" s="8" t="str" cm="1">
        <f t="array" ref="N1209">_xlfn.IFS(HR_Analytics56[[#This Row],[PerformanceRating]]=3,"Good",HR_Analytics56[[#This Row],[PerformanceRating]]=4, "Excellent")</f>
        <v>Good</v>
      </c>
      <c r="O1209" s="8" t="str">
        <f>IF(HR_Analytics56[[#This Row],[MonthlyIncome]]&lt;3000,"&lt; ₹3,000",IF(HR_Analytics56[[#This Row],[MonthlyIncome]]&lt;=7000,"₹ 3,000 - ₹ 7,000","&gt; ₹7,000"))</f>
        <v>&gt; ₹7,000</v>
      </c>
      <c r="P1209" s="8" t="str" cm="1">
        <f t="array" ref="P12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0" spans="1:16" x14ac:dyDescent="0.8">
      <c r="A1210" s="5" t="s">
        <v>1282</v>
      </c>
      <c r="B1210" s="8">
        <v>46</v>
      </c>
      <c r="C1210" s="5" t="s">
        <v>49</v>
      </c>
      <c r="D1210" s="5" t="s">
        <v>51</v>
      </c>
      <c r="E1210" s="5" t="s">
        <v>53</v>
      </c>
      <c r="F1210" s="5" t="s">
        <v>137</v>
      </c>
      <c r="G1210" s="8">
        <v>4</v>
      </c>
      <c r="H1210" s="8">
        <v>9071</v>
      </c>
      <c r="I1210" s="5" t="s">
        <v>40</v>
      </c>
      <c r="J1210" s="8">
        <v>3</v>
      </c>
      <c r="K1210" s="8">
        <v>3</v>
      </c>
      <c r="L1210" s="8">
        <v>3</v>
      </c>
      <c r="M12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10" s="8" t="str" cm="1">
        <f t="array" ref="N1210">_xlfn.IFS(HR_Analytics56[[#This Row],[PerformanceRating]]=3,"Good",HR_Analytics56[[#This Row],[PerformanceRating]]=4, "Excellent")</f>
        <v>Good</v>
      </c>
      <c r="O1210" s="8" t="str">
        <f>IF(HR_Analytics56[[#This Row],[MonthlyIncome]]&lt;3000,"&lt; ₹3,000",IF(HR_Analytics56[[#This Row],[MonthlyIncome]]&lt;=7000,"₹ 3,000 - ₹ 7,000","&gt; ₹7,000"))</f>
        <v>&gt; ₹7,000</v>
      </c>
      <c r="P1210" s="8" t="str" cm="1">
        <f t="array" ref="P12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1" spans="1:16" x14ac:dyDescent="0.8">
      <c r="A1211" s="5" t="s">
        <v>1283</v>
      </c>
      <c r="B1211" s="8">
        <v>46</v>
      </c>
      <c r="C1211" s="5" t="s">
        <v>49</v>
      </c>
      <c r="D1211" s="5" t="s">
        <v>42</v>
      </c>
      <c r="E1211" s="5" t="s">
        <v>53</v>
      </c>
      <c r="F1211" s="5" t="s">
        <v>161</v>
      </c>
      <c r="G1211" s="8">
        <v>3</v>
      </c>
      <c r="H1211" s="8">
        <v>10527</v>
      </c>
      <c r="I1211" s="5" t="s">
        <v>49</v>
      </c>
      <c r="J1211" s="8">
        <v>3</v>
      </c>
      <c r="K1211" s="8">
        <v>3</v>
      </c>
      <c r="L1211" s="8">
        <v>2</v>
      </c>
      <c r="M12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1" s="8" t="str" cm="1">
        <f t="array" ref="N1211">_xlfn.IFS(HR_Analytics56[[#This Row],[PerformanceRating]]=3,"Good",HR_Analytics56[[#This Row],[PerformanceRating]]=4, "Excellent")</f>
        <v>Good</v>
      </c>
      <c r="O1211" s="8" t="str">
        <f>IF(HR_Analytics56[[#This Row],[MonthlyIncome]]&lt;3000,"&lt; ₹3,000",IF(HR_Analytics56[[#This Row],[MonthlyIncome]]&lt;=7000,"₹ 3,000 - ₹ 7,000","&gt; ₹7,000"))</f>
        <v>&gt; ₹7,000</v>
      </c>
      <c r="P1211" s="8" t="str" cm="1">
        <f t="array" ref="P12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2" spans="1:16" x14ac:dyDescent="0.8">
      <c r="A1212" s="5" t="s">
        <v>1284</v>
      </c>
      <c r="B1212" s="8">
        <v>46</v>
      </c>
      <c r="C1212" s="5" t="s">
        <v>49</v>
      </c>
      <c r="D1212" s="5" t="s">
        <v>42</v>
      </c>
      <c r="E1212" s="5" t="s">
        <v>44</v>
      </c>
      <c r="F1212" s="5" t="s">
        <v>112</v>
      </c>
      <c r="G1212" s="8">
        <v>3</v>
      </c>
      <c r="H1212" s="8">
        <v>10845</v>
      </c>
      <c r="I1212" s="5" t="s">
        <v>49</v>
      </c>
      <c r="J1212" s="8">
        <v>3</v>
      </c>
      <c r="K1212" s="8">
        <v>3</v>
      </c>
      <c r="L1212" s="8">
        <v>8</v>
      </c>
      <c r="M12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2" s="8" t="str" cm="1">
        <f t="array" ref="N1212">_xlfn.IFS(HR_Analytics56[[#This Row],[PerformanceRating]]=3,"Good",HR_Analytics56[[#This Row],[PerformanceRating]]=4, "Excellent")</f>
        <v>Good</v>
      </c>
      <c r="O1212" s="8" t="str">
        <f>IF(HR_Analytics56[[#This Row],[MonthlyIncome]]&lt;3000,"&lt; ₹3,000",IF(HR_Analytics56[[#This Row],[MonthlyIncome]]&lt;=7000,"₹ 3,000 - ₹ 7,000","&gt; ₹7,000"))</f>
        <v>&gt; ₹7,000</v>
      </c>
      <c r="P1212" s="8" t="str" cm="1">
        <f t="array" ref="P12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3" spans="1:16" x14ac:dyDescent="0.8">
      <c r="A1213" s="5" t="s">
        <v>1285</v>
      </c>
      <c r="B1213" s="8">
        <v>46</v>
      </c>
      <c r="C1213" s="5" t="s">
        <v>49</v>
      </c>
      <c r="D1213" s="5" t="s">
        <v>42</v>
      </c>
      <c r="E1213" s="5" t="s">
        <v>44</v>
      </c>
      <c r="F1213" s="5" t="s">
        <v>252</v>
      </c>
      <c r="G1213" s="8">
        <v>4</v>
      </c>
      <c r="H1213" s="8">
        <v>19627</v>
      </c>
      <c r="I1213" s="5" t="s">
        <v>49</v>
      </c>
      <c r="J1213" s="8">
        <v>3</v>
      </c>
      <c r="K1213" s="8">
        <v>0</v>
      </c>
      <c r="L1213" s="8">
        <v>2</v>
      </c>
      <c r="M12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3" s="8" t="str" cm="1">
        <f t="array" ref="N1213">_xlfn.IFS(HR_Analytics56[[#This Row],[PerformanceRating]]=3,"Good",HR_Analytics56[[#This Row],[PerformanceRating]]=4, "Excellent")</f>
        <v>Good</v>
      </c>
      <c r="O1213" s="8" t="str">
        <f>IF(HR_Analytics56[[#This Row],[MonthlyIncome]]&lt;3000,"&lt; ₹3,000",IF(HR_Analytics56[[#This Row],[MonthlyIncome]]&lt;=7000,"₹ 3,000 - ₹ 7,000","&gt; ₹7,000"))</f>
        <v>&gt; ₹7,000</v>
      </c>
      <c r="P1213" s="8" t="str" cm="1">
        <f t="array" ref="P12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4" spans="1:16" x14ac:dyDescent="0.8">
      <c r="A1214" s="5" t="s">
        <v>1286</v>
      </c>
      <c r="B1214" s="8">
        <v>46</v>
      </c>
      <c r="C1214" s="5" t="s">
        <v>49</v>
      </c>
      <c r="D1214" s="5" t="s">
        <v>42</v>
      </c>
      <c r="E1214" s="5" t="s">
        <v>53</v>
      </c>
      <c r="F1214" s="5" t="s">
        <v>60</v>
      </c>
      <c r="G1214" s="8">
        <v>1</v>
      </c>
      <c r="H1214" s="8">
        <v>4615</v>
      </c>
      <c r="I1214" s="5" t="s">
        <v>40</v>
      </c>
      <c r="J1214" s="8">
        <v>4</v>
      </c>
      <c r="K1214" s="8">
        <v>2</v>
      </c>
      <c r="L1214" s="8">
        <v>16</v>
      </c>
      <c r="M12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14" s="8" t="str" cm="1">
        <f t="array" ref="N1214">_xlfn.IFS(HR_Analytics56[[#This Row],[PerformanceRating]]=3,"Good",HR_Analytics56[[#This Row],[PerformanceRating]]=4, "Excellent")</f>
        <v>Excellent</v>
      </c>
      <c r="O1214" s="8" t="str">
        <f>IF(HR_Analytics56[[#This Row],[MonthlyIncome]]&lt;3000,"&lt; ₹3,000",IF(HR_Analytics56[[#This Row],[MonthlyIncome]]&lt;=7000,"₹ 3,000 - ₹ 7,000","&gt; ₹7,000"))</f>
        <v>₹ 3,000 - ₹ 7,000</v>
      </c>
      <c r="P1214" s="8" t="str" cm="1">
        <f t="array" ref="P12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5" spans="1:16" x14ac:dyDescent="0.8">
      <c r="A1215" s="5" t="s">
        <v>1287</v>
      </c>
      <c r="B1215" s="8">
        <v>46</v>
      </c>
      <c r="C1215" s="5" t="s">
        <v>49</v>
      </c>
      <c r="D1215" s="5" t="s">
        <v>51</v>
      </c>
      <c r="E1215" s="5" t="s">
        <v>44</v>
      </c>
      <c r="F1215" s="5" t="s">
        <v>442</v>
      </c>
      <c r="G1215" s="8">
        <v>3</v>
      </c>
      <c r="H1215" s="8">
        <v>17465</v>
      </c>
      <c r="I1215" s="5" t="s">
        <v>49</v>
      </c>
      <c r="J1215" s="8">
        <v>3</v>
      </c>
      <c r="K1215" s="8">
        <v>3</v>
      </c>
      <c r="L1215" s="8">
        <v>12</v>
      </c>
      <c r="M12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5" s="8" t="str" cm="1">
        <f t="array" ref="N1215">_xlfn.IFS(HR_Analytics56[[#This Row],[PerformanceRating]]=3,"Good",HR_Analytics56[[#This Row],[PerformanceRating]]=4, "Excellent")</f>
        <v>Good</v>
      </c>
      <c r="O1215" s="8" t="str">
        <f>IF(HR_Analytics56[[#This Row],[MonthlyIncome]]&lt;3000,"&lt; ₹3,000",IF(HR_Analytics56[[#This Row],[MonthlyIncome]]&lt;=7000,"₹ 3,000 - ₹ 7,000","&gt; ₹7,000"))</f>
        <v>&gt; ₹7,000</v>
      </c>
      <c r="P1215" s="8" t="str" cm="1">
        <f t="array" ref="P12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6" spans="1:16" x14ac:dyDescent="0.8">
      <c r="A1216" s="5" t="s">
        <v>1288</v>
      </c>
      <c r="B1216" s="8">
        <v>46</v>
      </c>
      <c r="C1216" s="5" t="s">
        <v>49</v>
      </c>
      <c r="D1216" s="5" t="s">
        <v>51</v>
      </c>
      <c r="E1216" s="5" t="s">
        <v>53</v>
      </c>
      <c r="F1216" s="5" t="s">
        <v>442</v>
      </c>
      <c r="G1216" s="8">
        <v>1</v>
      </c>
      <c r="H1216" s="8">
        <v>17048</v>
      </c>
      <c r="I1216" s="5" t="s">
        <v>49</v>
      </c>
      <c r="J1216" s="8">
        <v>4</v>
      </c>
      <c r="K1216" s="8">
        <v>2</v>
      </c>
      <c r="L1216" s="8">
        <v>26</v>
      </c>
      <c r="M12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6" s="8" t="str" cm="1">
        <f t="array" ref="N1216">_xlfn.IFS(HR_Analytics56[[#This Row],[PerformanceRating]]=3,"Good",HR_Analytics56[[#This Row],[PerformanceRating]]=4, "Excellent")</f>
        <v>Excellent</v>
      </c>
      <c r="O1216" s="8" t="str">
        <f>IF(HR_Analytics56[[#This Row],[MonthlyIncome]]&lt;3000,"&lt; ₹3,000",IF(HR_Analytics56[[#This Row],[MonthlyIncome]]&lt;=7000,"₹ 3,000 - ₹ 7,000","&gt; ₹7,000"))</f>
        <v>&gt; ₹7,000</v>
      </c>
      <c r="P1216" s="8" t="str" cm="1">
        <f t="array" ref="P12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7" spans="1:16" x14ac:dyDescent="0.8">
      <c r="A1217" s="5" t="s">
        <v>1289</v>
      </c>
      <c r="B1217" s="8">
        <v>46</v>
      </c>
      <c r="C1217" s="5" t="s">
        <v>49</v>
      </c>
      <c r="D1217" s="5" t="s">
        <v>42</v>
      </c>
      <c r="E1217" s="5" t="s">
        <v>44</v>
      </c>
      <c r="F1217" s="5" t="s">
        <v>252</v>
      </c>
      <c r="G1217" s="8">
        <v>2</v>
      </c>
      <c r="H1217" s="8">
        <v>19081</v>
      </c>
      <c r="I1217" s="5" t="s">
        <v>49</v>
      </c>
      <c r="J1217" s="8">
        <v>3</v>
      </c>
      <c r="K1217" s="8">
        <v>2</v>
      </c>
      <c r="L1217" s="8">
        <v>4</v>
      </c>
      <c r="M12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7" s="8" t="str" cm="1">
        <f t="array" ref="N1217">_xlfn.IFS(HR_Analytics56[[#This Row],[PerformanceRating]]=3,"Good",HR_Analytics56[[#This Row],[PerformanceRating]]=4, "Excellent")</f>
        <v>Good</v>
      </c>
      <c r="O1217" s="8" t="str">
        <f>IF(HR_Analytics56[[#This Row],[MonthlyIncome]]&lt;3000,"&lt; ₹3,000",IF(HR_Analytics56[[#This Row],[MonthlyIncome]]&lt;=7000,"₹ 3,000 - ₹ 7,000","&gt; ₹7,000"))</f>
        <v>&gt; ₹7,000</v>
      </c>
      <c r="P1217" s="8" t="str" cm="1">
        <f t="array" ref="P12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8" spans="1:16" x14ac:dyDescent="0.8">
      <c r="A1218" s="5" t="s">
        <v>1290</v>
      </c>
      <c r="B1218" s="8">
        <v>46</v>
      </c>
      <c r="C1218" s="5" t="s">
        <v>49</v>
      </c>
      <c r="D1218" s="5" t="s">
        <v>42</v>
      </c>
      <c r="E1218" s="5" t="s">
        <v>44</v>
      </c>
      <c r="F1218" s="5" t="s">
        <v>112</v>
      </c>
      <c r="G1218" s="8">
        <v>4</v>
      </c>
      <c r="H1218" s="8">
        <v>7379</v>
      </c>
      <c r="I1218" s="5" t="s">
        <v>49</v>
      </c>
      <c r="J1218" s="8">
        <v>3</v>
      </c>
      <c r="K1218" s="8">
        <v>3</v>
      </c>
      <c r="L1218" s="8">
        <v>6</v>
      </c>
      <c r="M12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8" s="8" t="str" cm="1">
        <f t="array" ref="N1218">_xlfn.IFS(HR_Analytics56[[#This Row],[PerformanceRating]]=3,"Good",HR_Analytics56[[#This Row],[PerformanceRating]]=4, "Excellent")</f>
        <v>Good</v>
      </c>
      <c r="O1218" s="8" t="str">
        <f>IF(HR_Analytics56[[#This Row],[MonthlyIncome]]&lt;3000,"&lt; ₹3,000",IF(HR_Analytics56[[#This Row],[MonthlyIncome]]&lt;=7000,"₹ 3,000 - ₹ 7,000","&gt; ₹7,000"))</f>
        <v>&gt; ₹7,000</v>
      </c>
      <c r="P1218" s="8" t="str" cm="1">
        <f t="array" ref="P12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19" spans="1:16" x14ac:dyDescent="0.8">
      <c r="A1219" s="5" t="s">
        <v>1291</v>
      </c>
      <c r="B1219" s="8">
        <v>46</v>
      </c>
      <c r="C1219" s="5" t="s">
        <v>49</v>
      </c>
      <c r="D1219" s="5" t="s">
        <v>51</v>
      </c>
      <c r="E1219" s="5" t="s">
        <v>53</v>
      </c>
      <c r="F1219" s="5" t="s">
        <v>442</v>
      </c>
      <c r="G1219" s="8">
        <v>2</v>
      </c>
      <c r="H1219" s="8">
        <v>18789</v>
      </c>
      <c r="I1219" s="5" t="s">
        <v>49</v>
      </c>
      <c r="J1219" s="8">
        <v>3</v>
      </c>
      <c r="K1219" s="8">
        <v>2</v>
      </c>
      <c r="L1219" s="8">
        <v>11</v>
      </c>
      <c r="M12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19" s="8" t="str" cm="1">
        <f t="array" ref="N1219">_xlfn.IFS(HR_Analytics56[[#This Row],[PerformanceRating]]=3,"Good",HR_Analytics56[[#This Row],[PerformanceRating]]=4, "Excellent")</f>
        <v>Good</v>
      </c>
      <c r="O1219" s="8" t="str">
        <f>IF(HR_Analytics56[[#This Row],[MonthlyIncome]]&lt;3000,"&lt; ₹3,000",IF(HR_Analytics56[[#This Row],[MonthlyIncome]]&lt;=7000,"₹ 3,000 - ₹ 7,000","&gt; ₹7,000"))</f>
        <v>&gt; ₹7,000</v>
      </c>
      <c r="P1219" s="8" t="str" cm="1">
        <f t="array" ref="P12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0" spans="1:16" x14ac:dyDescent="0.8">
      <c r="A1220" s="5" t="s">
        <v>1292</v>
      </c>
      <c r="B1220" s="8">
        <v>46</v>
      </c>
      <c r="C1220" s="5" t="s">
        <v>49</v>
      </c>
      <c r="D1220" s="5" t="s">
        <v>71</v>
      </c>
      <c r="E1220" s="5" t="s">
        <v>53</v>
      </c>
      <c r="F1220" s="5" t="s">
        <v>71</v>
      </c>
      <c r="G1220" s="8">
        <v>1</v>
      </c>
      <c r="H1220" s="8">
        <v>3423</v>
      </c>
      <c r="I1220" s="5" t="s">
        <v>49</v>
      </c>
      <c r="J1220" s="8">
        <v>3</v>
      </c>
      <c r="K1220" s="8">
        <v>3</v>
      </c>
      <c r="L1220" s="8">
        <v>7</v>
      </c>
      <c r="M12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0" s="8" t="str" cm="1">
        <f t="array" ref="N1220">_xlfn.IFS(HR_Analytics56[[#This Row],[PerformanceRating]]=3,"Good",HR_Analytics56[[#This Row],[PerformanceRating]]=4, "Excellent")</f>
        <v>Good</v>
      </c>
      <c r="O1220" s="8" t="str">
        <f>IF(HR_Analytics56[[#This Row],[MonthlyIncome]]&lt;3000,"&lt; ₹3,000",IF(HR_Analytics56[[#This Row],[MonthlyIncome]]&lt;=7000,"₹ 3,000 - ₹ 7,000","&gt; ₹7,000"))</f>
        <v>₹ 3,000 - ₹ 7,000</v>
      </c>
      <c r="P1220" s="8" t="str" cm="1">
        <f t="array" ref="P12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1" spans="1:16" x14ac:dyDescent="0.8">
      <c r="A1221" s="5" t="s">
        <v>1293</v>
      </c>
      <c r="B1221" s="8">
        <v>46</v>
      </c>
      <c r="C1221" s="5" t="s">
        <v>40</v>
      </c>
      <c r="D1221" s="5" t="s">
        <v>51</v>
      </c>
      <c r="E1221" s="5" t="s">
        <v>44</v>
      </c>
      <c r="F1221" s="5" t="s">
        <v>137</v>
      </c>
      <c r="G1221" s="8">
        <v>4</v>
      </c>
      <c r="H1221" s="8">
        <v>10096</v>
      </c>
      <c r="I1221" s="5" t="s">
        <v>49</v>
      </c>
      <c r="J1221" s="8">
        <v>3</v>
      </c>
      <c r="K1221" s="8">
        <v>1</v>
      </c>
      <c r="L1221" s="8">
        <v>7</v>
      </c>
      <c r="M12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21" s="8" t="str" cm="1">
        <f t="array" ref="N1221">_xlfn.IFS(HR_Analytics56[[#This Row],[PerformanceRating]]=3,"Good",HR_Analytics56[[#This Row],[PerformanceRating]]=4, "Excellent")</f>
        <v>Good</v>
      </c>
      <c r="O1221" s="8" t="str">
        <f>IF(HR_Analytics56[[#This Row],[MonthlyIncome]]&lt;3000,"&lt; ₹3,000",IF(HR_Analytics56[[#This Row],[MonthlyIncome]]&lt;=7000,"₹ 3,000 - ₹ 7,000","&gt; ₹7,000"))</f>
        <v>&gt; ₹7,000</v>
      </c>
      <c r="P1221" s="8" t="str" cm="1">
        <f t="array" ref="P12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2" spans="1:16" x14ac:dyDescent="0.8">
      <c r="A1222" s="5" t="s">
        <v>1294</v>
      </c>
      <c r="B1222" s="8">
        <v>46</v>
      </c>
      <c r="C1222" s="5" t="s">
        <v>49</v>
      </c>
      <c r="D1222" s="5" t="s">
        <v>51</v>
      </c>
      <c r="E1222" s="5" t="s">
        <v>53</v>
      </c>
      <c r="F1222" s="5" t="s">
        <v>442</v>
      </c>
      <c r="G1222" s="8">
        <v>2</v>
      </c>
      <c r="H1222" s="8">
        <v>16606</v>
      </c>
      <c r="I1222" s="5" t="s">
        <v>49</v>
      </c>
      <c r="J1222" s="8">
        <v>3</v>
      </c>
      <c r="K1222" s="8">
        <v>2</v>
      </c>
      <c r="L1222" s="8">
        <v>13</v>
      </c>
      <c r="M12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2" s="8" t="str" cm="1">
        <f t="array" ref="N1222">_xlfn.IFS(HR_Analytics56[[#This Row],[PerformanceRating]]=3,"Good",HR_Analytics56[[#This Row],[PerformanceRating]]=4, "Excellent")</f>
        <v>Good</v>
      </c>
      <c r="O1222" s="8" t="str">
        <f>IF(HR_Analytics56[[#This Row],[MonthlyIncome]]&lt;3000,"&lt; ₹3,000",IF(HR_Analytics56[[#This Row],[MonthlyIncome]]&lt;=7000,"₹ 3,000 - ₹ 7,000","&gt; ₹7,000"))</f>
        <v>&gt; ₹7,000</v>
      </c>
      <c r="P1222" s="8" t="str" cm="1">
        <f t="array" ref="P12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3" spans="1:16" x14ac:dyDescent="0.8">
      <c r="A1223" s="5" t="s">
        <v>1295</v>
      </c>
      <c r="B1223" s="8">
        <v>46</v>
      </c>
      <c r="C1223" s="5" t="s">
        <v>49</v>
      </c>
      <c r="D1223" s="5" t="s">
        <v>51</v>
      </c>
      <c r="E1223" s="5" t="s">
        <v>44</v>
      </c>
      <c r="F1223" s="5" t="s">
        <v>442</v>
      </c>
      <c r="G1223" s="8">
        <v>1</v>
      </c>
      <c r="H1223" s="8">
        <v>17567</v>
      </c>
      <c r="I1223" s="5" t="s">
        <v>49</v>
      </c>
      <c r="J1223" s="8">
        <v>3</v>
      </c>
      <c r="K1223" s="8">
        <v>5</v>
      </c>
      <c r="L1223" s="8">
        <v>26</v>
      </c>
      <c r="M12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3" s="8" t="str" cm="1">
        <f t="array" ref="N1223">_xlfn.IFS(HR_Analytics56[[#This Row],[PerformanceRating]]=3,"Good",HR_Analytics56[[#This Row],[PerformanceRating]]=4, "Excellent")</f>
        <v>Good</v>
      </c>
      <c r="O1223" s="8" t="str">
        <f>IF(HR_Analytics56[[#This Row],[MonthlyIncome]]&lt;3000,"&lt; ₹3,000",IF(HR_Analytics56[[#This Row],[MonthlyIncome]]&lt;=7000,"₹ 3,000 - ₹ 7,000","&gt; ₹7,000"))</f>
        <v>&gt; ₹7,000</v>
      </c>
      <c r="P1223" s="8" t="str" cm="1">
        <f t="array" ref="P12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4" spans="1:16" x14ac:dyDescent="0.8">
      <c r="A1224" s="5" t="s">
        <v>1296</v>
      </c>
      <c r="B1224" s="8">
        <v>46</v>
      </c>
      <c r="C1224" s="5" t="s">
        <v>49</v>
      </c>
      <c r="D1224" s="5" t="s">
        <v>42</v>
      </c>
      <c r="E1224" s="5" t="s">
        <v>44</v>
      </c>
      <c r="F1224" s="5" t="s">
        <v>161</v>
      </c>
      <c r="G1224" s="8">
        <v>2</v>
      </c>
      <c r="H1224" s="8">
        <v>5562</v>
      </c>
      <c r="I1224" s="5" t="s">
        <v>49</v>
      </c>
      <c r="J1224" s="8">
        <v>3</v>
      </c>
      <c r="K1224" s="8">
        <v>3</v>
      </c>
      <c r="L1224" s="8">
        <v>10</v>
      </c>
      <c r="M12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4" s="8" t="str" cm="1">
        <f t="array" ref="N1224">_xlfn.IFS(HR_Analytics56[[#This Row],[PerformanceRating]]=3,"Good",HR_Analytics56[[#This Row],[PerformanceRating]]=4, "Excellent")</f>
        <v>Good</v>
      </c>
      <c r="O1224" s="8" t="str">
        <f>IF(HR_Analytics56[[#This Row],[MonthlyIncome]]&lt;3000,"&lt; ₹3,000",IF(HR_Analytics56[[#This Row],[MonthlyIncome]]&lt;=7000,"₹ 3,000 - ₹ 7,000","&gt; ₹7,000"))</f>
        <v>₹ 3,000 - ₹ 7,000</v>
      </c>
      <c r="P1224" s="8" t="str" cm="1">
        <f t="array" ref="P12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5" spans="1:16" x14ac:dyDescent="0.8">
      <c r="A1225" s="5" t="s">
        <v>1297</v>
      </c>
      <c r="B1225" s="8">
        <v>46</v>
      </c>
      <c r="C1225" s="5" t="s">
        <v>49</v>
      </c>
      <c r="D1225" s="5" t="s">
        <v>51</v>
      </c>
      <c r="E1225" s="5" t="s">
        <v>44</v>
      </c>
      <c r="F1225" s="5" t="s">
        <v>137</v>
      </c>
      <c r="G1225" s="8">
        <v>4</v>
      </c>
      <c r="H1225" s="8">
        <v>10368</v>
      </c>
      <c r="I1225" s="5" t="s">
        <v>40</v>
      </c>
      <c r="J1225" s="8">
        <v>3</v>
      </c>
      <c r="K1225" s="8">
        <v>5</v>
      </c>
      <c r="L1225" s="8">
        <v>10</v>
      </c>
      <c r="M12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25" s="8" t="str" cm="1">
        <f t="array" ref="N1225">_xlfn.IFS(HR_Analytics56[[#This Row],[PerformanceRating]]=3,"Good",HR_Analytics56[[#This Row],[PerformanceRating]]=4, "Excellent")</f>
        <v>Good</v>
      </c>
      <c r="O1225" s="8" t="str">
        <f>IF(HR_Analytics56[[#This Row],[MonthlyIncome]]&lt;3000,"&lt; ₹3,000",IF(HR_Analytics56[[#This Row],[MonthlyIncome]]&lt;=7000,"₹ 3,000 - ₹ 7,000","&gt; ₹7,000"))</f>
        <v>&gt; ₹7,000</v>
      </c>
      <c r="P1225" s="8" t="str" cm="1">
        <f t="array" ref="P12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6" spans="1:16" x14ac:dyDescent="0.8">
      <c r="A1226" s="5" t="s">
        <v>1298</v>
      </c>
      <c r="B1226" s="8">
        <v>46</v>
      </c>
      <c r="C1226" s="5" t="s">
        <v>49</v>
      </c>
      <c r="D1226" s="5" t="s">
        <v>42</v>
      </c>
      <c r="E1226" s="5" t="s">
        <v>44</v>
      </c>
      <c r="F1226" s="5" t="s">
        <v>252</v>
      </c>
      <c r="G1226" s="8">
        <v>4</v>
      </c>
      <c r="H1226" s="8">
        <v>19328</v>
      </c>
      <c r="I1226" s="5" t="s">
        <v>40</v>
      </c>
      <c r="J1226" s="8">
        <v>3</v>
      </c>
      <c r="K1226" s="8">
        <v>3</v>
      </c>
      <c r="L1226" s="8">
        <v>2</v>
      </c>
      <c r="M12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26" s="8" t="str" cm="1">
        <f t="array" ref="N1226">_xlfn.IFS(HR_Analytics56[[#This Row],[PerformanceRating]]=3,"Good",HR_Analytics56[[#This Row],[PerformanceRating]]=4, "Excellent")</f>
        <v>Good</v>
      </c>
      <c r="O1226" s="8" t="str">
        <f>IF(HR_Analytics56[[#This Row],[MonthlyIncome]]&lt;3000,"&lt; ₹3,000",IF(HR_Analytics56[[#This Row],[MonthlyIncome]]&lt;=7000,"₹ 3,000 - ₹ 7,000","&gt; ₹7,000"))</f>
        <v>&gt; ₹7,000</v>
      </c>
      <c r="P1226" s="8" t="str" cm="1">
        <f t="array" ref="P12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7" spans="1:16" x14ac:dyDescent="0.8">
      <c r="A1227" s="5" t="s">
        <v>1299</v>
      </c>
      <c r="B1227" s="8">
        <v>46</v>
      </c>
      <c r="C1227" s="5" t="s">
        <v>49</v>
      </c>
      <c r="D1227" s="5" t="s">
        <v>51</v>
      </c>
      <c r="E1227" s="5" t="s">
        <v>44</v>
      </c>
      <c r="F1227" s="5" t="s">
        <v>137</v>
      </c>
      <c r="G1227" s="8">
        <v>2</v>
      </c>
      <c r="H1227" s="8">
        <v>7991</v>
      </c>
      <c r="I1227" s="5" t="s">
        <v>49</v>
      </c>
      <c r="J1227" s="8">
        <v>3</v>
      </c>
      <c r="K1227" s="8">
        <v>3</v>
      </c>
      <c r="L1227" s="8">
        <v>2</v>
      </c>
      <c r="M12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7" s="8" t="str" cm="1">
        <f t="array" ref="N1227">_xlfn.IFS(HR_Analytics56[[#This Row],[PerformanceRating]]=3,"Good",HR_Analytics56[[#This Row],[PerformanceRating]]=4, "Excellent")</f>
        <v>Good</v>
      </c>
      <c r="O1227" s="8" t="str">
        <f>IF(HR_Analytics56[[#This Row],[MonthlyIncome]]&lt;3000,"&lt; ₹3,000",IF(HR_Analytics56[[#This Row],[MonthlyIncome]]&lt;=7000,"₹ 3,000 - ₹ 7,000","&gt; ₹7,000"))</f>
        <v>&gt; ₹7,000</v>
      </c>
      <c r="P1227" s="8" t="str" cm="1">
        <f t="array" ref="P12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8" spans="1:16" x14ac:dyDescent="0.8">
      <c r="A1228" s="5" t="s">
        <v>1300</v>
      </c>
      <c r="B1228" s="8">
        <v>46</v>
      </c>
      <c r="C1228" s="5" t="s">
        <v>40</v>
      </c>
      <c r="D1228" s="5" t="s">
        <v>42</v>
      </c>
      <c r="E1228" s="5" t="s">
        <v>53</v>
      </c>
      <c r="F1228" s="5" t="s">
        <v>161</v>
      </c>
      <c r="G1228" s="8">
        <v>2</v>
      </c>
      <c r="H1228" s="8">
        <v>8926</v>
      </c>
      <c r="I1228" s="5" t="s">
        <v>49</v>
      </c>
      <c r="J1228" s="8">
        <v>4</v>
      </c>
      <c r="K1228" s="8">
        <v>2</v>
      </c>
      <c r="L1228" s="8">
        <v>9</v>
      </c>
      <c r="M12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28" s="8" t="str" cm="1">
        <f t="array" ref="N1228">_xlfn.IFS(HR_Analytics56[[#This Row],[PerformanceRating]]=3,"Good",HR_Analytics56[[#This Row],[PerformanceRating]]=4, "Excellent")</f>
        <v>Excellent</v>
      </c>
      <c r="O1228" s="8" t="str">
        <f>IF(HR_Analytics56[[#This Row],[MonthlyIncome]]&lt;3000,"&lt; ₹3,000",IF(HR_Analytics56[[#This Row],[MonthlyIncome]]&lt;=7000,"₹ 3,000 - ₹ 7,000","&gt; ₹7,000"))</f>
        <v>&gt; ₹7,000</v>
      </c>
      <c r="P1228" s="8" t="str" cm="1">
        <f t="array" ref="P12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29" spans="1:16" x14ac:dyDescent="0.8">
      <c r="A1229" s="5" t="s">
        <v>1301</v>
      </c>
      <c r="B1229" s="8">
        <v>46</v>
      </c>
      <c r="C1229" s="5" t="s">
        <v>49</v>
      </c>
      <c r="D1229" s="5" t="s">
        <v>42</v>
      </c>
      <c r="E1229" s="5" t="s">
        <v>44</v>
      </c>
      <c r="F1229" s="5" t="s">
        <v>112</v>
      </c>
      <c r="G1229" s="8">
        <v>4</v>
      </c>
      <c r="H1229" s="8">
        <v>8578</v>
      </c>
      <c r="I1229" s="5" t="s">
        <v>49</v>
      </c>
      <c r="J1229" s="8">
        <v>3</v>
      </c>
      <c r="K1229" s="8">
        <v>4</v>
      </c>
      <c r="L1229" s="8">
        <v>9</v>
      </c>
      <c r="M12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29" s="8" t="str" cm="1">
        <f t="array" ref="N1229">_xlfn.IFS(HR_Analytics56[[#This Row],[PerformanceRating]]=3,"Good",HR_Analytics56[[#This Row],[PerformanceRating]]=4, "Excellent")</f>
        <v>Good</v>
      </c>
      <c r="O1229" s="8" t="str">
        <f>IF(HR_Analytics56[[#This Row],[MonthlyIncome]]&lt;3000,"&lt; ₹3,000",IF(HR_Analytics56[[#This Row],[MonthlyIncome]]&lt;=7000,"₹ 3,000 - ₹ 7,000","&gt; ₹7,000"))</f>
        <v>&gt; ₹7,000</v>
      </c>
      <c r="P1229" s="8" t="str" cm="1">
        <f t="array" ref="P12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0" spans="1:16" x14ac:dyDescent="0.8">
      <c r="A1230" s="5" t="s">
        <v>1302</v>
      </c>
      <c r="B1230" s="8">
        <v>46</v>
      </c>
      <c r="C1230" s="5" t="s">
        <v>49</v>
      </c>
      <c r="D1230" s="5" t="s">
        <v>51</v>
      </c>
      <c r="E1230" s="5" t="s">
        <v>53</v>
      </c>
      <c r="F1230" s="5" t="s">
        <v>137</v>
      </c>
      <c r="G1230" s="8">
        <v>1</v>
      </c>
      <c r="H1230" s="8">
        <v>13225</v>
      </c>
      <c r="I1230" s="5" t="s">
        <v>49</v>
      </c>
      <c r="J1230" s="8">
        <v>3</v>
      </c>
      <c r="K1230" s="8">
        <v>5</v>
      </c>
      <c r="L1230" s="8">
        <v>19</v>
      </c>
      <c r="M12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30" s="8" t="str" cm="1">
        <f t="array" ref="N1230">_xlfn.IFS(HR_Analytics56[[#This Row],[PerformanceRating]]=3,"Good",HR_Analytics56[[#This Row],[PerformanceRating]]=4, "Excellent")</f>
        <v>Good</v>
      </c>
      <c r="O1230" s="8" t="str">
        <f>IF(HR_Analytics56[[#This Row],[MonthlyIncome]]&lt;3000,"&lt; ₹3,000",IF(HR_Analytics56[[#This Row],[MonthlyIncome]]&lt;=7000,"₹ 3,000 - ₹ 7,000","&gt; ₹7,000"))</f>
        <v>&gt; ₹7,000</v>
      </c>
      <c r="P1230" s="8" t="str" cm="1">
        <f t="array" ref="P12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1" spans="1:16" x14ac:dyDescent="0.8">
      <c r="A1231" s="5" t="s">
        <v>1303</v>
      </c>
      <c r="B1231" s="8">
        <v>46</v>
      </c>
      <c r="C1231" s="5" t="s">
        <v>40</v>
      </c>
      <c r="D1231" s="5" t="s">
        <v>51</v>
      </c>
      <c r="E1231" s="5" t="s">
        <v>53</v>
      </c>
      <c r="F1231" s="5" t="s">
        <v>137</v>
      </c>
      <c r="G1231" s="8">
        <v>2</v>
      </c>
      <c r="H1231" s="8">
        <v>7314</v>
      </c>
      <c r="I1231" s="5" t="s">
        <v>49</v>
      </c>
      <c r="J1231" s="8">
        <v>4</v>
      </c>
      <c r="K1231" s="8">
        <v>2</v>
      </c>
      <c r="L1231" s="8">
        <v>8</v>
      </c>
      <c r="M12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31" s="8" t="str" cm="1">
        <f t="array" ref="N1231">_xlfn.IFS(HR_Analytics56[[#This Row],[PerformanceRating]]=3,"Good",HR_Analytics56[[#This Row],[PerformanceRating]]=4, "Excellent")</f>
        <v>Excellent</v>
      </c>
      <c r="O1231" s="8" t="str">
        <f>IF(HR_Analytics56[[#This Row],[MonthlyIncome]]&lt;3000,"&lt; ₹3,000",IF(HR_Analytics56[[#This Row],[MonthlyIncome]]&lt;=7000,"₹ 3,000 - ₹ 7,000","&gt; ₹7,000"))</f>
        <v>&gt; ₹7,000</v>
      </c>
      <c r="P1231" s="8" t="str" cm="1">
        <f t="array" ref="P12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2" spans="1:16" x14ac:dyDescent="0.8">
      <c r="A1232" s="5" t="s">
        <v>1304</v>
      </c>
      <c r="B1232" s="8">
        <v>47</v>
      </c>
      <c r="C1232" s="5" t="s">
        <v>40</v>
      </c>
      <c r="D1232" s="5" t="s">
        <v>42</v>
      </c>
      <c r="E1232" s="5" t="s">
        <v>44</v>
      </c>
      <c r="F1232" s="5" t="s">
        <v>442</v>
      </c>
      <c r="G1232" s="8">
        <v>2</v>
      </c>
      <c r="H1232" s="8">
        <v>11849</v>
      </c>
      <c r="I1232" s="5" t="s">
        <v>40</v>
      </c>
      <c r="J1232" s="8">
        <v>3</v>
      </c>
      <c r="K1232" s="8">
        <v>2</v>
      </c>
      <c r="L1232" s="8">
        <v>10</v>
      </c>
      <c r="M12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232" s="8" t="str" cm="1">
        <f t="array" ref="N1232">_xlfn.IFS(HR_Analytics56[[#This Row],[PerformanceRating]]=3,"Good",HR_Analytics56[[#This Row],[PerformanceRating]]=4, "Excellent")</f>
        <v>Good</v>
      </c>
      <c r="O1232" s="8" t="str">
        <f>IF(HR_Analytics56[[#This Row],[MonthlyIncome]]&lt;3000,"&lt; ₹3,000",IF(HR_Analytics56[[#This Row],[MonthlyIncome]]&lt;=7000,"₹ 3,000 - ₹ 7,000","&gt; ₹7,000"))</f>
        <v>&gt; ₹7,000</v>
      </c>
      <c r="P1232" s="8" t="str" cm="1">
        <f t="array" ref="P12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3" spans="1:16" x14ac:dyDescent="0.8">
      <c r="A1233" s="5" t="s">
        <v>1305</v>
      </c>
      <c r="B1233" s="8">
        <v>47</v>
      </c>
      <c r="C1233" s="5" t="s">
        <v>49</v>
      </c>
      <c r="D1233" s="5" t="s">
        <v>42</v>
      </c>
      <c r="E1233" s="5" t="s">
        <v>44</v>
      </c>
      <c r="F1233" s="5" t="s">
        <v>252</v>
      </c>
      <c r="G1233" s="8">
        <v>3</v>
      </c>
      <c r="H1233" s="8">
        <v>18300</v>
      </c>
      <c r="I1233" s="5" t="s">
        <v>49</v>
      </c>
      <c r="J1233" s="8">
        <v>3</v>
      </c>
      <c r="K1233" s="8">
        <v>2</v>
      </c>
      <c r="L1233" s="8">
        <v>3</v>
      </c>
      <c r="M12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33" s="8" t="str" cm="1">
        <f t="array" ref="N1233">_xlfn.IFS(HR_Analytics56[[#This Row],[PerformanceRating]]=3,"Good",HR_Analytics56[[#This Row],[PerformanceRating]]=4, "Excellent")</f>
        <v>Good</v>
      </c>
      <c r="O1233" s="8" t="str">
        <f>IF(HR_Analytics56[[#This Row],[MonthlyIncome]]&lt;3000,"&lt; ₹3,000",IF(HR_Analytics56[[#This Row],[MonthlyIncome]]&lt;=7000,"₹ 3,000 - ₹ 7,000","&gt; ₹7,000"))</f>
        <v>&gt; ₹7,000</v>
      </c>
      <c r="P1233" s="8" t="str" cm="1">
        <f t="array" ref="P12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4" spans="1:16" x14ac:dyDescent="0.8">
      <c r="A1234" s="5" t="s">
        <v>1306</v>
      </c>
      <c r="B1234" s="8">
        <v>47</v>
      </c>
      <c r="C1234" s="5" t="s">
        <v>49</v>
      </c>
      <c r="D1234" s="5" t="s">
        <v>51</v>
      </c>
      <c r="E1234" s="5" t="s">
        <v>44</v>
      </c>
      <c r="F1234" s="5" t="s">
        <v>54</v>
      </c>
      <c r="G1234" s="8">
        <v>3</v>
      </c>
      <c r="H1234" s="8">
        <v>2976</v>
      </c>
      <c r="I1234" s="5" t="s">
        <v>49</v>
      </c>
      <c r="J1234" s="8">
        <v>3</v>
      </c>
      <c r="K1234" s="8">
        <v>3</v>
      </c>
      <c r="L1234" s="8">
        <v>0</v>
      </c>
      <c r="M12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34" s="8" t="str" cm="1">
        <f t="array" ref="N1234">_xlfn.IFS(HR_Analytics56[[#This Row],[PerformanceRating]]=3,"Good",HR_Analytics56[[#This Row],[PerformanceRating]]=4, "Excellent")</f>
        <v>Good</v>
      </c>
      <c r="O1234" s="8" t="str">
        <f>IF(HR_Analytics56[[#This Row],[MonthlyIncome]]&lt;3000,"&lt; ₹3,000",IF(HR_Analytics56[[#This Row],[MonthlyIncome]]&lt;=7000,"₹ 3,000 - ₹ 7,000","&gt; ₹7,000"))</f>
        <v>&lt; ₹3,000</v>
      </c>
      <c r="P1234" s="8" t="str" cm="1">
        <f t="array" ref="P12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5" spans="1:16" x14ac:dyDescent="0.8">
      <c r="A1235" s="5" t="s">
        <v>1307</v>
      </c>
      <c r="B1235" s="8">
        <v>47</v>
      </c>
      <c r="C1235" s="5" t="s">
        <v>49</v>
      </c>
      <c r="D1235" s="5" t="s">
        <v>42</v>
      </c>
      <c r="E1235" s="5" t="s">
        <v>53</v>
      </c>
      <c r="F1235" s="5" t="s">
        <v>112</v>
      </c>
      <c r="G1235" s="8">
        <v>4</v>
      </c>
      <c r="H1235" s="8">
        <v>5070</v>
      </c>
      <c r="I1235" s="5" t="s">
        <v>49</v>
      </c>
      <c r="J1235" s="8">
        <v>3</v>
      </c>
      <c r="K1235" s="8">
        <v>2</v>
      </c>
      <c r="L1235" s="8">
        <v>5</v>
      </c>
      <c r="M12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35" s="8" t="str" cm="1">
        <f t="array" ref="N1235">_xlfn.IFS(HR_Analytics56[[#This Row],[PerformanceRating]]=3,"Good",HR_Analytics56[[#This Row],[PerformanceRating]]=4, "Excellent")</f>
        <v>Good</v>
      </c>
      <c r="O1235" s="8" t="str">
        <f>IF(HR_Analytics56[[#This Row],[MonthlyIncome]]&lt;3000,"&lt; ₹3,000",IF(HR_Analytics56[[#This Row],[MonthlyIncome]]&lt;=7000,"₹ 3,000 - ₹ 7,000","&gt; ₹7,000"))</f>
        <v>₹ 3,000 - ₹ 7,000</v>
      </c>
      <c r="P1235" s="8" t="str" cm="1">
        <f t="array" ref="P12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6" spans="1:16" x14ac:dyDescent="0.8">
      <c r="A1236" s="5" t="s">
        <v>1308</v>
      </c>
      <c r="B1236" s="8">
        <v>47</v>
      </c>
      <c r="C1236" s="5" t="s">
        <v>49</v>
      </c>
      <c r="D1236" s="5" t="s">
        <v>51</v>
      </c>
      <c r="E1236" s="5" t="s">
        <v>44</v>
      </c>
      <c r="F1236" s="5" t="s">
        <v>137</v>
      </c>
      <c r="G1236" s="8">
        <v>1</v>
      </c>
      <c r="H1236" s="8">
        <v>4960</v>
      </c>
      <c r="I1236" s="5" t="s">
        <v>49</v>
      </c>
      <c r="J1236" s="8">
        <v>3</v>
      </c>
      <c r="K1236" s="8">
        <v>2</v>
      </c>
      <c r="L1236" s="8">
        <v>7</v>
      </c>
      <c r="M12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36" s="8" t="str" cm="1">
        <f t="array" ref="N1236">_xlfn.IFS(HR_Analytics56[[#This Row],[PerformanceRating]]=3,"Good",HR_Analytics56[[#This Row],[PerformanceRating]]=4, "Excellent")</f>
        <v>Good</v>
      </c>
      <c r="O1236" s="8" t="str">
        <f>IF(HR_Analytics56[[#This Row],[MonthlyIncome]]&lt;3000,"&lt; ₹3,000",IF(HR_Analytics56[[#This Row],[MonthlyIncome]]&lt;=7000,"₹ 3,000 - ₹ 7,000","&gt; ₹7,000"))</f>
        <v>₹ 3,000 - ₹ 7,000</v>
      </c>
      <c r="P1236" s="8" t="str" cm="1">
        <f t="array" ref="P12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7" spans="1:16" x14ac:dyDescent="0.8">
      <c r="A1237" s="5" t="s">
        <v>1309</v>
      </c>
      <c r="B1237" s="8">
        <v>47</v>
      </c>
      <c r="C1237" s="5" t="s">
        <v>49</v>
      </c>
      <c r="D1237" s="5" t="s">
        <v>51</v>
      </c>
      <c r="E1237" s="5" t="s">
        <v>53</v>
      </c>
      <c r="F1237" s="5" t="s">
        <v>137</v>
      </c>
      <c r="G1237" s="8">
        <v>3</v>
      </c>
      <c r="H1237" s="8">
        <v>13770</v>
      </c>
      <c r="I1237" s="5" t="s">
        <v>40</v>
      </c>
      <c r="J1237" s="8">
        <v>3</v>
      </c>
      <c r="K1237" s="8">
        <v>2</v>
      </c>
      <c r="L1237" s="8">
        <v>22</v>
      </c>
      <c r="M12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37" s="8" t="str" cm="1">
        <f t="array" ref="N1237">_xlfn.IFS(HR_Analytics56[[#This Row],[PerformanceRating]]=3,"Good",HR_Analytics56[[#This Row],[PerformanceRating]]=4, "Excellent")</f>
        <v>Good</v>
      </c>
      <c r="O1237" s="8" t="str">
        <f>IF(HR_Analytics56[[#This Row],[MonthlyIncome]]&lt;3000,"&lt; ₹3,000",IF(HR_Analytics56[[#This Row],[MonthlyIncome]]&lt;=7000,"₹ 3,000 - ₹ 7,000","&gt; ₹7,000"))</f>
        <v>&gt; ₹7,000</v>
      </c>
      <c r="P1237" s="8" t="str" cm="1">
        <f t="array" ref="P12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8" spans="1:16" x14ac:dyDescent="0.8">
      <c r="A1238" s="5" t="s">
        <v>1310</v>
      </c>
      <c r="B1238" s="8">
        <v>47</v>
      </c>
      <c r="C1238" s="5" t="s">
        <v>40</v>
      </c>
      <c r="D1238" s="5" t="s">
        <v>51</v>
      </c>
      <c r="E1238" s="5" t="s">
        <v>53</v>
      </c>
      <c r="F1238" s="5" t="s">
        <v>137</v>
      </c>
      <c r="G1238" s="8">
        <v>3</v>
      </c>
      <c r="H1238" s="8">
        <v>6397</v>
      </c>
      <c r="I1238" s="5" t="s">
        <v>40</v>
      </c>
      <c r="J1238" s="8">
        <v>3</v>
      </c>
      <c r="K1238" s="8">
        <v>2</v>
      </c>
      <c r="L1238" s="8">
        <v>5</v>
      </c>
      <c r="M12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238" s="8" t="str" cm="1">
        <f t="array" ref="N1238">_xlfn.IFS(HR_Analytics56[[#This Row],[PerformanceRating]]=3,"Good",HR_Analytics56[[#This Row],[PerformanceRating]]=4, "Excellent")</f>
        <v>Good</v>
      </c>
      <c r="O1238" s="8" t="str">
        <f>IF(HR_Analytics56[[#This Row],[MonthlyIncome]]&lt;3000,"&lt; ₹3,000",IF(HR_Analytics56[[#This Row],[MonthlyIncome]]&lt;=7000,"₹ 3,000 - ₹ 7,000","&gt; ₹7,000"))</f>
        <v>₹ 3,000 - ₹ 7,000</v>
      </c>
      <c r="P1238" s="8" t="str" cm="1">
        <f t="array" ref="P12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39" spans="1:16" x14ac:dyDescent="0.8">
      <c r="A1239" s="5" t="s">
        <v>1311</v>
      </c>
      <c r="B1239" s="8">
        <v>47</v>
      </c>
      <c r="C1239" s="5" t="s">
        <v>49</v>
      </c>
      <c r="D1239" s="5" t="s">
        <v>42</v>
      </c>
      <c r="E1239" s="5" t="s">
        <v>53</v>
      </c>
      <c r="F1239" s="5" t="s">
        <v>442</v>
      </c>
      <c r="G1239" s="8">
        <v>4</v>
      </c>
      <c r="H1239" s="8">
        <v>16752</v>
      </c>
      <c r="I1239" s="5" t="s">
        <v>40</v>
      </c>
      <c r="J1239" s="8">
        <v>3</v>
      </c>
      <c r="K1239" s="8">
        <v>3</v>
      </c>
      <c r="L1239" s="8">
        <v>26</v>
      </c>
      <c r="M12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39" s="8" t="str" cm="1">
        <f t="array" ref="N1239">_xlfn.IFS(HR_Analytics56[[#This Row],[PerformanceRating]]=3,"Good",HR_Analytics56[[#This Row],[PerformanceRating]]=4, "Excellent")</f>
        <v>Good</v>
      </c>
      <c r="O1239" s="8" t="str">
        <f>IF(HR_Analytics56[[#This Row],[MonthlyIncome]]&lt;3000,"&lt; ₹3,000",IF(HR_Analytics56[[#This Row],[MonthlyIncome]]&lt;=7000,"₹ 3,000 - ₹ 7,000","&gt; ₹7,000"))</f>
        <v>&gt; ₹7,000</v>
      </c>
      <c r="P1239" s="8" t="str" cm="1">
        <f t="array" ref="P12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0" spans="1:16" x14ac:dyDescent="0.8">
      <c r="A1240" s="5" t="s">
        <v>1312</v>
      </c>
      <c r="B1240" s="8">
        <v>47</v>
      </c>
      <c r="C1240" s="5" t="s">
        <v>49</v>
      </c>
      <c r="D1240" s="5" t="s">
        <v>51</v>
      </c>
      <c r="E1240" s="5" t="s">
        <v>53</v>
      </c>
      <c r="F1240" s="5" t="s">
        <v>137</v>
      </c>
      <c r="G1240" s="8">
        <v>4</v>
      </c>
      <c r="H1240" s="8">
        <v>4537</v>
      </c>
      <c r="I1240" s="5" t="s">
        <v>40</v>
      </c>
      <c r="J1240" s="8">
        <v>4</v>
      </c>
      <c r="K1240" s="8">
        <v>2</v>
      </c>
      <c r="L1240" s="8">
        <v>7</v>
      </c>
      <c r="M12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0" s="8" t="str" cm="1">
        <f t="array" ref="N1240">_xlfn.IFS(HR_Analytics56[[#This Row],[PerformanceRating]]=3,"Good",HR_Analytics56[[#This Row],[PerformanceRating]]=4, "Excellent")</f>
        <v>Excellent</v>
      </c>
      <c r="O1240" s="8" t="str">
        <f>IF(HR_Analytics56[[#This Row],[MonthlyIncome]]&lt;3000,"&lt; ₹3,000",IF(HR_Analytics56[[#This Row],[MonthlyIncome]]&lt;=7000,"₹ 3,000 - ₹ 7,000","&gt; ₹7,000"))</f>
        <v>₹ 3,000 - ₹ 7,000</v>
      </c>
      <c r="P1240" s="8" t="str" cm="1">
        <f t="array" ref="P12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1" spans="1:16" x14ac:dyDescent="0.8">
      <c r="A1241" s="5" t="s">
        <v>1313</v>
      </c>
      <c r="B1241" s="8">
        <v>47</v>
      </c>
      <c r="C1241" s="5" t="s">
        <v>49</v>
      </c>
      <c r="D1241" s="5" t="s">
        <v>51</v>
      </c>
      <c r="E1241" s="5" t="s">
        <v>53</v>
      </c>
      <c r="F1241" s="5" t="s">
        <v>54</v>
      </c>
      <c r="G1241" s="8">
        <v>4</v>
      </c>
      <c r="H1241" s="8">
        <v>3294</v>
      </c>
      <c r="I1241" s="5" t="s">
        <v>40</v>
      </c>
      <c r="J1241" s="8">
        <v>3</v>
      </c>
      <c r="K1241" s="8">
        <v>3</v>
      </c>
      <c r="L1241" s="8">
        <v>3</v>
      </c>
      <c r="M12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1" s="8" t="str" cm="1">
        <f t="array" ref="N1241">_xlfn.IFS(HR_Analytics56[[#This Row],[PerformanceRating]]=3,"Good",HR_Analytics56[[#This Row],[PerformanceRating]]=4, "Excellent")</f>
        <v>Good</v>
      </c>
      <c r="O1241" s="8" t="str">
        <f>IF(HR_Analytics56[[#This Row],[MonthlyIncome]]&lt;3000,"&lt; ₹3,000",IF(HR_Analytics56[[#This Row],[MonthlyIncome]]&lt;=7000,"₹ 3,000 - ₹ 7,000","&gt; ₹7,000"))</f>
        <v>₹ 3,000 - ₹ 7,000</v>
      </c>
      <c r="P1241" s="8" t="str" cm="1">
        <f t="array" ref="P12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2" spans="1:16" x14ac:dyDescent="0.8">
      <c r="A1242" s="5" t="s">
        <v>1314</v>
      </c>
      <c r="B1242" s="8">
        <v>47</v>
      </c>
      <c r="C1242" s="5" t="s">
        <v>49</v>
      </c>
      <c r="D1242" s="5" t="s">
        <v>42</v>
      </c>
      <c r="E1242" s="5" t="s">
        <v>44</v>
      </c>
      <c r="F1242" s="5" t="s">
        <v>112</v>
      </c>
      <c r="G1242" s="8">
        <v>3</v>
      </c>
      <c r="H1242" s="8">
        <v>5067</v>
      </c>
      <c r="I1242" s="5" t="s">
        <v>40</v>
      </c>
      <c r="J1242" s="8">
        <v>3</v>
      </c>
      <c r="K1242" s="8">
        <v>3</v>
      </c>
      <c r="L1242" s="8">
        <v>19</v>
      </c>
      <c r="M12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2" s="8" t="str" cm="1">
        <f t="array" ref="N1242">_xlfn.IFS(HR_Analytics56[[#This Row],[PerformanceRating]]=3,"Good",HR_Analytics56[[#This Row],[PerformanceRating]]=4, "Excellent")</f>
        <v>Good</v>
      </c>
      <c r="O1242" s="8" t="str">
        <f>IF(HR_Analytics56[[#This Row],[MonthlyIncome]]&lt;3000,"&lt; ₹3,000",IF(HR_Analytics56[[#This Row],[MonthlyIncome]]&lt;=7000,"₹ 3,000 - ₹ 7,000","&gt; ₹7,000"))</f>
        <v>₹ 3,000 - ₹ 7,000</v>
      </c>
      <c r="P1242" s="8" t="str" cm="1">
        <f t="array" ref="P12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3" spans="1:16" x14ac:dyDescent="0.8">
      <c r="A1243" s="5" t="s">
        <v>1315</v>
      </c>
      <c r="B1243" s="8">
        <v>47</v>
      </c>
      <c r="C1243" s="5" t="s">
        <v>49</v>
      </c>
      <c r="D1243" s="5" t="s">
        <v>51</v>
      </c>
      <c r="E1243" s="5" t="s">
        <v>53</v>
      </c>
      <c r="F1243" s="5" t="s">
        <v>137</v>
      </c>
      <c r="G1243" s="8">
        <v>4</v>
      </c>
      <c r="H1243" s="8">
        <v>4163</v>
      </c>
      <c r="I1243" s="5" t="s">
        <v>40</v>
      </c>
      <c r="J1243" s="8">
        <v>3</v>
      </c>
      <c r="K1243" s="8">
        <v>0</v>
      </c>
      <c r="L1243" s="8">
        <v>9</v>
      </c>
      <c r="M12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3" s="8" t="str" cm="1">
        <f t="array" ref="N1243">_xlfn.IFS(HR_Analytics56[[#This Row],[PerformanceRating]]=3,"Good",HR_Analytics56[[#This Row],[PerformanceRating]]=4, "Excellent")</f>
        <v>Good</v>
      </c>
      <c r="O1243" s="8" t="str">
        <f>IF(HR_Analytics56[[#This Row],[MonthlyIncome]]&lt;3000,"&lt; ₹3,000",IF(HR_Analytics56[[#This Row],[MonthlyIncome]]&lt;=7000,"₹ 3,000 - ₹ 7,000","&gt; ₹7,000"))</f>
        <v>₹ 3,000 - ₹ 7,000</v>
      </c>
      <c r="P1243" s="8" t="str" cm="1">
        <f t="array" ref="P12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4" spans="1:16" x14ac:dyDescent="0.8">
      <c r="A1244" s="5" t="s">
        <v>1316</v>
      </c>
      <c r="B1244" s="8">
        <v>47</v>
      </c>
      <c r="C1244" s="5" t="s">
        <v>49</v>
      </c>
      <c r="D1244" s="5" t="s">
        <v>42</v>
      </c>
      <c r="E1244" s="5" t="s">
        <v>44</v>
      </c>
      <c r="F1244" s="5" t="s">
        <v>60</v>
      </c>
      <c r="G1244" s="8">
        <v>4</v>
      </c>
      <c r="H1244" s="8">
        <v>3420</v>
      </c>
      <c r="I1244" s="5" t="s">
        <v>49</v>
      </c>
      <c r="J1244" s="8">
        <v>3</v>
      </c>
      <c r="K1244" s="8">
        <v>2</v>
      </c>
      <c r="L1244" s="8">
        <v>6</v>
      </c>
      <c r="M12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44" s="8" t="str" cm="1">
        <f t="array" ref="N1244">_xlfn.IFS(HR_Analytics56[[#This Row],[PerformanceRating]]=3,"Good",HR_Analytics56[[#This Row],[PerformanceRating]]=4, "Excellent")</f>
        <v>Good</v>
      </c>
      <c r="O1244" s="8" t="str">
        <f>IF(HR_Analytics56[[#This Row],[MonthlyIncome]]&lt;3000,"&lt; ₹3,000",IF(HR_Analytics56[[#This Row],[MonthlyIncome]]&lt;=7000,"₹ 3,000 - ₹ 7,000","&gt; ₹7,000"))</f>
        <v>₹ 3,000 - ₹ 7,000</v>
      </c>
      <c r="P1244" s="8" t="str" cm="1">
        <f t="array" ref="P12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5" spans="1:16" x14ac:dyDescent="0.8">
      <c r="A1245" s="5" t="s">
        <v>1317</v>
      </c>
      <c r="B1245" s="8">
        <v>47</v>
      </c>
      <c r="C1245" s="5" t="s">
        <v>49</v>
      </c>
      <c r="D1245" s="5" t="s">
        <v>42</v>
      </c>
      <c r="E1245" s="5" t="s">
        <v>53</v>
      </c>
      <c r="F1245" s="5" t="s">
        <v>252</v>
      </c>
      <c r="G1245" s="8">
        <v>3</v>
      </c>
      <c r="H1245" s="8">
        <v>17169</v>
      </c>
      <c r="I1245" s="5" t="s">
        <v>49</v>
      </c>
      <c r="J1245" s="8">
        <v>3</v>
      </c>
      <c r="K1245" s="8">
        <v>2</v>
      </c>
      <c r="L1245" s="8">
        <v>20</v>
      </c>
      <c r="M12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45" s="8" t="str" cm="1">
        <f t="array" ref="N1245">_xlfn.IFS(HR_Analytics56[[#This Row],[PerformanceRating]]=3,"Good",HR_Analytics56[[#This Row],[PerformanceRating]]=4, "Excellent")</f>
        <v>Good</v>
      </c>
      <c r="O1245" s="8" t="str">
        <f>IF(HR_Analytics56[[#This Row],[MonthlyIncome]]&lt;3000,"&lt; ₹3,000",IF(HR_Analytics56[[#This Row],[MonthlyIncome]]&lt;=7000,"₹ 3,000 - ₹ 7,000","&gt; ₹7,000"))</f>
        <v>&gt; ₹7,000</v>
      </c>
      <c r="P1245" s="8" t="str" cm="1">
        <f t="array" ref="P12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6" spans="1:16" x14ac:dyDescent="0.8">
      <c r="A1246" s="5" t="s">
        <v>1318</v>
      </c>
      <c r="B1246" s="8">
        <v>47</v>
      </c>
      <c r="C1246" s="5" t="s">
        <v>49</v>
      </c>
      <c r="D1246" s="5" t="s">
        <v>51</v>
      </c>
      <c r="E1246" s="5" t="s">
        <v>53</v>
      </c>
      <c r="F1246" s="5" t="s">
        <v>137</v>
      </c>
      <c r="G1246" s="8">
        <v>3</v>
      </c>
      <c r="H1246" s="8">
        <v>4591</v>
      </c>
      <c r="I1246" s="5" t="s">
        <v>40</v>
      </c>
      <c r="J1246" s="8">
        <v>3</v>
      </c>
      <c r="K1246" s="8">
        <v>4</v>
      </c>
      <c r="L1246" s="8">
        <v>5</v>
      </c>
      <c r="M12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6" s="8" t="str" cm="1">
        <f t="array" ref="N1246">_xlfn.IFS(HR_Analytics56[[#This Row],[PerformanceRating]]=3,"Good",HR_Analytics56[[#This Row],[PerformanceRating]]=4, "Excellent")</f>
        <v>Good</v>
      </c>
      <c r="O1246" s="8" t="str">
        <f>IF(HR_Analytics56[[#This Row],[MonthlyIncome]]&lt;3000,"&lt; ₹3,000",IF(HR_Analytics56[[#This Row],[MonthlyIncome]]&lt;=7000,"₹ 3,000 - ₹ 7,000","&gt; ₹7,000"))</f>
        <v>₹ 3,000 - ₹ 7,000</v>
      </c>
      <c r="P1246" s="8" t="str" cm="1">
        <f t="array" ref="P12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7" spans="1:16" x14ac:dyDescent="0.8">
      <c r="A1247" s="5" t="s">
        <v>1319</v>
      </c>
      <c r="B1247" s="8">
        <v>47</v>
      </c>
      <c r="C1247" s="5" t="s">
        <v>49</v>
      </c>
      <c r="D1247" s="5" t="s">
        <v>71</v>
      </c>
      <c r="E1247" s="5" t="s">
        <v>53</v>
      </c>
      <c r="F1247" s="5" t="s">
        <v>442</v>
      </c>
      <c r="G1247" s="8">
        <v>3</v>
      </c>
      <c r="H1247" s="8">
        <v>19658</v>
      </c>
      <c r="I1247" s="5" t="s">
        <v>49</v>
      </c>
      <c r="J1247" s="8">
        <v>3</v>
      </c>
      <c r="K1247" s="8">
        <v>2</v>
      </c>
      <c r="L1247" s="8">
        <v>5</v>
      </c>
      <c r="M12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47" s="8" t="str" cm="1">
        <f t="array" ref="N1247">_xlfn.IFS(HR_Analytics56[[#This Row],[PerformanceRating]]=3,"Good",HR_Analytics56[[#This Row],[PerformanceRating]]=4, "Excellent")</f>
        <v>Good</v>
      </c>
      <c r="O1247" s="8" t="str">
        <f>IF(HR_Analytics56[[#This Row],[MonthlyIncome]]&lt;3000,"&lt; ₹3,000",IF(HR_Analytics56[[#This Row],[MonthlyIncome]]&lt;=7000,"₹ 3,000 - ₹ 7,000","&gt; ₹7,000"))</f>
        <v>&gt; ₹7,000</v>
      </c>
      <c r="P1247" s="8" t="str" cm="1">
        <f t="array" ref="P12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8" spans="1:16" x14ac:dyDescent="0.8">
      <c r="A1248" s="5" t="s">
        <v>1320</v>
      </c>
      <c r="B1248" s="8">
        <v>47</v>
      </c>
      <c r="C1248" s="5" t="s">
        <v>49</v>
      </c>
      <c r="D1248" s="5" t="s">
        <v>51</v>
      </c>
      <c r="E1248" s="5" t="s">
        <v>53</v>
      </c>
      <c r="F1248" s="5" t="s">
        <v>442</v>
      </c>
      <c r="G1248" s="8">
        <v>2</v>
      </c>
      <c r="H1248" s="8">
        <v>15972</v>
      </c>
      <c r="I1248" s="5" t="s">
        <v>49</v>
      </c>
      <c r="J1248" s="8">
        <v>3</v>
      </c>
      <c r="K1248" s="8">
        <v>2</v>
      </c>
      <c r="L1248" s="8">
        <v>3</v>
      </c>
      <c r="M12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48" s="8" t="str" cm="1">
        <f t="array" ref="N1248">_xlfn.IFS(HR_Analytics56[[#This Row],[PerformanceRating]]=3,"Good",HR_Analytics56[[#This Row],[PerformanceRating]]=4, "Excellent")</f>
        <v>Good</v>
      </c>
      <c r="O1248" s="8" t="str">
        <f>IF(HR_Analytics56[[#This Row],[MonthlyIncome]]&lt;3000,"&lt; ₹3,000",IF(HR_Analytics56[[#This Row],[MonthlyIncome]]&lt;=7000,"₹ 3,000 - ₹ 7,000","&gt; ₹7,000"))</f>
        <v>&gt; ₹7,000</v>
      </c>
      <c r="P1248" s="8" t="str" cm="1">
        <f t="array" ref="P12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49" spans="1:16" x14ac:dyDescent="0.8">
      <c r="A1249" s="5" t="s">
        <v>1321</v>
      </c>
      <c r="B1249" s="8">
        <v>47</v>
      </c>
      <c r="C1249" s="5" t="s">
        <v>40</v>
      </c>
      <c r="D1249" s="5" t="s">
        <v>51</v>
      </c>
      <c r="E1249" s="5" t="s">
        <v>44</v>
      </c>
      <c r="F1249" s="5" t="s">
        <v>137</v>
      </c>
      <c r="G1249" s="8">
        <v>3</v>
      </c>
      <c r="H1249" s="8">
        <v>12936</v>
      </c>
      <c r="I1249" s="5" t="s">
        <v>49</v>
      </c>
      <c r="J1249" s="8">
        <v>3</v>
      </c>
      <c r="K1249" s="8">
        <v>3</v>
      </c>
      <c r="L1249" s="8">
        <v>23</v>
      </c>
      <c r="M12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49" s="8" t="str" cm="1">
        <f t="array" ref="N1249">_xlfn.IFS(HR_Analytics56[[#This Row],[PerformanceRating]]=3,"Good",HR_Analytics56[[#This Row],[PerformanceRating]]=4, "Excellent")</f>
        <v>Good</v>
      </c>
      <c r="O1249" s="8" t="str">
        <f>IF(HR_Analytics56[[#This Row],[MonthlyIncome]]&lt;3000,"&lt; ₹3,000",IF(HR_Analytics56[[#This Row],[MonthlyIncome]]&lt;=7000,"₹ 3,000 - ₹ 7,000","&gt; ₹7,000"))</f>
        <v>&gt; ₹7,000</v>
      </c>
      <c r="P1249" s="8" t="str" cm="1">
        <f t="array" ref="P12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0" spans="1:16" x14ac:dyDescent="0.8">
      <c r="A1250" s="5" t="s">
        <v>1322</v>
      </c>
      <c r="B1250" s="8">
        <v>47</v>
      </c>
      <c r="C1250" s="5" t="s">
        <v>49</v>
      </c>
      <c r="D1250" s="5" t="s">
        <v>51</v>
      </c>
      <c r="E1250" s="5" t="s">
        <v>44</v>
      </c>
      <c r="F1250" s="5" t="s">
        <v>137</v>
      </c>
      <c r="G1250" s="8">
        <v>2</v>
      </c>
      <c r="H1250" s="8">
        <v>4978</v>
      </c>
      <c r="I1250" s="5" t="s">
        <v>49</v>
      </c>
      <c r="J1250" s="8">
        <v>3</v>
      </c>
      <c r="K1250" s="8">
        <v>3</v>
      </c>
      <c r="L1250" s="8">
        <v>1</v>
      </c>
      <c r="M12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0" s="8" t="str" cm="1">
        <f t="array" ref="N1250">_xlfn.IFS(HR_Analytics56[[#This Row],[PerformanceRating]]=3,"Good",HR_Analytics56[[#This Row],[PerformanceRating]]=4, "Excellent")</f>
        <v>Good</v>
      </c>
      <c r="O1250" s="8" t="str">
        <f>IF(HR_Analytics56[[#This Row],[MonthlyIncome]]&lt;3000,"&lt; ₹3,000",IF(HR_Analytics56[[#This Row],[MonthlyIncome]]&lt;=7000,"₹ 3,000 - ₹ 7,000","&gt; ₹7,000"))</f>
        <v>₹ 3,000 - ₹ 7,000</v>
      </c>
      <c r="P1250" s="8" t="str" cm="1">
        <f t="array" ref="P12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1" spans="1:16" x14ac:dyDescent="0.8">
      <c r="A1251" s="5" t="s">
        <v>1323</v>
      </c>
      <c r="B1251" s="8">
        <v>47</v>
      </c>
      <c r="C1251" s="5" t="s">
        <v>49</v>
      </c>
      <c r="D1251" s="5" t="s">
        <v>42</v>
      </c>
      <c r="E1251" s="5" t="s">
        <v>53</v>
      </c>
      <c r="F1251" s="5" t="s">
        <v>112</v>
      </c>
      <c r="G1251" s="8">
        <v>2</v>
      </c>
      <c r="H1251" s="8">
        <v>10333</v>
      </c>
      <c r="I1251" s="5" t="s">
        <v>40</v>
      </c>
      <c r="J1251" s="8">
        <v>3</v>
      </c>
      <c r="K1251" s="8">
        <v>4</v>
      </c>
      <c r="L1251" s="8">
        <v>22</v>
      </c>
      <c r="M12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51" s="8" t="str" cm="1">
        <f t="array" ref="N1251">_xlfn.IFS(HR_Analytics56[[#This Row],[PerformanceRating]]=3,"Good",HR_Analytics56[[#This Row],[PerformanceRating]]=4, "Excellent")</f>
        <v>Good</v>
      </c>
      <c r="O1251" s="8" t="str">
        <f>IF(HR_Analytics56[[#This Row],[MonthlyIncome]]&lt;3000,"&lt; ₹3,000",IF(HR_Analytics56[[#This Row],[MonthlyIncome]]&lt;=7000,"₹ 3,000 - ₹ 7,000","&gt; ₹7,000"))</f>
        <v>&gt; ₹7,000</v>
      </c>
      <c r="P1251" s="8" t="str" cm="1">
        <f t="array" ref="P12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2" spans="1:16" x14ac:dyDescent="0.8">
      <c r="A1252" s="5" t="s">
        <v>1324</v>
      </c>
      <c r="B1252" s="8">
        <v>47</v>
      </c>
      <c r="C1252" s="5" t="s">
        <v>49</v>
      </c>
      <c r="D1252" s="5" t="s">
        <v>42</v>
      </c>
      <c r="E1252" s="5" t="s">
        <v>53</v>
      </c>
      <c r="F1252" s="5" t="s">
        <v>45</v>
      </c>
      <c r="G1252" s="8">
        <v>3</v>
      </c>
      <c r="H1252" s="8">
        <v>2105</v>
      </c>
      <c r="I1252" s="5" t="s">
        <v>49</v>
      </c>
      <c r="J1252" s="8">
        <v>3</v>
      </c>
      <c r="K1252" s="8">
        <v>2</v>
      </c>
      <c r="L1252" s="8">
        <v>2</v>
      </c>
      <c r="M12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2" s="8" t="str" cm="1">
        <f t="array" ref="N1252">_xlfn.IFS(HR_Analytics56[[#This Row],[PerformanceRating]]=3,"Good",HR_Analytics56[[#This Row],[PerformanceRating]]=4, "Excellent")</f>
        <v>Good</v>
      </c>
      <c r="O1252" s="8" t="str">
        <f>IF(HR_Analytics56[[#This Row],[MonthlyIncome]]&lt;3000,"&lt; ₹3,000",IF(HR_Analytics56[[#This Row],[MonthlyIncome]]&lt;=7000,"₹ 3,000 - ₹ 7,000","&gt; ₹7,000"))</f>
        <v>&lt; ₹3,000</v>
      </c>
      <c r="P1252" s="8" t="str" cm="1">
        <f t="array" ref="P12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3" spans="1:16" x14ac:dyDescent="0.8">
      <c r="A1253" s="5" t="s">
        <v>1325</v>
      </c>
      <c r="B1253" s="8">
        <v>47</v>
      </c>
      <c r="C1253" s="5" t="s">
        <v>49</v>
      </c>
      <c r="D1253" s="5" t="s">
        <v>42</v>
      </c>
      <c r="E1253" s="5" t="s">
        <v>44</v>
      </c>
      <c r="F1253" s="5" t="s">
        <v>60</v>
      </c>
      <c r="G1253" s="8">
        <v>2</v>
      </c>
      <c r="H1253" s="8">
        <v>5467</v>
      </c>
      <c r="I1253" s="5" t="s">
        <v>49</v>
      </c>
      <c r="J1253" s="8">
        <v>3</v>
      </c>
      <c r="K1253" s="8">
        <v>4</v>
      </c>
      <c r="L1253" s="8">
        <v>8</v>
      </c>
      <c r="M12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3" s="8" t="str" cm="1">
        <f t="array" ref="N1253">_xlfn.IFS(HR_Analytics56[[#This Row],[PerformanceRating]]=3,"Good",HR_Analytics56[[#This Row],[PerformanceRating]]=4, "Excellent")</f>
        <v>Good</v>
      </c>
      <c r="O1253" s="8" t="str">
        <f>IF(HR_Analytics56[[#This Row],[MonthlyIncome]]&lt;3000,"&lt; ₹3,000",IF(HR_Analytics56[[#This Row],[MonthlyIncome]]&lt;=7000,"₹ 3,000 - ₹ 7,000","&gt; ₹7,000"))</f>
        <v>₹ 3,000 - ₹ 7,000</v>
      </c>
      <c r="P1253" s="8" t="str" cm="1">
        <f t="array" ref="P12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4" spans="1:16" x14ac:dyDescent="0.8">
      <c r="A1254" s="5" t="s">
        <v>1326</v>
      </c>
      <c r="B1254" s="8">
        <v>47</v>
      </c>
      <c r="C1254" s="5" t="s">
        <v>49</v>
      </c>
      <c r="D1254" s="5" t="s">
        <v>42</v>
      </c>
      <c r="E1254" s="5" t="s">
        <v>44</v>
      </c>
      <c r="F1254" s="5" t="s">
        <v>161</v>
      </c>
      <c r="G1254" s="8">
        <v>3</v>
      </c>
      <c r="H1254" s="8">
        <v>8633</v>
      </c>
      <c r="I1254" s="5" t="s">
        <v>49</v>
      </c>
      <c r="J1254" s="8">
        <v>4</v>
      </c>
      <c r="K1254" s="8">
        <v>3</v>
      </c>
      <c r="L1254" s="8">
        <v>17</v>
      </c>
      <c r="M12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4" s="8" t="str" cm="1">
        <f t="array" ref="N1254">_xlfn.IFS(HR_Analytics56[[#This Row],[PerformanceRating]]=3,"Good",HR_Analytics56[[#This Row],[PerformanceRating]]=4, "Excellent")</f>
        <v>Excellent</v>
      </c>
      <c r="O1254" s="8" t="str">
        <f>IF(HR_Analytics56[[#This Row],[MonthlyIncome]]&lt;3000,"&lt; ₹3,000",IF(HR_Analytics56[[#This Row],[MonthlyIncome]]&lt;=7000,"₹ 3,000 - ₹ 7,000","&gt; ₹7,000"))</f>
        <v>&gt; ₹7,000</v>
      </c>
      <c r="P1254" s="8" t="str" cm="1">
        <f t="array" ref="P125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55" spans="1:16" x14ac:dyDescent="0.8">
      <c r="A1255" s="5" t="s">
        <v>1327</v>
      </c>
      <c r="B1255" s="8">
        <v>47</v>
      </c>
      <c r="C1255" s="5" t="s">
        <v>49</v>
      </c>
      <c r="D1255" s="5" t="s">
        <v>42</v>
      </c>
      <c r="E1255" s="5" t="s">
        <v>53</v>
      </c>
      <c r="F1255" s="5" t="s">
        <v>252</v>
      </c>
      <c r="G1255" s="8">
        <v>2</v>
      </c>
      <c r="H1255" s="8">
        <v>11957</v>
      </c>
      <c r="I1255" s="5" t="s">
        <v>49</v>
      </c>
      <c r="J1255" s="8">
        <v>3</v>
      </c>
      <c r="K1255" s="8">
        <v>3</v>
      </c>
      <c r="L1255" s="8">
        <v>13</v>
      </c>
      <c r="M12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5" s="8" t="str" cm="1">
        <f t="array" ref="N1255">_xlfn.IFS(HR_Analytics56[[#This Row],[PerformanceRating]]=3,"Good",HR_Analytics56[[#This Row],[PerformanceRating]]=4, "Excellent")</f>
        <v>Good</v>
      </c>
      <c r="O1255" s="8" t="str">
        <f>IF(HR_Analytics56[[#This Row],[MonthlyIncome]]&lt;3000,"&lt; ₹3,000",IF(HR_Analytics56[[#This Row],[MonthlyIncome]]&lt;=7000,"₹ 3,000 - ₹ 7,000","&gt; ₹7,000"))</f>
        <v>&gt; ₹7,000</v>
      </c>
      <c r="P1255" s="8" t="str" cm="1">
        <f t="array" ref="P12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6" spans="1:16" x14ac:dyDescent="0.8">
      <c r="A1256" s="5" t="s">
        <v>1328</v>
      </c>
      <c r="B1256" s="8">
        <v>48</v>
      </c>
      <c r="C1256" s="5" t="s">
        <v>40</v>
      </c>
      <c r="D1256" s="5" t="s">
        <v>42</v>
      </c>
      <c r="E1256" s="5" t="s">
        <v>44</v>
      </c>
      <c r="F1256" s="5" t="s">
        <v>45</v>
      </c>
      <c r="G1256" s="8">
        <v>3</v>
      </c>
      <c r="H1256" s="8">
        <v>5381</v>
      </c>
      <c r="I1256" s="5" t="s">
        <v>40</v>
      </c>
      <c r="J1256" s="8">
        <v>3</v>
      </c>
      <c r="K1256" s="8">
        <v>2</v>
      </c>
      <c r="L1256" s="8">
        <v>1</v>
      </c>
      <c r="M12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256" s="8" t="str" cm="1">
        <f t="array" ref="N1256">_xlfn.IFS(HR_Analytics56[[#This Row],[PerformanceRating]]=3,"Good",HR_Analytics56[[#This Row],[PerformanceRating]]=4, "Excellent")</f>
        <v>Good</v>
      </c>
      <c r="O1256" s="8" t="str">
        <f>IF(HR_Analytics56[[#This Row],[MonthlyIncome]]&lt;3000,"&lt; ₹3,000",IF(HR_Analytics56[[#This Row],[MonthlyIncome]]&lt;=7000,"₹ 3,000 - ₹ 7,000","&gt; ₹7,000"))</f>
        <v>₹ 3,000 - ₹ 7,000</v>
      </c>
      <c r="P1256" s="8" t="str" cm="1">
        <f t="array" ref="P12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7" spans="1:16" x14ac:dyDescent="0.8">
      <c r="A1257" s="5" t="s">
        <v>1329</v>
      </c>
      <c r="B1257" s="8">
        <v>48</v>
      </c>
      <c r="C1257" s="5" t="s">
        <v>49</v>
      </c>
      <c r="D1257" s="5" t="s">
        <v>51</v>
      </c>
      <c r="E1257" s="5" t="s">
        <v>53</v>
      </c>
      <c r="F1257" s="5" t="s">
        <v>442</v>
      </c>
      <c r="G1257" s="8">
        <v>3</v>
      </c>
      <c r="H1257" s="8">
        <v>12504</v>
      </c>
      <c r="I1257" s="5" t="s">
        <v>49</v>
      </c>
      <c r="J1257" s="8">
        <v>4</v>
      </c>
      <c r="K1257" s="8">
        <v>3</v>
      </c>
      <c r="L1257" s="8">
        <v>0</v>
      </c>
      <c r="M12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7" s="8" t="str" cm="1">
        <f t="array" ref="N1257">_xlfn.IFS(HR_Analytics56[[#This Row],[PerformanceRating]]=3,"Good",HR_Analytics56[[#This Row],[PerformanceRating]]=4, "Excellent")</f>
        <v>Excellent</v>
      </c>
      <c r="O1257" s="8" t="str">
        <f>IF(HR_Analytics56[[#This Row],[MonthlyIncome]]&lt;3000,"&lt; ₹3,000",IF(HR_Analytics56[[#This Row],[MonthlyIncome]]&lt;=7000,"₹ 3,000 - ₹ 7,000","&gt; ₹7,000"))</f>
        <v>&gt; ₹7,000</v>
      </c>
      <c r="P1257" s="8" t="str" cm="1">
        <f t="array" ref="P125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58" spans="1:16" x14ac:dyDescent="0.8">
      <c r="A1258" s="5" t="s">
        <v>1330</v>
      </c>
      <c r="B1258" s="8">
        <v>48</v>
      </c>
      <c r="C1258" s="5" t="s">
        <v>49</v>
      </c>
      <c r="D1258" s="5" t="s">
        <v>51</v>
      </c>
      <c r="E1258" s="5" t="s">
        <v>53</v>
      </c>
      <c r="F1258" s="5" t="s">
        <v>137</v>
      </c>
      <c r="G1258" s="8">
        <v>4</v>
      </c>
      <c r="H1258" s="8">
        <v>4051</v>
      </c>
      <c r="I1258" s="5" t="s">
        <v>49</v>
      </c>
      <c r="J1258" s="8">
        <v>3</v>
      </c>
      <c r="K1258" s="8">
        <v>2</v>
      </c>
      <c r="L1258" s="8">
        <v>9</v>
      </c>
      <c r="M12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8" s="8" t="str" cm="1">
        <f t="array" ref="N1258">_xlfn.IFS(HR_Analytics56[[#This Row],[PerformanceRating]]=3,"Good",HR_Analytics56[[#This Row],[PerformanceRating]]=4, "Excellent")</f>
        <v>Good</v>
      </c>
      <c r="O1258" s="8" t="str">
        <f>IF(HR_Analytics56[[#This Row],[MonthlyIncome]]&lt;3000,"&lt; ₹3,000",IF(HR_Analytics56[[#This Row],[MonthlyIncome]]&lt;=7000,"₹ 3,000 - ₹ 7,000","&gt; ₹7,000"))</f>
        <v>₹ 3,000 - ₹ 7,000</v>
      </c>
      <c r="P1258" s="8" t="str" cm="1">
        <f t="array" ref="P12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59" spans="1:16" x14ac:dyDescent="0.8">
      <c r="A1259" s="5" t="s">
        <v>1331</v>
      </c>
      <c r="B1259" s="8">
        <v>48</v>
      </c>
      <c r="C1259" s="5" t="s">
        <v>49</v>
      </c>
      <c r="D1259" s="5" t="s">
        <v>42</v>
      </c>
      <c r="E1259" s="5" t="s">
        <v>53</v>
      </c>
      <c r="F1259" s="5" t="s">
        <v>442</v>
      </c>
      <c r="G1259" s="8">
        <v>1</v>
      </c>
      <c r="H1259" s="8">
        <v>15402</v>
      </c>
      <c r="I1259" s="5" t="s">
        <v>49</v>
      </c>
      <c r="J1259" s="8">
        <v>3</v>
      </c>
      <c r="K1259" s="8">
        <v>3</v>
      </c>
      <c r="L1259" s="8">
        <v>3</v>
      </c>
      <c r="M12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59" s="8" t="str" cm="1">
        <f t="array" ref="N1259">_xlfn.IFS(HR_Analytics56[[#This Row],[PerformanceRating]]=3,"Good",HR_Analytics56[[#This Row],[PerformanceRating]]=4, "Excellent")</f>
        <v>Good</v>
      </c>
      <c r="O1259" s="8" t="str">
        <f>IF(HR_Analytics56[[#This Row],[MonthlyIncome]]&lt;3000,"&lt; ₹3,000",IF(HR_Analytics56[[#This Row],[MonthlyIncome]]&lt;=7000,"₹ 3,000 - ₹ 7,000","&gt; ₹7,000"))</f>
        <v>&gt; ₹7,000</v>
      </c>
      <c r="P1259" s="8" t="str" cm="1">
        <f t="array" ref="P12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0" spans="1:16" x14ac:dyDescent="0.8">
      <c r="A1260" s="5" t="s">
        <v>1332</v>
      </c>
      <c r="B1260" s="8">
        <v>48</v>
      </c>
      <c r="C1260" s="5" t="s">
        <v>49</v>
      </c>
      <c r="D1260" s="5" t="s">
        <v>51</v>
      </c>
      <c r="E1260" s="5" t="s">
        <v>44</v>
      </c>
      <c r="F1260" s="5" t="s">
        <v>137</v>
      </c>
      <c r="G1260" s="8">
        <v>2</v>
      </c>
      <c r="H1260" s="8">
        <v>8120</v>
      </c>
      <c r="I1260" s="5" t="s">
        <v>49</v>
      </c>
      <c r="J1260" s="8">
        <v>3</v>
      </c>
      <c r="K1260" s="8">
        <v>3</v>
      </c>
      <c r="L1260" s="8">
        <v>2</v>
      </c>
      <c r="M12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0" s="8" t="str" cm="1">
        <f t="array" ref="N1260">_xlfn.IFS(HR_Analytics56[[#This Row],[PerformanceRating]]=3,"Good",HR_Analytics56[[#This Row],[PerformanceRating]]=4, "Excellent")</f>
        <v>Good</v>
      </c>
      <c r="O1260" s="8" t="str">
        <f>IF(HR_Analytics56[[#This Row],[MonthlyIncome]]&lt;3000,"&lt; ₹3,000",IF(HR_Analytics56[[#This Row],[MonthlyIncome]]&lt;=7000,"₹ 3,000 - ₹ 7,000","&gt; ₹7,000"))</f>
        <v>&gt; ₹7,000</v>
      </c>
      <c r="P1260" s="8" t="str" cm="1">
        <f t="array" ref="P12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1" spans="1:16" x14ac:dyDescent="0.8">
      <c r="A1261" s="5" t="s">
        <v>1333</v>
      </c>
      <c r="B1261" s="8">
        <v>48</v>
      </c>
      <c r="C1261" s="5" t="s">
        <v>49</v>
      </c>
      <c r="D1261" s="5" t="s">
        <v>42</v>
      </c>
      <c r="E1261" s="5" t="s">
        <v>44</v>
      </c>
      <c r="F1261" s="5" t="s">
        <v>60</v>
      </c>
      <c r="G1261" s="8">
        <v>3</v>
      </c>
      <c r="H1261" s="8">
        <v>2259</v>
      </c>
      <c r="I1261" s="5" t="s">
        <v>49</v>
      </c>
      <c r="J1261" s="8">
        <v>3</v>
      </c>
      <c r="K1261" s="8">
        <v>2</v>
      </c>
      <c r="L1261" s="8">
        <v>0</v>
      </c>
      <c r="M12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1" s="8" t="str" cm="1">
        <f t="array" ref="N1261">_xlfn.IFS(HR_Analytics56[[#This Row],[PerformanceRating]]=3,"Good",HR_Analytics56[[#This Row],[PerformanceRating]]=4, "Excellent")</f>
        <v>Good</v>
      </c>
      <c r="O1261" s="8" t="str">
        <f>IF(HR_Analytics56[[#This Row],[MonthlyIncome]]&lt;3000,"&lt; ₹3,000",IF(HR_Analytics56[[#This Row],[MonthlyIncome]]&lt;=7000,"₹ 3,000 - ₹ 7,000","&gt; ₹7,000"))</f>
        <v>&lt; ₹3,000</v>
      </c>
      <c r="P1261" s="8" t="str" cm="1">
        <f t="array" ref="P12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2" spans="1:16" x14ac:dyDescent="0.8">
      <c r="A1262" s="5" t="s">
        <v>1334</v>
      </c>
      <c r="B1262" s="8">
        <v>48</v>
      </c>
      <c r="C1262" s="5" t="s">
        <v>49</v>
      </c>
      <c r="D1262" s="5" t="s">
        <v>42</v>
      </c>
      <c r="E1262" s="5" t="s">
        <v>44</v>
      </c>
      <c r="F1262" s="5" t="s">
        <v>161</v>
      </c>
      <c r="G1262" s="8">
        <v>3</v>
      </c>
      <c r="H1262" s="8">
        <v>4240</v>
      </c>
      <c r="I1262" s="5" t="s">
        <v>49</v>
      </c>
      <c r="J1262" s="8">
        <v>3</v>
      </c>
      <c r="K1262" s="8">
        <v>0</v>
      </c>
      <c r="L1262" s="8">
        <v>2</v>
      </c>
      <c r="M12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2" s="8" t="str" cm="1">
        <f t="array" ref="N1262">_xlfn.IFS(HR_Analytics56[[#This Row],[PerformanceRating]]=3,"Good",HR_Analytics56[[#This Row],[PerformanceRating]]=4, "Excellent")</f>
        <v>Good</v>
      </c>
      <c r="O1262" s="8" t="str">
        <f>IF(HR_Analytics56[[#This Row],[MonthlyIncome]]&lt;3000,"&lt; ₹3,000",IF(HR_Analytics56[[#This Row],[MonthlyIncome]]&lt;=7000,"₹ 3,000 - ₹ 7,000","&gt; ₹7,000"))</f>
        <v>₹ 3,000 - ₹ 7,000</v>
      </c>
      <c r="P1262" s="8" t="str" cm="1">
        <f t="array" ref="P12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3" spans="1:16" x14ac:dyDescent="0.8">
      <c r="A1263" s="5" t="s">
        <v>1335</v>
      </c>
      <c r="B1263" s="8">
        <v>48</v>
      </c>
      <c r="C1263" s="5" t="s">
        <v>49</v>
      </c>
      <c r="D1263" s="5" t="s">
        <v>42</v>
      </c>
      <c r="E1263" s="5" t="s">
        <v>44</v>
      </c>
      <c r="F1263" s="5" t="s">
        <v>161</v>
      </c>
      <c r="G1263" s="8">
        <v>3</v>
      </c>
      <c r="H1263" s="8">
        <v>10999</v>
      </c>
      <c r="I1263" s="5" t="s">
        <v>49</v>
      </c>
      <c r="J1263" s="8">
        <v>3</v>
      </c>
      <c r="K1263" s="8">
        <v>3</v>
      </c>
      <c r="L1263" s="8">
        <v>15</v>
      </c>
      <c r="M12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3" s="8" t="str" cm="1">
        <f t="array" ref="N1263">_xlfn.IFS(HR_Analytics56[[#This Row],[PerformanceRating]]=3,"Good",HR_Analytics56[[#This Row],[PerformanceRating]]=4, "Excellent")</f>
        <v>Good</v>
      </c>
      <c r="O1263" s="8" t="str">
        <f>IF(HR_Analytics56[[#This Row],[MonthlyIncome]]&lt;3000,"&lt; ₹3,000",IF(HR_Analytics56[[#This Row],[MonthlyIncome]]&lt;=7000,"₹ 3,000 - ₹ 7,000","&gt; ₹7,000"))</f>
        <v>&gt; ₹7,000</v>
      </c>
      <c r="P1263" s="8" t="str" cm="1">
        <f t="array" ref="P12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4" spans="1:16" x14ac:dyDescent="0.8">
      <c r="A1264" s="5" t="s">
        <v>1336</v>
      </c>
      <c r="B1264" s="8">
        <v>48</v>
      </c>
      <c r="C1264" s="5" t="s">
        <v>49</v>
      </c>
      <c r="D1264" s="5" t="s">
        <v>42</v>
      </c>
      <c r="E1264" s="5" t="s">
        <v>44</v>
      </c>
      <c r="F1264" s="5" t="s">
        <v>442</v>
      </c>
      <c r="G1264" s="8">
        <v>4</v>
      </c>
      <c r="H1264" s="8">
        <v>16885</v>
      </c>
      <c r="I1264" s="5" t="s">
        <v>49</v>
      </c>
      <c r="J1264" s="8">
        <v>4</v>
      </c>
      <c r="K1264" s="8">
        <v>3</v>
      </c>
      <c r="L1264" s="8">
        <v>5</v>
      </c>
      <c r="M12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4" s="8" t="str" cm="1">
        <f t="array" ref="N1264">_xlfn.IFS(HR_Analytics56[[#This Row],[PerformanceRating]]=3,"Good",HR_Analytics56[[#This Row],[PerformanceRating]]=4, "Excellent")</f>
        <v>Excellent</v>
      </c>
      <c r="O1264" s="8" t="str">
        <f>IF(HR_Analytics56[[#This Row],[MonthlyIncome]]&lt;3000,"&lt; ₹3,000",IF(HR_Analytics56[[#This Row],[MonthlyIncome]]&lt;=7000,"₹ 3,000 - ₹ 7,000","&gt; ₹7,000"))</f>
        <v>&gt; ₹7,000</v>
      </c>
      <c r="P1264" s="8" t="str" cm="1">
        <f t="array" ref="P126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65" spans="1:16" x14ac:dyDescent="0.8">
      <c r="A1265" s="5" t="s">
        <v>1337</v>
      </c>
      <c r="B1265" s="8">
        <v>48</v>
      </c>
      <c r="C1265" s="5" t="s">
        <v>49</v>
      </c>
      <c r="D1265" s="5" t="s">
        <v>42</v>
      </c>
      <c r="E1265" s="5" t="s">
        <v>44</v>
      </c>
      <c r="F1265" s="5" t="s">
        <v>45</v>
      </c>
      <c r="G1265" s="8">
        <v>2</v>
      </c>
      <c r="H1265" s="8">
        <v>2559</v>
      </c>
      <c r="I1265" s="5" t="s">
        <v>49</v>
      </c>
      <c r="J1265" s="8">
        <v>3</v>
      </c>
      <c r="K1265" s="8">
        <v>4</v>
      </c>
      <c r="L1265" s="8">
        <v>1</v>
      </c>
      <c r="M12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5" s="8" t="str" cm="1">
        <f t="array" ref="N1265">_xlfn.IFS(HR_Analytics56[[#This Row],[PerformanceRating]]=3,"Good",HR_Analytics56[[#This Row],[PerformanceRating]]=4, "Excellent")</f>
        <v>Good</v>
      </c>
      <c r="O1265" s="8" t="str">
        <f>IF(HR_Analytics56[[#This Row],[MonthlyIncome]]&lt;3000,"&lt; ₹3,000",IF(HR_Analytics56[[#This Row],[MonthlyIncome]]&lt;=7000,"₹ 3,000 - ₹ 7,000","&gt; ₹7,000"))</f>
        <v>&lt; ₹3,000</v>
      </c>
      <c r="P1265" s="8" t="str" cm="1">
        <f t="array" ref="P12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6" spans="1:16" x14ac:dyDescent="0.8">
      <c r="A1266" s="5" t="s">
        <v>1338</v>
      </c>
      <c r="B1266" s="8">
        <v>48</v>
      </c>
      <c r="C1266" s="5" t="s">
        <v>49</v>
      </c>
      <c r="D1266" s="5" t="s">
        <v>42</v>
      </c>
      <c r="E1266" s="5" t="s">
        <v>44</v>
      </c>
      <c r="F1266" s="5" t="s">
        <v>252</v>
      </c>
      <c r="G1266" s="8">
        <v>4</v>
      </c>
      <c r="H1266" s="8">
        <v>18265</v>
      </c>
      <c r="I1266" s="5" t="s">
        <v>49</v>
      </c>
      <c r="J1266" s="8">
        <v>3</v>
      </c>
      <c r="K1266" s="8">
        <v>3</v>
      </c>
      <c r="L1266" s="8">
        <v>1</v>
      </c>
      <c r="M12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6" s="8" t="str" cm="1">
        <f t="array" ref="N1266">_xlfn.IFS(HR_Analytics56[[#This Row],[PerformanceRating]]=3,"Good",HR_Analytics56[[#This Row],[PerformanceRating]]=4, "Excellent")</f>
        <v>Good</v>
      </c>
      <c r="O1266" s="8" t="str">
        <f>IF(HR_Analytics56[[#This Row],[MonthlyIncome]]&lt;3000,"&lt; ₹3,000",IF(HR_Analytics56[[#This Row],[MonthlyIncome]]&lt;=7000,"₹ 3,000 - ₹ 7,000","&gt; ₹7,000"))</f>
        <v>&gt; ₹7,000</v>
      </c>
      <c r="P1266" s="8" t="str" cm="1">
        <f t="array" ref="P12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7" spans="1:16" x14ac:dyDescent="0.8">
      <c r="A1267" s="5" t="s">
        <v>1339</v>
      </c>
      <c r="B1267" s="8">
        <v>48</v>
      </c>
      <c r="C1267" s="5" t="s">
        <v>49</v>
      </c>
      <c r="D1267" s="5" t="s">
        <v>42</v>
      </c>
      <c r="E1267" s="5" t="s">
        <v>44</v>
      </c>
      <c r="F1267" s="5" t="s">
        <v>112</v>
      </c>
      <c r="G1267" s="8">
        <v>4</v>
      </c>
      <c r="H1267" s="8">
        <v>7898</v>
      </c>
      <c r="I1267" s="5" t="s">
        <v>49</v>
      </c>
      <c r="J1267" s="8">
        <v>3</v>
      </c>
      <c r="K1267" s="8">
        <v>2</v>
      </c>
      <c r="L1267" s="8">
        <v>10</v>
      </c>
      <c r="M12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7" s="8" t="str" cm="1">
        <f t="array" ref="N1267">_xlfn.IFS(HR_Analytics56[[#This Row],[PerformanceRating]]=3,"Good",HR_Analytics56[[#This Row],[PerformanceRating]]=4, "Excellent")</f>
        <v>Good</v>
      </c>
      <c r="O1267" s="8" t="str">
        <f>IF(HR_Analytics56[[#This Row],[MonthlyIncome]]&lt;3000,"&lt; ₹3,000",IF(HR_Analytics56[[#This Row],[MonthlyIncome]]&lt;=7000,"₹ 3,000 - ₹ 7,000","&gt; ₹7,000"))</f>
        <v>&gt; ₹7,000</v>
      </c>
      <c r="P1267" s="8" t="str" cm="1">
        <f t="array" ref="P12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8" spans="1:16" x14ac:dyDescent="0.8">
      <c r="A1268" s="5" t="s">
        <v>1340</v>
      </c>
      <c r="B1268" s="8">
        <v>48</v>
      </c>
      <c r="C1268" s="5" t="s">
        <v>49</v>
      </c>
      <c r="D1268" s="5" t="s">
        <v>51</v>
      </c>
      <c r="E1268" s="5" t="s">
        <v>44</v>
      </c>
      <c r="F1268" s="5" t="s">
        <v>137</v>
      </c>
      <c r="G1268" s="8">
        <v>1</v>
      </c>
      <c r="H1268" s="8">
        <v>5486</v>
      </c>
      <c r="I1268" s="5" t="s">
        <v>49</v>
      </c>
      <c r="J1268" s="8">
        <v>3</v>
      </c>
      <c r="K1268" s="8">
        <v>3</v>
      </c>
      <c r="L1268" s="8">
        <v>2</v>
      </c>
      <c r="M12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8" s="8" t="str" cm="1">
        <f t="array" ref="N1268">_xlfn.IFS(HR_Analytics56[[#This Row],[PerformanceRating]]=3,"Good",HR_Analytics56[[#This Row],[PerformanceRating]]=4, "Excellent")</f>
        <v>Good</v>
      </c>
      <c r="O1268" s="8" t="str">
        <f>IF(HR_Analytics56[[#This Row],[MonthlyIncome]]&lt;3000,"&lt; ₹3,000",IF(HR_Analytics56[[#This Row],[MonthlyIncome]]&lt;=7000,"₹ 3,000 - ₹ 7,000","&gt; ₹7,000"))</f>
        <v>₹ 3,000 - ₹ 7,000</v>
      </c>
      <c r="P1268" s="8" t="str" cm="1">
        <f t="array" ref="P12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69" spans="1:16" x14ac:dyDescent="0.8">
      <c r="A1269" s="5" t="s">
        <v>1341</v>
      </c>
      <c r="B1269" s="8">
        <v>48</v>
      </c>
      <c r="C1269" s="5" t="s">
        <v>49</v>
      </c>
      <c r="D1269" s="5" t="s">
        <v>51</v>
      </c>
      <c r="E1269" s="5" t="s">
        <v>53</v>
      </c>
      <c r="F1269" s="5" t="s">
        <v>137</v>
      </c>
      <c r="G1269" s="8">
        <v>3</v>
      </c>
      <c r="H1269" s="8">
        <v>6439</v>
      </c>
      <c r="I1269" s="5" t="s">
        <v>49</v>
      </c>
      <c r="J1269" s="8">
        <v>3</v>
      </c>
      <c r="K1269" s="8">
        <v>2</v>
      </c>
      <c r="L1269" s="8">
        <v>8</v>
      </c>
      <c r="M12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69" s="8" t="str" cm="1">
        <f t="array" ref="N1269">_xlfn.IFS(HR_Analytics56[[#This Row],[PerformanceRating]]=3,"Good",HR_Analytics56[[#This Row],[PerformanceRating]]=4, "Excellent")</f>
        <v>Good</v>
      </c>
      <c r="O1269" s="8" t="str">
        <f>IF(HR_Analytics56[[#This Row],[MonthlyIncome]]&lt;3000,"&lt; ₹3,000",IF(HR_Analytics56[[#This Row],[MonthlyIncome]]&lt;=7000,"₹ 3,000 - ₹ 7,000","&gt; ₹7,000"))</f>
        <v>₹ 3,000 - ₹ 7,000</v>
      </c>
      <c r="P1269" s="8" t="str" cm="1">
        <f t="array" ref="P12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0" spans="1:16" x14ac:dyDescent="0.8">
      <c r="A1270" s="5" t="s">
        <v>1342</v>
      </c>
      <c r="B1270" s="8">
        <v>48</v>
      </c>
      <c r="C1270" s="5" t="s">
        <v>49</v>
      </c>
      <c r="D1270" s="5" t="s">
        <v>42</v>
      </c>
      <c r="E1270" s="5" t="s">
        <v>53</v>
      </c>
      <c r="F1270" s="5" t="s">
        <v>60</v>
      </c>
      <c r="G1270" s="8">
        <v>1</v>
      </c>
      <c r="H1270" s="8">
        <v>2367</v>
      </c>
      <c r="I1270" s="5" t="s">
        <v>49</v>
      </c>
      <c r="J1270" s="8">
        <v>3</v>
      </c>
      <c r="K1270" s="8">
        <v>3</v>
      </c>
      <c r="L1270" s="8">
        <v>8</v>
      </c>
      <c r="M12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0" s="8" t="str" cm="1">
        <f t="array" ref="N1270">_xlfn.IFS(HR_Analytics56[[#This Row],[PerformanceRating]]=3,"Good",HR_Analytics56[[#This Row],[PerformanceRating]]=4, "Excellent")</f>
        <v>Good</v>
      </c>
      <c r="O1270" s="8" t="str">
        <f>IF(HR_Analytics56[[#This Row],[MonthlyIncome]]&lt;3000,"&lt; ₹3,000",IF(HR_Analytics56[[#This Row],[MonthlyIncome]]&lt;=7000,"₹ 3,000 - ₹ 7,000","&gt; ₹7,000"))</f>
        <v>&lt; ₹3,000</v>
      </c>
      <c r="P1270" s="8" t="str" cm="1">
        <f t="array" ref="P12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1" spans="1:16" x14ac:dyDescent="0.8">
      <c r="A1271" s="5" t="s">
        <v>1343</v>
      </c>
      <c r="B1271" s="8">
        <v>48</v>
      </c>
      <c r="C1271" s="5" t="s">
        <v>49</v>
      </c>
      <c r="D1271" s="5" t="s">
        <v>42</v>
      </c>
      <c r="E1271" s="5" t="s">
        <v>44</v>
      </c>
      <c r="F1271" s="5" t="s">
        <v>442</v>
      </c>
      <c r="G1271" s="8">
        <v>4</v>
      </c>
      <c r="H1271" s="8">
        <v>15202</v>
      </c>
      <c r="I1271" s="5" t="s">
        <v>49</v>
      </c>
      <c r="J1271" s="8">
        <v>4</v>
      </c>
      <c r="K1271" s="8">
        <v>3</v>
      </c>
      <c r="L1271" s="8">
        <v>2</v>
      </c>
      <c r="M12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1" s="8" t="str" cm="1">
        <f t="array" ref="N1271">_xlfn.IFS(HR_Analytics56[[#This Row],[PerformanceRating]]=3,"Good",HR_Analytics56[[#This Row],[PerformanceRating]]=4, "Excellent")</f>
        <v>Excellent</v>
      </c>
      <c r="O1271" s="8" t="str">
        <f>IF(HR_Analytics56[[#This Row],[MonthlyIncome]]&lt;3000,"&lt; ₹3,000",IF(HR_Analytics56[[#This Row],[MonthlyIncome]]&lt;=7000,"₹ 3,000 - ₹ 7,000","&gt; ₹7,000"))</f>
        <v>&gt; ₹7,000</v>
      </c>
      <c r="P1271" s="8" t="str" cm="1">
        <f t="array" ref="P127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72" spans="1:16" x14ac:dyDescent="0.8">
      <c r="A1272" s="5" t="s">
        <v>1344</v>
      </c>
      <c r="B1272" s="8">
        <v>48</v>
      </c>
      <c r="C1272" s="5" t="s">
        <v>40</v>
      </c>
      <c r="D1272" s="5" t="s">
        <v>51</v>
      </c>
      <c r="E1272" s="5" t="s">
        <v>53</v>
      </c>
      <c r="F1272" s="5" t="s">
        <v>54</v>
      </c>
      <c r="G1272" s="8">
        <v>3</v>
      </c>
      <c r="H1272" s="8">
        <v>2655</v>
      </c>
      <c r="I1272" s="5" t="s">
        <v>40</v>
      </c>
      <c r="J1272" s="8">
        <v>3</v>
      </c>
      <c r="K1272" s="8">
        <v>3</v>
      </c>
      <c r="L1272" s="8">
        <v>9</v>
      </c>
      <c r="M12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272" s="8" t="str" cm="1">
        <f t="array" ref="N1272">_xlfn.IFS(HR_Analytics56[[#This Row],[PerformanceRating]]=3,"Good",HR_Analytics56[[#This Row],[PerformanceRating]]=4, "Excellent")</f>
        <v>Good</v>
      </c>
      <c r="O1272" s="8" t="str">
        <f>IF(HR_Analytics56[[#This Row],[MonthlyIncome]]&lt;3000,"&lt; ₹3,000",IF(HR_Analytics56[[#This Row],[MonthlyIncome]]&lt;=7000,"₹ 3,000 - ₹ 7,000","&gt; ₹7,000"))</f>
        <v>&lt; ₹3,000</v>
      </c>
      <c r="P1272" s="8" t="str" cm="1">
        <f t="array" ref="P12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3" spans="1:16" x14ac:dyDescent="0.8">
      <c r="A1273" s="5" t="s">
        <v>1345</v>
      </c>
      <c r="B1273" s="8">
        <v>48</v>
      </c>
      <c r="C1273" s="5" t="s">
        <v>49</v>
      </c>
      <c r="D1273" s="5" t="s">
        <v>42</v>
      </c>
      <c r="E1273" s="5" t="s">
        <v>44</v>
      </c>
      <c r="F1273" s="5" t="s">
        <v>252</v>
      </c>
      <c r="G1273" s="8">
        <v>2</v>
      </c>
      <c r="H1273" s="8">
        <v>19665</v>
      </c>
      <c r="I1273" s="5" t="s">
        <v>49</v>
      </c>
      <c r="J1273" s="8">
        <v>3</v>
      </c>
      <c r="K1273" s="8">
        <v>3</v>
      </c>
      <c r="L1273" s="8">
        <v>22</v>
      </c>
      <c r="M12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3" s="8" t="str" cm="1">
        <f t="array" ref="N1273">_xlfn.IFS(HR_Analytics56[[#This Row],[PerformanceRating]]=3,"Good",HR_Analytics56[[#This Row],[PerformanceRating]]=4, "Excellent")</f>
        <v>Good</v>
      </c>
      <c r="O1273" s="8" t="str">
        <f>IF(HR_Analytics56[[#This Row],[MonthlyIncome]]&lt;3000,"&lt; ₹3,000",IF(HR_Analytics56[[#This Row],[MonthlyIncome]]&lt;=7000,"₹ 3,000 - ₹ 7,000","&gt; ₹7,000"))</f>
        <v>&gt; ₹7,000</v>
      </c>
      <c r="P1273" s="8" t="str" cm="1">
        <f t="array" ref="P12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4" spans="1:16" x14ac:dyDescent="0.8">
      <c r="A1274" s="5" t="s">
        <v>1346</v>
      </c>
      <c r="B1274" s="8">
        <v>48</v>
      </c>
      <c r="C1274" s="5" t="s">
        <v>49</v>
      </c>
      <c r="D1274" s="5" t="s">
        <v>42</v>
      </c>
      <c r="E1274" s="5" t="s">
        <v>53</v>
      </c>
      <c r="F1274" s="5" t="s">
        <v>442</v>
      </c>
      <c r="G1274" s="8">
        <v>4</v>
      </c>
      <c r="H1274" s="8">
        <v>17174</v>
      </c>
      <c r="I1274" s="5" t="s">
        <v>49</v>
      </c>
      <c r="J1274" s="8">
        <v>3</v>
      </c>
      <c r="K1274" s="8">
        <v>3</v>
      </c>
      <c r="L1274" s="8">
        <v>22</v>
      </c>
      <c r="M12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4" s="8" t="str" cm="1">
        <f t="array" ref="N1274">_xlfn.IFS(HR_Analytics56[[#This Row],[PerformanceRating]]=3,"Good",HR_Analytics56[[#This Row],[PerformanceRating]]=4, "Excellent")</f>
        <v>Good</v>
      </c>
      <c r="O1274" s="8" t="str">
        <f>IF(HR_Analytics56[[#This Row],[MonthlyIncome]]&lt;3000,"&lt; ₹3,000",IF(HR_Analytics56[[#This Row],[MonthlyIncome]]&lt;=7000,"₹ 3,000 - ₹ 7,000","&gt; ₹7,000"))</f>
        <v>&gt; ₹7,000</v>
      </c>
      <c r="P1274" s="8" t="str" cm="1">
        <f t="array" ref="P12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5" spans="1:16" x14ac:dyDescent="0.8">
      <c r="A1275" s="5" t="s">
        <v>1347</v>
      </c>
      <c r="B1275" s="8">
        <v>49</v>
      </c>
      <c r="C1275" s="5" t="s">
        <v>49</v>
      </c>
      <c r="D1275" s="5" t="s">
        <v>42</v>
      </c>
      <c r="E1275" s="5" t="s">
        <v>44</v>
      </c>
      <c r="F1275" s="5" t="s">
        <v>60</v>
      </c>
      <c r="G1275" s="8">
        <v>2</v>
      </c>
      <c r="H1275" s="8">
        <v>5130</v>
      </c>
      <c r="I1275" s="5" t="s">
        <v>49</v>
      </c>
      <c r="J1275" s="8">
        <v>4</v>
      </c>
      <c r="K1275" s="8">
        <v>3</v>
      </c>
      <c r="L1275" s="8">
        <v>10</v>
      </c>
      <c r="M12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5" s="8" t="str" cm="1">
        <f t="array" ref="N1275">_xlfn.IFS(HR_Analytics56[[#This Row],[PerformanceRating]]=3,"Good",HR_Analytics56[[#This Row],[PerformanceRating]]=4, "Excellent")</f>
        <v>Excellent</v>
      </c>
      <c r="O1275" s="8" t="str">
        <f>IF(HR_Analytics56[[#This Row],[MonthlyIncome]]&lt;3000,"&lt; ₹3,000",IF(HR_Analytics56[[#This Row],[MonthlyIncome]]&lt;=7000,"₹ 3,000 - ₹ 7,000","&gt; ₹7,000"))</f>
        <v>₹ 3,000 - ₹ 7,000</v>
      </c>
      <c r="P1275" s="8" t="str" cm="1">
        <f t="array" ref="P127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76" spans="1:16" x14ac:dyDescent="0.8">
      <c r="A1276" s="5" t="s">
        <v>1348</v>
      </c>
      <c r="B1276" s="8">
        <v>49</v>
      </c>
      <c r="C1276" s="5" t="s">
        <v>49</v>
      </c>
      <c r="D1276" s="5" t="s">
        <v>42</v>
      </c>
      <c r="E1276" s="5" t="s">
        <v>53</v>
      </c>
      <c r="F1276" s="5" t="s">
        <v>112</v>
      </c>
      <c r="G1276" s="8">
        <v>1</v>
      </c>
      <c r="H1276" s="8">
        <v>6567</v>
      </c>
      <c r="I1276" s="5" t="s">
        <v>49</v>
      </c>
      <c r="J1276" s="8">
        <v>3</v>
      </c>
      <c r="K1276" s="8">
        <v>2</v>
      </c>
      <c r="L1276" s="8">
        <v>15</v>
      </c>
      <c r="M12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76" s="8" t="str" cm="1">
        <f t="array" ref="N1276">_xlfn.IFS(HR_Analytics56[[#This Row],[PerformanceRating]]=3,"Good",HR_Analytics56[[#This Row],[PerformanceRating]]=4, "Excellent")</f>
        <v>Good</v>
      </c>
      <c r="O1276" s="8" t="str">
        <f>IF(HR_Analytics56[[#This Row],[MonthlyIncome]]&lt;3000,"&lt; ₹3,000",IF(HR_Analytics56[[#This Row],[MonthlyIncome]]&lt;=7000,"₹ 3,000 - ₹ 7,000","&gt; ₹7,000"))</f>
        <v>₹ 3,000 - ₹ 7,000</v>
      </c>
      <c r="P1276" s="8" t="str" cm="1">
        <f t="array" ref="P12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7" spans="1:16" x14ac:dyDescent="0.8">
      <c r="A1277" s="5" t="s">
        <v>1349</v>
      </c>
      <c r="B1277" s="8">
        <v>49</v>
      </c>
      <c r="C1277" s="5" t="s">
        <v>49</v>
      </c>
      <c r="D1277" s="5" t="s">
        <v>42</v>
      </c>
      <c r="E1277" s="5" t="s">
        <v>44</v>
      </c>
      <c r="F1277" s="5" t="s">
        <v>112</v>
      </c>
      <c r="G1277" s="8">
        <v>4</v>
      </c>
      <c r="H1277" s="8">
        <v>6804</v>
      </c>
      <c r="I1277" s="5" t="s">
        <v>40</v>
      </c>
      <c r="J1277" s="8">
        <v>3</v>
      </c>
      <c r="K1277" s="8">
        <v>0</v>
      </c>
      <c r="L1277" s="8">
        <v>7</v>
      </c>
      <c r="M12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77" s="8" t="str" cm="1">
        <f t="array" ref="N1277">_xlfn.IFS(HR_Analytics56[[#This Row],[PerformanceRating]]=3,"Good",HR_Analytics56[[#This Row],[PerformanceRating]]=4, "Excellent")</f>
        <v>Good</v>
      </c>
      <c r="O1277" s="8" t="str">
        <f>IF(HR_Analytics56[[#This Row],[MonthlyIncome]]&lt;3000,"&lt; ₹3,000",IF(HR_Analytics56[[#This Row],[MonthlyIncome]]&lt;=7000,"₹ 3,000 - ₹ 7,000","&gt; ₹7,000"))</f>
        <v>₹ 3,000 - ₹ 7,000</v>
      </c>
      <c r="P1277" s="8" t="str" cm="1">
        <f t="array" ref="P12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8" spans="1:16" x14ac:dyDescent="0.8">
      <c r="A1278" s="5" t="s">
        <v>1350</v>
      </c>
      <c r="B1278" s="8">
        <v>49</v>
      </c>
      <c r="C1278" s="5" t="s">
        <v>49</v>
      </c>
      <c r="D1278" s="5" t="s">
        <v>42</v>
      </c>
      <c r="E1278" s="5" t="s">
        <v>53</v>
      </c>
      <c r="F1278" s="5" t="s">
        <v>252</v>
      </c>
      <c r="G1278" s="8">
        <v>1</v>
      </c>
      <c r="H1278" s="8">
        <v>18665</v>
      </c>
      <c r="I1278" s="5" t="s">
        <v>40</v>
      </c>
      <c r="J1278" s="8">
        <v>3</v>
      </c>
      <c r="K1278" s="8">
        <v>4</v>
      </c>
      <c r="L1278" s="8">
        <v>3</v>
      </c>
      <c r="M12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78" s="8" t="str" cm="1">
        <f t="array" ref="N1278">_xlfn.IFS(HR_Analytics56[[#This Row],[PerformanceRating]]=3,"Good",HR_Analytics56[[#This Row],[PerformanceRating]]=4, "Excellent")</f>
        <v>Good</v>
      </c>
      <c r="O1278" s="8" t="str">
        <f>IF(HR_Analytics56[[#This Row],[MonthlyIncome]]&lt;3000,"&lt; ₹3,000",IF(HR_Analytics56[[#This Row],[MonthlyIncome]]&lt;=7000,"₹ 3,000 - ₹ 7,000","&gt; ₹7,000"))</f>
        <v>&gt; ₹7,000</v>
      </c>
      <c r="P1278" s="8" t="str" cm="1">
        <f t="array" ref="P12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79" spans="1:16" x14ac:dyDescent="0.8">
      <c r="A1279" s="5" t="s">
        <v>1351</v>
      </c>
      <c r="B1279" s="8">
        <v>49</v>
      </c>
      <c r="C1279" s="5" t="s">
        <v>49</v>
      </c>
      <c r="D1279" s="5" t="s">
        <v>42</v>
      </c>
      <c r="E1279" s="5" t="s">
        <v>53</v>
      </c>
      <c r="F1279" s="5" t="s">
        <v>161</v>
      </c>
      <c r="G1279" s="8">
        <v>3</v>
      </c>
      <c r="H1279" s="8">
        <v>13964</v>
      </c>
      <c r="I1279" s="5" t="s">
        <v>40</v>
      </c>
      <c r="J1279" s="8">
        <v>3</v>
      </c>
      <c r="K1279" s="8">
        <v>2</v>
      </c>
      <c r="L1279" s="8">
        <v>7</v>
      </c>
      <c r="M12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79" s="8" t="str" cm="1">
        <f t="array" ref="N1279">_xlfn.IFS(HR_Analytics56[[#This Row],[PerformanceRating]]=3,"Good",HR_Analytics56[[#This Row],[PerformanceRating]]=4, "Excellent")</f>
        <v>Good</v>
      </c>
      <c r="O1279" s="8" t="str">
        <f>IF(HR_Analytics56[[#This Row],[MonthlyIncome]]&lt;3000,"&lt; ₹3,000",IF(HR_Analytics56[[#This Row],[MonthlyIncome]]&lt;=7000,"₹ 3,000 - ₹ 7,000","&gt; ₹7,000"))</f>
        <v>&gt; ₹7,000</v>
      </c>
      <c r="P1279" s="8" t="str" cm="1">
        <f t="array" ref="P12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0" spans="1:16" x14ac:dyDescent="0.8">
      <c r="A1280" s="5" t="s">
        <v>1352</v>
      </c>
      <c r="B1280" s="8">
        <v>49</v>
      </c>
      <c r="C1280" s="5" t="s">
        <v>49</v>
      </c>
      <c r="D1280" s="5" t="s">
        <v>42</v>
      </c>
      <c r="E1280" s="5" t="s">
        <v>44</v>
      </c>
      <c r="F1280" s="5" t="s">
        <v>161</v>
      </c>
      <c r="G1280" s="8">
        <v>3</v>
      </c>
      <c r="H1280" s="8">
        <v>10965</v>
      </c>
      <c r="I1280" s="5" t="s">
        <v>49</v>
      </c>
      <c r="J1280" s="8">
        <v>4</v>
      </c>
      <c r="K1280" s="8">
        <v>2</v>
      </c>
      <c r="L1280" s="8">
        <v>5</v>
      </c>
      <c r="M12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0" s="8" t="str" cm="1">
        <f t="array" ref="N1280">_xlfn.IFS(HR_Analytics56[[#This Row],[PerformanceRating]]=3,"Good",HR_Analytics56[[#This Row],[PerformanceRating]]=4, "Excellent")</f>
        <v>Excellent</v>
      </c>
      <c r="O1280" s="8" t="str">
        <f>IF(HR_Analytics56[[#This Row],[MonthlyIncome]]&lt;3000,"&lt; ₹3,000",IF(HR_Analytics56[[#This Row],[MonthlyIncome]]&lt;=7000,"₹ 3,000 - ₹ 7,000","&gt; ₹7,000"))</f>
        <v>&gt; ₹7,000</v>
      </c>
      <c r="P1280" s="8" t="str" cm="1">
        <f t="array" ref="P12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1" spans="1:16" x14ac:dyDescent="0.8">
      <c r="A1281" s="5" t="s">
        <v>1353</v>
      </c>
      <c r="B1281" s="8">
        <v>49</v>
      </c>
      <c r="C1281" s="5" t="s">
        <v>49</v>
      </c>
      <c r="D1281" s="5" t="s">
        <v>42</v>
      </c>
      <c r="E1281" s="5" t="s">
        <v>44</v>
      </c>
      <c r="F1281" s="5" t="s">
        <v>252</v>
      </c>
      <c r="G1281" s="8">
        <v>3</v>
      </c>
      <c r="H1281" s="8">
        <v>19502</v>
      </c>
      <c r="I1281" s="5" t="s">
        <v>40</v>
      </c>
      <c r="J1281" s="8">
        <v>3</v>
      </c>
      <c r="K1281" s="8">
        <v>5</v>
      </c>
      <c r="L1281" s="8">
        <v>31</v>
      </c>
      <c r="M12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81" s="8" t="str" cm="1">
        <f t="array" ref="N1281">_xlfn.IFS(HR_Analytics56[[#This Row],[PerformanceRating]]=3,"Good",HR_Analytics56[[#This Row],[PerformanceRating]]=4, "Excellent")</f>
        <v>Good</v>
      </c>
      <c r="O1281" s="8" t="str">
        <f>IF(HR_Analytics56[[#This Row],[MonthlyIncome]]&lt;3000,"&lt; ₹3,000",IF(HR_Analytics56[[#This Row],[MonthlyIncome]]&lt;=7000,"₹ 3,000 - ₹ 7,000","&gt; ₹7,000"))</f>
        <v>&gt; ₹7,000</v>
      </c>
      <c r="P1281" s="8" t="str" cm="1">
        <f t="array" ref="P12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2" spans="1:16" x14ac:dyDescent="0.8">
      <c r="A1282" s="5" t="s">
        <v>1354</v>
      </c>
      <c r="B1282" s="8">
        <v>49</v>
      </c>
      <c r="C1282" s="5" t="s">
        <v>40</v>
      </c>
      <c r="D1282" s="5" t="s">
        <v>51</v>
      </c>
      <c r="E1282" s="5" t="s">
        <v>53</v>
      </c>
      <c r="F1282" s="5" t="s">
        <v>137</v>
      </c>
      <c r="G1282" s="8">
        <v>4</v>
      </c>
      <c r="H1282" s="8">
        <v>7654</v>
      </c>
      <c r="I1282" s="5" t="s">
        <v>49</v>
      </c>
      <c r="J1282" s="8">
        <v>3</v>
      </c>
      <c r="K1282" s="8">
        <v>3</v>
      </c>
      <c r="L1282" s="8">
        <v>9</v>
      </c>
      <c r="M12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82" s="8" t="str" cm="1">
        <f t="array" ref="N1282">_xlfn.IFS(HR_Analytics56[[#This Row],[PerformanceRating]]=3,"Good",HR_Analytics56[[#This Row],[PerformanceRating]]=4, "Excellent")</f>
        <v>Good</v>
      </c>
      <c r="O1282" s="8" t="str">
        <f>IF(HR_Analytics56[[#This Row],[MonthlyIncome]]&lt;3000,"&lt; ₹3,000",IF(HR_Analytics56[[#This Row],[MonthlyIncome]]&lt;=7000,"₹ 3,000 - ₹ 7,000","&gt; ₹7,000"))</f>
        <v>&gt; ₹7,000</v>
      </c>
      <c r="P1282" s="8" t="str" cm="1">
        <f t="array" ref="P12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3" spans="1:16" x14ac:dyDescent="0.8">
      <c r="A1283" s="5" t="s">
        <v>1355</v>
      </c>
      <c r="B1283" s="8">
        <v>49</v>
      </c>
      <c r="C1283" s="5" t="s">
        <v>49</v>
      </c>
      <c r="D1283" s="5" t="s">
        <v>42</v>
      </c>
      <c r="E1283" s="5" t="s">
        <v>53</v>
      </c>
      <c r="F1283" s="5" t="s">
        <v>60</v>
      </c>
      <c r="G1283" s="8">
        <v>1</v>
      </c>
      <c r="H1283" s="8">
        <v>3580</v>
      </c>
      <c r="I1283" s="5" t="s">
        <v>49</v>
      </c>
      <c r="J1283" s="8">
        <v>3</v>
      </c>
      <c r="K1283" s="8">
        <v>2</v>
      </c>
      <c r="L1283" s="8">
        <v>4</v>
      </c>
      <c r="M12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3" s="8" t="str" cm="1">
        <f t="array" ref="N1283">_xlfn.IFS(HR_Analytics56[[#This Row],[PerformanceRating]]=3,"Good",HR_Analytics56[[#This Row],[PerformanceRating]]=4, "Excellent")</f>
        <v>Good</v>
      </c>
      <c r="O1283" s="8" t="str">
        <f>IF(HR_Analytics56[[#This Row],[MonthlyIncome]]&lt;3000,"&lt; ₹3,000",IF(HR_Analytics56[[#This Row],[MonthlyIncome]]&lt;=7000,"₹ 3,000 - ₹ 7,000","&gt; ₹7,000"))</f>
        <v>₹ 3,000 - ₹ 7,000</v>
      </c>
      <c r="P1283" s="8" t="str" cm="1">
        <f t="array" ref="P12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4" spans="1:16" x14ac:dyDescent="0.8">
      <c r="A1284" s="5" t="s">
        <v>1356</v>
      </c>
      <c r="B1284" s="8">
        <v>49</v>
      </c>
      <c r="C1284" s="5" t="s">
        <v>49</v>
      </c>
      <c r="D1284" s="5" t="s">
        <v>42</v>
      </c>
      <c r="E1284" s="5" t="s">
        <v>53</v>
      </c>
      <c r="F1284" s="5" t="s">
        <v>45</v>
      </c>
      <c r="G1284" s="8">
        <v>2</v>
      </c>
      <c r="H1284" s="8">
        <v>7403</v>
      </c>
      <c r="I1284" s="5" t="s">
        <v>49</v>
      </c>
      <c r="J1284" s="8">
        <v>3</v>
      </c>
      <c r="K1284" s="8">
        <v>3</v>
      </c>
      <c r="L1284" s="8">
        <v>26</v>
      </c>
      <c r="M12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4" s="8" t="str" cm="1">
        <f t="array" ref="N1284">_xlfn.IFS(HR_Analytics56[[#This Row],[PerformanceRating]]=3,"Good",HR_Analytics56[[#This Row],[PerformanceRating]]=4, "Excellent")</f>
        <v>Good</v>
      </c>
      <c r="O1284" s="8" t="str">
        <f>IF(HR_Analytics56[[#This Row],[MonthlyIncome]]&lt;3000,"&lt; ₹3,000",IF(HR_Analytics56[[#This Row],[MonthlyIncome]]&lt;=7000,"₹ 3,000 - ₹ 7,000","&gt; ₹7,000"))</f>
        <v>&gt; ₹7,000</v>
      </c>
      <c r="P1284" s="8" t="str" cm="1">
        <f t="array" ref="P12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5" spans="1:16" x14ac:dyDescent="0.8">
      <c r="A1285" s="5" t="s">
        <v>1357</v>
      </c>
      <c r="B1285" s="8">
        <v>49</v>
      </c>
      <c r="C1285" s="5" t="s">
        <v>49</v>
      </c>
      <c r="D1285" s="5" t="s">
        <v>51</v>
      </c>
      <c r="E1285" s="5" t="s">
        <v>44</v>
      </c>
      <c r="F1285" s="5" t="s">
        <v>137</v>
      </c>
      <c r="G1285" s="8">
        <v>2</v>
      </c>
      <c r="H1285" s="8">
        <v>13120</v>
      </c>
      <c r="I1285" s="5" t="s">
        <v>49</v>
      </c>
      <c r="J1285" s="8">
        <v>3</v>
      </c>
      <c r="K1285" s="8">
        <v>3</v>
      </c>
      <c r="L1285" s="8">
        <v>9</v>
      </c>
      <c r="M12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5" s="8" t="str" cm="1">
        <f t="array" ref="N1285">_xlfn.IFS(HR_Analytics56[[#This Row],[PerformanceRating]]=3,"Good",HR_Analytics56[[#This Row],[PerformanceRating]]=4, "Excellent")</f>
        <v>Good</v>
      </c>
      <c r="O1285" s="8" t="str">
        <f>IF(HR_Analytics56[[#This Row],[MonthlyIncome]]&lt;3000,"&lt; ₹3,000",IF(HR_Analytics56[[#This Row],[MonthlyIncome]]&lt;=7000,"₹ 3,000 - ₹ 7,000","&gt; ₹7,000"))</f>
        <v>&gt; ₹7,000</v>
      </c>
      <c r="P1285" s="8" t="str" cm="1">
        <f t="array" ref="P12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6" spans="1:16" x14ac:dyDescent="0.8">
      <c r="A1286" s="5" t="s">
        <v>1358</v>
      </c>
      <c r="B1286" s="8">
        <v>49</v>
      </c>
      <c r="C1286" s="5" t="s">
        <v>49</v>
      </c>
      <c r="D1286" s="5" t="s">
        <v>42</v>
      </c>
      <c r="E1286" s="5" t="s">
        <v>44</v>
      </c>
      <c r="F1286" s="5" t="s">
        <v>442</v>
      </c>
      <c r="G1286" s="8">
        <v>3</v>
      </c>
      <c r="H1286" s="8">
        <v>18711</v>
      </c>
      <c r="I1286" s="5" t="s">
        <v>49</v>
      </c>
      <c r="J1286" s="8">
        <v>3</v>
      </c>
      <c r="K1286" s="8">
        <v>2</v>
      </c>
      <c r="L1286" s="8">
        <v>1</v>
      </c>
      <c r="M12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6" s="8" t="str" cm="1">
        <f t="array" ref="N1286">_xlfn.IFS(HR_Analytics56[[#This Row],[PerformanceRating]]=3,"Good",HR_Analytics56[[#This Row],[PerformanceRating]]=4, "Excellent")</f>
        <v>Good</v>
      </c>
      <c r="O1286" s="8" t="str">
        <f>IF(HR_Analytics56[[#This Row],[MonthlyIncome]]&lt;3000,"&lt; ₹3,000",IF(HR_Analytics56[[#This Row],[MonthlyIncome]]&lt;=7000,"₹ 3,000 - ₹ 7,000","&gt; ₹7,000"))</f>
        <v>&gt; ₹7,000</v>
      </c>
      <c r="P1286" s="8" t="str" cm="1">
        <f t="array" ref="P12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7" spans="1:16" x14ac:dyDescent="0.8">
      <c r="A1287" s="5" t="s">
        <v>1359</v>
      </c>
      <c r="B1287" s="8">
        <v>49</v>
      </c>
      <c r="C1287" s="5" t="s">
        <v>40</v>
      </c>
      <c r="D1287" s="5" t="s">
        <v>42</v>
      </c>
      <c r="E1287" s="5" t="s">
        <v>44</v>
      </c>
      <c r="F1287" s="5" t="s">
        <v>45</v>
      </c>
      <c r="G1287" s="8">
        <v>1</v>
      </c>
      <c r="H1287" s="8">
        <v>4284</v>
      </c>
      <c r="I1287" s="5" t="s">
        <v>49</v>
      </c>
      <c r="J1287" s="8">
        <v>4</v>
      </c>
      <c r="K1287" s="8">
        <v>2</v>
      </c>
      <c r="L1287" s="8">
        <v>4</v>
      </c>
      <c r="M12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87" s="8" t="str" cm="1">
        <f t="array" ref="N1287">_xlfn.IFS(HR_Analytics56[[#This Row],[PerformanceRating]]=3,"Good",HR_Analytics56[[#This Row],[PerformanceRating]]=4, "Excellent")</f>
        <v>Excellent</v>
      </c>
      <c r="O1287" s="8" t="str">
        <f>IF(HR_Analytics56[[#This Row],[MonthlyIncome]]&lt;3000,"&lt; ₹3,000",IF(HR_Analytics56[[#This Row],[MonthlyIncome]]&lt;=7000,"₹ 3,000 - ₹ 7,000","&gt; ₹7,000"))</f>
        <v>₹ 3,000 - ₹ 7,000</v>
      </c>
      <c r="P1287" s="8" t="str" cm="1">
        <f t="array" ref="P12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8" spans="1:16" x14ac:dyDescent="0.8">
      <c r="A1288" s="5" t="s">
        <v>1360</v>
      </c>
      <c r="B1288" s="8">
        <v>49</v>
      </c>
      <c r="C1288" s="5" t="s">
        <v>49</v>
      </c>
      <c r="D1288" s="5" t="s">
        <v>42</v>
      </c>
      <c r="E1288" s="5" t="s">
        <v>44</v>
      </c>
      <c r="F1288" s="5" t="s">
        <v>161</v>
      </c>
      <c r="G1288" s="8">
        <v>3</v>
      </c>
      <c r="H1288" s="8">
        <v>6651</v>
      </c>
      <c r="I1288" s="5" t="s">
        <v>49</v>
      </c>
      <c r="J1288" s="8">
        <v>3</v>
      </c>
      <c r="K1288" s="8">
        <v>0</v>
      </c>
      <c r="L1288" s="8">
        <v>3</v>
      </c>
      <c r="M12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8" s="8" t="str" cm="1">
        <f t="array" ref="N1288">_xlfn.IFS(HR_Analytics56[[#This Row],[PerformanceRating]]=3,"Good",HR_Analytics56[[#This Row],[PerformanceRating]]=4, "Excellent")</f>
        <v>Good</v>
      </c>
      <c r="O1288" s="8" t="str">
        <f>IF(HR_Analytics56[[#This Row],[MonthlyIncome]]&lt;3000,"&lt; ₹3,000",IF(HR_Analytics56[[#This Row],[MonthlyIncome]]&lt;=7000,"₹ 3,000 - ₹ 7,000","&gt; ₹7,000"))</f>
        <v>₹ 3,000 - ₹ 7,000</v>
      </c>
      <c r="P1288" s="8" t="str" cm="1">
        <f t="array" ref="P12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89" spans="1:16" x14ac:dyDescent="0.8">
      <c r="A1289" s="5" t="s">
        <v>1361</v>
      </c>
      <c r="B1289" s="8">
        <v>49</v>
      </c>
      <c r="C1289" s="5" t="s">
        <v>49</v>
      </c>
      <c r="D1289" s="5" t="s">
        <v>42</v>
      </c>
      <c r="E1289" s="5" t="s">
        <v>44</v>
      </c>
      <c r="F1289" s="5" t="s">
        <v>161</v>
      </c>
      <c r="G1289" s="8">
        <v>2</v>
      </c>
      <c r="H1289" s="8">
        <v>10466</v>
      </c>
      <c r="I1289" s="5" t="s">
        <v>49</v>
      </c>
      <c r="J1289" s="8">
        <v>3</v>
      </c>
      <c r="K1289" s="8">
        <v>3</v>
      </c>
      <c r="L1289" s="8">
        <v>8</v>
      </c>
      <c r="M12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89" s="8" t="str" cm="1">
        <f t="array" ref="N1289">_xlfn.IFS(HR_Analytics56[[#This Row],[PerformanceRating]]=3,"Good",HR_Analytics56[[#This Row],[PerformanceRating]]=4, "Excellent")</f>
        <v>Good</v>
      </c>
      <c r="O1289" s="8" t="str">
        <f>IF(HR_Analytics56[[#This Row],[MonthlyIncome]]&lt;3000,"&lt; ₹3,000",IF(HR_Analytics56[[#This Row],[MonthlyIncome]]&lt;=7000,"₹ 3,000 - ₹ 7,000","&gt; ₹7,000"))</f>
        <v>&gt; ₹7,000</v>
      </c>
      <c r="P1289" s="8" t="str" cm="1">
        <f t="array" ref="P12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0" spans="1:16" x14ac:dyDescent="0.8">
      <c r="A1290" s="5" t="s">
        <v>1362</v>
      </c>
      <c r="B1290" s="8">
        <v>49</v>
      </c>
      <c r="C1290" s="5" t="s">
        <v>49</v>
      </c>
      <c r="D1290" s="5" t="s">
        <v>42</v>
      </c>
      <c r="E1290" s="5" t="s">
        <v>53</v>
      </c>
      <c r="F1290" s="5" t="s">
        <v>45</v>
      </c>
      <c r="G1290" s="8">
        <v>1</v>
      </c>
      <c r="H1290" s="8">
        <v>4789</v>
      </c>
      <c r="I1290" s="5" t="s">
        <v>49</v>
      </c>
      <c r="J1290" s="8">
        <v>4</v>
      </c>
      <c r="K1290" s="8">
        <v>3</v>
      </c>
      <c r="L1290" s="8">
        <v>3</v>
      </c>
      <c r="M12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0" s="8" t="str" cm="1">
        <f t="array" ref="N1290">_xlfn.IFS(HR_Analytics56[[#This Row],[PerformanceRating]]=3,"Good",HR_Analytics56[[#This Row],[PerformanceRating]]=4, "Excellent")</f>
        <v>Excellent</v>
      </c>
      <c r="O1290" s="8" t="str">
        <f>IF(HR_Analytics56[[#This Row],[MonthlyIncome]]&lt;3000,"&lt; ₹3,000",IF(HR_Analytics56[[#This Row],[MonthlyIncome]]&lt;=7000,"₹ 3,000 - ₹ 7,000","&gt; ₹7,000"))</f>
        <v>₹ 3,000 - ₹ 7,000</v>
      </c>
      <c r="P1290" s="8" t="str" cm="1">
        <f t="array" ref="P129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291" spans="1:16" x14ac:dyDescent="0.8">
      <c r="A1291" s="5" t="s">
        <v>1363</v>
      </c>
      <c r="B1291" s="8">
        <v>49</v>
      </c>
      <c r="C1291" s="5" t="s">
        <v>49</v>
      </c>
      <c r="D1291" s="5" t="s">
        <v>42</v>
      </c>
      <c r="E1291" s="5" t="s">
        <v>53</v>
      </c>
      <c r="F1291" s="5" t="s">
        <v>45</v>
      </c>
      <c r="G1291" s="8">
        <v>1</v>
      </c>
      <c r="H1291" s="8">
        <v>3211</v>
      </c>
      <c r="I1291" s="5" t="s">
        <v>49</v>
      </c>
      <c r="J1291" s="8">
        <v>3</v>
      </c>
      <c r="K1291" s="8">
        <v>3</v>
      </c>
      <c r="L1291" s="8">
        <v>9</v>
      </c>
      <c r="M12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1" s="8" t="str" cm="1">
        <f t="array" ref="N1291">_xlfn.IFS(HR_Analytics56[[#This Row],[PerformanceRating]]=3,"Good",HR_Analytics56[[#This Row],[PerformanceRating]]=4, "Excellent")</f>
        <v>Good</v>
      </c>
      <c r="O1291" s="8" t="str">
        <f>IF(HR_Analytics56[[#This Row],[MonthlyIncome]]&lt;3000,"&lt; ₹3,000",IF(HR_Analytics56[[#This Row],[MonthlyIncome]]&lt;=7000,"₹ 3,000 - ₹ 7,000","&gt; ₹7,000"))</f>
        <v>₹ 3,000 - ₹ 7,000</v>
      </c>
      <c r="P1291" s="8" t="str" cm="1">
        <f t="array" ref="P12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2" spans="1:16" x14ac:dyDescent="0.8">
      <c r="A1292" s="5" t="s">
        <v>1364</v>
      </c>
      <c r="B1292" s="8">
        <v>49</v>
      </c>
      <c r="C1292" s="5" t="s">
        <v>49</v>
      </c>
      <c r="D1292" s="5" t="s">
        <v>42</v>
      </c>
      <c r="E1292" s="5" t="s">
        <v>53</v>
      </c>
      <c r="F1292" s="5" t="s">
        <v>252</v>
      </c>
      <c r="G1292" s="8">
        <v>2</v>
      </c>
      <c r="H1292" s="8">
        <v>16413</v>
      </c>
      <c r="I1292" s="5" t="s">
        <v>49</v>
      </c>
      <c r="J1292" s="8">
        <v>3</v>
      </c>
      <c r="K1292" s="8">
        <v>2</v>
      </c>
      <c r="L1292" s="8">
        <v>4</v>
      </c>
      <c r="M12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2" s="8" t="str" cm="1">
        <f t="array" ref="N1292">_xlfn.IFS(HR_Analytics56[[#This Row],[PerformanceRating]]=3,"Good",HR_Analytics56[[#This Row],[PerformanceRating]]=4, "Excellent")</f>
        <v>Good</v>
      </c>
      <c r="O1292" s="8" t="str">
        <f>IF(HR_Analytics56[[#This Row],[MonthlyIncome]]&lt;3000,"&lt; ₹3,000",IF(HR_Analytics56[[#This Row],[MonthlyIncome]]&lt;=7000,"₹ 3,000 - ₹ 7,000","&gt; ₹7,000"))</f>
        <v>&gt; ₹7,000</v>
      </c>
      <c r="P1292" s="8" t="str" cm="1">
        <f t="array" ref="P12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3" spans="1:16" x14ac:dyDescent="0.8">
      <c r="A1293" s="5" t="s">
        <v>1365</v>
      </c>
      <c r="B1293" s="8">
        <v>49</v>
      </c>
      <c r="C1293" s="5" t="s">
        <v>49</v>
      </c>
      <c r="D1293" s="5" t="s">
        <v>42</v>
      </c>
      <c r="E1293" s="5" t="s">
        <v>53</v>
      </c>
      <c r="F1293" s="5" t="s">
        <v>161</v>
      </c>
      <c r="G1293" s="8">
        <v>3</v>
      </c>
      <c r="H1293" s="8">
        <v>13966</v>
      </c>
      <c r="I1293" s="5" t="s">
        <v>40</v>
      </c>
      <c r="J1293" s="8">
        <v>3</v>
      </c>
      <c r="K1293" s="8">
        <v>3</v>
      </c>
      <c r="L1293" s="8">
        <v>15</v>
      </c>
      <c r="M12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93" s="8" t="str" cm="1">
        <f t="array" ref="N1293">_xlfn.IFS(HR_Analytics56[[#This Row],[PerformanceRating]]=3,"Good",HR_Analytics56[[#This Row],[PerformanceRating]]=4, "Excellent")</f>
        <v>Good</v>
      </c>
      <c r="O1293" s="8" t="str">
        <f>IF(HR_Analytics56[[#This Row],[MonthlyIncome]]&lt;3000,"&lt; ₹3,000",IF(HR_Analytics56[[#This Row],[MonthlyIncome]]&lt;=7000,"₹ 3,000 - ₹ 7,000","&gt; ₹7,000"))</f>
        <v>&gt; ₹7,000</v>
      </c>
      <c r="P1293" s="8" t="str" cm="1">
        <f t="array" ref="P12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4" spans="1:16" x14ac:dyDescent="0.8">
      <c r="A1294" s="5" t="s">
        <v>1366</v>
      </c>
      <c r="B1294" s="8">
        <v>49</v>
      </c>
      <c r="C1294" s="5" t="s">
        <v>49</v>
      </c>
      <c r="D1294" s="5" t="s">
        <v>42</v>
      </c>
      <c r="E1294" s="5" t="s">
        <v>53</v>
      </c>
      <c r="F1294" s="5" t="s">
        <v>45</v>
      </c>
      <c r="G1294" s="8">
        <v>1</v>
      </c>
      <c r="H1294" s="8">
        <v>2587</v>
      </c>
      <c r="I1294" s="5" t="s">
        <v>40</v>
      </c>
      <c r="J1294" s="8">
        <v>3</v>
      </c>
      <c r="K1294" s="8">
        <v>2</v>
      </c>
      <c r="L1294" s="8">
        <v>2</v>
      </c>
      <c r="M12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294" s="8" t="str" cm="1">
        <f t="array" ref="N1294">_xlfn.IFS(HR_Analytics56[[#This Row],[PerformanceRating]]=3,"Good",HR_Analytics56[[#This Row],[PerformanceRating]]=4, "Excellent")</f>
        <v>Good</v>
      </c>
      <c r="O1294" s="8" t="str">
        <f>IF(HR_Analytics56[[#This Row],[MonthlyIncome]]&lt;3000,"&lt; ₹3,000",IF(HR_Analytics56[[#This Row],[MonthlyIncome]]&lt;=7000,"₹ 3,000 - ₹ 7,000","&gt; ₹7,000"))</f>
        <v>&lt; ₹3,000</v>
      </c>
      <c r="P1294" s="8" t="str" cm="1">
        <f t="array" ref="P12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5" spans="1:16" x14ac:dyDescent="0.8">
      <c r="A1295" s="5" t="s">
        <v>1367</v>
      </c>
      <c r="B1295" s="8">
        <v>49</v>
      </c>
      <c r="C1295" s="5" t="s">
        <v>49</v>
      </c>
      <c r="D1295" s="5" t="s">
        <v>42</v>
      </c>
      <c r="E1295" s="5" t="s">
        <v>44</v>
      </c>
      <c r="F1295" s="5" t="s">
        <v>442</v>
      </c>
      <c r="G1295" s="8">
        <v>3</v>
      </c>
      <c r="H1295" s="8">
        <v>15379</v>
      </c>
      <c r="I1295" s="5" t="s">
        <v>49</v>
      </c>
      <c r="J1295" s="8">
        <v>3</v>
      </c>
      <c r="K1295" s="8">
        <v>2</v>
      </c>
      <c r="L1295" s="8">
        <v>8</v>
      </c>
      <c r="M12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5" s="8" t="str" cm="1">
        <f t="array" ref="N1295">_xlfn.IFS(HR_Analytics56[[#This Row],[PerformanceRating]]=3,"Good",HR_Analytics56[[#This Row],[PerformanceRating]]=4, "Excellent")</f>
        <v>Good</v>
      </c>
      <c r="O1295" s="8" t="str">
        <f>IF(HR_Analytics56[[#This Row],[MonthlyIncome]]&lt;3000,"&lt; ₹3,000",IF(HR_Analytics56[[#This Row],[MonthlyIncome]]&lt;=7000,"₹ 3,000 - ₹ 7,000","&gt; ₹7,000"))</f>
        <v>&gt; ₹7,000</v>
      </c>
      <c r="P1295" s="8" t="str" cm="1">
        <f t="array" ref="P12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6" spans="1:16" x14ac:dyDescent="0.8">
      <c r="A1296" s="5" t="s">
        <v>1368</v>
      </c>
      <c r="B1296" s="8">
        <v>49</v>
      </c>
      <c r="C1296" s="5" t="s">
        <v>49</v>
      </c>
      <c r="D1296" s="5" t="s">
        <v>51</v>
      </c>
      <c r="E1296" s="5" t="s">
        <v>53</v>
      </c>
      <c r="F1296" s="5" t="s">
        <v>137</v>
      </c>
      <c r="G1296" s="8">
        <v>4</v>
      </c>
      <c r="H1296" s="8">
        <v>4507</v>
      </c>
      <c r="I1296" s="5" t="s">
        <v>49</v>
      </c>
      <c r="J1296" s="8">
        <v>3</v>
      </c>
      <c r="K1296" s="8">
        <v>1</v>
      </c>
      <c r="L1296" s="8">
        <v>5</v>
      </c>
      <c r="M12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6" s="8" t="str" cm="1">
        <f t="array" ref="N1296">_xlfn.IFS(HR_Analytics56[[#This Row],[PerformanceRating]]=3,"Good",HR_Analytics56[[#This Row],[PerformanceRating]]=4, "Excellent")</f>
        <v>Good</v>
      </c>
      <c r="O1296" s="8" t="str">
        <f>IF(HR_Analytics56[[#This Row],[MonthlyIncome]]&lt;3000,"&lt; ₹3,000",IF(HR_Analytics56[[#This Row],[MonthlyIncome]]&lt;=7000,"₹ 3,000 - ₹ 7,000","&gt; ₹7,000"))</f>
        <v>₹ 3,000 - ₹ 7,000</v>
      </c>
      <c r="P1296" s="8" t="str" cm="1">
        <f t="array" ref="P12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7" spans="1:16" x14ac:dyDescent="0.8">
      <c r="A1297" s="5" t="s">
        <v>1369</v>
      </c>
      <c r="B1297" s="8">
        <v>49</v>
      </c>
      <c r="C1297" s="5" t="s">
        <v>49</v>
      </c>
      <c r="D1297" s="5" t="s">
        <v>42</v>
      </c>
      <c r="E1297" s="5" t="s">
        <v>44</v>
      </c>
      <c r="F1297" s="5" t="s">
        <v>252</v>
      </c>
      <c r="G1297" s="8">
        <v>4</v>
      </c>
      <c r="H1297" s="8">
        <v>19161</v>
      </c>
      <c r="I1297" s="5" t="s">
        <v>49</v>
      </c>
      <c r="J1297" s="8">
        <v>3</v>
      </c>
      <c r="K1297" s="8">
        <v>3</v>
      </c>
      <c r="L1297" s="8">
        <v>5</v>
      </c>
      <c r="M12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7" s="8" t="str" cm="1">
        <f t="array" ref="N1297">_xlfn.IFS(HR_Analytics56[[#This Row],[PerformanceRating]]=3,"Good",HR_Analytics56[[#This Row],[PerformanceRating]]=4, "Excellent")</f>
        <v>Good</v>
      </c>
      <c r="O1297" s="8" t="str">
        <f>IF(HR_Analytics56[[#This Row],[MonthlyIncome]]&lt;3000,"&lt; ₹3,000",IF(HR_Analytics56[[#This Row],[MonthlyIncome]]&lt;=7000,"₹ 3,000 - ₹ 7,000","&gt; ₹7,000"))</f>
        <v>&gt; ₹7,000</v>
      </c>
      <c r="P1297" s="8" t="str" cm="1">
        <f t="array" ref="P12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8" spans="1:16" x14ac:dyDescent="0.8">
      <c r="A1298" s="5" t="s">
        <v>1370</v>
      </c>
      <c r="B1298" s="8">
        <v>49</v>
      </c>
      <c r="C1298" s="5" t="s">
        <v>49</v>
      </c>
      <c r="D1298" s="5" t="s">
        <v>51</v>
      </c>
      <c r="E1298" s="5" t="s">
        <v>44</v>
      </c>
      <c r="F1298" s="5" t="s">
        <v>137</v>
      </c>
      <c r="G1298" s="8">
        <v>2</v>
      </c>
      <c r="H1298" s="8">
        <v>5390</v>
      </c>
      <c r="I1298" s="5" t="s">
        <v>49</v>
      </c>
      <c r="J1298" s="8">
        <v>3</v>
      </c>
      <c r="K1298" s="8">
        <v>3</v>
      </c>
      <c r="L1298" s="8">
        <v>9</v>
      </c>
      <c r="M12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298" s="8" t="str" cm="1">
        <f t="array" ref="N1298">_xlfn.IFS(HR_Analytics56[[#This Row],[PerformanceRating]]=3,"Good",HR_Analytics56[[#This Row],[PerformanceRating]]=4, "Excellent")</f>
        <v>Good</v>
      </c>
      <c r="O1298" s="8" t="str">
        <f>IF(HR_Analytics56[[#This Row],[MonthlyIncome]]&lt;3000,"&lt; ₹3,000",IF(HR_Analytics56[[#This Row],[MonthlyIncome]]&lt;=7000,"₹ 3,000 - ₹ 7,000","&gt; ₹7,000"))</f>
        <v>₹ 3,000 - ₹ 7,000</v>
      </c>
      <c r="P1298" s="8" t="str" cm="1">
        <f t="array" ref="P12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299" spans="1:16" x14ac:dyDescent="0.8">
      <c r="A1299" s="5" t="s">
        <v>1371</v>
      </c>
      <c r="B1299" s="8">
        <v>50</v>
      </c>
      <c r="C1299" s="5" t="s">
        <v>40</v>
      </c>
      <c r="D1299" s="5" t="s">
        <v>51</v>
      </c>
      <c r="E1299" s="5" t="s">
        <v>44</v>
      </c>
      <c r="F1299" s="5" t="s">
        <v>54</v>
      </c>
      <c r="G1299" s="8">
        <v>3</v>
      </c>
      <c r="H1299" s="8">
        <v>2683</v>
      </c>
      <c r="I1299" s="5" t="s">
        <v>40</v>
      </c>
      <c r="J1299" s="8">
        <v>3</v>
      </c>
      <c r="K1299" s="8">
        <v>2</v>
      </c>
      <c r="L1299" s="8">
        <v>3</v>
      </c>
      <c r="M12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299" s="8" t="str" cm="1">
        <f t="array" ref="N1299">_xlfn.IFS(HR_Analytics56[[#This Row],[PerformanceRating]]=3,"Good",HR_Analytics56[[#This Row],[PerformanceRating]]=4, "Excellent")</f>
        <v>Good</v>
      </c>
      <c r="O1299" s="8" t="str">
        <f>IF(HR_Analytics56[[#This Row],[MonthlyIncome]]&lt;3000,"&lt; ₹3,000",IF(HR_Analytics56[[#This Row],[MonthlyIncome]]&lt;=7000,"₹ 3,000 - ₹ 7,000","&gt; ₹7,000"))</f>
        <v>&lt; ₹3,000</v>
      </c>
      <c r="P1299" s="8" t="str" cm="1">
        <f t="array" ref="P129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0" spans="1:16" x14ac:dyDescent="0.8">
      <c r="A1300" s="5" t="s">
        <v>1372</v>
      </c>
      <c r="B1300" s="8">
        <v>50</v>
      </c>
      <c r="C1300" s="5" t="s">
        <v>49</v>
      </c>
      <c r="D1300" s="5" t="s">
        <v>42</v>
      </c>
      <c r="E1300" s="5" t="s">
        <v>53</v>
      </c>
      <c r="F1300" s="5" t="s">
        <v>252</v>
      </c>
      <c r="G1300" s="8">
        <v>3</v>
      </c>
      <c r="H1300" s="8">
        <v>18740</v>
      </c>
      <c r="I1300" s="5" t="s">
        <v>40</v>
      </c>
      <c r="J1300" s="8">
        <v>3</v>
      </c>
      <c r="K1300" s="8">
        <v>2</v>
      </c>
      <c r="L1300" s="8">
        <v>27</v>
      </c>
      <c r="M13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00" s="8" t="str" cm="1">
        <f t="array" ref="N1300">_xlfn.IFS(HR_Analytics56[[#This Row],[PerformanceRating]]=3,"Good",HR_Analytics56[[#This Row],[PerformanceRating]]=4, "Excellent")</f>
        <v>Good</v>
      </c>
      <c r="O1300" s="8" t="str">
        <f>IF(HR_Analytics56[[#This Row],[MonthlyIncome]]&lt;3000,"&lt; ₹3,000",IF(HR_Analytics56[[#This Row],[MonthlyIncome]]&lt;=7000,"₹ 3,000 - ₹ 7,000","&gt; ₹7,000"))</f>
        <v>&gt; ₹7,000</v>
      </c>
      <c r="P1300" s="8" t="str" cm="1">
        <f t="array" ref="P13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1" spans="1:16" x14ac:dyDescent="0.8">
      <c r="A1301" s="5" t="s">
        <v>1373</v>
      </c>
      <c r="B1301" s="8">
        <v>50</v>
      </c>
      <c r="C1301" s="5" t="s">
        <v>49</v>
      </c>
      <c r="D1301" s="5" t="s">
        <v>42</v>
      </c>
      <c r="E1301" s="5" t="s">
        <v>53</v>
      </c>
      <c r="F1301" s="5" t="s">
        <v>252</v>
      </c>
      <c r="G1301" s="8">
        <v>2</v>
      </c>
      <c r="H1301" s="8">
        <v>18172</v>
      </c>
      <c r="I1301" s="5" t="s">
        <v>40</v>
      </c>
      <c r="J1301" s="8">
        <v>3</v>
      </c>
      <c r="K1301" s="8">
        <v>1</v>
      </c>
      <c r="L1301" s="8">
        <v>8</v>
      </c>
      <c r="M13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01" s="8" t="str" cm="1">
        <f t="array" ref="N1301">_xlfn.IFS(HR_Analytics56[[#This Row],[PerformanceRating]]=3,"Good",HR_Analytics56[[#This Row],[PerformanceRating]]=4, "Excellent")</f>
        <v>Good</v>
      </c>
      <c r="O1301" s="8" t="str">
        <f>IF(HR_Analytics56[[#This Row],[MonthlyIncome]]&lt;3000,"&lt; ₹3,000",IF(HR_Analytics56[[#This Row],[MonthlyIncome]]&lt;=7000,"₹ 3,000 - ₹ 7,000","&gt; ₹7,000"))</f>
        <v>&gt; ₹7,000</v>
      </c>
      <c r="P1301" s="8" t="str" cm="1">
        <f t="array" ref="P13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2" spans="1:16" x14ac:dyDescent="0.8">
      <c r="A1302" s="5" t="s">
        <v>1374</v>
      </c>
      <c r="B1302" s="8">
        <v>50</v>
      </c>
      <c r="C1302" s="5" t="s">
        <v>49</v>
      </c>
      <c r="D1302" s="5" t="s">
        <v>51</v>
      </c>
      <c r="E1302" s="5" t="s">
        <v>53</v>
      </c>
      <c r="F1302" s="5" t="s">
        <v>137</v>
      </c>
      <c r="G1302" s="8">
        <v>4</v>
      </c>
      <c r="H1302" s="8">
        <v>9208</v>
      </c>
      <c r="I1302" s="5" t="s">
        <v>49</v>
      </c>
      <c r="J1302" s="8">
        <v>3</v>
      </c>
      <c r="K1302" s="8">
        <v>3</v>
      </c>
      <c r="L1302" s="8">
        <v>2</v>
      </c>
      <c r="M13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2" s="8" t="str" cm="1">
        <f t="array" ref="N1302">_xlfn.IFS(HR_Analytics56[[#This Row],[PerformanceRating]]=3,"Good",HR_Analytics56[[#This Row],[PerformanceRating]]=4, "Excellent")</f>
        <v>Good</v>
      </c>
      <c r="O1302" s="8" t="str">
        <f>IF(HR_Analytics56[[#This Row],[MonthlyIncome]]&lt;3000,"&lt; ₹3,000",IF(HR_Analytics56[[#This Row],[MonthlyIncome]]&lt;=7000,"₹ 3,000 - ₹ 7,000","&gt; ₹7,000"))</f>
        <v>&gt; ₹7,000</v>
      </c>
      <c r="P1302" s="8" t="str" cm="1">
        <f t="array" ref="P13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3" spans="1:16" x14ac:dyDescent="0.8">
      <c r="A1303" s="5" t="s">
        <v>1375</v>
      </c>
      <c r="B1303" s="8">
        <v>50</v>
      </c>
      <c r="C1303" s="5" t="s">
        <v>49</v>
      </c>
      <c r="D1303" s="5" t="s">
        <v>42</v>
      </c>
      <c r="E1303" s="5" t="s">
        <v>53</v>
      </c>
      <c r="F1303" s="5" t="s">
        <v>442</v>
      </c>
      <c r="G1303" s="8">
        <v>2</v>
      </c>
      <c r="H1303" s="8">
        <v>19926</v>
      </c>
      <c r="I1303" s="5" t="s">
        <v>49</v>
      </c>
      <c r="J1303" s="8">
        <v>3</v>
      </c>
      <c r="K1303" s="8">
        <v>5</v>
      </c>
      <c r="L1303" s="8">
        <v>5</v>
      </c>
      <c r="M13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3" s="8" t="str" cm="1">
        <f t="array" ref="N1303">_xlfn.IFS(HR_Analytics56[[#This Row],[PerformanceRating]]=3,"Good",HR_Analytics56[[#This Row],[PerformanceRating]]=4, "Excellent")</f>
        <v>Good</v>
      </c>
      <c r="O1303" s="8" t="str">
        <f>IF(HR_Analytics56[[#This Row],[MonthlyIncome]]&lt;3000,"&lt; ₹3,000",IF(HR_Analytics56[[#This Row],[MonthlyIncome]]&lt;=7000,"₹ 3,000 - ₹ 7,000","&gt; ₹7,000"))</f>
        <v>&gt; ₹7,000</v>
      </c>
      <c r="P1303" s="8" t="str" cm="1">
        <f t="array" ref="P13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4" spans="1:16" x14ac:dyDescent="0.8">
      <c r="A1304" s="5" t="s">
        <v>1376</v>
      </c>
      <c r="B1304" s="8">
        <v>50</v>
      </c>
      <c r="C1304" s="5" t="s">
        <v>49</v>
      </c>
      <c r="D1304" s="5" t="s">
        <v>42</v>
      </c>
      <c r="E1304" s="5" t="s">
        <v>44</v>
      </c>
      <c r="F1304" s="5" t="s">
        <v>45</v>
      </c>
      <c r="G1304" s="8">
        <v>3</v>
      </c>
      <c r="H1304" s="8">
        <v>3690</v>
      </c>
      <c r="I1304" s="5" t="s">
        <v>49</v>
      </c>
      <c r="J1304" s="8">
        <v>3</v>
      </c>
      <c r="K1304" s="8">
        <v>2</v>
      </c>
      <c r="L1304" s="8">
        <v>3</v>
      </c>
      <c r="M13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4" s="8" t="str" cm="1">
        <f t="array" ref="N1304">_xlfn.IFS(HR_Analytics56[[#This Row],[PerformanceRating]]=3,"Good",HR_Analytics56[[#This Row],[PerformanceRating]]=4, "Excellent")</f>
        <v>Good</v>
      </c>
      <c r="O1304" s="8" t="str">
        <f>IF(HR_Analytics56[[#This Row],[MonthlyIncome]]&lt;3000,"&lt; ₹3,000",IF(HR_Analytics56[[#This Row],[MonthlyIncome]]&lt;=7000,"₹ 3,000 - ₹ 7,000","&gt; ₹7,000"))</f>
        <v>₹ 3,000 - ₹ 7,000</v>
      </c>
      <c r="P1304" s="8" t="str" cm="1">
        <f t="array" ref="P13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5" spans="1:16" x14ac:dyDescent="0.8">
      <c r="A1305" s="5" t="s">
        <v>1377</v>
      </c>
      <c r="B1305" s="8">
        <v>50</v>
      </c>
      <c r="C1305" s="5" t="s">
        <v>49</v>
      </c>
      <c r="D1305" s="5" t="s">
        <v>51</v>
      </c>
      <c r="E1305" s="5" t="s">
        <v>53</v>
      </c>
      <c r="F1305" s="5" t="s">
        <v>442</v>
      </c>
      <c r="G1305" s="8">
        <v>4</v>
      </c>
      <c r="H1305" s="8">
        <v>19517</v>
      </c>
      <c r="I1305" s="5" t="s">
        <v>49</v>
      </c>
      <c r="J1305" s="8">
        <v>3</v>
      </c>
      <c r="K1305" s="8">
        <v>3</v>
      </c>
      <c r="L1305" s="8">
        <v>7</v>
      </c>
      <c r="M13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5" s="8" t="str" cm="1">
        <f t="array" ref="N1305">_xlfn.IFS(HR_Analytics56[[#This Row],[PerformanceRating]]=3,"Good",HR_Analytics56[[#This Row],[PerformanceRating]]=4, "Excellent")</f>
        <v>Good</v>
      </c>
      <c r="O1305" s="8" t="str">
        <f>IF(HR_Analytics56[[#This Row],[MonthlyIncome]]&lt;3000,"&lt; ₹3,000",IF(HR_Analytics56[[#This Row],[MonthlyIncome]]&lt;=7000,"₹ 3,000 - ₹ 7,000","&gt; ₹7,000"))</f>
        <v>&gt; ₹7,000</v>
      </c>
      <c r="P1305" s="8" t="str" cm="1">
        <f t="array" ref="P13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6" spans="1:16" x14ac:dyDescent="0.8">
      <c r="A1306" s="5" t="s">
        <v>1378</v>
      </c>
      <c r="B1306" s="8">
        <v>50</v>
      </c>
      <c r="C1306" s="5" t="s">
        <v>49</v>
      </c>
      <c r="D1306" s="5" t="s">
        <v>42</v>
      </c>
      <c r="E1306" s="5" t="s">
        <v>44</v>
      </c>
      <c r="F1306" s="5" t="s">
        <v>252</v>
      </c>
      <c r="G1306" s="8">
        <v>2</v>
      </c>
      <c r="H1306" s="8">
        <v>19144</v>
      </c>
      <c r="I1306" s="5" t="s">
        <v>49</v>
      </c>
      <c r="J1306" s="8">
        <v>3</v>
      </c>
      <c r="K1306" s="8">
        <v>4</v>
      </c>
      <c r="L1306" s="8">
        <v>10</v>
      </c>
      <c r="M13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6" s="8" t="str" cm="1">
        <f t="array" ref="N1306">_xlfn.IFS(HR_Analytics56[[#This Row],[PerformanceRating]]=3,"Good",HR_Analytics56[[#This Row],[PerformanceRating]]=4, "Excellent")</f>
        <v>Good</v>
      </c>
      <c r="O1306" s="8" t="str">
        <f>IF(HR_Analytics56[[#This Row],[MonthlyIncome]]&lt;3000,"&lt; ₹3,000",IF(HR_Analytics56[[#This Row],[MonthlyIncome]]&lt;=7000,"₹ 3,000 - ₹ 7,000","&gt; ₹7,000"))</f>
        <v>&gt; ₹7,000</v>
      </c>
      <c r="P1306" s="8" t="str" cm="1">
        <f t="array" ref="P13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7" spans="1:16" x14ac:dyDescent="0.8">
      <c r="A1307" s="5" t="s">
        <v>1379</v>
      </c>
      <c r="B1307" s="8">
        <v>50</v>
      </c>
      <c r="C1307" s="5" t="s">
        <v>49</v>
      </c>
      <c r="D1307" s="5" t="s">
        <v>42</v>
      </c>
      <c r="E1307" s="5" t="s">
        <v>44</v>
      </c>
      <c r="F1307" s="5" t="s">
        <v>161</v>
      </c>
      <c r="G1307" s="8">
        <v>4</v>
      </c>
      <c r="H1307" s="8">
        <v>10496</v>
      </c>
      <c r="I1307" s="5" t="s">
        <v>49</v>
      </c>
      <c r="J1307" s="8">
        <v>3</v>
      </c>
      <c r="K1307" s="8">
        <v>2</v>
      </c>
      <c r="L1307" s="8">
        <v>4</v>
      </c>
      <c r="M13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7" s="8" t="str" cm="1">
        <f t="array" ref="N1307">_xlfn.IFS(HR_Analytics56[[#This Row],[PerformanceRating]]=3,"Good",HR_Analytics56[[#This Row],[PerformanceRating]]=4, "Excellent")</f>
        <v>Good</v>
      </c>
      <c r="O1307" s="8" t="str">
        <f>IF(HR_Analytics56[[#This Row],[MonthlyIncome]]&lt;3000,"&lt; ₹3,000",IF(HR_Analytics56[[#This Row],[MonthlyIncome]]&lt;=7000,"₹ 3,000 - ₹ 7,000","&gt; ₹7,000"))</f>
        <v>&gt; ₹7,000</v>
      </c>
      <c r="P1307" s="8" t="str" cm="1">
        <f t="array" ref="P13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8" spans="1:16" x14ac:dyDescent="0.8">
      <c r="A1308" s="5" t="s">
        <v>1380</v>
      </c>
      <c r="B1308" s="8">
        <v>50</v>
      </c>
      <c r="C1308" s="5" t="s">
        <v>49</v>
      </c>
      <c r="D1308" s="5" t="s">
        <v>42</v>
      </c>
      <c r="E1308" s="5" t="s">
        <v>44</v>
      </c>
      <c r="F1308" s="5" t="s">
        <v>442</v>
      </c>
      <c r="G1308" s="8">
        <v>3</v>
      </c>
      <c r="H1308" s="8">
        <v>17046</v>
      </c>
      <c r="I1308" s="5" t="s">
        <v>49</v>
      </c>
      <c r="J1308" s="8">
        <v>3</v>
      </c>
      <c r="K1308" s="8">
        <v>2</v>
      </c>
      <c r="L1308" s="8">
        <v>27</v>
      </c>
      <c r="M13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8" s="8" t="str" cm="1">
        <f t="array" ref="N1308">_xlfn.IFS(HR_Analytics56[[#This Row],[PerformanceRating]]=3,"Good",HR_Analytics56[[#This Row],[PerformanceRating]]=4, "Excellent")</f>
        <v>Good</v>
      </c>
      <c r="O1308" s="8" t="str">
        <f>IF(HR_Analytics56[[#This Row],[MonthlyIncome]]&lt;3000,"&lt; ₹3,000",IF(HR_Analytics56[[#This Row],[MonthlyIncome]]&lt;=7000,"₹ 3,000 - ₹ 7,000","&gt; ₹7,000"))</f>
        <v>&gt; ₹7,000</v>
      </c>
      <c r="P1308" s="8" t="str" cm="1">
        <f t="array" ref="P13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09" spans="1:16" x14ac:dyDescent="0.8">
      <c r="A1309" s="5" t="s">
        <v>1381</v>
      </c>
      <c r="B1309" s="8">
        <v>50</v>
      </c>
      <c r="C1309" s="5" t="s">
        <v>49</v>
      </c>
      <c r="D1309" s="5" t="s">
        <v>71</v>
      </c>
      <c r="E1309" s="5" t="s">
        <v>44</v>
      </c>
      <c r="F1309" s="5" t="s">
        <v>442</v>
      </c>
      <c r="G1309" s="8">
        <v>2</v>
      </c>
      <c r="H1309" s="8">
        <v>18200</v>
      </c>
      <c r="I1309" s="5" t="s">
        <v>49</v>
      </c>
      <c r="J1309" s="8">
        <v>3</v>
      </c>
      <c r="K1309" s="8">
        <v>2</v>
      </c>
      <c r="L1309" s="8">
        <v>32</v>
      </c>
      <c r="M13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09" s="8" t="str" cm="1">
        <f t="array" ref="N1309">_xlfn.IFS(HR_Analytics56[[#This Row],[PerformanceRating]]=3,"Good",HR_Analytics56[[#This Row],[PerformanceRating]]=4, "Excellent")</f>
        <v>Good</v>
      </c>
      <c r="O1309" s="8" t="str">
        <f>IF(HR_Analytics56[[#This Row],[MonthlyIncome]]&lt;3000,"&lt; ₹3,000",IF(HR_Analytics56[[#This Row],[MonthlyIncome]]&lt;=7000,"₹ 3,000 - ₹ 7,000","&gt; ₹7,000"))</f>
        <v>&gt; ₹7,000</v>
      </c>
      <c r="P1309" s="8" t="str" cm="1">
        <f t="array" ref="P13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0" spans="1:16" x14ac:dyDescent="0.8">
      <c r="A1310" s="5" t="s">
        <v>1382</v>
      </c>
      <c r="B1310" s="8">
        <v>50</v>
      </c>
      <c r="C1310" s="5" t="s">
        <v>49</v>
      </c>
      <c r="D1310" s="5" t="s">
        <v>42</v>
      </c>
      <c r="E1310" s="5" t="s">
        <v>44</v>
      </c>
      <c r="F1310" s="5" t="s">
        <v>45</v>
      </c>
      <c r="G1310" s="8">
        <v>3</v>
      </c>
      <c r="H1310" s="8">
        <v>3221</v>
      </c>
      <c r="I1310" s="5" t="s">
        <v>40</v>
      </c>
      <c r="J1310" s="8">
        <v>3</v>
      </c>
      <c r="K1310" s="8">
        <v>3</v>
      </c>
      <c r="L1310" s="8">
        <v>20</v>
      </c>
      <c r="M13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10" s="8" t="str" cm="1">
        <f t="array" ref="N1310">_xlfn.IFS(HR_Analytics56[[#This Row],[PerformanceRating]]=3,"Good",HR_Analytics56[[#This Row],[PerformanceRating]]=4, "Excellent")</f>
        <v>Good</v>
      </c>
      <c r="O1310" s="8" t="str">
        <f>IF(HR_Analytics56[[#This Row],[MonthlyIncome]]&lt;3000,"&lt; ₹3,000",IF(HR_Analytics56[[#This Row],[MonthlyIncome]]&lt;=7000,"₹ 3,000 - ₹ 7,000","&gt; ₹7,000"))</f>
        <v>₹ 3,000 - ₹ 7,000</v>
      </c>
      <c r="P1310" s="8" t="str" cm="1">
        <f t="array" ref="P13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1" spans="1:16" x14ac:dyDescent="0.8">
      <c r="A1311" s="5" t="s">
        <v>1383</v>
      </c>
      <c r="B1311" s="8">
        <v>50</v>
      </c>
      <c r="C1311" s="5" t="s">
        <v>40</v>
      </c>
      <c r="D1311" s="5" t="s">
        <v>51</v>
      </c>
      <c r="E1311" s="5" t="s">
        <v>44</v>
      </c>
      <c r="F1311" s="5" t="s">
        <v>137</v>
      </c>
      <c r="G1311" s="8">
        <v>3</v>
      </c>
      <c r="H1311" s="8">
        <v>6796</v>
      </c>
      <c r="I1311" s="5" t="s">
        <v>40</v>
      </c>
      <c r="J1311" s="8">
        <v>3</v>
      </c>
      <c r="K1311" s="8">
        <v>4</v>
      </c>
      <c r="L1311" s="8">
        <v>4</v>
      </c>
      <c r="M13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11" s="8" t="str" cm="1">
        <f t="array" ref="N1311">_xlfn.IFS(HR_Analytics56[[#This Row],[PerformanceRating]]=3,"Good",HR_Analytics56[[#This Row],[PerformanceRating]]=4, "Excellent")</f>
        <v>Good</v>
      </c>
      <c r="O1311" s="8" t="str">
        <f>IF(HR_Analytics56[[#This Row],[MonthlyIncome]]&lt;3000,"&lt; ₹3,000",IF(HR_Analytics56[[#This Row],[MonthlyIncome]]&lt;=7000,"₹ 3,000 - ₹ 7,000","&gt; ₹7,000"))</f>
        <v>₹ 3,000 - ₹ 7,000</v>
      </c>
      <c r="P1311" s="8" t="str" cm="1">
        <f t="array" ref="P13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2" spans="1:16" x14ac:dyDescent="0.8">
      <c r="A1312" s="5" t="s">
        <v>1384</v>
      </c>
      <c r="B1312" s="8">
        <v>50</v>
      </c>
      <c r="C1312" s="5" t="s">
        <v>49</v>
      </c>
      <c r="D1312" s="5" t="s">
        <v>51</v>
      </c>
      <c r="E1312" s="5" t="s">
        <v>44</v>
      </c>
      <c r="F1312" s="5" t="s">
        <v>54</v>
      </c>
      <c r="G1312" s="8">
        <v>2</v>
      </c>
      <c r="H1312" s="8">
        <v>3875</v>
      </c>
      <c r="I1312" s="5" t="s">
        <v>49</v>
      </c>
      <c r="J1312" s="8">
        <v>3</v>
      </c>
      <c r="K1312" s="8">
        <v>2</v>
      </c>
      <c r="L1312" s="8">
        <v>2</v>
      </c>
      <c r="M13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2" s="8" t="str" cm="1">
        <f t="array" ref="N1312">_xlfn.IFS(HR_Analytics56[[#This Row],[PerformanceRating]]=3,"Good",HR_Analytics56[[#This Row],[PerformanceRating]]=4, "Excellent")</f>
        <v>Good</v>
      </c>
      <c r="O1312" s="8" t="str">
        <f>IF(HR_Analytics56[[#This Row],[MonthlyIncome]]&lt;3000,"&lt; ₹3,000",IF(HR_Analytics56[[#This Row],[MonthlyIncome]]&lt;=7000,"₹ 3,000 - ₹ 7,000","&gt; ₹7,000"))</f>
        <v>₹ 3,000 - ₹ 7,000</v>
      </c>
      <c r="P1312" s="8" t="str" cm="1">
        <f t="array" ref="P13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3" spans="1:16" x14ac:dyDescent="0.8">
      <c r="A1313" s="5" t="s">
        <v>1385</v>
      </c>
      <c r="B1313" s="8">
        <v>50</v>
      </c>
      <c r="C1313" s="5" t="s">
        <v>49</v>
      </c>
      <c r="D1313" s="5" t="s">
        <v>42</v>
      </c>
      <c r="E1313" s="5" t="s">
        <v>44</v>
      </c>
      <c r="F1313" s="5" t="s">
        <v>252</v>
      </c>
      <c r="G1313" s="8">
        <v>3</v>
      </c>
      <c r="H1313" s="8">
        <v>17639</v>
      </c>
      <c r="I1313" s="5" t="s">
        <v>49</v>
      </c>
      <c r="J1313" s="8">
        <v>3</v>
      </c>
      <c r="K1313" s="8">
        <v>3</v>
      </c>
      <c r="L1313" s="8">
        <v>4</v>
      </c>
      <c r="M13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3" s="8" t="str" cm="1">
        <f t="array" ref="N1313">_xlfn.IFS(HR_Analytics56[[#This Row],[PerformanceRating]]=3,"Good",HR_Analytics56[[#This Row],[PerformanceRating]]=4, "Excellent")</f>
        <v>Good</v>
      </c>
      <c r="O1313" s="8" t="str">
        <f>IF(HR_Analytics56[[#This Row],[MonthlyIncome]]&lt;3000,"&lt; ₹3,000",IF(HR_Analytics56[[#This Row],[MonthlyIncome]]&lt;=7000,"₹ 3,000 - ₹ 7,000","&gt; ₹7,000"))</f>
        <v>&gt; ₹7,000</v>
      </c>
      <c r="P1313" s="8" t="str" cm="1">
        <f t="array" ref="P13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4" spans="1:16" x14ac:dyDescent="0.8">
      <c r="A1314" s="5" t="s">
        <v>1386</v>
      </c>
      <c r="B1314" s="8">
        <v>50</v>
      </c>
      <c r="C1314" s="5" t="s">
        <v>49</v>
      </c>
      <c r="D1314" s="5" t="s">
        <v>42</v>
      </c>
      <c r="E1314" s="5" t="s">
        <v>44</v>
      </c>
      <c r="F1314" s="5" t="s">
        <v>442</v>
      </c>
      <c r="G1314" s="8">
        <v>1</v>
      </c>
      <c r="H1314" s="8">
        <v>17924</v>
      </c>
      <c r="I1314" s="5" t="s">
        <v>49</v>
      </c>
      <c r="J1314" s="8">
        <v>3</v>
      </c>
      <c r="K1314" s="8">
        <v>3</v>
      </c>
      <c r="L1314" s="8">
        <v>31</v>
      </c>
      <c r="M13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4" s="8" t="str" cm="1">
        <f t="array" ref="N1314">_xlfn.IFS(HR_Analytics56[[#This Row],[PerformanceRating]]=3,"Good",HR_Analytics56[[#This Row],[PerformanceRating]]=4, "Excellent")</f>
        <v>Good</v>
      </c>
      <c r="O1314" s="8" t="str">
        <f>IF(HR_Analytics56[[#This Row],[MonthlyIncome]]&lt;3000,"&lt; ₹3,000",IF(HR_Analytics56[[#This Row],[MonthlyIncome]]&lt;=7000,"₹ 3,000 - ₹ 7,000","&gt; ₹7,000"))</f>
        <v>&gt; ₹7,000</v>
      </c>
      <c r="P1314" s="8" t="str" cm="1">
        <f t="array" ref="P13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5" spans="1:16" x14ac:dyDescent="0.8">
      <c r="A1315" s="5" t="s">
        <v>1387</v>
      </c>
      <c r="B1315" s="8">
        <v>50</v>
      </c>
      <c r="C1315" s="5" t="s">
        <v>49</v>
      </c>
      <c r="D1315" s="5" t="s">
        <v>42</v>
      </c>
      <c r="E1315" s="5" t="s">
        <v>44</v>
      </c>
      <c r="F1315" s="5" t="s">
        <v>252</v>
      </c>
      <c r="G1315" s="8">
        <v>4</v>
      </c>
      <c r="H1315" s="8">
        <v>17399</v>
      </c>
      <c r="I1315" s="5" t="s">
        <v>49</v>
      </c>
      <c r="J1315" s="8">
        <v>4</v>
      </c>
      <c r="K1315" s="8">
        <v>1</v>
      </c>
      <c r="L1315" s="8">
        <v>5</v>
      </c>
      <c r="M13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5" s="8" t="str" cm="1">
        <f t="array" ref="N1315">_xlfn.IFS(HR_Analytics56[[#This Row],[PerformanceRating]]=3,"Good",HR_Analytics56[[#This Row],[PerformanceRating]]=4, "Excellent")</f>
        <v>Excellent</v>
      </c>
      <c r="O1315" s="8" t="str">
        <f>IF(HR_Analytics56[[#This Row],[MonthlyIncome]]&lt;3000,"&lt; ₹3,000",IF(HR_Analytics56[[#This Row],[MonthlyIncome]]&lt;=7000,"₹ 3,000 - ₹ 7,000","&gt; ₹7,000"))</f>
        <v>&gt; ₹7,000</v>
      </c>
      <c r="P1315" s="8" t="str" cm="1">
        <f t="array" ref="P1315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16" spans="1:16" x14ac:dyDescent="0.8">
      <c r="A1316" s="5" t="s">
        <v>1388</v>
      </c>
      <c r="B1316" s="8">
        <v>50</v>
      </c>
      <c r="C1316" s="5" t="s">
        <v>49</v>
      </c>
      <c r="D1316" s="5" t="s">
        <v>42</v>
      </c>
      <c r="E1316" s="5" t="s">
        <v>44</v>
      </c>
      <c r="F1316" s="5" t="s">
        <v>112</v>
      </c>
      <c r="G1316" s="8">
        <v>3</v>
      </c>
      <c r="H1316" s="8">
        <v>13973</v>
      </c>
      <c r="I1316" s="5" t="s">
        <v>40</v>
      </c>
      <c r="J1316" s="8">
        <v>3</v>
      </c>
      <c r="K1316" s="8">
        <v>2</v>
      </c>
      <c r="L1316" s="8">
        <v>12</v>
      </c>
      <c r="M13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16" s="8" t="str" cm="1">
        <f t="array" ref="N1316">_xlfn.IFS(HR_Analytics56[[#This Row],[PerformanceRating]]=3,"Good",HR_Analytics56[[#This Row],[PerformanceRating]]=4, "Excellent")</f>
        <v>Good</v>
      </c>
      <c r="O1316" s="8" t="str">
        <f>IF(HR_Analytics56[[#This Row],[MonthlyIncome]]&lt;3000,"&lt; ₹3,000",IF(HR_Analytics56[[#This Row],[MonthlyIncome]]&lt;=7000,"₹ 3,000 - ₹ 7,000","&gt; ₹7,000"))</f>
        <v>&gt; ₹7,000</v>
      </c>
      <c r="P1316" s="8" t="str" cm="1">
        <f t="array" ref="P13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7" spans="1:16" x14ac:dyDescent="0.8">
      <c r="A1317" s="5" t="s">
        <v>1389</v>
      </c>
      <c r="B1317" s="8">
        <v>50</v>
      </c>
      <c r="C1317" s="5" t="s">
        <v>49</v>
      </c>
      <c r="D1317" s="5" t="s">
        <v>42</v>
      </c>
      <c r="E1317" s="5" t="s">
        <v>44</v>
      </c>
      <c r="F1317" s="5" t="s">
        <v>45</v>
      </c>
      <c r="G1317" s="8">
        <v>4</v>
      </c>
      <c r="H1317" s="8">
        <v>2380</v>
      </c>
      <c r="I1317" s="5" t="s">
        <v>49</v>
      </c>
      <c r="J1317" s="8">
        <v>3</v>
      </c>
      <c r="K1317" s="8">
        <v>5</v>
      </c>
      <c r="L1317" s="8">
        <v>1</v>
      </c>
      <c r="M13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7" s="8" t="str" cm="1">
        <f t="array" ref="N1317">_xlfn.IFS(HR_Analytics56[[#This Row],[PerformanceRating]]=3,"Good",HR_Analytics56[[#This Row],[PerformanceRating]]=4, "Excellent")</f>
        <v>Good</v>
      </c>
      <c r="O1317" s="8" t="str">
        <f>IF(HR_Analytics56[[#This Row],[MonthlyIncome]]&lt;3000,"&lt; ₹3,000",IF(HR_Analytics56[[#This Row],[MonthlyIncome]]&lt;=7000,"₹ 3,000 - ₹ 7,000","&gt; ₹7,000"))</f>
        <v>&lt; ₹3,000</v>
      </c>
      <c r="P1317" s="8" t="str" cm="1">
        <f t="array" ref="P13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8" spans="1:16" x14ac:dyDescent="0.8">
      <c r="A1318" s="5" t="s">
        <v>1390</v>
      </c>
      <c r="B1318" s="8">
        <v>50</v>
      </c>
      <c r="C1318" s="5" t="s">
        <v>49</v>
      </c>
      <c r="D1318" s="5" t="s">
        <v>51</v>
      </c>
      <c r="E1318" s="5" t="s">
        <v>53</v>
      </c>
      <c r="F1318" s="5" t="s">
        <v>137</v>
      </c>
      <c r="G1318" s="8">
        <v>3</v>
      </c>
      <c r="H1318" s="8">
        <v>6347</v>
      </c>
      <c r="I1318" s="5" t="s">
        <v>49</v>
      </c>
      <c r="J1318" s="8">
        <v>3</v>
      </c>
      <c r="K1318" s="8">
        <v>3</v>
      </c>
      <c r="L1318" s="8">
        <v>18</v>
      </c>
      <c r="M13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18" s="8" t="str" cm="1">
        <f t="array" ref="N1318">_xlfn.IFS(HR_Analytics56[[#This Row],[PerformanceRating]]=3,"Good",HR_Analytics56[[#This Row],[PerformanceRating]]=4, "Excellent")</f>
        <v>Good</v>
      </c>
      <c r="O1318" s="8" t="str">
        <f>IF(HR_Analytics56[[#This Row],[MonthlyIncome]]&lt;3000,"&lt; ₹3,000",IF(HR_Analytics56[[#This Row],[MonthlyIncome]]&lt;=7000,"₹ 3,000 - ₹ 7,000","&gt; ₹7,000"))</f>
        <v>₹ 3,000 - ₹ 7,000</v>
      </c>
      <c r="P1318" s="8" t="str" cm="1">
        <f t="array" ref="P13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19" spans="1:16" x14ac:dyDescent="0.8">
      <c r="A1319" s="5" t="s">
        <v>1391</v>
      </c>
      <c r="B1319" s="8">
        <v>50</v>
      </c>
      <c r="C1319" s="5" t="s">
        <v>49</v>
      </c>
      <c r="D1319" s="5" t="s">
        <v>42</v>
      </c>
      <c r="E1319" s="5" t="s">
        <v>44</v>
      </c>
      <c r="F1319" s="5" t="s">
        <v>252</v>
      </c>
      <c r="G1319" s="8">
        <v>3</v>
      </c>
      <c r="H1319" s="8">
        <v>19237</v>
      </c>
      <c r="I1319" s="5" t="s">
        <v>40</v>
      </c>
      <c r="J1319" s="8">
        <v>3</v>
      </c>
      <c r="K1319" s="8">
        <v>2</v>
      </c>
      <c r="L1319" s="8">
        <v>8</v>
      </c>
      <c r="M13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19" s="8" t="str" cm="1">
        <f t="array" ref="N1319">_xlfn.IFS(HR_Analytics56[[#This Row],[PerformanceRating]]=3,"Good",HR_Analytics56[[#This Row],[PerformanceRating]]=4, "Excellent")</f>
        <v>Good</v>
      </c>
      <c r="O1319" s="8" t="str">
        <f>IF(HR_Analytics56[[#This Row],[MonthlyIncome]]&lt;3000,"&lt; ₹3,000",IF(HR_Analytics56[[#This Row],[MonthlyIncome]]&lt;=7000,"₹ 3,000 - ₹ 7,000","&gt; ₹7,000"))</f>
        <v>&gt; ₹7,000</v>
      </c>
      <c r="P1319" s="8" t="str" cm="1">
        <f t="array" ref="P13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0" spans="1:16" x14ac:dyDescent="0.8">
      <c r="A1320" s="5" t="s">
        <v>1392</v>
      </c>
      <c r="B1320" s="8">
        <v>50</v>
      </c>
      <c r="C1320" s="5" t="s">
        <v>40</v>
      </c>
      <c r="D1320" s="5" t="s">
        <v>51</v>
      </c>
      <c r="E1320" s="5" t="s">
        <v>44</v>
      </c>
      <c r="F1320" s="5" t="s">
        <v>137</v>
      </c>
      <c r="G1320" s="8">
        <v>3</v>
      </c>
      <c r="H1320" s="8">
        <v>4728</v>
      </c>
      <c r="I1320" s="5" t="s">
        <v>40</v>
      </c>
      <c r="J1320" s="8">
        <v>3</v>
      </c>
      <c r="K1320" s="8">
        <v>4</v>
      </c>
      <c r="L1320" s="8">
        <v>0</v>
      </c>
      <c r="M13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20" s="8" t="str" cm="1">
        <f t="array" ref="N1320">_xlfn.IFS(HR_Analytics56[[#This Row],[PerformanceRating]]=3,"Good",HR_Analytics56[[#This Row],[PerformanceRating]]=4, "Excellent")</f>
        <v>Good</v>
      </c>
      <c r="O1320" s="8" t="str">
        <f>IF(HR_Analytics56[[#This Row],[MonthlyIncome]]&lt;3000,"&lt; ₹3,000",IF(HR_Analytics56[[#This Row],[MonthlyIncome]]&lt;=7000,"₹ 3,000 - ₹ 7,000","&gt; ₹7,000"))</f>
        <v>₹ 3,000 - ₹ 7,000</v>
      </c>
      <c r="P1320" s="8" t="str" cm="1">
        <f t="array" ref="P132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1" spans="1:16" x14ac:dyDescent="0.8">
      <c r="A1321" s="5" t="s">
        <v>1393</v>
      </c>
      <c r="B1321" s="8">
        <v>50</v>
      </c>
      <c r="C1321" s="5" t="s">
        <v>49</v>
      </c>
      <c r="D1321" s="5" t="s">
        <v>42</v>
      </c>
      <c r="E1321" s="5" t="s">
        <v>53</v>
      </c>
      <c r="F1321" s="5" t="s">
        <v>442</v>
      </c>
      <c r="G1321" s="8">
        <v>1</v>
      </c>
      <c r="H1321" s="8">
        <v>17856</v>
      </c>
      <c r="I1321" s="5" t="s">
        <v>49</v>
      </c>
      <c r="J1321" s="8">
        <v>4</v>
      </c>
      <c r="K1321" s="8">
        <v>3</v>
      </c>
      <c r="L1321" s="8">
        <v>2</v>
      </c>
      <c r="M13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21" s="8" t="str" cm="1">
        <f t="array" ref="N1321">_xlfn.IFS(HR_Analytics56[[#This Row],[PerformanceRating]]=3,"Good",HR_Analytics56[[#This Row],[PerformanceRating]]=4, "Excellent")</f>
        <v>Excellent</v>
      </c>
      <c r="O1321" s="8" t="str">
        <f>IF(HR_Analytics56[[#This Row],[MonthlyIncome]]&lt;3000,"&lt; ₹3,000",IF(HR_Analytics56[[#This Row],[MonthlyIncome]]&lt;=7000,"₹ 3,000 - ₹ 7,000","&gt; ₹7,000"))</f>
        <v>&gt; ₹7,000</v>
      </c>
      <c r="P1321" s="8" t="str" cm="1">
        <f t="array" ref="P132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22" spans="1:16" x14ac:dyDescent="0.8">
      <c r="A1322" s="5" t="s">
        <v>1394</v>
      </c>
      <c r="B1322" s="8">
        <v>50</v>
      </c>
      <c r="C1322" s="5" t="s">
        <v>49</v>
      </c>
      <c r="D1322" s="5" t="s">
        <v>42</v>
      </c>
      <c r="E1322" s="5" t="s">
        <v>53</v>
      </c>
      <c r="F1322" s="5" t="s">
        <v>252</v>
      </c>
      <c r="G1322" s="8">
        <v>1</v>
      </c>
      <c r="H1322" s="8">
        <v>16880</v>
      </c>
      <c r="I1322" s="5" t="s">
        <v>40</v>
      </c>
      <c r="J1322" s="8">
        <v>3</v>
      </c>
      <c r="K1322" s="8">
        <v>2</v>
      </c>
      <c r="L1322" s="8">
        <v>3</v>
      </c>
      <c r="M13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22" s="8" t="str" cm="1">
        <f t="array" ref="N1322">_xlfn.IFS(HR_Analytics56[[#This Row],[PerformanceRating]]=3,"Good",HR_Analytics56[[#This Row],[PerformanceRating]]=4, "Excellent")</f>
        <v>Good</v>
      </c>
      <c r="O1322" s="8" t="str">
        <f>IF(HR_Analytics56[[#This Row],[MonthlyIncome]]&lt;3000,"&lt; ₹3,000",IF(HR_Analytics56[[#This Row],[MonthlyIncome]]&lt;=7000,"₹ 3,000 - ₹ 7,000","&gt; ₹7,000"))</f>
        <v>&gt; ₹7,000</v>
      </c>
      <c r="P1322" s="8" t="str" cm="1">
        <f t="array" ref="P13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3" spans="1:16" x14ac:dyDescent="0.8">
      <c r="A1323" s="5" t="s">
        <v>1395</v>
      </c>
      <c r="B1323" s="8">
        <v>50</v>
      </c>
      <c r="C1323" s="5" t="s">
        <v>49</v>
      </c>
      <c r="D1323" s="5" t="s">
        <v>42</v>
      </c>
      <c r="E1323" s="5" t="s">
        <v>44</v>
      </c>
      <c r="F1323" s="5" t="s">
        <v>252</v>
      </c>
      <c r="G1323" s="8">
        <v>4</v>
      </c>
      <c r="H1323" s="8">
        <v>14411</v>
      </c>
      <c r="I1323" s="5" t="s">
        <v>40</v>
      </c>
      <c r="J1323" s="8">
        <v>3</v>
      </c>
      <c r="K1323" s="8">
        <v>2</v>
      </c>
      <c r="L1323" s="8">
        <v>32</v>
      </c>
      <c r="M13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23" s="8" t="str" cm="1">
        <f t="array" ref="N1323">_xlfn.IFS(HR_Analytics56[[#This Row],[PerformanceRating]]=3,"Good",HR_Analytics56[[#This Row],[PerformanceRating]]=4, "Excellent")</f>
        <v>Good</v>
      </c>
      <c r="O1323" s="8" t="str">
        <f>IF(HR_Analytics56[[#This Row],[MonthlyIncome]]&lt;3000,"&lt; ₹3,000",IF(HR_Analytics56[[#This Row],[MonthlyIncome]]&lt;=7000,"₹ 3,000 - ₹ 7,000","&gt; ₹7,000"))</f>
        <v>&gt; ₹7,000</v>
      </c>
      <c r="P1323" s="8" t="str" cm="1">
        <f t="array" ref="P13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4" spans="1:16" x14ac:dyDescent="0.8">
      <c r="A1324" s="5" t="s">
        <v>1396</v>
      </c>
      <c r="B1324" s="8">
        <v>50</v>
      </c>
      <c r="C1324" s="5" t="s">
        <v>49</v>
      </c>
      <c r="D1324" s="5" t="s">
        <v>51</v>
      </c>
      <c r="E1324" s="5" t="s">
        <v>44</v>
      </c>
      <c r="F1324" s="5" t="s">
        <v>442</v>
      </c>
      <c r="G1324" s="8">
        <v>3</v>
      </c>
      <c r="H1324" s="8">
        <v>19331</v>
      </c>
      <c r="I1324" s="5" t="s">
        <v>40</v>
      </c>
      <c r="J1324" s="8">
        <v>3</v>
      </c>
      <c r="K1324" s="8">
        <v>2</v>
      </c>
      <c r="L1324" s="8">
        <v>1</v>
      </c>
      <c r="M13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24" s="8" t="str" cm="1">
        <f t="array" ref="N1324">_xlfn.IFS(HR_Analytics56[[#This Row],[PerformanceRating]]=3,"Good",HR_Analytics56[[#This Row],[PerformanceRating]]=4, "Excellent")</f>
        <v>Good</v>
      </c>
      <c r="O1324" s="8" t="str">
        <f>IF(HR_Analytics56[[#This Row],[MonthlyIncome]]&lt;3000,"&lt; ₹3,000",IF(HR_Analytics56[[#This Row],[MonthlyIncome]]&lt;=7000,"₹ 3,000 - ₹ 7,000","&gt; ₹7,000"))</f>
        <v>&gt; ₹7,000</v>
      </c>
      <c r="P1324" s="8" t="str" cm="1">
        <f t="array" ref="P13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5" spans="1:16" x14ac:dyDescent="0.8">
      <c r="A1325" s="5" t="s">
        <v>1397</v>
      </c>
      <c r="B1325" s="8">
        <v>50</v>
      </c>
      <c r="C1325" s="5" t="s">
        <v>49</v>
      </c>
      <c r="D1325" s="5" t="s">
        <v>42</v>
      </c>
      <c r="E1325" s="5" t="s">
        <v>44</v>
      </c>
      <c r="F1325" s="5" t="s">
        <v>161</v>
      </c>
      <c r="G1325" s="8">
        <v>3</v>
      </c>
      <c r="H1325" s="8">
        <v>11245</v>
      </c>
      <c r="I1325" s="5" t="s">
        <v>40</v>
      </c>
      <c r="J1325" s="8">
        <v>3</v>
      </c>
      <c r="K1325" s="8">
        <v>3</v>
      </c>
      <c r="L1325" s="8">
        <v>30</v>
      </c>
      <c r="M13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25" s="8" t="str" cm="1">
        <f t="array" ref="N1325">_xlfn.IFS(HR_Analytics56[[#This Row],[PerformanceRating]]=3,"Good",HR_Analytics56[[#This Row],[PerformanceRating]]=4, "Excellent")</f>
        <v>Good</v>
      </c>
      <c r="O1325" s="8" t="str">
        <f>IF(HR_Analytics56[[#This Row],[MonthlyIncome]]&lt;3000,"&lt; ₹3,000",IF(HR_Analytics56[[#This Row],[MonthlyIncome]]&lt;=7000,"₹ 3,000 - ₹ 7,000","&gt; ₹7,000"))</f>
        <v>&gt; ₹7,000</v>
      </c>
      <c r="P1325" s="8" t="str" cm="1">
        <f t="array" ref="P13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6" spans="1:16" x14ac:dyDescent="0.8">
      <c r="A1326" s="5" t="s">
        <v>1398</v>
      </c>
      <c r="B1326" s="8">
        <v>50</v>
      </c>
      <c r="C1326" s="5" t="s">
        <v>49</v>
      </c>
      <c r="D1326" s="5" t="s">
        <v>42</v>
      </c>
      <c r="E1326" s="5" t="s">
        <v>53</v>
      </c>
      <c r="F1326" s="5" t="s">
        <v>252</v>
      </c>
      <c r="G1326" s="8">
        <v>1</v>
      </c>
      <c r="H1326" s="8">
        <v>13269</v>
      </c>
      <c r="I1326" s="5" t="s">
        <v>49</v>
      </c>
      <c r="J1326" s="8">
        <v>3</v>
      </c>
      <c r="K1326" s="8">
        <v>3</v>
      </c>
      <c r="L1326" s="8">
        <v>14</v>
      </c>
      <c r="M13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26" s="8" t="str" cm="1">
        <f t="array" ref="N1326">_xlfn.IFS(HR_Analytics56[[#This Row],[PerformanceRating]]=3,"Good",HR_Analytics56[[#This Row],[PerformanceRating]]=4, "Excellent")</f>
        <v>Good</v>
      </c>
      <c r="O1326" s="8" t="str">
        <f>IF(HR_Analytics56[[#This Row],[MonthlyIncome]]&lt;3000,"&lt; ₹3,000",IF(HR_Analytics56[[#This Row],[MonthlyIncome]]&lt;=7000,"₹ 3,000 - ₹ 7,000","&gt; ₹7,000"))</f>
        <v>&gt; ₹7,000</v>
      </c>
      <c r="P1326" s="8" t="str" cm="1">
        <f t="array" ref="P13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7" spans="1:16" x14ac:dyDescent="0.8">
      <c r="A1327" s="5" t="s">
        <v>1399</v>
      </c>
      <c r="B1327" s="8">
        <v>50</v>
      </c>
      <c r="C1327" s="5" t="s">
        <v>40</v>
      </c>
      <c r="D1327" s="5" t="s">
        <v>51</v>
      </c>
      <c r="E1327" s="5" t="s">
        <v>44</v>
      </c>
      <c r="F1327" s="5" t="s">
        <v>137</v>
      </c>
      <c r="G1327" s="8">
        <v>3</v>
      </c>
      <c r="H1327" s="8">
        <v>6728</v>
      </c>
      <c r="I1327" s="5" t="s">
        <v>49</v>
      </c>
      <c r="J1327" s="8">
        <v>3</v>
      </c>
      <c r="K1327" s="8">
        <v>3</v>
      </c>
      <c r="L1327" s="8">
        <v>6</v>
      </c>
      <c r="M13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27" s="8" t="str" cm="1">
        <f t="array" ref="N1327">_xlfn.IFS(HR_Analytics56[[#This Row],[PerformanceRating]]=3,"Good",HR_Analytics56[[#This Row],[PerformanceRating]]=4, "Excellent")</f>
        <v>Good</v>
      </c>
      <c r="O1327" s="8" t="str">
        <f>IF(HR_Analytics56[[#This Row],[MonthlyIncome]]&lt;3000,"&lt; ₹3,000",IF(HR_Analytics56[[#This Row],[MonthlyIncome]]&lt;=7000,"₹ 3,000 - ₹ 7,000","&gt; ₹7,000"))</f>
        <v>₹ 3,000 - ₹ 7,000</v>
      </c>
      <c r="P1327" s="8" t="str" cm="1">
        <f t="array" ref="P13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8" spans="1:16" x14ac:dyDescent="0.8">
      <c r="A1328" s="5" t="s">
        <v>1400</v>
      </c>
      <c r="B1328" s="8">
        <v>50</v>
      </c>
      <c r="C1328" s="5" t="s">
        <v>40</v>
      </c>
      <c r="D1328" s="5" t="s">
        <v>51</v>
      </c>
      <c r="E1328" s="5" t="s">
        <v>44</v>
      </c>
      <c r="F1328" s="5" t="s">
        <v>137</v>
      </c>
      <c r="G1328" s="8">
        <v>1</v>
      </c>
      <c r="H1328" s="8">
        <v>10854</v>
      </c>
      <c r="I1328" s="5" t="s">
        <v>40</v>
      </c>
      <c r="J1328" s="8">
        <v>3</v>
      </c>
      <c r="K1328" s="8">
        <v>3</v>
      </c>
      <c r="L1328" s="8">
        <v>3</v>
      </c>
      <c r="M13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28" s="8" t="str" cm="1">
        <f t="array" ref="N1328">_xlfn.IFS(HR_Analytics56[[#This Row],[PerformanceRating]]=3,"Good",HR_Analytics56[[#This Row],[PerformanceRating]]=4, "Excellent")</f>
        <v>Good</v>
      </c>
      <c r="O1328" s="8" t="str">
        <f>IF(HR_Analytics56[[#This Row],[MonthlyIncome]]&lt;3000,"&lt; ₹3,000",IF(HR_Analytics56[[#This Row],[MonthlyIncome]]&lt;=7000,"₹ 3,000 - ₹ 7,000","&gt; ₹7,000"))</f>
        <v>&gt; ₹7,000</v>
      </c>
      <c r="P1328" s="8" t="str" cm="1">
        <f t="array" ref="P13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29" spans="1:16" x14ac:dyDescent="0.8">
      <c r="A1329" s="5" t="s">
        <v>1401</v>
      </c>
      <c r="B1329" s="8">
        <v>51</v>
      </c>
      <c r="C1329" s="5" t="s">
        <v>49</v>
      </c>
      <c r="D1329" s="5" t="s">
        <v>42</v>
      </c>
      <c r="E1329" s="5" t="s">
        <v>44</v>
      </c>
      <c r="F1329" s="5" t="s">
        <v>45</v>
      </c>
      <c r="G1329" s="8">
        <v>4</v>
      </c>
      <c r="H1329" s="8">
        <v>2075</v>
      </c>
      <c r="I1329" s="5" t="s">
        <v>49</v>
      </c>
      <c r="J1329" s="8">
        <v>4</v>
      </c>
      <c r="K1329" s="8">
        <v>4</v>
      </c>
      <c r="L1329" s="8">
        <v>4</v>
      </c>
      <c r="M13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29" s="8" t="str" cm="1">
        <f t="array" ref="N1329">_xlfn.IFS(HR_Analytics56[[#This Row],[PerformanceRating]]=3,"Good",HR_Analytics56[[#This Row],[PerformanceRating]]=4, "Excellent")</f>
        <v>Excellent</v>
      </c>
      <c r="O1329" s="8" t="str">
        <f>IF(HR_Analytics56[[#This Row],[MonthlyIncome]]&lt;3000,"&lt; ₹3,000",IF(HR_Analytics56[[#This Row],[MonthlyIncome]]&lt;=7000,"₹ 3,000 - ₹ 7,000","&gt; ₹7,000"))</f>
        <v>&lt; ₹3,000</v>
      </c>
      <c r="P1329" s="8" t="str" cm="1">
        <f t="array" ref="P13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0" spans="1:16" x14ac:dyDescent="0.8">
      <c r="A1330" s="5" t="s">
        <v>1402</v>
      </c>
      <c r="B1330" s="8">
        <v>51</v>
      </c>
      <c r="C1330" s="5" t="s">
        <v>49</v>
      </c>
      <c r="D1330" s="5" t="s">
        <v>51</v>
      </c>
      <c r="E1330" s="5" t="s">
        <v>44</v>
      </c>
      <c r="F1330" s="5" t="s">
        <v>137</v>
      </c>
      <c r="G1330" s="8">
        <v>4</v>
      </c>
      <c r="H1330" s="8">
        <v>5441</v>
      </c>
      <c r="I1330" s="5" t="s">
        <v>40</v>
      </c>
      <c r="J1330" s="8">
        <v>4</v>
      </c>
      <c r="K1330" s="8">
        <v>2</v>
      </c>
      <c r="L1330" s="8">
        <v>10</v>
      </c>
      <c r="M13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30" s="8" t="str" cm="1">
        <f t="array" ref="N1330">_xlfn.IFS(HR_Analytics56[[#This Row],[PerformanceRating]]=3,"Good",HR_Analytics56[[#This Row],[PerformanceRating]]=4, "Excellent")</f>
        <v>Excellent</v>
      </c>
      <c r="O1330" s="8" t="str">
        <f>IF(HR_Analytics56[[#This Row],[MonthlyIncome]]&lt;3000,"&lt; ₹3,000",IF(HR_Analytics56[[#This Row],[MonthlyIncome]]&lt;=7000,"₹ 3,000 - ₹ 7,000","&gt; ₹7,000"))</f>
        <v>₹ 3,000 - ₹ 7,000</v>
      </c>
      <c r="P1330" s="8" t="str" cm="1">
        <f t="array" ref="P13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1" spans="1:16" x14ac:dyDescent="0.8">
      <c r="A1331" s="5" t="s">
        <v>1403</v>
      </c>
      <c r="B1331" s="8">
        <v>51</v>
      </c>
      <c r="C1331" s="5" t="s">
        <v>49</v>
      </c>
      <c r="D1331" s="5" t="s">
        <v>42</v>
      </c>
      <c r="E1331" s="5" t="s">
        <v>53</v>
      </c>
      <c r="F1331" s="5" t="s">
        <v>161</v>
      </c>
      <c r="G1331" s="8">
        <v>1</v>
      </c>
      <c r="H1331" s="8">
        <v>7484</v>
      </c>
      <c r="I1331" s="5" t="s">
        <v>49</v>
      </c>
      <c r="J1331" s="8">
        <v>4</v>
      </c>
      <c r="K1331" s="8">
        <v>1</v>
      </c>
      <c r="L1331" s="8">
        <v>13</v>
      </c>
      <c r="M13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1" s="8" t="str" cm="1">
        <f t="array" ref="N1331">_xlfn.IFS(HR_Analytics56[[#This Row],[PerformanceRating]]=3,"Good",HR_Analytics56[[#This Row],[PerformanceRating]]=4, "Excellent")</f>
        <v>Excellent</v>
      </c>
      <c r="O1331" s="8" t="str">
        <f>IF(HR_Analytics56[[#This Row],[MonthlyIncome]]&lt;3000,"&lt; ₹3,000",IF(HR_Analytics56[[#This Row],[MonthlyIncome]]&lt;=7000,"₹ 3,000 - ₹ 7,000","&gt; ₹7,000"))</f>
        <v>&gt; ₹7,000</v>
      </c>
      <c r="P1331" s="8" t="str" cm="1">
        <f t="array" ref="P1331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32" spans="1:16" x14ac:dyDescent="0.8">
      <c r="A1332" s="5" t="s">
        <v>1404</v>
      </c>
      <c r="B1332" s="8">
        <v>51</v>
      </c>
      <c r="C1332" s="5" t="s">
        <v>49</v>
      </c>
      <c r="D1332" s="5" t="s">
        <v>42</v>
      </c>
      <c r="E1332" s="5" t="s">
        <v>44</v>
      </c>
      <c r="F1332" s="5" t="s">
        <v>252</v>
      </c>
      <c r="G1332" s="8">
        <v>3</v>
      </c>
      <c r="H1332" s="8">
        <v>19537</v>
      </c>
      <c r="I1332" s="5" t="s">
        <v>49</v>
      </c>
      <c r="J1332" s="8">
        <v>3</v>
      </c>
      <c r="K1332" s="8">
        <v>5</v>
      </c>
      <c r="L1332" s="8">
        <v>20</v>
      </c>
      <c r="M13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2" s="8" t="str" cm="1">
        <f t="array" ref="N1332">_xlfn.IFS(HR_Analytics56[[#This Row],[PerformanceRating]]=3,"Good",HR_Analytics56[[#This Row],[PerformanceRating]]=4, "Excellent")</f>
        <v>Good</v>
      </c>
      <c r="O1332" s="8" t="str">
        <f>IF(HR_Analytics56[[#This Row],[MonthlyIncome]]&lt;3000,"&lt; ₹3,000",IF(HR_Analytics56[[#This Row],[MonthlyIncome]]&lt;=7000,"₹ 3,000 - ₹ 7,000","&gt; ₹7,000"))</f>
        <v>&gt; ₹7,000</v>
      </c>
      <c r="P1332" s="8" t="str" cm="1">
        <f t="array" ref="P13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3" spans="1:16" x14ac:dyDescent="0.8">
      <c r="A1333" s="5" t="s">
        <v>1405</v>
      </c>
      <c r="B1333" s="8">
        <v>51</v>
      </c>
      <c r="C1333" s="5" t="s">
        <v>40</v>
      </c>
      <c r="D1333" s="5" t="s">
        <v>42</v>
      </c>
      <c r="E1333" s="5" t="s">
        <v>44</v>
      </c>
      <c r="F1333" s="5" t="s">
        <v>112</v>
      </c>
      <c r="G1333" s="8">
        <v>4</v>
      </c>
      <c r="H1333" s="8">
        <v>10650</v>
      </c>
      <c r="I1333" s="5" t="s">
        <v>49</v>
      </c>
      <c r="J1333" s="8">
        <v>3</v>
      </c>
      <c r="K1333" s="8">
        <v>2</v>
      </c>
      <c r="L1333" s="8">
        <v>4</v>
      </c>
      <c r="M13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33" s="8" t="str" cm="1">
        <f t="array" ref="N1333">_xlfn.IFS(HR_Analytics56[[#This Row],[PerformanceRating]]=3,"Good",HR_Analytics56[[#This Row],[PerformanceRating]]=4, "Excellent")</f>
        <v>Good</v>
      </c>
      <c r="O1333" s="8" t="str">
        <f>IF(HR_Analytics56[[#This Row],[MonthlyIncome]]&lt;3000,"&lt; ₹3,000",IF(HR_Analytics56[[#This Row],[MonthlyIncome]]&lt;=7000,"₹ 3,000 - ₹ 7,000","&gt; ₹7,000"))</f>
        <v>&gt; ₹7,000</v>
      </c>
      <c r="P1333" s="8" t="str" cm="1">
        <f t="array" ref="P13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4" spans="1:16" x14ac:dyDescent="0.8">
      <c r="A1334" s="5" t="s">
        <v>1406</v>
      </c>
      <c r="B1334" s="8">
        <v>51</v>
      </c>
      <c r="C1334" s="5" t="s">
        <v>49</v>
      </c>
      <c r="D1334" s="5" t="s">
        <v>42</v>
      </c>
      <c r="E1334" s="5" t="s">
        <v>44</v>
      </c>
      <c r="F1334" s="5" t="s">
        <v>112</v>
      </c>
      <c r="G1334" s="8">
        <v>3</v>
      </c>
      <c r="H1334" s="8">
        <v>6132</v>
      </c>
      <c r="I1334" s="5" t="s">
        <v>49</v>
      </c>
      <c r="J1334" s="8">
        <v>3</v>
      </c>
      <c r="K1334" s="8">
        <v>2</v>
      </c>
      <c r="L1334" s="8">
        <v>1</v>
      </c>
      <c r="M13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4" s="8" t="str" cm="1">
        <f t="array" ref="N1334">_xlfn.IFS(HR_Analytics56[[#This Row],[PerformanceRating]]=3,"Good",HR_Analytics56[[#This Row],[PerformanceRating]]=4, "Excellent")</f>
        <v>Good</v>
      </c>
      <c r="O1334" s="8" t="str">
        <f>IF(HR_Analytics56[[#This Row],[MonthlyIncome]]&lt;3000,"&lt; ₹3,000",IF(HR_Analytics56[[#This Row],[MonthlyIncome]]&lt;=7000,"₹ 3,000 - ₹ 7,000","&gt; ₹7,000"))</f>
        <v>₹ 3,000 - ₹ 7,000</v>
      </c>
      <c r="P1334" s="8" t="str" cm="1">
        <f t="array" ref="P133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5" spans="1:16" x14ac:dyDescent="0.8">
      <c r="A1335" s="5" t="s">
        <v>1407</v>
      </c>
      <c r="B1335" s="8">
        <v>51</v>
      </c>
      <c r="C1335" s="5" t="s">
        <v>49</v>
      </c>
      <c r="D1335" s="5" t="s">
        <v>42</v>
      </c>
      <c r="E1335" s="5" t="s">
        <v>53</v>
      </c>
      <c r="F1335" s="5" t="s">
        <v>161</v>
      </c>
      <c r="G1335" s="8">
        <v>2</v>
      </c>
      <c r="H1335" s="8">
        <v>13734</v>
      </c>
      <c r="I1335" s="5" t="s">
        <v>49</v>
      </c>
      <c r="J1335" s="8">
        <v>3</v>
      </c>
      <c r="K1335" s="8">
        <v>6</v>
      </c>
      <c r="L1335" s="8">
        <v>7</v>
      </c>
      <c r="M13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5" s="8" t="str" cm="1">
        <f t="array" ref="N1335">_xlfn.IFS(HR_Analytics56[[#This Row],[PerformanceRating]]=3,"Good",HR_Analytics56[[#This Row],[PerformanceRating]]=4, "Excellent")</f>
        <v>Good</v>
      </c>
      <c r="O1335" s="8" t="str">
        <f>IF(HR_Analytics56[[#This Row],[MonthlyIncome]]&lt;3000,"&lt; ₹3,000",IF(HR_Analytics56[[#This Row],[MonthlyIncome]]&lt;=7000,"₹ 3,000 - ₹ 7,000","&gt; ₹7,000"))</f>
        <v>&gt; ₹7,000</v>
      </c>
      <c r="P1335" s="8" t="str" cm="1">
        <f t="array" ref="P13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6" spans="1:16" x14ac:dyDescent="0.8">
      <c r="A1336" s="5" t="s">
        <v>1408</v>
      </c>
      <c r="B1336" s="8">
        <v>51</v>
      </c>
      <c r="C1336" s="5" t="s">
        <v>49</v>
      </c>
      <c r="D1336" s="5" t="s">
        <v>42</v>
      </c>
      <c r="E1336" s="5" t="s">
        <v>44</v>
      </c>
      <c r="F1336" s="5" t="s">
        <v>252</v>
      </c>
      <c r="G1336" s="8">
        <v>2</v>
      </c>
      <c r="H1336" s="8">
        <v>12490</v>
      </c>
      <c r="I1336" s="5" t="s">
        <v>49</v>
      </c>
      <c r="J1336" s="8">
        <v>3</v>
      </c>
      <c r="K1336" s="8">
        <v>5</v>
      </c>
      <c r="L1336" s="8">
        <v>10</v>
      </c>
      <c r="M13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6" s="8" t="str" cm="1">
        <f t="array" ref="N1336">_xlfn.IFS(HR_Analytics56[[#This Row],[PerformanceRating]]=3,"Good",HR_Analytics56[[#This Row],[PerformanceRating]]=4, "Excellent")</f>
        <v>Good</v>
      </c>
      <c r="O1336" s="8" t="str">
        <f>IF(HR_Analytics56[[#This Row],[MonthlyIncome]]&lt;3000,"&lt; ₹3,000",IF(HR_Analytics56[[#This Row],[MonthlyIncome]]&lt;=7000,"₹ 3,000 - ₹ 7,000","&gt; ₹7,000"))</f>
        <v>&gt; ₹7,000</v>
      </c>
      <c r="P1336" s="8" t="str" cm="1">
        <f t="array" ref="P13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7" spans="1:16" x14ac:dyDescent="0.8">
      <c r="A1337" s="5" t="s">
        <v>1409</v>
      </c>
      <c r="B1337" s="8">
        <v>51</v>
      </c>
      <c r="C1337" s="5" t="s">
        <v>49</v>
      </c>
      <c r="D1337" s="5" t="s">
        <v>42</v>
      </c>
      <c r="E1337" s="5" t="s">
        <v>44</v>
      </c>
      <c r="F1337" s="5" t="s">
        <v>60</v>
      </c>
      <c r="G1337" s="8">
        <v>4</v>
      </c>
      <c r="H1337" s="8">
        <v>2723</v>
      </c>
      <c r="I1337" s="5" t="s">
        <v>49</v>
      </c>
      <c r="J1337" s="8">
        <v>3</v>
      </c>
      <c r="K1337" s="8">
        <v>0</v>
      </c>
      <c r="L1337" s="8">
        <v>1</v>
      </c>
      <c r="M13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7" s="8" t="str" cm="1">
        <f t="array" ref="N1337">_xlfn.IFS(HR_Analytics56[[#This Row],[PerformanceRating]]=3,"Good",HR_Analytics56[[#This Row],[PerformanceRating]]=4, "Excellent")</f>
        <v>Good</v>
      </c>
      <c r="O1337" s="8" t="str">
        <f>IF(HR_Analytics56[[#This Row],[MonthlyIncome]]&lt;3000,"&lt; ₹3,000",IF(HR_Analytics56[[#This Row],[MonthlyIncome]]&lt;=7000,"₹ 3,000 - ₹ 7,000","&gt; ₹7,000"))</f>
        <v>&lt; ₹3,000</v>
      </c>
      <c r="P1337" s="8" t="str" cm="1">
        <f t="array" ref="P13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8" spans="1:16" x14ac:dyDescent="0.8">
      <c r="A1338" s="5" t="s">
        <v>1410</v>
      </c>
      <c r="B1338" s="8">
        <v>51</v>
      </c>
      <c r="C1338" s="5" t="s">
        <v>49</v>
      </c>
      <c r="D1338" s="5" t="s">
        <v>42</v>
      </c>
      <c r="E1338" s="5" t="s">
        <v>44</v>
      </c>
      <c r="F1338" s="5" t="s">
        <v>112</v>
      </c>
      <c r="G1338" s="8">
        <v>2</v>
      </c>
      <c r="H1338" s="8">
        <v>5482</v>
      </c>
      <c r="I1338" s="5" t="s">
        <v>49</v>
      </c>
      <c r="J1338" s="8">
        <v>3</v>
      </c>
      <c r="K1338" s="8">
        <v>3</v>
      </c>
      <c r="L1338" s="8">
        <v>4</v>
      </c>
      <c r="M13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8" s="8" t="str" cm="1">
        <f t="array" ref="N1338">_xlfn.IFS(HR_Analytics56[[#This Row],[PerformanceRating]]=3,"Good",HR_Analytics56[[#This Row],[PerformanceRating]]=4, "Excellent")</f>
        <v>Good</v>
      </c>
      <c r="O1338" s="8" t="str">
        <f>IF(HR_Analytics56[[#This Row],[MonthlyIncome]]&lt;3000,"&lt; ₹3,000",IF(HR_Analytics56[[#This Row],[MonthlyIncome]]&lt;=7000,"₹ 3,000 - ₹ 7,000","&gt; ₹7,000"))</f>
        <v>₹ 3,000 - ₹ 7,000</v>
      </c>
      <c r="P1338" s="8" t="str" cm="1">
        <f t="array" ref="P13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39" spans="1:16" x14ac:dyDescent="0.8">
      <c r="A1339" s="5" t="s">
        <v>1411</v>
      </c>
      <c r="B1339" s="8">
        <v>51</v>
      </c>
      <c r="C1339" s="5" t="s">
        <v>49</v>
      </c>
      <c r="D1339" s="5" t="s">
        <v>51</v>
      </c>
      <c r="E1339" s="5" t="s">
        <v>53</v>
      </c>
      <c r="F1339" s="5" t="s">
        <v>137</v>
      </c>
      <c r="G1339" s="8">
        <v>4</v>
      </c>
      <c r="H1339" s="8">
        <v>4936</v>
      </c>
      <c r="I1339" s="5" t="s">
        <v>49</v>
      </c>
      <c r="J1339" s="8">
        <v>3</v>
      </c>
      <c r="K1339" s="8">
        <v>2</v>
      </c>
      <c r="L1339" s="8">
        <v>7</v>
      </c>
      <c r="M13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39" s="8" t="str" cm="1">
        <f t="array" ref="N1339">_xlfn.IFS(HR_Analytics56[[#This Row],[PerformanceRating]]=3,"Good",HR_Analytics56[[#This Row],[PerformanceRating]]=4, "Excellent")</f>
        <v>Good</v>
      </c>
      <c r="O1339" s="8" t="str">
        <f>IF(HR_Analytics56[[#This Row],[MonthlyIncome]]&lt;3000,"&lt; ₹3,000",IF(HR_Analytics56[[#This Row],[MonthlyIncome]]&lt;=7000,"₹ 3,000 - ₹ 7,000","&gt; ₹7,000"))</f>
        <v>₹ 3,000 - ₹ 7,000</v>
      </c>
      <c r="P1339" s="8" t="str" cm="1">
        <f t="array" ref="P13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0" spans="1:16" x14ac:dyDescent="0.8">
      <c r="A1340" s="5" t="s">
        <v>1412</v>
      </c>
      <c r="B1340" s="8">
        <v>51</v>
      </c>
      <c r="C1340" s="5" t="s">
        <v>49</v>
      </c>
      <c r="D1340" s="5" t="s">
        <v>51</v>
      </c>
      <c r="E1340" s="5" t="s">
        <v>53</v>
      </c>
      <c r="F1340" s="5" t="s">
        <v>442</v>
      </c>
      <c r="G1340" s="8">
        <v>3</v>
      </c>
      <c r="H1340" s="8">
        <v>16307</v>
      </c>
      <c r="I1340" s="5" t="s">
        <v>49</v>
      </c>
      <c r="J1340" s="8">
        <v>3</v>
      </c>
      <c r="K1340" s="8">
        <v>2</v>
      </c>
      <c r="L1340" s="8">
        <v>20</v>
      </c>
      <c r="M13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0" s="8" t="str" cm="1">
        <f t="array" ref="N1340">_xlfn.IFS(HR_Analytics56[[#This Row],[PerformanceRating]]=3,"Good",HR_Analytics56[[#This Row],[PerformanceRating]]=4, "Excellent")</f>
        <v>Good</v>
      </c>
      <c r="O1340" s="8" t="str">
        <f>IF(HR_Analytics56[[#This Row],[MonthlyIncome]]&lt;3000,"&lt; ₹3,000",IF(HR_Analytics56[[#This Row],[MonthlyIncome]]&lt;=7000,"₹ 3,000 - ₹ 7,000","&gt; ₹7,000"))</f>
        <v>&gt; ₹7,000</v>
      </c>
      <c r="P1340" s="8" t="str" cm="1">
        <f t="array" ref="P13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1" spans="1:16" x14ac:dyDescent="0.8">
      <c r="A1341" s="5" t="s">
        <v>1413</v>
      </c>
      <c r="B1341" s="8">
        <v>51</v>
      </c>
      <c r="C1341" s="5" t="s">
        <v>40</v>
      </c>
      <c r="D1341" s="5" t="s">
        <v>42</v>
      </c>
      <c r="E1341" s="5" t="s">
        <v>44</v>
      </c>
      <c r="F1341" s="5" t="s">
        <v>60</v>
      </c>
      <c r="G1341" s="8">
        <v>3</v>
      </c>
      <c r="H1341" s="8">
        <v>2461</v>
      </c>
      <c r="I1341" s="5" t="s">
        <v>40</v>
      </c>
      <c r="J1341" s="8">
        <v>3</v>
      </c>
      <c r="K1341" s="8">
        <v>2</v>
      </c>
      <c r="L1341" s="8">
        <v>10</v>
      </c>
      <c r="M13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41" s="8" t="str" cm="1">
        <f t="array" ref="N1341">_xlfn.IFS(HR_Analytics56[[#This Row],[PerformanceRating]]=3,"Good",HR_Analytics56[[#This Row],[PerformanceRating]]=4, "Excellent")</f>
        <v>Good</v>
      </c>
      <c r="O1341" s="8" t="str">
        <f>IF(HR_Analytics56[[#This Row],[MonthlyIncome]]&lt;3000,"&lt; ₹3,000",IF(HR_Analytics56[[#This Row],[MonthlyIncome]]&lt;=7000,"₹ 3,000 - ₹ 7,000","&gt; ₹7,000"))</f>
        <v>&lt; ₹3,000</v>
      </c>
      <c r="P1341" s="8" t="str" cm="1">
        <f t="array" ref="P13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2" spans="1:16" x14ac:dyDescent="0.8">
      <c r="A1342" s="5" t="s">
        <v>1414</v>
      </c>
      <c r="B1342" s="8">
        <v>51</v>
      </c>
      <c r="C1342" s="5" t="s">
        <v>49</v>
      </c>
      <c r="D1342" s="5" t="s">
        <v>51</v>
      </c>
      <c r="E1342" s="5" t="s">
        <v>44</v>
      </c>
      <c r="F1342" s="5" t="s">
        <v>442</v>
      </c>
      <c r="G1342" s="8">
        <v>2</v>
      </c>
      <c r="H1342" s="8">
        <v>19847</v>
      </c>
      <c r="I1342" s="5" t="s">
        <v>40</v>
      </c>
      <c r="J1342" s="8">
        <v>4</v>
      </c>
      <c r="K1342" s="8">
        <v>5</v>
      </c>
      <c r="L1342" s="8">
        <v>29</v>
      </c>
      <c r="M13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42" s="8" t="str" cm="1">
        <f t="array" ref="N1342">_xlfn.IFS(HR_Analytics56[[#This Row],[PerformanceRating]]=3,"Good",HR_Analytics56[[#This Row],[PerformanceRating]]=4, "Excellent")</f>
        <v>Excellent</v>
      </c>
      <c r="O1342" s="8" t="str">
        <f>IF(HR_Analytics56[[#This Row],[MonthlyIncome]]&lt;3000,"&lt; ₹3,000",IF(HR_Analytics56[[#This Row],[MonthlyIncome]]&lt;=7000,"₹ 3,000 - ₹ 7,000","&gt; ₹7,000"))</f>
        <v>&gt; ₹7,000</v>
      </c>
      <c r="P1342" s="8" t="str" cm="1">
        <f t="array" ref="P1342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43" spans="1:16" x14ac:dyDescent="0.8">
      <c r="A1343" s="5" t="s">
        <v>1415</v>
      </c>
      <c r="B1343" s="8">
        <v>51</v>
      </c>
      <c r="C1343" s="5" t="s">
        <v>49</v>
      </c>
      <c r="D1343" s="5" t="s">
        <v>42</v>
      </c>
      <c r="E1343" s="5" t="s">
        <v>53</v>
      </c>
      <c r="F1343" s="5" t="s">
        <v>45</v>
      </c>
      <c r="G1343" s="8">
        <v>3</v>
      </c>
      <c r="H1343" s="8">
        <v>2838</v>
      </c>
      <c r="I1343" s="5" t="s">
        <v>49</v>
      </c>
      <c r="J1343" s="8">
        <v>3</v>
      </c>
      <c r="K1343" s="8">
        <v>6</v>
      </c>
      <c r="L1343" s="8">
        <v>7</v>
      </c>
      <c r="M13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3" s="8" t="str" cm="1">
        <f t="array" ref="N1343">_xlfn.IFS(HR_Analytics56[[#This Row],[PerformanceRating]]=3,"Good",HR_Analytics56[[#This Row],[PerformanceRating]]=4, "Excellent")</f>
        <v>Good</v>
      </c>
      <c r="O1343" s="8" t="str">
        <f>IF(HR_Analytics56[[#This Row],[MonthlyIncome]]&lt;3000,"&lt; ₹3,000",IF(HR_Analytics56[[#This Row],[MonthlyIncome]]&lt;=7000,"₹ 3,000 - ₹ 7,000","&gt; ₹7,000"))</f>
        <v>&lt; ₹3,000</v>
      </c>
      <c r="P1343" s="8" t="str" cm="1">
        <f t="array" ref="P13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4" spans="1:16" x14ac:dyDescent="0.8">
      <c r="A1344" s="5" t="s">
        <v>1416</v>
      </c>
      <c r="B1344" s="8">
        <v>51</v>
      </c>
      <c r="C1344" s="5" t="s">
        <v>49</v>
      </c>
      <c r="D1344" s="5" t="s">
        <v>71</v>
      </c>
      <c r="E1344" s="5" t="s">
        <v>44</v>
      </c>
      <c r="F1344" s="5" t="s">
        <v>442</v>
      </c>
      <c r="G1344" s="8">
        <v>2</v>
      </c>
      <c r="H1344" s="8">
        <v>14026</v>
      </c>
      <c r="I1344" s="5" t="s">
        <v>40</v>
      </c>
      <c r="J1344" s="8">
        <v>3</v>
      </c>
      <c r="K1344" s="8">
        <v>2</v>
      </c>
      <c r="L1344" s="8">
        <v>33</v>
      </c>
      <c r="M13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44" s="8" t="str" cm="1">
        <f t="array" ref="N1344">_xlfn.IFS(HR_Analytics56[[#This Row],[PerformanceRating]]=3,"Good",HR_Analytics56[[#This Row],[PerformanceRating]]=4, "Excellent")</f>
        <v>Good</v>
      </c>
      <c r="O1344" s="8" t="str">
        <f>IF(HR_Analytics56[[#This Row],[MonthlyIncome]]&lt;3000,"&lt; ₹3,000",IF(HR_Analytics56[[#This Row],[MonthlyIncome]]&lt;=7000,"₹ 3,000 - ₹ 7,000","&gt; ₹7,000"))</f>
        <v>&gt; ₹7,000</v>
      </c>
      <c r="P1344" s="8" t="str" cm="1">
        <f t="array" ref="P13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5" spans="1:16" x14ac:dyDescent="0.8">
      <c r="A1345" s="5" t="s">
        <v>1417</v>
      </c>
      <c r="B1345" s="8">
        <v>51</v>
      </c>
      <c r="C1345" s="5" t="s">
        <v>49</v>
      </c>
      <c r="D1345" s="5" t="s">
        <v>42</v>
      </c>
      <c r="E1345" s="5" t="s">
        <v>53</v>
      </c>
      <c r="F1345" s="5" t="s">
        <v>112</v>
      </c>
      <c r="G1345" s="8">
        <v>2</v>
      </c>
      <c r="H1345" s="8">
        <v>13142</v>
      </c>
      <c r="I1345" s="5" t="s">
        <v>49</v>
      </c>
      <c r="J1345" s="8">
        <v>3</v>
      </c>
      <c r="K1345" s="8">
        <v>1</v>
      </c>
      <c r="L1345" s="8">
        <v>5</v>
      </c>
      <c r="M13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5" s="8" t="str" cm="1">
        <f t="array" ref="N1345">_xlfn.IFS(HR_Analytics56[[#This Row],[PerformanceRating]]=3,"Good",HR_Analytics56[[#This Row],[PerformanceRating]]=4, "Excellent")</f>
        <v>Good</v>
      </c>
      <c r="O1345" s="8" t="str">
        <f>IF(HR_Analytics56[[#This Row],[MonthlyIncome]]&lt;3000,"&lt; ₹3,000",IF(HR_Analytics56[[#This Row],[MonthlyIncome]]&lt;=7000,"₹ 3,000 - ₹ 7,000","&gt; ₹7,000"))</f>
        <v>&gt; ₹7,000</v>
      </c>
      <c r="P1345" s="8" t="str" cm="1">
        <f t="array" ref="P13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6" spans="1:16" x14ac:dyDescent="0.8">
      <c r="A1346" s="5" t="s">
        <v>1418</v>
      </c>
      <c r="B1346" s="8">
        <v>51</v>
      </c>
      <c r="C1346" s="5" t="s">
        <v>49</v>
      </c>
      <c r="D1346" s="5" t="s">
        <v>51</v>
      </c>
      <c r="E1346" s="5" t="s">
        <v>44</v>
      </c>
      <c r="F1346" s="5" t="s">
        <v>137</v>
      </c>
      <c r="G1346" s="8">
        <v>2</v>
      </c>
      <c r="H1346" s="8">
        <v>10596</v>
      </c>
      <c r="I1346" s="5" t="s">
        <v>49</v>
      </c>
      <c r="J1346" s="8">
        <v>3</v>
      </c>
      <c r="K1346" s="8">
        <v>5</v>
      </c>
      <c r="L1346" s="8">
        <v>4</v>
      </c>
      <c r="M13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6" s="8" t="str" cm="1">
        <f t="array" ref="N1346">_xlfn.IFS(HR_Analytics56[[#This Row],[PerformanceRating]]=3,"Good",HR_Analytics56[[#This Row],[PerformanceRating]]=4, "Excellent")</f>
        <v>Good</v>
      </c>
      <c r="O1346" s="8" t="str">
        <f>IF(HR_Analytics56[[#This Row],[MonthlyIncome]]&lt;3000,"&lt; ₹3,000",IF(HR_Analytics56[[#This Row],[MonthlyIncome]]&lt;=7000,"₹ 3,000 - ₹ 7,000","&gt; ₹7,000"))</f>
        <v>&gt; ₹7,000</v>
      </c>
      <c r="P1346" s="8" t="str" cm="1">
        <f t="array" ref="P13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7" spans="1:16" x14ac:dyDescent="0.8">
      <c r="A1347" s="5" t="s">
        <v>1419</v>
      </c>
      <c r="B1347" s="8">
        <v>51</v>
      </c>
      <c r="C1347" s="5" t="s">
        <v>49</v>
      </c>
      <c r="D1347" s="5" t="s">
        <v>42</v>
      </c>
      <c r="E1347" s="5" t="s">
        <v>53</v>
      </c>
      <c r="F1347" s="5" t="s">
        <v>442</v>
      </c>
      <c r="G1347" s="8">
        <v>3</v>
      </c>
      <c r="H1347" s="8">
        <v>13116</v>
      </c>
      <c r="I1347" s="5" t="s">
        <v>49</v>
      </c>
      <c r="J1347" s="8">
        <v>3</v>
      </c>
      <c r="K1347" s="8">
        <v>2</v>
      </c>
      <c r="L1347" s="8">
        <v>2</v>
      </c>
      <c r="M13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7" s="8" t="str" cm="1">
        <f t="array" ref="N1347">_xlfn.IFS(HR_Analytics56[[#This Row],[PerformanceRating]]=3,"Good",HR_Analytics56[[#This Row],[PerformanceRating]]=4, "Excellent")</f>
        <v>Good</v>
      </c>
      <c r="O1347" s="8" t="str">
        <f>IF(HR_Analytics56[[#This Row],[MonthlyIncome]]&lt;3000,"&lt; ₹3,000",IF(HR_Analytics56[[#This Row],[MonthlyIncome]]&lt;=7000,"₹ 3,000 - ₹ 7,000","&gt; ₹7,000"))</f>
        <v>&gt; ₹7,000</v>
      </c>
      <c r="P1347" s="8" t="str" cm="1">
        <f t="array" ref="P13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8" spans="1:16" x14ac:dyDescent="0.8">
      <c r="A1348" s="5" t="s">
        <v>1420</v>
      </c>
      <c r="B1348" s="8">
        <v>52</v>
      </c>
      <c r="C1348" s="5" t="s">
        <v>49</v>
      </c>
      <c r="D1348" s="5" t="s">
        <v>42</v>
      </c>
      <c r="E1348" s="5" t="s">
        <v>44</v>
      </c>
      <c r="F1348" s="5" t="s">
        <v>442</v>
      </c>
      <c r="G1348" s="8">
        <v>3</v>
      </c>
      <c r="H1348" s="8">
        <v>19999</v>
      </c>
      <c r="I1348" s="5" t="s">
        <v>49</v>
      </c>
      <c r="J1348" s="8">
        <v>3</v>
      </c>
      <c r="K1348" s="8">
        <v>5</v>
      </c>
      <c r="L1348" s="8">
        <v>33</v>
      </c>
      <c r="M13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8" s="8" t="str" cm="1">
        <f t="array" ref="N1348">_xlfn.IFS(HR_Analytics56[[#This Row],[PerformanceRating]]=3,"Good",HR_Analytics56[[#This Row],[PerformanceRating]]=4, "Excellent")</f>
        <v>Good</v>
      </c>
      <c r="O1348" s="8" t="str">
        <f>IF(HR_Analytics56[[#This Row],[MonthlyIncome]]&lt;3000,"&lt; ₹3,000",IF(HR_Analytics56[[#This Row],[MonthlyIncome]]&lt;=7000,"₹ 3,000 - ₹ 7,000","&gt; ₹7,000"))</f>
        <v>&gt; ₹7,000</v>
      </c>
      <c r="P1348" s="8" t="str" cm="1">
        <f t="array" ref="P13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49" spans="1:16" x14ac:dyDescent="0.8">
      <c r="A1349" s="5" t="s">
        <v>1421</v>
      </c>
      <c r="B1349" s="8">
        <v>52</v>
      </c>
      <c r="C1349" s="5" t="s">
        <v>49</v>
      </c>
      <c r="D1349" s="5" t="s">
        <v>42</v>
      </c>
      <c r="E1349" s="5" t="s">
        <v>53</v>
      </c>
      <c r="F1349" s="5" t="s">
        <v>45</v>
      </c>
      <c r="G1349" s="8">
        <v>4</v>
      </c>
      <c r="H1349" s="8">
        <v>3212</v>
      </c>
      <c r="I1349" s="5" t="s">
        <v>49</v>
      </c>
      <c r="J1349" s="8">
        <v>3</v>
      </c>
      <c r="K1349" s="8">
        <v>3</v>
      </c>
      <c r="L1349" s="8">
        <v>2</v>
      </c>
      <c r="M13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49" s="8" t="str" cm="1">
        <f t="array" ref="N1349">_xlfn.IFS(HR_Analytics56[[#This Row],[PerformanceRating]]=3,"Good",HR_Analytics56[[#This Row],[PerformanceRating]]=4, "Excellent")</f>
        <v>Good</v>
      </c>
      <c r="O1349" s="8" t="str">
        <f>IF(HR_Analytics56[[#This Row],[MonthlyIncome]]&lt;3000,"&lt; ₹3,000",IF(HR_Analytics56[[#This Row],[MonthlyIncome]]&lt;=7000,"₹ 3,000 - ₹ 7,000","&gt; ₹7,000"))</f>
        <v>₹ 3,000 - ₹ 7,000</v>
      </c>
      <c r="P1349" s="8" t="str" cm="1">
        <f t="array" ref="P13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0" spans="1:16" x14ac:dyDescent="0.8">
      <c r="A1350" s="5" t="s">
        <v>1422</v>
      </c>
      <c r="B1350" s="8">
        <v>52</v>
      </c>
      <c r="C1350" s="5" t="s">
        <v>49</v>
      </c>
      <c r="D1350" s="5" t="s">
        <v>51</v>
      </c>
      <c r="E1350" s="5" t="s">
        <v>44</v>
      </c>
      <c r="F1350" s="5" t="s">
        <v>442</v>
      </c>
      <c r="G1350" s="8">
        <v>3</v>
      </c>
      <c r="H1350" s="8">
        <v>19068</v>
      </c>
      <c r="I1350" s="5" t="s">
        <v>40</v>
      </c>
      <c r="J1350" s="8">
        <v>3</v>
      </c>
      <c r="K1350" s="8">
        <v>2</v>
      </c>
      <c r="L1350" s="8">
        <v>33</v>
      </c>
      <c r="M13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50" s="8" t="str" cm="1">
        <f t="array" ref="N1350">_xlfn.IFS(HR_Analytics56[[#This Row],[PerformanceRating]]=3,"Good",HR_Analytics56[[#This Row],[PerformanceRating]]=4, "Excellent")</f>
        <v>Good</v>
      </c>
      <c r="O1350" s="8" t="str">
        <f>IF(HR_Analytics56[[#This Row],[MonthlyIncome]]&lt;3000,"&lt; ₹3,000",IF(HR_Analytics56[[#This Row],[MonthlyIncome]]&lt;=7000,"₹ 3,000 - ₹ 7,000","&gt; ₹7,000"))</f>
        <v>&gt; ₹7,000</v>
      </c>
      <c r="P1350" s="8" t="str" cm="1">
        <f t="array" ref="P13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1" spans="1:16" x14ac:dyDescent="0.8">
      <c r="A1351" s="5" t="s">
        <v>1423</v>
      </c>
      <c r="B1351" s="8">
        <v>52</v>
      </c>
      <c r="C1351" s="5" t="s">
        <v>40</v>
      </c>
      <c r="D1351" s="5" t="s">
        <v>42</v>
      </c>
      <c r="E1351" s="5" t="s">
        <v>44</v>
      </c>
      <c r="F1351" s="5" t="s">
        <v>60</v>
      </c>
      <c r="G1351" s="8">
        <v>2</v>
      </c>
      <c r="H1351" s="8">
        <v>4941</v>
      </c>
      <c r="I1351" s="5" t="s">
        <v>49</v>
      </c>
      <c r="J1351" s="8">
        <v>3</v>
      </c>
      <c r="K1351" s="8">
        <v>3</v>
      </c>
      <c r="L1351" s="8">
        <v>8</v>
      </c>
      <c r="M13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51" s="8" t="str" cm="1">
        <f t="array" ref="N1351">_xlfn.IFS(HR_Analytics56[[#This Row],[PerformanceRating]]=3,"Good",HR_Analytics56[[#This Row],[PerformanceRating]]=4, "Excellent")</f>
        <v>Good</v>
      </c>
      <c r="O1351" s="8" t="str">
        <f>IF(HR_Analytics56[[#This Row],[MonthlyIncome]]&lt;3000,"&lt; ₹3,000",IF(HR_Analytics56[[#This Row],[MonthlyIncome]]&lt;=7000,"₹ 3,000 - ₹ 7,000","&gt; ₹7,000"))</f>
        <v>₹ 3,000 - ₹ 7,000</v>
      </c>
      <c r="P1351" s="8" t="str" cm="1">
        <f t="array" ref="P13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2" spans="1:16" x14ac:dyDescent="0.8">
      <c r="A1352" s="5" t="s">
        <v>1424</v>
      </c>
      <c r="B1352" s="8">
        <v>52</v>
      </c>
      <c r="C1352" s="5" t="s">
        <v>49</v>
      </c>
      <c r="D1352" s="5" t="s">
        <v>42</v>
      </c>
      <c r="E1352" s="5" t="s">
        <v>44</v>
      </c>
      <c r="F1352" s="5" t="s">
        <v>112</v>
      </c>
      <c r="G1352" s="8">
        <v>3</v>
      </c>
      <c r="H1352" s="8">
        <v>7969</v>
      </c>
      <c r="I1352" s="5" t="s">
        <v>40</v>
      </c>
      <c r="J1352" s="8">
        <v>3</v>
      </c>
      <c r="K1352" s="8">
        <v>4</v>
      </c>
      <c r="L1352" s="8">
        <v>5</v>
      </c>
      <c r="M13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52" s="8" t="str" cm="1">
        <f t="array" ref="N1352">_xlfn.IFS(HR_Analytics56[[#This Row],[PerformanceRating]]=3,"Good",HR_Analytics56[[#This Row],[PerformanceRating]]=4, "Excellent")</f>
        <v>Good</v>
      </c>
      <c r="O1352" s="8" t="str">
        <f>IF(HR_Analytics56[[#This Row],[MonthlyIncome]]&lt;3000,"&lt; ₹3,000",IF(HR_Analytics56[[#This Row],[MonthlyIncome]]&lt;=7000,"₹ 3,000 - ₹ 7,000","&gt; ₹7,000"))</f>
        <v>&gt; ₹7,000</v>
      </c>
      <c r="P1352" s="8" t="str" cm="1">
        <f t="array" ref="P13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3" spans="1:16" x14ac:dyDescent="0.8">
      <c r="A1353" s="5" t="s">
        <v>1425</v>
      </c>
      <c r="B1353" s="8">
        <v>52</v>
      </c>
      <c r="C1353" s="5" t="s">
        <v>49</v>
      </c>
      <c r="D1353" s="5" t="s">
        <v>42</v>
      </c>
      <c r="E1353" s="5" t="s">
        <v>53</v>
      </c>
      <c r="F1353" s="5" t="s">
        <v>442</v>
      </c>
      <c r="G1353" s="8">
        <v>4</v>
      </c>
      <c r="H1353" s="8">
        <v>16555</v>
      </c>
      <c r="I1353" s="5" t="s">
        <v>49</v>
      </c>
      <c r="J1353" s="8">
        <v>3</v>
      </c>
      <c r="K1353" s="8">
        <v>2</v>
      </c>
      <c r="L1353" s="8">
        <v>5</v>
      </c>
      <c r="M13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3" s="8" t="str" cm="1">
        <f t="array" ref="N1353">_xlfn.IFS(HR_Analytics56[[#This Row],[PerformanceRating]]=3,"Good",HR_Analytics56[[#This Row],[PerformanceRating]]=4, "Excellent")</f>
        <v>Good</v>
      </c>
      <c r="O1353" s="8" t="str">
        <f>IF(HR_Analytics56[[#This Row],[MonthlyIncome]]&lt;3000,"&lt; ₹3,000",IF(HR_Analytics56[[#This Row],[MonthlyIncome]]&lt;=7000,"₹ 3,000 - ₹ 7,000","&gt; ₹7,000"))</f>
        <v>&gt; ₹7,000</v>
      </c>
      <c r="P1353" s="8" t="str" cm="1">
        <f t="array" ref="P135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4" spans="1:16" x14ac:dyDescent="0.8">
      <c r="A1354" s="5" t="s">
        <v>1426</v>
      </c>
      <c r="B1354" s="8">
        <v>52</v>
      </c>
      <c r="C1354" s="5" t="s">
        <v>49</v>
      </c>
      <c r="D1354" s="5" t="s">
        <v>42</v>
      </c>
      <c r="E1354" s="5" t="s">
        <v>44</v>
      </c>
      <c r="F1354" s="5" t="s">
        <v>60</v>
      </c>
      <c r="G1354" s="8">
        <v>1</v>
      </c>
      <c r="H1354" s="8">
        <v>5577</v>
      </c>
      <c r="I1354" s="5" t="s">
        <v>40</v>
      </c>
      <c r="J1354" s="8">
        <v>3</v>
      </c>
      <c r="K1354" s="8">
        <v>3</v>
      </c>
      <c r="L1354" s="8">
        <v>10</v>
      </c>
      <c r="M13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54" s="8" t="str" cm="1">
        <f t="array" ref="N1354">_xlfn.IFS(HR_Analytics56[[#This Row],[PerformanceRating]]=3,"Good",HR_Analytics56[[#This Row],[PerformanceRating]]=4, "Excellent")</f>
        <v>Good</v>
      </c>
      <c r="O1354" s="8" t="str">
        <f>IF(HR_Analytics56[[#This Row],[MonthlyIncome]]&lt;3000,"&lt; ₹3,000",IF(HR_Analytics56[[#This Row],[MonthlyIncome]]&lt;=7000,"₹ 3,000 - ₹ 7,000","&gt; ₹7,000"))</f>
        <v>₹ 3,000 - ₹ 7,000</v>
      </c>
      <c r="P1354" s="8" t="str" cm="1">
        <f t="array" ref="P13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5" spans="1:16" x14ac:dyDescent="0.8">
      <c r="A1355" s="5" t="s">
        <v>1427</v>
      </c>
      <c r="B1355" s="8">
        <v>52</v>
      </c>
      <c r="C1355" s="5" t="s">
        <v>49</v>
      </c>
      <c r="D1355" s="5" t="s">
        <v>51</v>
      </c>
      <c r="E1355" s="5" t="s">
        <v>44</v>
      </c>
      <c r="F1355" s="5" t="s">
        <v>442</v>
      </c>
      <c r="G1355" s="8">
        <v>1</v>
      </c>
      <c r="H1355" s="8">
        <v>16856</v>
      </c>
      <c r="I1355" s="5" t="s">
        <v>49</v>
      </c>
      <c r="J1355" s="8">
        <v>3</v>
      </c>
      <c r="K1355" s="8">
        <v>3</v>
      </c>
      <c r="L1355" s="8">
        <v>34</v>
      </c>
      <c r="M13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5" s="8" t="str" cm="1">
        <f t="array" ref="N1355">_xlfn.IFS(HR_Analytics56[[#This Row],[PerformanceRating]]=3,"Good",HR_Analytics56[[#This Row],[PerformanceRating]]=4, "Excellent")</f>
        <v>Good</v>
      </c>
      <c r="O1355" s="8" t="str">
        <f>IF(HR_Analytics56[[#This Row],[MonthlyIncome]]&lt;3000,"&lt; ₹3,000",IF(HR_Analytics56[[#This Row],[MonthlyIncome]]&lt;=7000,"₹ 3,000 - ₹ 7,000","&gt; ₹7,000"))</f>
        <v>&gt; ₹7,000</v>
      </c>
      <c r="P1355" s="8" t="str" cm="1">
        <f t="array" ref="P13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6" spans="1:16" x14ac:dyDescent="0.8">
      <c r="A1356" s="5" t="s">
        <v>1428</v>
      </c>
      <c r="B1356" s="8">
        <v>52</v>
      </c>
      <c r="C1356" s="5" t="s">
        <v>49</v>
      </c>
      <c r="D1356" s="5" t="s">
        <v>42</v>
      </c>
      <c r="E1356" s="5" t="s">
        <v>44</v>
      </c>
      <c r="F1356" s="5" t="s">
        <v>60</v>
      </c>
      <c r="G1356" s="8">
        <v>4</v>
      </c>
      <c r="H1356" s="8">
        <v>4258</v>
      </c>
      <c r="I1356" s="5" t="s">
        <v>49</v>
      </c>
      <c r="J1356" s="8">
        <v>3</v>
      </c>
      <c r="K1356" s="8">
        <v>3</v>
      </c>
      <c r="L1356" s="8">
        <v>4</v>
      </c>
      <c r="M13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6" s="8" t="str" cm="1">
        <f t="array" ref="N1356">_xlfn.IFS(HR_Analytics56[[#This Row],[PerformanceRating]]=3,"Good",HR_Analytics56[[#This Row],[PerformanceRating]]=4, "Excellent")</f>
        <v>Good</v>
      </c>
      <c r="O1356" s="8" t="str">
        <f>IF(HR_Analytics56[[#This Row],[MonthlyIncome]]&lt;3000,"&lt; ₹3,000",IF(HR_Analytics56[[#This Row],[MonthlyIncome]]&lt;=7000,"₹ 3,000 - ₹ 7,000","&gt; ₹7,000"))</f>
        <v>₹ 3,000 - ₹ 7,000</v>
      </c>
      <c r="P1356" s="8" t="str" cm="1">
        <f t="array" ref="P13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57" spans="1:16" x14ac:dyDescent="0.8">
      <c r="A1357" s="5" t="s">
        <v>1429</v>
      </c>
      <c r="B1357" s="8">
        <v>52</v>
      </c>
      <c r="C1357" s="5" t="s">
        <v>49</v>
      </c>
      <c r="D1357" s="5" t="s">
        <v>42</v>
      </c>
      <c r="E1357" s="5" t="s">
        <v>53</v>
      </c>
      <c r="F1357" s="5" t="s">
        <v>45</v>
      </c>
      <c r="G1357" s="8">
        <v>3</v>
      </c>
      <c r="H1357" s="8">
        <v>3149</v>
      </c>
      <c r="I1357" s="5" t="s">
        <v>49</v>
      </c>
      <c r="J1357" s="8">
        <v>4</v>
      </c>
      <c r="K1357" s="8">
        <v>3</v>
      </c>
      <c r="L1357" s="8">
        <v>5</v>
      </c>
      <c r="M13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7" s="8" t="str" cm="1">
        <f t="array" ref="N1357">_xlfn.IFS(HR_Analytics56[[#This Row],[PerformanceRating]]=3,"Good",HR_Analytics56[[#This Row],[PerformanceRating]]=4, "Excellent")</f>
        <v>Excellent</v>
      </c>
      <c r="O1357" s="8" t="str">
        <f>IF(HR_Analytics56[[#This Row],[MonthlyIncome]]&lt;3000,"&lt; ₹3,000",IF(HR_Analytics56[[#This Row],[MonthlyIncome]]&lt;=7000,"₹ 3,000 - ₹ 7,000","&gt; ₹7,000"))</f>
        <v>₹ 3,000 - ₹ 7,000</v>
      </c>
      <c r="P1357" s="8" t="str" cm="1">
        <f t="array" ref="P1357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58" spans="1:16" x14ac:dyDescent="0.8">
      <c r="A1358" s="5" t="s">
        <v>1430</v>
      </c>
      <c r="B1358" s="8">
        <v>52</v>
      </c>
      <c r="C1358" s="5" t="s">
        <v>49</v>
      </c>
      <c r="D1358" s="5" t="s">
        <v>42</v>
      </c>
      <c r="E1358" s="5" t="s">
        <v>53</v>
      </c>
      <c r="F1358" s="5" t="s">
        <v>112</v>
      </c>
      <c r="G1358" s="8">
        <v>4</v>
      </c>
      <c r="H1358" s="8">
        <v>13826</v>
      </c>
      <c r="I1358" s="5" t="s">
        <v>49</v>
      </c>
      <c r="J1358" s="8">
        <v>4</v>
      </c>
      <c r="K1358" s="8">
        <v>3</v>
      </c>
      <c r="L1358" s="8">
        <v>9</v>
      </c>
      <c r="M13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8" s="8" t="str" cm="1">
        <f t="array" ref="N1358">_xlfn.IFS(HR_Analytics56[[#This Row],[PerformanceRating]]=3,"Good",HR_Analytics56[[#This Row],[PerformanceRating]]=4, "Excellent")</f>
        <v>Excellent</v>
      </c>
      <c r="O1358" s="8" t="str">
        <f>IF(HR_Analytics56[[#This Row],[MonthlyIncome]]&lt;3000,"&lt; ₹3,000",IF(HR_Analytics56[[#This Row],[MonthlyIncome]]&lt;=7000,"₹ 3,000 - ₹ 7,000","&gt; ₹7,000"))</f>
        <v>&gt; ₹7,000</v>
      </c>
      <c r="P1358" s="8" t="str" cm="1">
        <f t="array" ref="P135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59" spans="1:16" x14ac:dyDescent="0.8">
      <c r="A1359" s="5" t="s">
        <v>1431</v>
      </c>
      <c r="B1359" s="8">
        <v>52</v>
      </c>
      <c r="C1359" s="5" t="s">
        <v>49</v>
      </c>
      <c r="D1359" s="5" t="s">
        <v>42</v>
      </c>
      <c r="E1359" s="5" t="s">
        <v>44</v>
      </c>
      <c r="F1359" s="5" t="s">
        <v>442</v>
      </c>
      <c r="G1359" s="8">
        <v>4</v>
      </c>
      <c r="H1359" s="8">
        <v>17099</v>
      </c>
      <c r="I1359" s="5" t="s">
        <v>49</v>
      </c>
      <c r="J1359" s="8">
        <v>3</v>
      </c>
      <c r="K1359" s="8">
        <v>2</v>
      </c>
      <c r="L1359" s="8">
        <v>9</v>
      </c>
      <c r="M13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59" s="8" t="str" cm="1">
        <f t="array" ref="N1359">_xlfn.IFS(HR_Analytics56[[#This Row],[PerformanceRating]]=3,"Good",HR_Analytics56[[#This Row],[PerformanceRating]]=4, "Excellent")</f>
        <v>Good</v>
      </c>
      <c r="O1359" s="8" t="str">
        <f>IF(HR_Analytics56[[#This Row],[MonthlyIncome]]&lt;3000,"&lt; ₹3,000",IF(HR_Analytics56[[#This Row],[MonthlyIncome]]&lt;=7000,"₹ 3,000 - ₹ 7,000","&gt; ₹7,000"))</f>
        <v>&gt; ₹7,000</v>
      </c>
      <c r="P1359" s="8" t="str" cm="1">
        <f t="array" ref="P13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0" spans="1:16" x14ac:dyDescent="0.8">
      <c r="A1360" s="5" t="s">
        <v>1432</v>
      </c>
      <c r="B1360" s="8">
        <v>52</v>
      </c>
      <c r="C1360" s="5" t="s">
        <v>40</v>
      </c>
      <c r="D1360" s="5" t="s">
        <v>51</v>
      </c>
      <c r="E1360" s="5" t="s">
        <v>53</v>
      </c>
      <c r="F1360" s="5" t="s">
        <v>442</v>
      </c>
      <c r="G1360" s="8">
        <v>4</v>
      </c>
      <c r="H1360" s="8">
        <v>19845</v>
      </c>
      <c r="I1360" s="5" t="s">
        <v>49</v>
      </c>
      <c r="J1360" s="8">
        <v>3</v>
      </c>
      <c r="K1360" s="8">
        <v>3</v>
      </c>
      <c r="L1360" s="8">
        <v>32</v>
      </c>
      <c r="M13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60" s="8" t="str" cm="1">
        <f t="array" ref="N1360">_xlfn.IFS(HR_Analytics56[[#This Row],[PerformanceRating]]=3,"Good",HR_Analytics56[[#This Row],[PerformanceRating]]=4, "Excellent")</f>
        <v>Good</v>
      </c>
      <c r="O1360" s="8" t="str">
        <f>IF(HR_Analytics56[[#This Row],[MonthlyIncome]]&lt;3000,"&lt; ₹3,000",IF(HR_Analytics56[[#This Row],[MonthlyIncome]]&lt;=7000,"₹ 3,000 - ₹ 7,000","&gt; ₹7,000"))</f>
        <v>&gt; ₹7,000</v>
      </c>
      <c r="P1360" s="8" t="str" cm="1">
        <f t="array" ref="P136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1" spans="1:16" x14ac:dyDescent="0.8">
      <c r="A1361" s="5" t="s">
        <v>1433</v>
      </c>
      <c r="B1361" s="8">
        <v>52</v>
      </c>
      <c r="C1361" s="5" t="s">
        <v>49</v>
      </c>
      <c r="D1361" s="5" t="s">
        <v>42</v>
      </c>
      <c r="E1361" s="5" t="s">
        <v>44</v>
      </c>
      <c r="F1361" s="5" t="s">
        <v>161</v>
      </c>
      <c r="G1361" s="8">
        <v>2</v>
      </c>
      <c r="H1361" s="8">
        <v>10445</v>
      </c>
      <c r="I1361" s="5" t="s">
        <v>49</v>
      </c>
      <c r="J1361" s="8">
        <v>3</v>
      </c>
      <c r="K1361" s="8">
        <v>4</v>
      </c>
      <c r="L1361" s="8">
        <v>8</v>
      </c>
      <c r="M13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1" s="8" t="str" cm="1">
        <f t="array" ref="N1361">_xlfn.IFS(HR_Analytics56[[#This Row],[PerformanceRating]]=3,"Good",HR_Analytics56[[#This Row],[PerformanceRating]]=4, "Excellent")</f>
        <v>Good</v>
      </c>
      <c r="O1361" s="8" t="str">
        <f>IF(HR_Analytics56[[#This Row],[MonthlyIncome]]&lt;3000,"&lt; ₹3,000",IF(HR_Analytics56[[#This Row],[MonthlyIncome]]&lt;=7000,"₹ 3,000 - ₹ 7,000","&gt; ₹7,000"))</f>
        <v>&gt; ₹7,000</v>
      </c>
      <c r="P1361" s="8" t="str" cm="1">
        <f t="array" ref="P13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2" spans="1:16" x14ac:dyDescent="0.8">
      <c r="A1362" s="5" t="s">
        <v>1434</v>
      </c>
      <c r="B1362" s="8">
        <v>52</v>
      </c>
      <c r="C1362" s="5" t="s">
        <v>40</v>
      </c>
      <c r="D1362" s="5" t="s">
        <v>51</v>
      </c>
      <c r="E1362" s="5" t="s">
        <v>44</v>
      </c>
      <c r="F1362" s="5" t="s">
        <v>137</v>
      </c>
      <c r="G1362" s="8">
        <v>2</v>
      </c>
      <c r="H1362" s="8">
        <v>8446</v>
      </c>
      <c r="I1362" s="5" t="s">
        <v>40</v>
      </c>
      <c r="J1362" s="8">
        <v>3</v>
      </c>
      <c r="K1362" s="8">
        <v>2</v>
      </c>
      <c r="L1362" s="8">
        <v>8</v>
      </c>
      <c r="M13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62" s="8" t="str" cm="1">
        <f t="array" ref="N1362">_xlfn.IFS(HR_Analytics56[[#This Row],[PerformanceRating]]=3,"Good",HR_Analytics56[[#This Row],[PerformanceRating]]=4, "Excellent")</f>
        <v>Good</v>
      </c>
      <c r="O1362" s="8" t="str">
        <f>IF(HR_Analytics56[[#This Row],[MonthlyIncome]]&lt;3000,"&lt; ₹3,000",IF(HR_Analytics56[[#This Row],[MonthlyIncome]]&lt;=7000,"₹ 3,000 - ₹ 7,000","&gt; ₹7,000"))</f>
        <v>&gt; ₹7,000</v>
      </c>
      <c r="P1362" s="8" t="str" cm="1">
        <f t="array" ref="P13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3" spans="1:16" x14ac:dyDescent="0.8">
      <c r="A1363" s="5" t="s">
        <v>1435</v>
      </c>
      <c r="B1363" s="8">
        <v>52</v>
      </c>
      <c r="C1363" s="5" t="s">
        <v>49</v>
      </c>
      <c r="D1363" s="5" t="s">
        <v>42</v>
      </c>
      <c r="E1363" s="5" t="s">
        <v>53</v>
      </c>
      <c r="F1363" s="5" t="s">
        <v>112</v>
      </c>
      <c r="G1363" s="8">
        <v>3</v>
      </c>
      <c r="H1363" s="8">
        <v>13247</v>
      </c>
      <c r="I1363" s="5" t="s">
        <v>40</v>
      </c>
      <c r="J1363" s="8">
        <v>3</v>
      </c>
      <c r="K1363" s="8">
        <v>3</v>
      </c>
      <c r="L1363" s="8">
        <v>5</v>
      </c>
      <c r="M13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63" s="8" t="str" cm="1">
        <f t="array" ref="N1363">_xlfn.IFS(HR_Analytics56[[#This Row],[PerformanceRating]]=3,"Good",HR_Analytics56[[#This Row],[PerformanceRating]]=4, "Excellent")</f>
        <v>Good</v>
      </c>
      <c r="O1363" s="8" t="str">
        <f>IF(HR_Analytics56[[#This Row],[MonthlyIncome]]&lt;3000,"&lt; ₹3,000",IF(HR_Analytics56[[#This Row],[MonthlyIncome]]&lt;=7000,"₹ 3,000 - ₹ 7,000","&gt; ₹7,000"))</f>
        <v>&gt; ₹7,000</v>
      </c>
      <c r="P1363" s="8" t="str" cm="1">
        <f t="array" ref="P13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4" spans="1:16" x14ac:dyDescent="0.8">
      <c r="A1364" s="5" t="s">
        <v>1436</v>
      </c>
      <c r="B1364" s="8">
        <v>52</v>
      </c>
      <c r="C1364" s="5" t="s">
        <v>49</v>
      </c>
      <c r="D1364" s="5" t="s">
        <v>42</v>
      </c>
      <c r="E1364" s="5" t="s">
        <v>53</v>
      </c>
      <c r="F1364" s="5" t="s">
        <v>45</v>
      </c>
      <c r="G1364" s="8">
        <v>1</v>
      </c>
      <c r="H1364" s="8">
        <v>2950</v>
      </c>
      <c r="I1364" s="5" t="s">
        <v>49</v>
      </c>
      <c r="J1364" s="8">
        <v>3</v>
      </c>
      <c r="K1364" s="8">
        <v>2</v>
      </c>
      <c r="L1364" s="8">
        <v>5</v>
      </c>
      <c r="M13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4" s="8" t="str" cm="1">
        <f t="array" ref="N1364">_xlfn.IFS(HR_Analytics56[[#This Row],[PerformanceRating]]=3,"Good",HR_Analytics56[[#This Row],[PerformanceRating]]=4, "Excellent")</f>
        <v>Good</v>
      </c>
      <c r="O1364" s="8" t="str">
        <f>IF(HR_Analytics56[[#This Row],[MonthlyIncome]]&lt;3000,"&lt; ₹3,000",IF(HR_Analytics56[[#This Row],[MonthlyIncome]]&lt;=7000,"₹ 3,000 - ₹ 7,000","&gt; ₹7,000"))</f>
        <v>&lt; ₹3,000</v>
      </c>
      <c r="P1364" s="8" t="str" cm="1">
        <f t="array" ref="P13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5" spans="1:16" x14ac:dyDescent="0.8">
      <c r="A1365" s="5" t="s">
        <v>1437</v>
      </c>
      <c r="B1365" s="8">
        <v>52</v>
      </c>
      <c r="C1365" s="5" t="s">
        <v>49</v>
      </c>
      <c r="D1365" s="5" t="s">
        <v>51</v>
      </c>
      <c r="E1365" s="5" t="s">
        <v>44</v>
      </c>
      <c r="F1365" s="5" t="s">
        <v>54</v>
      </c>
      <c r="G1365" s="8">
        <v>4</v>
      </c>
      <c r="H1365" s="8">
        <v>3482</v>
      </c>
      <c r="I1365" s="5" t="s">
        <v>49</v>
      </c>
      <c r="J1365" s="8">
        <v>3</v>
      </c>
      <c r="K1365" s="8">
        <v>3</v>
      </c>
      <c r="L1365" s="8">
        <v>9</v>
      </c>
      <c r="M13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5" s="8" t="str" cm="1">
        <f t="array" ref="N1365">_xlfn.IFS(HR_Analytics56[[#This Row],[PerformanceRating]]=3,"Good",HR_Analytics56[[#This Row],[PerformanceRating]]=4, "Excellent")</f>
        <v>Good</v>
      </c>
      <c r="O1365" s="8" t="str">
        <f>IF(HR_Analytics56[[#This Row],[MonthlyIncome]]&lt;3000,"&lt; ₹3,000",IF(HR_Analytics56[[#This Row],[MonthlyIncome]]&lt;=7000,"₹ 3,000 - ₹ 7,000","&gt; ₹7,000"))</f>
        <v>₹ 3,000 - ₹ 7,000</v>
      </c>
      <c r="P1365" s="8" t="str" cm="1">
        <f t="array" ref="P13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6" spans="1:16" x14ac:dyDescent="0.8">
      <c r="A1366" s="5" t="s">
        <v>1438</v>
      </c>
      <c r="B1366" s="8">
        <v>53</v>
      </c>
      <c r="C1366" s="5" t="s">
        <v>49</v>
      </c>
      <c r="D1366" s="5" t="s">
        <v>51</v>
      </c>
      <c r="E1366" s="5" t="s">
        <v>53</v>
      </c>
      <c r="F1366" s="5" t="s">
        <v>442</v>
      </c>
      <c r="G1366" s="8">
        <v>4</v>
      </c>
      <c r="H1366" s="8">
        <v>15427</v>
      </c>
      <c r="I1366" s="5" t="s">
        <v>49</v>
      </c>
      <c r="J1366" s="8">
        <v>3</v>
      </c>
      <c r="K1366" s="8">
        <v>3</v>
      </c>
      <c r="L1366" s="8">
        <v>25</v>
      </c>
      <c r="M13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6" s="8" t="str" cm="1">
        <f t="array" ref="N1366">_xlfn.IFS(HR_Analytics56[[#This Row],[PerformanceRating]]=3,"Good",HR_Analytics56[[#This Row],[PerformanceRating]]=4, "Excellent")</f>
        <v>Good</v>
      </c>
      <c r="O1366" s="8" t="str">
        <f>IF(HR_Analytics56[[#This Row],[MonthlyIncome]]&lt;3000,"&lt; ₹3,000",IF(HR_Analytics56[[#This Row],[MonthlyIncome]]&lt;=7000,"₹ 3,000 - ₹ 7,000","&gt; ₹7,000"))</f>
        <v>&gt; ₹7,000</v>
      </c>
      <c r="P1366" s="8" t="str" cm="1">
        <f t="array" ref="P13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7" spans="1:16" x14ac:dyDescent="0.8">
      <c r="A1367" s="5" t="s">
        <v>1439</v>
      </c>
      <c r="B1367" s="8">
        <v>53</v>
      </c>
      <c r="C1367" s="5" t="s">
        <v>49</v>
      </c>
      <c r="D1367" s="5" t="s">
        <v>42</v>
      </c>
      <c r="E1367" s="5" t="s">
        <v>53</v>
      </c>
      <c r="F1367" s="5" t="s">
        <v>442</v>
      </c>
      <c r="G1367" s="8">
        <v>3</v>
      </c>
      <c r="H1367" s="8">
        <v>19094</v>
      </c>
      <c r="I1367" s="5" t="s">
        <v>49</v>
      </c>
      <c r="J1367" s="8">
        <v>3</v>
      </c>
      <c r="K1367" s="8">
        <v>3</v>
      </c>
      <c r="L1367" s="8">
        <v>14</v>
      </c>
      <c r="M13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7" s="8" t="str" cm="1">
        <f t="array" ref="N1367">_xlfn.IFS(HR_Analytics56[[#This Row],[PerformanceRating]]=3,"Good",HR_Analytics56[[#This Row],[PerformanceRating]]=4, "Excellent")</f>
        <v>Good</v>
      </c>
      <c r="O1367" s="8" t="str">
        <f>IF(HR_Analytics56[[#This Row],[MonthlyIncome]]&lt;3000,"&lt; ₹3,000",IF(HR_Analytics56[[#This Row],[MonthlyIncome]]&lt;=7000,"₹ 3,000 - ₹ 7,000","&gt; ₹7,000"))</f>
        <v>&gt; ₹7,000</v>
      </c>
      <c r="P1367" s="8" t="str" cm="1">
        <f t="array" ref="P13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68" spans="1:16" x14ac:dyDescent="0.8">
      <c r="A1368" s="5" t="s">
        <v>1440</v>
      </c>
      <c r="B1368" s="8">
        <v>53</v>
      </c>
      <c r="C1368" s="5" t="s">
        <v>49</v>
      </c>
      <c r="D1368" s="5" t="s">
        <v>51</v>
      </c>
      <c r="E1368" s="5" t="s">
        <v>44</v>
      </c>
      <c r="F1368" s="5" t="s">
        <v>54</v>
      </c>
      <c r="G1368" s="8">
        <v>3</v>
      </c>
      <c r="H1368" s="8">
        <v>2306</v>
      </c>
      <c r="I1368" s="5" t="s">
        <v>40</v>
      </c>
      <c r="J1368" s="8">
        <v>4</v>
      </c>
      <c r="K1368" s="8">
        <v>3</v>
      </c>
      <c r="L1368" s="8">
        <v>7</v>
      </c>
      <c r="M13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68" s="8" t="str" cm="1">
        <f t="array" ref="N1368">_xlfn.IFS(HR_Analytics56[[#This Row],[PerformanceRating]]=3,"Good",HR_Analytics56[[#This Row],[PerformanceRating]]=4, "Excellent")</f>
        <v>Excellent</v>
      </c>
      <c r="O1368" s="8" t="str">
        <f>IF(HR_Analytics56[[#This Row],[MonthlyIncome]]&lt;3000,"&lt; ₹3,000",IF(HR_Analytics56[[#This Row],[MonthlyIncome]]&lt;=7000,"₹ 3,000 - ₹ 7,000","&gt; ₹7,000"))</f>
        <v>&lt; ₹3,000</v>
      </c>
      <c r="P1368" s="8" t="str" cm="1">
        <f t="array" ref="P1368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369" spans="1:16" x14ac:dyDescent="0.8">
      <c r="A1369" s="5" t="s">
        <v>1441</v>
      </c>
      <c r="B1369" s="8">
        <v>53</v>
      </c>
      <c r="C1369" s="5" t="s">
        <v>49</v>
      </c>
      <c r="D1369" s="5" t="s">
        <v>42</v>
      </c>
      <c r="E1369" s="5" t="s">
        <v>53</v>
      </c>
      <c r="F1369" s="5" t="s">
        <v>112</v>
      </c>
      <c r="G1369" s="8">
        <v>1</v>
      </c>
      <c r="H1369" s="8">
        <v>4450</v>
      </c>
      <c r="I1369" s="5" t="s">
        <v>49</v>
      </c>
      <c r="J1369" s="8">
        <v>3</v>
      </c>
      <c r="K1369" s="8">
        <v>3</v>
      </c>
      <c r="L1369" s="8">
        <v>4</v>
      </c>
      <c r="M13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69" s="8" t="str" cm="1">
        <f t="array" ref="N1369">_xlfn.IFS(HR_Analytics56[[#This Row],[PerformanceRating]]=3,"Good",HR_Analytics56[[#This Row],[PerformanceRating]]=4, "Excellent")</f>
        <v>Good</v>
      </c>
      <c r="O1369" s="8" t="str">
        <f>IF(HR_Analytics56[[#This Row],[MonthlyIncome]]&lt;3000,"&lt; ₹3,000",IF(HR_Analytics56[[#This Row],[MonthlyIncome]]&lt;=7000,"₹ 3,000 - ₹ 7,000","&gt; ₹7,000"))</f>
        <v>₹ 3,000 - ₹ 7,000</v>
      </c>
      <c r="P1369" s="8" t="str" cm="1">
        <f t="array" ref="P13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0" spans="1:16" x14ac:dyDescent="0.8">
      <c r="A1370" s="5" t="s">
        <v>1442</v>
      </c>
      <c r="B1370" s="8">
        <v>53</v>
      </c>
      <c r="C1370" s="5" t="s">
        <v>49</v>
      </c>
      <c r="D1370" s="5" t="s">
        <v>42</v>
      </c>
      <c r="E1370" s="5" t="s">
        <v>44</v>
      </c>
      <c r="F1370" s="5" t="s">
        <v>252</v>
      </c>
      <c r="G1370" s="8">
        <v>3</v>
      </c>
      <c r="H1370" s="8">
        <v>17584</v>
      </c>
      <c r="I1370" s="5" t="s">
        <v>40</v>
      </c>
      <c r="J1370" s="8">
        <v>3</v>
      </c>
      <c r="K1370" s="8">
        <v>5</v>
      </c>
      <c r="L1370" s="8">
        <v>5</v>
      </c>
      <c r="M13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70" s="8" t="str" cm="1">
        <f t="array" ref="N1370">_xlfn.IFS(HR_Analytics56[[#This Row],[PerformanceRating]]=3,"Good",HR_Analytics56[[#This Row],[PerformanceRating]]=4, "Excellent")</f>
        <v>Good</v>
      </c>
      <c r="O1370" s="8" t="str">
        <f>IF(HR_Analytics56[[#This Row],[MonthlyIncome]]&lt;3000,"&lt; ₹3,000",IF(HR_Analytics56[[#This Row],[MonthlyIncome]]&lt;=7000,"₹ 3,000 - ₹ 7,000","&gt; ₹7,000"))</f>
        <v>&gt; ₹7,000</v>
      </c>
      <c r="P1370" s="8" t="str" cm="1">
        <f t="array" ref="P13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1" spans="1:16" x14ac:dyDescent="0.8">
      <c r="A1371" s="5" t="s">
        <v>1443</v>
      </c>
      <c r="B1371" s="8">
        <v>53</v>
      </c>
      <c r="C1371" s="5" t="s">
        <v>49</v>
      </c>
      <c r="D1371" s="5" t="s">
        <v>51</v>
      </c>
      <c r="E1371" s="5" t="s">
        <v>53</v>
      </c>
      <c r="F1371" s="5" t="s">
        <v>137</v>
      </c>
      <c r="G1371" s="8">
        <v>1</v>
      </c>
      <c r="H1371" s="8">
        <v>8381</v>
      </c>
      <c r="I1371" s="5" t="s">
        <v>49</v>
      </c>
      <c r="J1371" s="8">
        <v>4</v>
      </c>
      <c r="K1371" s="8">
        <v>2</v>
      </c>
      <c r="L1371" s="8">
        <v>14</v>
      </c>
      <c r="M13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1" s="8" t="str" cm="1">
        <f t="array" ref="N1371">_xlfn.IFS(HR_Analytics56[[#This Row],[PerformanceRating]]=3,"Good",HR_Analytics56[[#This Row],[PerformanceRating]]=4, "Excellent")</f>
        <v>Excellent</v>
      </c>
      <c r="O1371" s="8" t="str">
        <f>IF(HR_Analytics56[[#This Row],[MonthlyIncome]]&lt;3000,"&lt; ₹3,000",IF(HR_Analytics56[[#This Row],[MonthlyIncome]]&lt;=7000,"₹ 3,000 - ₹ 7,000","&gt; ₹7,000"))</f>
        <v>&gt; ₹7,000</v>
      </c>
      <c r="P1371" s="8" t="str" cm="1">
        <f t="array" ref="P13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2" spans="1:16" x14ac:dyDescent="0.8">
      <c r="A1372" s="5" t="s">
        <v>1444</v>
      </c>
      <c r="B1372" s="8">
        <v>53</v>
      </c>
      <c r="C1372" s="5" t="s">
        <v>49</v>
      </c>
      <c r="D1372" s="5" t="s">
        <v>42</v>
      </c>
      <c r="E1372" s="5" t="s">
        <v>44</v>
      </c>
      <c r="F1372" s="5" t="s">
        <v>252</v>
      </c>
      <c r="G1372" s="8">
        <v>3</v>
      </c>
      <c r="H1372" s="8">
        <v>14814</v>
      </c>
      <c r="I1372" s="5" t="s">
        <v>49</v>
      </c>
      <c r="J1372" s="8">
        <v>3</v>
      </c>
      <c r="K1372" s="8">
        <v>3</v>
      </c>
      <c r="L1372" s="8">
        <v>5</v>
      </c>
      <c r="M137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2" s="8" t="str" cm="1">
        <f t="array" ref="N1372">_xlfn.IFS(HR_Analytics56[[#This Row],[PerformanceRating]]=3,"Good",HR_Analytics56[[#This Row],[PerformanceRating]]=4, "Excellent")</f>
        <v>Good</v>
      </c>
      <c r="O1372" s="8" t="str">
        <f>IF(HR_Analytics56[[#This Row],[MonthlyIncome]]&lt;3000,"&lt; ₹3,000",IF(HR_Analytics56[[#This Row],[MonthlyIncome]]&lt;=7000,"₹ 3,000 - ₹ 7,000","&gt; ₹7,000"))</f>
        <v>&gt; ₹7,000</v>
      </c>
      <c r="P1372" s="8" t="str" cm="1">
        <f t="array" ref="P137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3" spans="1:16" x14ac:dyDescent="0.8">
      <c r="A1373" s="5" t="s">
        <v>1445</v>
      </c>
      <c r="B1373" s="8">
        <v>53</v>
      </c>
      <c r="C1373" s="5" t="s">
        <v>49</v>
      </c>
      <c r="D1373" s="5" t="s">
        <v>42</v>
      </c>
      <c r="E1373" s="5" t="s">
        <v>44</v>
      </c>
      <c r="F1373" s="5" t="s">
        <v>45</v>
      </c>
      <c r="G1373" s="8">
        <v>4</v>
      </c>
      <c r="H1373" s="8">
        <v>2450</v>
      </c>
      <c r="I1373" s="5" t="s">
        <v>49</v>
      </c>
      <c r="J1373" s="8">
        <v>3</v>
      </c>
      <c r="K1373" s="8">
        <v>4</v>
      </c>
      <c r="L1373" s="8">
        <v>2</v>
      </c>
      <c r="M137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3" s="8" t="str" cm="1">
        <f t="array" ref="N1373">_xlfn.IFS(HR_Analytics56[[#This Row],[PerformanceRating]]=3,"Good",HR_Analytics56[[#This Row],[PerformanceRating]]=4, "Excellent")</f>
        <v>Good</v>
      </c>
      <c r="O1373" s="8" t="str">
        <f>IF(HR_Analytics56[[#This Row],[MonthlyIncome]]&lt;3000,"&lt; ₹3,000",IF(HR_Analytics56[[#This Row],[MonthlyIncome]]&lt;=7000,"₹ 3,000 - ₹ 7,000","&gt; ₹7,000"))</f>
        <v>&lt; ₹3,000</v>
      </c>
      <c r="P1373" s="8" t="str" cm="1">
        <f t="array" ref="P137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4" spans="1:16" x14ac:dyDescent="0.8">
      <c r="A1374" s="5" t="s">
        <v>1446</v>
      </c>
      <c r="B1374" s="8">
        <v>53</v>
      </c>
      <c r="C1374" s="5" t="s">
        <v>49</v>
      </c>
      <c r="D1374" s="5" t="s">
        <v>51</v>
      </c>
      <c r="E1374" s="5" t="s">
        <v>53</v>
      </c>
      <c r="F1374" s="5" t="s">
        <v>137</v>
      </c>
      <c r="G1374" s="8">
        <v>4</v>
      </c>
      <c r="H1374" s="8">
        <v>10934</v>
      </c>
      <c r="I1374" s="5" t="s">
        <v>40</v>
      </c>
      <c r="J1374" s="8">
        <v>3</v>
      </c>
      <c r="K1374" s="8">
        <v>3</v>
      </c>
      <c r="L1374" s="8">
        <v>5</v>
      </c>
      <c r="M137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74" s="8" t="str" cm="1">
        <f t="array" ref="N1374">_xlfn.IFS(HR_Analytics56[[#This Row],[PerformanceRating]]=3,"Good",HR_Analytics56[[#This Row],[PerformanceRating]]=4, "Excellent")</f>
        <v>Good</v>
      </c>
      <c r="O1374" s="8" t="str">
        <f>IF(HR_Analytics56[[#This Row],[MonthlyIncome]]&lt;3000,"&lt; ₹3,000",IF(HR_Analytics56[[#This Row],[MonthlyIncome]]&lt;=7000,"₹ 3,000 - ₹ 7,000","&gt; ₹7,000"))</f>
        <v>&gt; ₹7,000</v>
      </c>
      <c r="P1374" s="8" t="str" cm="1">
        <f t="array" ref="P137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5" spans="1:16" x14ac:dyDescent="0.8">
      <c r="A1375" s="5" t="s">
        <v>1447</v>
      </c>
      <c r="B1375" s="8">
        <v>53</v>
      </c>
      <c r="C1375" s="5" t="s">
        <v>49</v>
      </c>
      <c r="D1375" s="5" t="s">
        <v>51</v>
      </c>
      <c r="E1375" s="5" t="s">
        <v>44</v>
      </c>
      <c r="F1375" s="5" t="s">
        <v>137</v>
      </c>
      <c r="G1375" s="8">
        <v>4</v>
      </c>
      <c r="H1375" s="8">
        <v>11836</v>
      </c>
      <c r="I1375" s="5" t="s">
        <v>49</v>
      </c>
      <c r="J1375" s="8">
        <v>3</v>
      </c>
      <c r="K1375" s="8">
        <v>3</v>
      </c>
      <c r="L1375" s="8">
        <v>2</v>
      </c>
      <c r="M137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5" s="8" t="str" cm="1">
        <f t="array" ref="N1375">_xlfn.IFS(HR_Analytics56[[#This Row],[PerformanceRating]]=3,"Good",HR_Analytics56[[#This Row],[PerformanceRating]]=4, "Excellent")</f>
        <v>Good</v>
      </c>
      <c r="O1375" s="8" t="str">
        <f>IF(HR_Analytics56[[#This Row],[MonthlyIncome]]&lt;3000,"&lt; ₹3,000",IF(HR_Analytics56[[#This Row],[MonthlyIncome]]&lt;=7000,"₹ 3,000 - ₹ 7,000","&gt; ₹7,000"))</f>
        <v>&gt; ₹7,000</v>
      </c>
      <c r="P1375" s="8" t="str" cm="1">
        <f t="array" ref="P137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6" spans="1:16" x14ac:dyDescent="0.8">
      <c r="A1376" s="5" t="s">
        <v>1448</v>
      </c>
      <c r="B1376" s="8">
        <v>53</v>
      </c>
      <c r="C1376" s="5" t="s">
        <v>49</v>
      </c>
      <c r="D1376" s="5" t="s">
        <v>42</v>
      </c>
      <c r="E1376" s="5" t="s">
        <v>53</v>
      </c>
      <c r="F1376" s="5" t="s">
        <v>252</v>
      </c>
      <c r="G1376" s="8">
        <v>4</v>
      </c>
      <c r="H1376" s="8">
        <v>14275</v>
      </c>
      <c r="I1376" s="5" t="s">
        <v>49</v>
      </c>
      <c r="J1376" s="8">
        <v>3</v>
      </c>
      <c r="K1376" s="8">
        <v>0</v>
      </c>
      <c r="L1376" s="8">
        <v>12</v>
      </c>
      <c r="M137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6" s="8" t="str" cm="1">
        <f t="array" ref="N1376">_xlfn.IFS(HR_Analytics56[[#This Row],[PerformanceRating]]=3,"Good",HR_Analytics56[[#This Row],[PerformanceRating]]=4, "Excellent")</f>
        <v>Good</v>
      </c>
      <c r="O1376" s="8" t="str">
        <f>IF(HR_Analytics56[[#This Row],[MonthlyIncome]]&lt;3000,"&lt; ₹3,000",IF(HR_Analytics56[[#This Row],[MonthlyIncome]]&lt;=7000,"₹ 3,000 - ₹ 7,000","&gt; ₹7,000"))</f>
        <v>&gt; ₹7,000</v>
      </c>
      <c r="P1376" s="8" t="str" cm="1">
        <f t="array" ref="P137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7" spans="1:16" x14ac:dyDescent="0.8">
      <c r="A1377" s="5" t="s">
        <v>1449</v>
      </c>
      <c r="B1377" s="8">
        <v>53</v>
      </c>
      <c r="C1377" s="5" t="s">
        <v>49</v>
      </c>
      <c r="D1377" s="5" t="s">
        <v>51</v>
      </c>
      <c r="E1377" s="5" t="s">
        <v>44</v>
      </c>
      <c r="F1377" s="5" t="s">
        <v>442</v>
      </c>
      <c r="G1377" s="8">
        <v>3</v>
      </c>
      <c r="H1377" s="8">
        <v>14852</v>
      </c>
      <c r="I1377" s="5" t="s">
        <v>49</v>
      </c>
      <c r="J1377" s="8">
        <v>3</v>
      </c>
      <c r="K1377" s="8">
        <v>3</v>
      </c>
      <c r="L1377" s="8">
        <v>17</v>
      </c>
      <c r="M137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7" s="8" t="str" cm="1">
        <f t="array" ref="N1377">_xlfn.IFS(HR_Analytics56[[#This Row],[PerformanceRating]]=3,"Good",HR_Analytics56[[#This Row],[PerformanceRating]]=4, "Excellent")</f>
        <v>Good</v>
      </c>
      <c r="O1377" s="8" t="str">
        <f>IF(HR_Analytics56[[#This Row],[MonthlyIncome]]&lt;3000,"&lt; ₹3,000",IF(HR_Analytics56[[#This Row],[MonthlyIncome]]&lt;=7000,"₹ 3,000 - ₹ 7,000","&gt; ₹7,000"))</f>
        <v>&gt; ₹7,000</v>
      </c>
      <c r="P1377" s="8" t="str" cm="1">
        <f t="array" ref="P137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8" spans="1:16" x14ac:dyDescent="0.8">
      <c r="A1378" s="5" t="s">
        <v>1450</v>
      </c>
      <c r="B1378" s="8">
        <v>53</v>
      </c>
      <c r="C1378" s="5" t="s">
        <v>49</v>
      </c>
      <c r="D1378" s="5" t="s">
        <v>51</v>
      </c>
      <c r="E1378" s="5" t="s">
        <v>53</v>
      </c>
      <c r="F1378" s="5" t="s">
        <v>137</v>
      </c>
      <c r="G1378" s="8">
        <v>2</v>
      </c>
      <c r="H1378" s="8">
        <v>7525</v>
      </c>
      <c r="I1378" s="5" t="s">
        <v>49</v>
      </c>
      <c r="J1378" s="8">
        <v>3</v>
      </c>
      <c r="K1378" s="8">
        <v>2</v>
      </c>
      <c r="L1378" s="8">
        <v>15</v>
      </c>
      <c r="M137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8" s="8" t="str" cm="1">
        <f t="array" ref="N1378">_xlfn.IFS(HR_Analytics56[[#This Row],[PerformanceRating]]=3,"Good",HR_Analytics56[[#This Row],[PerformanceRating]]=4, "Excellent")</f>
        <v>Good</v>
      </c>
      <c r="O1378" s="8" t="str">
        <f>IF(HR_Analytics56[[#This Row],[MonthlyIncome]]&lt;3000,"&lt; ₹3,000",IF(HR_Analytics56[[#This Row],[MonthlyIncome]]&lt;=7000,"₹ 3,000 - ₹ 7,000","&gt; ₹7,000"))</f>
        <v>&gt; ₹7,000</v>
      </c>
      <c r="P1378" s="8" t="str" cm="1">
        <f t="array" ref="P137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79" spans="1:16" x14ac:dyDescent="0.8">
      <c r="A1379" s="5" t="s">
        <v>1451</v>
      </c>
      <c r="B1379" s="8">
        <v>53</v>
      </c>
      <c r="C1379" s="5" t="s">
        <v>49</v>
      </c>
      <c r="D1379" s="5" t="s">
        <v>42</v>
      </c>
      <c r="E1379" s="5" t="s">
        <v>53</v>
      </c>
      <c r="F1379" s="5" t="s">
        <v>442</v>
      </c>
      <c r="G1379" s="8">
        <v>3</v>
      </c>
      <c r="H1379" s="8">
        <v>18606</v>
      </c>
      <c r="I1379" s="5" t="s">
        <v>49</v>
      </c>
      <c r="J1379" s="8">
        <v>3</v>
      </c>
      <c r="K1379" s="8">
        <v>6</v>
      </c>
      <c r="L1379" s="8">
        <v>7</v>
      </c>
      <c r="M137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79" s="8" t="str" cm="1">
        <f t="array" ref="N1379">_xlfn.IFS(HR_Analytics56[[#This Row],[PerformanceRating]]=3,"Good",HR_Analytics56[[#This Row],[PerformanceRating]]=4, "Excellent")</f>
        <v>Good</v>
      </c>
      <c r="O1379" s="8" t="str">
        <f>IF(HR_Analytics56[[#This Row],[MonthlyIncome]]&lt;3000,"&lt; ₹3,000",IF(HR_Analytics56[[#This Row],[MonthlyIncome]]&lt;=7000,"₹ 3,000 - ₹ 7,000","&gt; ₹7,000"))</f>
        <v>&gt; ₹7,000</v>
      </c>
      <c r="P1379" s="8" t="str" cm="1">
        <f t="array" ref="P137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0" spans="1:16" x14ac:dyDescent="0.8">
      <c r="A1380" s="5" t="s">
        <v>1452</v>
      </c>
      <c r="B1380" s="8">
        <v>53</v>
      </c>
      <c r="C1380" s="5" t="s">
        <v>49</v>
      </c>
      <c r="D1380" s="5" t="s">
        <v>42</v>
      </c>
      <c r="E1380" s="5" t="s">
        <v>44</v>
      </c>
      <c r="F1380" s="5" t="s">
        <v>252</v>
      </c>
      <c r="G1380" s="8">
        <v>2</v>
      </c>
      <c r="H1380" s="8">
        <v>16598</v>
      </c>
      <c r="I1380" s="5" t="s">
        <v>49</v>
      </c>
      <c r="J1380" s="8">
        <v>3</v>
      </c>
      <c r="K1380" s="8">
        <v>2</v>
      </c>
      <c r="L1380" s="8">
        <v>9</v>
      </c>
      <c r="M138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0" s="8" t="str" cm="1">
        <f t="array" ref="N1380">_xlfn.IFS(HR_Analytics56[[#This Row],[PerformanceRating]]=3,"Good",HR_Analytics56[[#This Row],[PerformanceRating]]=4, "Excellent")</f>
        <v>Good</v>
      </c>
      <c r="O1380" s="8" t="str">
        <f>IF(HR_Analytics56[[#This Row],[MonthlyIncome]]&lt;3000,"&lt; ₹3,000",IF(HR_Analytics56[[#This Row],[MonthlyIncome]]&lt;=7000,"₹ 3,000 - ₹ 7,000","&gt; ₹7,000"))</f>
        <v>&gt; ₹7,000</v>
      </c>
      <c r="P1380" s="8" t="str" cm="1">
        <f t="array" ref="P138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1" spans="1:16" x14ac:dyDescent="0.8">
      <c r="A1381" s="5" t="s">
        <v>1453</v>
      </c>
      <c r="B1381" s="8">
        <v>53</v>
      </c>
      <c r="C1381" s="5" t="s">
        <v>40</v>
      </c>
      <c r="D1381" s="5" t="s">
        <v>42</v>
      </c>
      <c r="E1381" s="5" t="s">
        <v>53</v>
      </c>
      <c r="F1381" s="5" t="s">
        <v>112</v>
      </c>
      <c r="G1381" s="8">
        <v>4</v>
      </c>
      <c r="H1381" s="8">
        <v>10169</v>
      </c>
      <c r="I1381" s="5" t="s">
        <v>49</v>
      </c>
      <c r="J1381" s="8">
        <v>3</v>
      </c>
      <c r="K1381" s="8">
        <v>4</v>
      </c>
      <c r="L1381" s="8">
        <v>33</v>
      </c>
      <c r="M138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81" s="8" t="str" cm="1">
        <f t="array" ref="N1381">_xlfn.IFS(HR_Analytics56[[#This Row],[PerformanceRating]]=3,"Good",HR_Analytics56[[#This Row],[PerformanceRating]]=4, "Excellent")</f>
        <v>Good</v>
      </c>
      <c r="O1381" s="8" t="str">
        <f>IF(HR_Analytics56[[#This Row],[MonthlyIncome]]&lt;3000,"&lt; ₹3,000",IF(HR_Analytics56[[#This Row],[MonthlyIncome]]&lt;=7000,"₹ 3,000 - ₹ 7,000","&gt; ₹7,000"))</f>
        <v>&gt; ₹7,000</v>
      </c>
      <c r="P1381" s="8" t="str" cm="1">
        <f t="array" ref="P138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2" spans="1:16" x14ac:dyDescent="0.8">
      <c r="A1382" s="5" t="s">
        <v>1454</v>
      </c>
      <c r="B1382" s="8">
        <v>53</v>
      </c>
      <c r="C1382" s="5" t="s">
        <v>49</v>
      </c>
      <c r="D1382" s="5" t="s">
        <v>42</v>
      </c>
      <c r="E1382" s="5" t="s">
        <v>44</v>
      </c>
      <c r="F1382" s="5" t="s">
        <v>161</v>
      </c>
      <c r="G1382" s="8">
        <v>4</v>
      </c>
      <c r="H1382" s="8">
        <v>7005</v>
      </c>
      <c r="I1382" s="5" t="s">
        <v>49</v>
      </c>
      <c r="J1382" s="8">
        <v>3</v>
      </c>
      <c r="K1382" s="8">
        <v>2</v>
      </c>
      <c r="L1382" s="8">
        <v>4</v>
      </c>
      <c r="M138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2" s="8" t="str" cm="1">
        <f t="array" ref="N1382">_xlfn.IFS(HR_Analytics56[[#This Row],[PerformanceRating]]=3,"Good",HR_Analytics56[[#This Row],[PerformanceRating]]=4, "Excellent")</f>
        <v>Good</v>
      </c>
      <c r="O1382" s="8" t="str">
        <f>IF(HR_Analytics56[[#This Row],[MonthlyIncome]]&lt;3000,"&lt; ₹3,000",IF(HR_Analytics56[[#This Row],[MonthlyIncome]]&lt;=7000,"₹ 3,000 - ₹ 7,000","&gt; ₹7,000"))</f>
        <v>&gt; ₹7,000</v>
      </c>
      <c r="P1382" s="8" t="str" cm="1">
        <f t="array" ref="P138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3" spans="1:16" x14ac:dyDescent="0.8">
      <c r="A1383" s="5" t="s">
        <v>1455</v>
      </c>
      <c r="B1383" s="8">
        <v>53</v>
      </c>
      <c r="C1383" s="5" t="s">
        <v>49</v>
      </c>
      <c r="D1383" s="5" t="s">
        <v>42</v>
      </c>
      <c r="E1383" s="5" t="s">
        <v>53</v>
      </c>
      <c r="F1383" s="5" t="s">
        <v>112</v>
      </c>
      <c r="G1383" s="8">
        <v>3</v>
      </c>
      <c r="H1383" s="8">
        <v>12965</v>
      </c>
      <c r="I1383" s="5" t="s">
        <v>40</v>
      </c>
      <c r="J1383" s="8">
        <v>4</v>
      </c>
      <c r="K1383" s="8">
        <v>2</v>
      </c>
      <c r="L1383" s="8">
        <v>3</v>
      </c>
      <c r="M138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83" s="8" t="str" cm="1">
        <f t="array" ref="N1383">_xlfn.IFS(HR_Analytics56[[#This Row],[PerformanceRating]]=3,"Good",HR_Analytics56[[#This Row],[PerformanceRating]]=4, "Excellent")</f>
        <v>Excellent</v>
      </c>
      <c r="O1383" s="8" t="str">
        <f>IF(HR_Analytics56[[#This Row],[MonthlyIncome]]&lt;3000,"&lt; ₹3,000",IF(HR_Analytics56[[#This Row],[MonthlyIncome]]&lt;=7000,"₹ 3,000 - ₹ 7,000","&gt; ₹7,000"))</f>
        <v>&gt; ₹7,000</v>
      </c>
      <c r="P1383" s="8" t="str" cm="1">
        <f t="array" ref="P138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4" spans="1:16" x14ac:dyDescent="0.8">
      <c r="A1384" s="5" t="s">
        <v>1456</v>
      </c>
      <c r="B1384" s="8">
        <v>53</v>
      </c>
      <c r="C1384" s="5" t="s">
        <v>40</v>
      </c>
      <c r="D1384" s="5" t="s">
        <v>51</v>
      </c>
      <c r="E1384" s="5" t="s">
        <v>44</v>
      </c>
      <c r="F1384" s="5" t="s">
        <v>137</v>
      </c>
      <c r="G1384" s="8">
        <v>1</v>
      </c>
      <c r="H1384" s="8">
        <v>10448</v>
      </c>
      <c r="I1384" s="5" t="s">
        <v>40</v>
      </c>
      <c r="J1384" s="8">
        <v>3</v>
      </c>
      <c r="K1384" s="8">
        <v>2</v>
      </c>
      <c r="L1384" s="8">
        <v>2</v>
      </c>
      <c r="M138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384" s="8" t="str" cm="1">
        <f t="array" ref="N1384">_xlfn.IFS(HR_Analytics56[[#This Row],[PerformanceRating]]=3,"Good",HR_Analytics56[[#This Row],[PerformanceRating]]=4, "Excellent")</f>
        <v>Good</v>
      </c>
      <c r="O1384" s="8" t="str">
        <f>IF(HR_Analytics56[[#This Row],[MonthlyIncome]]&lt;3000,"&lt; ₹3,000",IF(HR_Analytics56[[#This Row],[MonthlyIncome]]&lt;=7000,"₹ 3,000 - ₹ 7,000","&gt; ₹7,000"))</f>
        <v>&gt; ₹7,000</v>
      </c>
      <c r="P1384" s="8" t="str" cm="1">
        <f t="array" ref="P138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5" spans="1:16" x14ac:dyDescent="0.8">
      <c r="A1385" s="5" t="s">
        <v>1457</v>
      </c>
      <c r="B1385" s="8">
        <v>54</v>
      </c>
      <c r="C1385" s="5" t="s">
        <v>49</v>
      </c>
      <c r="D1385" s="5" t="s">
        <v>42</v>
      </c>
      <c r="E1385" s="5" t="s">
        <v>53</v>
      </c>
      <c r="F1385" s="5" t="s">
        <v>252</v>
      </c>
      <c r="G1385" s="8">
        <v>3</v>
      </c>
      <c r="H1385" s="8">
        <v>13549</v>
      </c>
      <c r="I1385" s="5" t="s">
        <v>49</v>
      </c>
      <c r="J1385" s="8">
        <v>3</v>
      </c>
      <c r="K1385" s="8">
        <v>5</v>
      </c>
      <c r="L1385" s="8">
        <v>4</v>
      </c>
      <c r="M138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5" s="8" t="str" cm="1">
        <f t="array" ref="N1385">_xlfn.IFS(HR_Analytics56[[#This Row],[PerformanceRating]]=3,"Good",HR_Analytics56[[#This Row],[PerformanceRating]]=4, "Excellent")</f>
        <v>Good</v>
      </c>
      <c r="O1385" s="8" t="str">
        <f>IF(HR_Analytics56[[#This Row],[MonthlyIncome]]&lt;3000,"&lt; ₹3,000",IF(HR_Analytics56[[#This Row],[MonthlyIncome]]&lt;=7000,"₹ 3,000 - ₹ 7,000","&gt; ₹7,000"))</f>
        <v>&gt; ₹7,000</v>
      </c>
      <c r="P1385" s="8" t="str" cm="1">
        <f t="array" ref="P138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6" spans="1:16" x14ac:dyDescent="0.8">
      <c r="A1386" s="5" t="s">
        <v>1458</v>
      </c>
      <c r="B1386" s="8">
        <v>54</v>
      </c>
      <c r="C1386" s="5" t="s">
        <v>49</v>
      </c>
      <c r="D1386" s="5" t="s">
        <v>71</v>
      </c>
      <c r="E1386" s="5" t="s">
        <v>53</v>
      </c>
      <c r="F1386" s="5" t="s">
        <v>442</v>
      </c>
      <c r="G1386" s="8">
        <v>4</v>
      </c>
      <c r="H1386" s="8">
        <v>17328</v>
      </c>
      <c r="I1386" s="5" t="s">
        <v>40</v>
      </c>
      <c r="J1386" s="8">
        <v>3</v>
      </c>
      <c r="K1386" s="8">
        <v>3</v>
      </c>
      <c r="L1386" s="8">
        <v>5</v>
      </c>
      <c r="M138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86" s="8" t="str" cm="1">
        <f t="array" ref="N1386">_xlfn.IFS(HR_Analytics56[[#This Row],[PerformanceRating]]=3,"Good",HR_Analytics56[[#This Row],[PerformanceRating]]=4, "Excellent")</f>
        <v>Good</v>
      </c>
      <c r="O1386" s="8" t="str">
        <f>IF(HR_Analytics56[[#This Row],[MonthlyIncome]]&lt;3000,"&lt; ₹3,000",IF(HR_Analytics56[[#This Row],[MonthlyIncome]]&lt;=7000,"₹ 3,000 - ₹ 7,000","&gt; ₹7,000"))</f>
        <v>&gt; ₹7,000</v>
      </c>
      <c r="P1386" s="8" t="str" cm="1">
        <f t="array" ref="P138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7" spans="1:16" x14ac:dyDescent="0.8">
      <c r="A1387" s="5" t="s">
        <v>1459</v>
      </c>
      <c r="B1387" s="8">
        <v>54</v>
      </c>
      <c r="C1387" s="5" t="s">
        <v>49</v>
      </c>
      <c r="D1387" s="5" t="s">
        <v>51</v>
      </c>
      <c r="E1387" s="5" t="s">
        <v>53</v>
      </c>
      <c r="F1387" s="5" t="s">
        <v>137</v>
      </c>
      <c r="G1387" s="8">
        <v>1</v>
      </c>
      <c r="H1387" s="8">
        <v>5940</v>
      </c>
      <c r="I1387" s="5" t="s">
        <v>49</v>
      </c>
      <c r="J1387" s="8">
        <v>3</v>
      </c>
      <c r="K1387" s="8">
        <v>4</v>
      </c>
      <c r="L1387" s="8">
        <v>6</v>
      </c>
      <c r="M138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7" s="8" t="str" cm="1">
        <f t="array" ref="N1387">_xlfn.IFS(HR_Analytics56[[#This Row],[PerformanceRating]]=3,"Good",HR_Analytics56[[#This Row],[PerformanceRating]]=4, "Excellent")</f>
        <v>Good</v>
      </c>
      <c r="O1387" s="8" t="str">
        <f>IF(HR_Analytics56[[#This Row],[MonthlyIncome]]&lt;3000,"&lt; ₹3,000",IF(HR_Analytics56[[#This Row],[MonthlyIncome]]&lt;=7000,"₹ 3,000 - ₹ 7,000","&gt; ₹7,000"))</f>
        <v>₹ 3,000 - ₹ 7,000</v>
      </c>
      <c r="P1387" s="8" t="str" cm="1">
        <f t="array" ref="P138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8" spans="1:16" x14ac:dyDescent="0.8">
      <c r="A1388" s="5" t="s">
        <v>1460</v>
      </c>
      <c r="B1388" s="8">
        <v>54</v>
      </c>
      <c r="C1388" s="5" t="s">
        <v>49</v>
      </c>
      <c r="D1388" s="5" t="s">
        <v>42</v>
      </c>
      <c r="E1388" s="5" t="s">
        <v>53</v>
      </c>
      <c r="F1388" s="5" t="s">
        <v>60</v>
      </c>
      <c r="G1388" s="8">
        <v>3</v>
      </c>
      <c r="H1388" s="8">
        <v>4869</v>
      </c>
      <c r="I1388" s="5" t="s">
        <v>49</v>
      </c>
      <c r="J1388" s="8">
        <v>3</v>
      </c>
      <c r="K1388" s="8">
        <v>4</v>
      </c>
      <c r="L1388" s="8">
        <v>4</v>
      </c>
      <c r="M138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8" s="8" t="str" cm="1">
        <f t="array" ref="N1388">_xlfn.IFS(HR_Analytics56[[#This Row],[PerformanceRating]]=3,"Good",HR_Analytics56[[#This Row],[PerformanceRating]]=4, "Excellent")</f>
        <v>Good</v>
      </c>
      <c r="O1388" s="8" t="str">
        <f>IF(HR_Analytics56[[#This Row],[MonthlyIncome]]&lt;3000,"&lt; ₹3,000",IF(HR_Analytics56[[#This Row],[MonthlyIncome]]&lt;=7000,"₹ 3,000 - ₹ 7,000","&gt; ₹7,000"))</f>
        <v>₹ 3,000 - ₹ 7,000</v>
      </c>
      <c r="P1388" s="8" t="str" cm="1">
        <f t="array" ref="P138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89" spans="1:16" x14ac:dyDescent="0.8">
      <c r="A1389" s="5" t="s">
        <v>1461</v>
      </c>
      <c r="B1389" s="8">
        <v>54</v>
      </c>
      <c r="C1389" s="5" t="s">
        <v>49</v>
      </c>
      <c r="D1389" s="5" t="s">
        <v>42</v>
      </c>
      <c r="E1389" s="5" t="s">
        <v>44</v>
      </c>
      <c r="F1389" s="5" t="s">
        <v>252</v>
      </c>
      <c r="G1389" s="8">
        <v>1</v>
      </c>
      <c r="H1389" s="8">
        <v>19406</v>
      </c>
      <c r="I1389" s="5" t="s">
        <v>49</v>
      </c>
      <c r="J1389" s="8">
        <v>3</v>
      </c>
      <c r="K1389" s="8">
        <v>4</v>
      </c>
      <c r="L1389" s="8">
        <v>4</v>
      </c>
      <c r="M138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89" s="8" t="str" cm="1">
        <f t="array" ref="N1389">_xlfn.IFS(HR_Analytics56[[#This Row],[PerformanceRating]]=3,"Good",HR_Analytics56[[#This Row],[PerformanceRating]]=4, "Excellent")</f>
        <v>Good</v>
      </c>
      <c r="O1389" s="8" t="str">
        <f>IF(HR_Analytics56[[#This Row],[MonthlyIncome]]&lt;3000,"&lt; ₹3,000",IF(HR_Analytics56[[#This Row],[MonthlyIncome]]&lt;=7000,"₹ 3,000 - ₹ 7,000","&gt; ₹7,000"))</f>
        <v>&gt; ₹7,000</v>
      </c>
      <c r="P1389" s="8" t="str" cm="1">
        <f t="array" ref="P138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0" spans="1:16" x14ac:dyDescent="0.8">
      <c r="A1390" s="5" t="s">
        <v>1462</v>
      </c>
      <c r="B1390" s="8">
        <v>54</v>
      </c>
      <c r="C1390" s="5" t="s">
        <v>49</v>
      </c>
      <c r="D1390" s="5" t="s">
        <v>42</v>
      </c>
      <c r="E1390" s="5" t="s">
        <v>53</v>
      </c>
      <c r="F1390" s="5" t="s">
        <v>45</v>
      </c>
      <c r="G1390" s="8">
        <v>3</v>
      </c>
      <c r="H1390" s="8">
        <v>3780</v>
      </c>
      <c r="I1390" s="5" t="s">
        <v>49</v>
      </c>
      <c r="J1390" s="8">
        <v>3</v>
      </c>
      <c r="K1390" s="8">
        <v>3</v>
      </c>
      <c r="L1390" s="8">
        <v>1</v>
      </c>
      <c r="M139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0" s="8" t="str" cm="1">
        <f t="array" ref="N1390">_xlfn.IFS(HR_Analytics56[[#This Row],[PerformanceRating]]=3,"Good",HR_Analytics56[[#This Row],[PerformanceRating]]=4, "Excellent")</f>
        <v>Good</v>
      </c>
      <c r="O1390" s="8" t="str">
        <f>IF(HR_Analytics56[[#This Row],[MonthlyIncome]]&lt;3000,"&lt; ₹3,000",IF(HR_Analytics56[[#This Row],[MonthlyIncome]]&lt;=7000,"₹ 3,000 - ₹ 7,000","&gt; ₹7,000"))</f>
        <v>₹ 3,000 - ₹ 7,000</v>
      </c>
      <c r="P1390" s="8" t="str" cm="1">
        <f t="array" ref="P139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1" spans="1:16" x14ac:dyDescent="0.8">
      <c r="A1391" s="5" t="s">
        <v>1463</v>
      </c>
      <c r="B1391" s="8">
        <v>54</v>
      </c>
      <c r="C1391" s="5" t="s">
        <v>49</v>
      </c>
      <c r="D1391" s="5" t="s">
        <v>71</v>
      </c>
      <c r="E1391" s="5" t="s">
        <v>44</v>
      </c>
      <c r="F1391" s="5" t="s">
        <v>71</v>
      </c>
      <c r="G1391" s="8">
        <v>2</v>
      </c>
      <c r="H1391" s="8">
        <v>10725</v>
      </c>
      <c r="I1391" s="5" t="s">
        <v>49</v>
      </c>
      <c r="J1391" s="8">
        <v>3</v>
      </c>
      <c r="K1391" s="8">
        <v>1</v>
      </c>
      <c r="L1391" s="8">
        <v>9</v>
      </c>
      <c r="M139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1" s="8" t="str" cm="1">
        <f t="array" ref="N1391">_xlfn.IFS(HR_Analytics56[[#This Row],[PerformanceRating]]=3,"Good",HR_Analytics56[[#This Row],[PerformanceRating]]=4, "Excellent")</f>
        <v>Good</v>
      </c>
      <c r="O1391" s="8" t="str">
        <f>IF(HR_Analytics56[[#This Row],[MonthlyIncome]]&lt;3000,"&lt; ₹3,000",IF(HR_Analytics56[[#This Row],[MonthlyIncome]]&lt;=7000,"₹ 3,000 - ₹ 7,000","&gt; ₹7,000"))</f>
        <v>&gt; ₹7,000</v>
      </c>
      <c r="P1391" s="8" t="str" cm="1">
        <f t="array" ref="P139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2" spans="1:16" x14ac:dyDescent="0.8">
      <c r="A1392" s="5" t="s">
        <v>1464</v>
      </c>
      <c r="B1392" s="8">
        <v>54</v>
      </c>
      <c r="C1392" s="5" t="s">
        <v>49</v>
      </c>
      <c r="D1392" s="5" t="s">
        <v>42</v>
      </c>
      <c r="E1392" s="5" t="s">
        <v>53</v>
      </c>
      <c r="F1392" s="5" t="s">
        <v>112</v>
      </c>
      <c r="G1392" s="8">
        <v>1</v>
      </c>
      <c r="H1392" s="8">
        <v>5485</v>
      </c>
      <c r="I1392" s="5" t="s">
        <v>40</v>
      </c>
      <c r="J1392" s="8">
        <v>3</v>
      </c>
      <c r="K1392" s="8">
        <v>4</v>
      </c>
      <c r="L1392" s="8">
        <v>5</v>
      </c>
      <c r="M139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392" s="8" t="str" cm="1">
        <f t="array" ref="N1392">_xlfn.IFS(HR_Analytics56[[#This Row],[PerformanceRating]]=3,"Good",HR_Analytics56[[#This Row],[PerformanceRating]]=4, "Excellent")</f>
        <v>Good</v>
      </c>
      <c r="O1392" s="8" t="str">
        <f>IF(HR_Analytics56[[#This Row],[MonthlyIncome]]&lt;3000,"&lt; ₹3,000",IF(HR_Analytics56[[#This Row],[MonthlyIncome]]&lt;=7000,"₹ 3,000 - ₹ 7,000","&gt; ₹7,000"))</f>
        <v>₹ 3,000 - ₹ 7,000</v>
      </c>
      <c r="P1392" s="8" t="str" cm="1">
        <f t="array" ref="P139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3" spans="1:16" x14ac:dyDescent="0.8">
      <c r="A1393" s="5" t="s">
        <v>1465</v>
      </c>
      <c r="B1393" s="8">
        <v>54</v>
      </c>
      <c r="C1393" s="5" t="s">
        <v>49</v>
      </c>
      <c r="D1393" s="5" t="s">
        <v>42</v>
      </c>
      <c r="E1393" s="5" t="s">
        <v>53</v>
      </c>
      <c r="F1393" s="5" t="s">
        <v>112</v>
      </c>
      <c r="G1393" s="8">
        <v>3</v>
      </c>
      <c r="H1393" s="8">
        <v>10739</v>
      </c>
      <c r="I1393" s="5" t="s">
        <v>49</v>
      </c>
      <c r="J1393" s="8">
        <v>3</v>
      </c>
      <c r="K1393" s="8">
        <v>2</v>
      </c>
      <c r="L1393" s="8">
        <v>10</v>
      </c>
      <c r="M139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3" s="8" t="str" cm="1">
        <f t="array" ref="N1393">_xlfn.IFS(HR_Analytics56[[#This Row],[PerformanceRating]]=3,"Good",HR_Analytics56[[#This Row],[PerformanceRating]]=4, "Excellent")</f>
        <v>Good</v>
      </c>
      <c r="O1393" s="8" t="str">
        <f>IF(HR_Analytics56[[#This Row],[MonthlyIncome]]&lt;3000,"&lt; ₹3,000",IF(HR_Analytics56[[#This Row],[MonthlyIncome]]&lt;=7000,"₹ 3,000 - ₹ 7,000","&gt; ₹7,000"))</f>
        <v>&gt; ₹7,000</v>
      </c>
      <c r="P1393" s="8" t="str" cm="1">
        <f t="array" ref="P139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4" spans="1:16" x14ac:dyDescent="0.8">
      <c r="A1394" s="5" t="s">
        <v>1466</v>
      </c>
      <c r="B1394" s="8">
        <v>54</v>
      </c>
      <c r="C1394" s="5" t="s">
        <v>49</v>
      </c>
      <c r="D1394" s="5" t="s">
        <v>51</v>
      </c>
      <c r="E1394" s="5" t="s">
        <v>53</v>
      </c>
      <c r="F1394" s="5" t="s">
        <v>137</v>
      </c>
      <c r="G1394" s="8">
        <v>3</v>
      </c>
      <c r="H1394" s="8">
        <v>10686</v>
      </c>
      <c r="I1394" s="5" t="s">
        <v>49</v>
      </c>
      <c r="J1394" s="8">
        <v>3</v>
      </c>
      <c r="K1394" s="8">
        <v>4</v>
      </c>
      <c r="L1394" s="8">
        <v>9</v>
      </c>
      <c r="M139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4" s="8" t="str" cm="1">
        <f t="array" ref="N1394">_xlfn.IFS(HR_Analytics56[[#This Row],[PerformanceRating]]=3,"Good",HR_Analytics56[[#This Row],[PerformanceRating]]=4, "Excellent")</f>
        <v>Good</v>
      </c>
      <c r="O1394" s="8" t="str">
        <f>IF(HR_Analytics56[[#This Row],[MonthlyIncome]]&lt;3000,"&lt; ₹3,000",IF(HR_Analytics56[[#This Row],[MonthlyIncome]]&lt;=7000,"₹ 3,000 - ₹ 7,000","&gt; ₹7,000"))</f>
        <v>&gt; ₹7,000</v>
      </c>
      <c r="P1394" s="8" t="str" cm="1">
        <f t="array" ref="P139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5" spans="1:16" x14ac:dyDescent="0.8">
      <c r="A1395" s="5" t="s">
        <v>1467</v>
      </c>
      <c r="B1395" s="8">
        <v>54</v>
      </c>
      <c r="C1395" s="5" t="s">
        <v>49</v>
      </c>
      <c r="D1395" s="5" t="s">
        <v>42</v>
      </c>
      <c r="E1395" s="5" t="s">
        <v>53</v>
      </c>
      <c r="F1395" s="5" t="s">
        <v>112</v>
      </c>
      <c r="G1395" s="8">
        <v>3</v>
      </c>
      <c r="H1395" s="8">
        <v>10502</v>
      </c>
      <c r="I1395" s="5" t="s">
        <v>49</v>
      </c>
      <c r="J1395" s="8">
        <v>3</v>
      </c>
      <c r="K1395" s="8">
        <v>2</v>
      </c>
      <c r="L1395" s="8">
        <v>5</v>
      </c>
      <c r="M139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5" s="8" t="str" cm="1">
        <f t="array" ref="N1395">_xlfn.IFS(HR_Analytics56[[#This Row],[PerformanceRating]]=3,"Good",HR_Analytics56[[#This Row],[PerformanceRating]]=4, "Excellent")</f>
        <v>Good</v>
      </c>
      <c r="O1395" s="8" t="str">
        <f>IF(HR_Analytics56[[#This Row],[MonthlyIncome]]&lt;3000,"&lt; ₹3,000",IF(HR_Analytics56[[#This Row],[MonthlyIncome]]&lt;=7000,"₹ 3,000 - ₹ 7,000","&gt; ₹7,000"))</f>
        <v>&gt; ₹7,000</v>
      </c>
      <c r="P1395" s="8" t="str" cm="1">
        <f t="array" ref="P139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6" spans="1:16" x14ac:dyDescent="0.8">
      <c r="A1396" s="5" t="s">
        <v>1468</v>
      </c>
      <c r="B1396" s="8">
        <v>54</v>
      </c>
      <c r="C1396" s="5" t="s">
        <v>49</v>
      </c>
      <c r="D1396" s="5" t="s">
        <v>42</v>
      </c>
      <c r="E1396" s="5" t="s">
        <v>44</v>
      </c>
      <c r="F1396" s="5" t="s">
        <v>252</v>
      </c>
      <c r="G1396" s="8">
        <v>4</v>
      </c>
      <c r="H1396" s="8">
        <v>17779</v>
      </c>
      <c r="I1396" s="5" t="s">
        <v>49</v>
      </c>
      <c r="J1396" s="8">
        <v>3</v>
      </c>
      <c r="K1396" s="8">
        <v>2</v>
      </c>
      <c r="L1396" s="8">
        <v>10</v>
      </c>
      <c r="M139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6" s="8" t="str" cm="1">
        <f t="array" ref="N1396">_xlfn.IFS(HR_Analytics56[[#This Row],[PerformanceRating]]=3,"Good",HR_Analytics56[[#This Row],[PerformanceRating]]=4, "Excellent")</f>
        <v>Good</v>
      </c>
      <c r="O1396" s="8" t="str">
        <f>IF(HR_Analytics56[[#This Row],[MonthlyIncome]]&lt;3000,"&lt; ₹3,000",IF(HR_Analytics56[[#This Row],[MonthlyIncome]]&lt;=7000,"₹ 3,000 - ₹ 7,000","&gt; ₹7,000"))</f>
        <v>&gt; ₹7,000</v>
      </c>
      <c r="P1396" s="8" t="str" cm="1">
        <f t="array" ref="P139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7" spans="1:16" x14ac:dyDescent="0.8">
      <c r="A1397" s="5" t="s">
        <v>1469</v>
      </c>
      <c r="B1397" s="8">
        <v>54</v>
      </c>
      <c r="C1397" s="5" t="s">
        <v>49</v>
      </c>
      <c r="D1397" s="5" t="s">
        <v>42</v>
      </c>
      <c r="E1397" s="5" t="s">
        <v>53</v>
      </c>
      <c r="F1397" s="5" t="s">
        <v>252</v>
      </c>
      <c r="G1397" s="8">
        <v>4</v>
      </c>
      <c r="H1397" s="8">
        <v>17328</v>
      </c>
      <c r="I1397" s="5" t="s">
        <v>49</v>
      </c>
      <c r="J1397" s="8">
        <v>3</v>
      </c>
      <c r="K1397" s="8">
        <v>3</v>
      </c>
      <c r="L1397" s="8">
        <v>20</v>
      </c>
      <c r="M139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7" s="8" t="str" cm="1">
        <f t="array" ref="N1397">_xlfn.IFS(HR_Analytics56[[#This Row],[PerformanceRating]]=3,"Good",HR_Analytics56[[#This Row],[PerformanceRating]]=4, "Excellent")</f>
        <v>Good</v>
      </c>
      <c r="O1397" s="8" t="str">
        <f>IF(HR_Analytics56[[#This Row],[MonthlyIncome]]&lt;3000,"&lt; ₹3,000",IF(HR_Analytics56[[#This Row],[MonthlyIncome]]&lt;=7000,"₹ 3,000 - ₹ 7,000","&gt; ₹7,000"))</f>
        <v>&gt; ₹7,000</v>
      </c>
      <c r="P1397" s="8" t="str" cm="1">
        <f t="array" ref="P139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8" spans="1:16" x14ac:dyDescent="0.8">
      <c r="A1398" s="5" t="s">
        <v>1470</v>
      </c>
      <c r="B1398" s="8">
        <v>54</v>
      </c>
      <c r="C1398" s="5" t="s">
        <v>49</v>
      </c>
      <c r="D1398" s="5" t="s">
        <v>42</v>
      </c>
      <c r="E1398" s="5" t="s">
        <v>53</v>
      </c>
      <c r="F1398" s="5" t="s">
        <v>442</v>
      </c>
      <c r="G1398" s="8">
        <v>4</v>
      </c>
      <c r="H1398" s="8">
        <v>16032</v>
      </c>
      <c r="I1398" s="5" t="s">
        <v>49</v>
      </c>
      <c r="J1398" s="8">
        <v>4</v>
      </c>
      <c r="K1398" s="8">
        <v>2</v>
      </c>
      <c r="L1398" s="8">
        <v>14</v>
      </c>
      <c r="M139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8" s="8" t="str" cm="1">
        <f t="array" ref="N1398">_xlfn.IFS(HR_Analytics56[[#This Row],[PerformanceRating]]=3,"Good",HR_Analytics56[[#This Row],[PerformanceRating]]=4, "Excellent")</f>
        <v>Excellent</v>
      </c>
      <c r="O1398" s="8" t="str">
        <f>IF(HR_Analytics56[[#This Row],[MonthlyIncome]]&lt;3000,"&lt; ₹3,000",IF(HR_Analytics56[[#This Row],[MonthlyIncome]]&lt;=7000,"₹ 3,000 - ₹ 7,000","&gt; ₹7,000"))</f>
        <v>&gt; ₹7,000</v>
      </c>
      <c r="P1398" s="8" t="str" cm="1">
        <f t="array" ref="P139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399" spans="1:16" x14ac:dyDescent="0.8">
      <c r="A1399" s="5" t="s">
        <v>1471</v>
      </c>
      <c r="B1399" s="8">
        <v>54</v>
      </c>
      <c r="C1399" s="5" t="s">
        <v>49</v>
      </c>
      <c r="D1399" s="5" t="s">
        <v>42</v>
      </c>
      <c r="E1399" s="5" t="s">
        <v>53</v>
      </c>
      <c r="F1399" s="5" t="s">
        <v>442</v>
      </c>
      <c r="G1399" s="8">
        <v>3</v>
      </c>
      <c r="H1399" s="8">
        <v>17426</v>
      </c>
      <c r="I1399" s="5" t="s">
        <v>49</v>
      </c>
      <c r="J1399" s="8">
        <v>4</v>
      </c>
      <c r="K1399" s="8">
        <v>6</v>
      </c>
      <c r="L1399" s="8">
        <v>10</v>
      </c>
      <c r="M139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399" s="8" t="str" cm="1">
        <f t="array" ref="N1399">_xlfn.IFS(HR_Analytics56[[#This Row],[PerformanceRating]]=3,"Good",HR_Analytics56[[#This Row],[PerformanceRating]]=4, "Excellent")</f>
        <v>Excellent</v>
      </c>
      <c r="O1399" s="8" t="str">
        <f>IF(HR_Analytics56[[#This Row],[MonthlyIncome]]&lt;3000,"&lt; ₹3,000",IF(HR_Analytics56[[#This Row],[MonthlyIncome]]&lt;=7000,"₹ 3,000 - ₹ 7,000","&gt; ₹7,000"))</f>
        <v>&gt; ₹7,000</v>
      </c>
      <c r="P1399" s="8" t="str" cm="1">
        <f t="array" ref="P1399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00" spans="1:16" x14ac:dyDescent="0.8">
      <c r="A1400" s="5" t="s">
        <v>1472</v>
      </c>
      <c r="B1400" s="8">
        <v>54</v>
      </c>
      <c r="C1400" s="5" t="s">
        <v>49</v>
      </c>
      <c r="D1400" s="5" t="s">
        <v>42</v>
      </c>
      <c r="E1400" s="5" t="s">
        <v>53</v>
      </c>
      <c r="F1400" s="5" t="s">
        <v>60</v>
      </c>
      <c r="G1400" s="8">
        <v>4</v>
      </c>
      <c r="H1400" s="8">
        <v>6854</v>
      </c>
      <c r="I1400" s="5" t="s">
        <v>49</v>
      </c>
      <c r="J1400" s="8">
        <v>3</v>
      </c>
      <c r="K1400" s="8">
        <v>2</v>
      </c>
      <c r="L1400" s="8">
        <v>7</v>
      </c>
      <c r="M140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00" s="8" t="str" cm="1">
        <f t="array" ref="N1400">_xlfn.IFS(HR_Analytics56[[#This Row],[PerformanceRating]]=3,"Good",HR_Analytics56[[#This Row],[PerformanceRating]]=4, "Excellent")</f>
        <v>Good</v>
      </c>
      <c r="O1400" s="8" t="str">
        <f>IF(HR_Analytics56[[#This Row],[MonthlyIncome]]&lt;3000,"&lt; ₹3,000",IF(HR_Analytics56[[#This Row],[MonthlyIncome]]&lt;=7000,"₹ 3,000 - ₹ 7,000","&gt; ₹7,000"))</f>
        <v>₹ 3,000 - ₹ 7,000</v>
      </c>
      <c r="P1400" s="8" t="str" cm="1">
        <f t="array" ref="P140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1" spans="1:16" x14ac:dyDescent="0.8">
      <c r="A1401" s="5" t="s">
        <v>1473</v>
      </c>
      <c r="B1401" s="8">
        <v>54</v>
      </c>
      <c r="C1401" s="5" t="s">
        <v>49</v>
      </c>
      <c r="D1401" s="5" t="s">
        <v>42</v>
      </c>
      <c r="E1401" s="5" t="s">
        <v>53</v>
      </c>
      <c r="F1401" s="5" t="s">
        <v>60</v>
      </c>
      <c r="G1401" s="8">
        <v>3</v>
      </c>
      <c r="H1401" s="8">
        <v>2897</v>
      </c>
      <c r="I1401" s="5" t="s">
        <v>49</v>
      </c>
      <c r="J1401" s="8">
        <v>3</v>
      </c>
      <c r="K1401" s="8">
        <v>6</v>
      </c>
      <c r="L1401" s="8">
        <v>4</v>
      </c>
      <c r="M140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01" s="8" t="str" cm="1">
        <f t="array" ref="N1401">_xlfn.IFS(HR_Analytics56[[#This Row],[PerformanceRating]]=3,"Good",HR_Analytics56[[#This Row],[PerformanceRating]]=4, "Excellent")</f>
        <v>Good</v>
      </c>
      <c r="O1401" s="8" t="str">
        <f>IF(HR_Analytics56[[#This Row],[MonthlyIncome]]&lt;3000,"&lt; ₹3,000",IF(HR_Analytics56[[#This Row],[MonthlyIncome]]&lt;=7000,"₹ 3,000 - ₹ 7,000","&gt; ₹7,000"))</f>
        <v>&lt; ₹3,000</v>
      </c>
      <c r="P1401" s="8" t="str" cm="1">
        <f t="array" ref="P140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2" spans="1:16" x14ac:dyDescent="0.8">
      <c r="A1402" s="5" t="s">
        <v>1474</v>
      </c>
      <c r="B1402" s="8">
        <v>54</v>
      </c>
      <c r="C1402" s="5" t="s">
        <v>49</v>
      </c>
      <c r="D1402" s="5" t="s">
        <v>42</v>
      </c>
      <c r="E1402" s="5" t="s">
        <v>53</v>
      </c>
      <c r="F1402" s="5" t="s">
        <v>112</v>
      </c>
      <c r="G1402" s="8">
        <v>1</v>
      </c>
      <c r="H1402" s="8">
        <v>4440</v>
      </c>
      <c r="I1402" s="5" t="s">
        <v>40</v>
      </c>
      <c r="J1402" s="8">
        <v>3</v>
      </c>
      <c r="K1402" s="8">
        <v>3</v>
      </c>
      <c r="L1402" s="8">
        <v>5</v>
      </c>
      <c r="M140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2" s="8" t="str" cm="1">
        <f t="array" ref="N1402">_xlfn.IFS(HR_Analytics56[[#This Row],[PerformanceRating]]=3,"Good",HR_Analytics56[[#This Row],[PerformanceRating]]=4, "Excellent")</f>
        <v>Good</v>
      </c>
      <c r="O1402" s="8" t="str">
        <f>IF(HR_Analytics56[[#This Row],[MonthlyIncome]]&lt;3000,"&lt; ₹3,000",IF(HR_Analytics56[[#This Row],[MonthlyIncome]]&lt;=7000,"₹ 3,000 - ₹ 7,000","&gt; ₹7,000"))</f>
        <v>₹ 3,000 - ₹ 7,000</v>
      </c>
      <c r="P1402" s="8" t="str" cm="1">
        <f t="array" ref="P140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3" spans="1:16" x14ac:dyDescent="0.8">
      <c r="A1403" s="5" t="s">
        <v>1475</v>
      </c>
      <c r="B1403" s="8">
        <v>55</v>
      </c>
      <c r="C1403" s="5" t="s">
        <v>49</v>
      </c>
      <c r="D1403" s="5" t="s">
        <v>42</v>
      </c>
      <c r="E1403" s="5" t="s">
        <v>53</v>
      </c>
      <c r="F1403" s="5" t="s">
        <v>442</v>
      </c>
      <c r="G1403" s="8">
        <v>3</v>
      </c>
      <c r="H1403" s="8">
        <v>14756</v>
      </c>
      <c r="I1403" s="5" t="s">
        <v>40</v>
      </c>
      <c r="J1403" s="8">
        <v>3</v>
      </c>
      <c r="K1403" s="8">
        <v>2</v>
      </c>
      <c r="L1403" s="8">
        <v>5</v>
      </c>
      <c r="M140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3" s="8" t="str" cm="1">
        <f t="array" ref="N1403">_xlfn.IFS(HR_Analytics56[[#This Row],[PerformanceRating]]=3,"Good",HR_Analytics56[[#This Row],[PerformanceRating]]=4, "Excellent")</f>
        <v>Good</v>
      </c>
      <c r="O1403" s="8" t="str">
        <f>IF(HR_Analytics56[[#This Row],[MonthlyIncome]]&lt;3000,"&lt; ₹3,000",IF(HR_Analytics56[[#This Row],[MonthlyIncome]]&lt;=7000,"₹ 3,000 - ₹ 7,000","&gt; ₹7,000"))</f>
        <v>&gt; ₹7,000</v>
      </c>
      <c r="P1403" s="8" t="str" cm="1">
        <f t="array" ref="P140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4" spans="1:16" x14ac:dyDescent="0.8">
      <c r="A1404" s="5" t="s">
        <v>1476</v>
      </c>
      <c r="B1404" s="8">
        <v>55</v>
      </c>
      <c r="C1404" s="5" t="s">
        <v>49</v>
      </c>
      <c r="D1404" s="5" t="s">
        <v>51</v>
      </c>
      <c r="E1404" s="5" t="s">
        <v>44</v>
      </c>
      <c r="F1404" s="5" t="s">
        <v>137</v>
      </c>
      <c r="G1404" s="8">
        <v>4</v>
      </c>
      <c r="H1404" s="8">
        <v>10239</v>
      </c>
      <c r="I1404" s="5" t="s">
        <v>49</v>
      </c>
      <c r="J1404" s="8">
        <v>3</v>
      </c>
      <c r="K1404" s="8">
        <v>4</v>
      </c>
      <c r="L1404" s="8">
        <v>1</v>
      </c>
      <c r="M140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04" s="8" t="str" cm="1">
        <f t="array" ref="N1404">_xlfn.IFS(HR_Analytics56[[#This Row],[PerformanceRating]]=3,"Good",HR_Analytics56[[#This Row],[PerformanceRating]]=4, "Excellent")</f>
        <v>Good</v>
      </c>
      <c r="O1404" s="8" t="str">
        <f>IF(HR_Analytics56[[#This Row],[MonthlyIncome]]&lt;3000,"&lt; ₹3,000",IF(HR_Analytics56[[#This Row],[MonthlyIncome]]&lt;=7000,"₹ 3,000 - ₹ 7,000","&gt; ₹7,000"))</f>
        <v>&gt; ₹7,000</v>
      </c>
      <c r="P1404" s="8" t="str" cm="1">
        <f t="array" ref="P140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5" spans="1:16" x14ac:dyDescent="0.8">
      <c r="A1405" s="5" t="s">
        <v>1477</v>
      </c>
      <c r="B1405" s="8">
        <v>55</v>
      </c>
      <c r="C1405" s="5" t="s">
        <v>49</v>
      </c>
      <c r="D1405" s="5" t="s">
        <v>42</v>
      </c>
      <c r="E1405" s="5" t="s">
        <v>44</v>
      </c>
      <c r="F1405" s="5" t="s">
        <v>252</v>
      </c>
      <c r="G1405" s="8">
        <v>2</v>
      </c>
      <c r="H1405" s="8">
        <v>18722</v>
      </c>
      <c r="I1405" s="5" t="s">
        <v>49</v>
      </c>
      <c r="J1405" s="8">
        <v>3</v>
      </c>
      <c r="K1405" s="8">
        <v>3</v>
      </c>
      <c r="L1405" s="8">
        <v>24</v>
      </c>
      <c r="M140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05" s="8" t="str" cm="1">
        <f t="array" ref="N1405">_xlfn.IFS(HR_Analytics56[[#This Row],[PerformanceRating]]=3,"Good",HR_Analytics56[[#This Row],[PerformanceRating]]=4, "Excellent")</f>
        <v>Good</v>
      </c>
      <c r="O1405" s="8" t="str">
        <f>IF(HR_Analytics56[[#This Row],[MonthlyIncome]]&lt;3000,"&lt; ₹3,000",IF(HR_Analytics56[[#This Row],[MonthlyIncome]]&lt;=7000,"₹ 3,000 - ₹ 7,000","&gt; ₹7,000"))</f>
        <v>&gt; ₹7,000</v>
      </c>
      <c r="P1405" s="8" t="str" cm="1">
        <f t="array" ref="P140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6" spans="1:16" x14ac:dyDescent="0.8">
      <c r="A1406" s="5" t="s">
        <v>1478</v>
      </c>
      <c r="B1406" s="8">
        <v>55</v>
      </c>
      <c r="C1406" s="5" t="s">
        <v>49</v>
      </c>
      <c r="D1406" s="5" t="s">
        <v>42</v>
      </c>
      <c r="E1406" s="5" t="s">
        <v>44</v>
      </c>
      <c r="F1406" s="5" t="s">
        <v>442</v>
      </c>
      <c r="G1406" s="8">
        <v>1</v>
      </c>
      <c r="H1406" s="8">
        <v>19045</v>
      </c>
      <c r="I1406" s="5" t="s">
        <v>40</v>
      </c>
      <c r="J1406" s="8">
        <v>3</v>
      </c>
      <c r="K1406" s="8">
        <v>2</v>
      </c>
      <c r="L1406" s="8">
        <v>36</v>
      </c>
      <c r="M140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6" s="8" t="str" cm="1">
        <f t="array" ref="N1406">_xlfn.IFS(HR_Analytics56[[#This Row],[PerformanceRating]]=3,"Good",HR_Analytics56[[#This Row],[PerformanceRating]]=4, "Excellent")</f>
        <v>Good</v>
      </c>
      <c r="O1406" s="8" t="str">
        <f>IF(HR_Analytics56[[#This Row],[MonthlyIncome]]&lt;3000,"&lt; ₹3,000",IF(HR_Analytics56[[#This Row],[MonthlyIncome]]&lt;=7000,"₹ 3,000 - ₹ 7,000","&gt; ₹7,000"))</f>
        <v>&gt; ₹7,000</v>
      </c>
      <c r="P1406" s="8" t="str" cm="1">
        <f t="array" ref="P140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7" spans="1:16" x14ac:dyDescent="0.8">
      <c r="A1407" s="5" t="s">
        <v>1479</v>
      </c>
      <c r="B1407" s="8">
        <v>55</v>
      </c>
      <c r="C1407" s="5" t="s">
        <v>49</v>
      </c>
      <c r="D1407" s="5" t="s">
        <v>42</v>
      </c>
      <c r="E1407" s="5" t="s">
        <v>44</v>
      </c>
      <c r="F1407" s="5" t="s">
        <v>45</v>
      </c>
      <c r="G1407" s="8">
        <v>4</v>
      </c>
      <c r="H1407" s="8">
        <v>5415</v>
      </c>
      <c r="I1407" s="5" t="s">
        <v>40</v>
      </c>
      <c r="J1407" s="8">
        <v>3</v>
      </c>
      <c r="K1407" s="8">
        <v>4</v>
      </c>
      <c r="L1407" s="8">
        <v>10</v>
      </c>
      <c r="M140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7" s="8" t="str" cm="1">
        <f t="array" ref="N1407">_xlfn.IFS(HR_Analytics56[[#This Row],[PerformanceRating]]=3,"Good",HR_Analytics56[[#This Row],[PerformanceRating]]=4, "Excellent")</f>
        <v>Good</v>
      </c>
      <c r="O1407" s="8" t="str">
        <f>IF(HR_Analytics56[[#This Row],[MonthlyIncome]]&lt;3000,"&lt; ₹3,000",IF(HR_Analytics56[[#This Row],[MonthlyIncome]]&lt;=7000,"₹ 3,000 - ₹ 7,000","&gt; ₹7,000"))</f>
        <v>₹ 3,000 - ₹ 7,000</v>
      </c>
      <c r="P1407" s="8" t="str" cm="1">
        <f t="array" ref="P140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8" spans="1:16" x14ac:dyDescent="0.8">
      <c r="A1408" s="5" t="s">
        <v>1480</v>
      </c>
      <c r="B1408" s="8">
        <v>55</v>
      </c>
      <c r="C1408" s="5" t="s">
        <v>49</v>
      </c>
      <c r="D1408" s="5" t="s">
        <v>42</v>
      </c>
      <c r="E1408" s="5" t="s">
        <v>53</v>
      </c>
      <c r="F1408" s="5" t="s">
        <v>442</v>
      </c>
      <c r="G1408" s="8">
        <v>4</v>
      </c>
      <c r="H1408" s="8">
        <v>16659</v>
      </c>
      <c r="I1408" s="5" t="s">
        <v>40</v>
      </c>
      <c r="J1408" s="8">
        <v>3</v>
      </c>
      <c r="K1408" s="8">
        <v>2</v>
      </c>
      <c r="L1408" s="8">
        <v>5</v>
      </c>
      <c r="M140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08" s="8" t="str" cm="1">
        <f t="array" ref="N1408">_xlfn.IFS(HR_Analytics56[[#This Row],[PerformanceRating]]=3,"Good",HR_Analytics56[[#This Row],[PerformanceRating]]=4, "Excellent")</f>
        <v>Good</v>
      </c>
      <c r="O1408" s="8" t="str">
        <f>IF(HR_Analytics56[[#This Row],[MonthlyIncome]]&lt;3000,"&lt; ₹3,000",IF(HR_Analytics56[[#This Row],[MonthlyIncome]]&lt;=7000,"₹ 3,000 - ₹ 7,000","&gt; ₹7,000"))</f>
        <v>&gt; ₹7,000</v>
      </c>
      <c r="P1408" s="8" t="str" cm="1">
        <f t="array" ref="P140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09" spans="1:16" x14ac:dyDescent="0.8">
      <c r="A1409" s="5" t="s">
        <v>1481</v>
      </c>
      <c r="B1409" s="8">
        <v>55</v>
      </c>
      <c r="C1409" s="5" t="s">
        <v>49</v>
      </c>
      <c r="D1409" s="5" t="s">
        <v>51</v>
      </c>
      <c r="E1409" s="5" t="s">
        <v>53</v>
      </c>
      <c r="F1409" s="5" t="s">
        <v>442</v>
      </c>
      <c r="G1409" s="8">
        <v>2</v>
      </c>
      <c r="H1409" s="8">
        <v>16835</v>
      </c>
      <c r="I1409" s="5" t="s">
        <v>49</v>
      </c>
      <c r="J1409" s="8">
        <v>4</v>
      </c>
      <c r="K1409" s="8">
        <v>2</v>
      </c>
      <c r="L1409" s="8">
        <v>10</v>
      </c>
      <c r="M140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09" s="8" t="str" cm="1">
        <f t="array" ref="N1409">_xlfn.IFS(HR_Analytics56[[#This Row],[PerformanceRating]]=3,"Good",HR_Analytics56[[#This Row],[PerformanceRating]]=4, "Excellent")</f>
        <v>Excellent</v>
      </c>
      <c r="O1409" s="8" t="str">
        <f>IF(HR_Analytics56[[#This Row],[MonthlyIncome]]&lt;3000,"&lt; ₹3,000",IF(HR_Analytics56[[#This Row],[MonthlyIncome]]&lt;=7000,"₹ 3,000 - ₹ 7,000","&gt; ₹7,000"))</f>
        <v>&gt; ₹7,000</v>
      </c>
      <c r="P1409" s="8" t="str" cm="1">
        <f t="array" ref="P140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0" spans="1:16" x14ac:dyDescent="0.8">
      <c r="A1410" s="5" t="s">
        <v>1482</v>
      </c>
      <c r="B1410" s="8">
        <v>55</v>
      </c>
      <c r="C1410" s="5" t="s">
        <v>40</v>
      </c>
      <c r="D1410" s="5" t="s">
        <v>42</v>
      </c>
      <c r="E1410" s="5" t="s">
        <v>44</v>
      </c>
      <c r="F1410" s="5" t="s">
        <v>442</v>
      </c>
      <c r="G1410" s="8">
        <v>1</v>
      </c>
      <c r="H1410" s="8">
        <v>19859</v>
      </c>
      <c r="I1410" s="5" t="s">
        <v>40</v>
      </c>
      <c r="J1410" s="8">
        <v>3</v>
      </c>
      <c r="K1410" s="8">
        <v>2</v>
      </c>
      <c r="L1410" s="8">
        <v>5</v>
      </c>
      <c r="M141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10" s="8" t="str" cm="1">
        <f t="array" ref="N1410">_xlfn.IFS(HR_Analytics56[[#This Row],[PerformanceRating]]=3,"Good",HR_Analytics56[[#This Row],[PerformanceRating]]=4, "Excellent")</f>
        <v>Good</v>
      </c>
      <c r="O1410" s="8" t="str">
        <f>IF(HR_Analytics56[[#This Row],[MonthlyIncome]]&lt;3000,"&lt; ₹3,000",IF(HR_Analytics56[[#This Row],[MonthlyIncome]]&lt;=7000,"₹ 3,000 - ₹ 7,000","&gt; ₹7,000"))</f>
        <v>&gt; ₹7,000</v>
      </c>
      <c r="P1410" s="8" t="str" cm="1">
        <f t="array" ref="P141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1" spans="1:16" x14ac:dyDescent="0.8">
      <c r="A1411" s="5" t="s">
        <v>1483</v>
      </c>
      <c r="B1411" s="8">
        <v>55</v>
      </c>
      <c r="C1411" s="5" t="s">
        <v>40</v>
      </c>
      <c r="D1411" s="5" t="s">
        <v>51</v>
      </c>
      <c r="E1411" s="5" t="s">
        <v>44</v>
      </c>
      <c r="F1411" s="5" t="s">
        <v>137</v>
      </c>
      <c r="G1411" s="8">
        <v>4</v>
      </c>
      <c r="H1411" s="8">
        <v>5160</v>
      </c>
      <c r="I1411" s="5" t="s">
        <v>49</v>
      </c>
      <c r="J1411" s="8">
        <v>3</v>
      </c>
      <c r="K1411" s="8">
        <v>3</v>
      </c>
      <c r="L1411" s="8">
        <v>9</v>
      </c>
      <c r="M141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11" s="8" t="str" cm="1">
        <f t="array" ref="N1411">_xlfn.IFS(HR_Analytics56[[#This Row],[PerformanceRating]]=3,"Good",HR_Analytics56[[#This Row],[PerformanceRating]]=4, "Excellent")</f>
        <v>Good</v>
      </c>
      <c r="O1411" s="8" t="str">
        <f>IF(HR_Analytics56[[#This Row],[MonthlyIncome]]&lt;3000,"&lt; ₹3,000",IF(HR_Analytics56[[#This Row],[MonthlyIncome]]&lt;=7000,"₹ 3,000 - ₹ 7,000","&gt; ₹7,000"))</f>
        <v>₹ 3,000 - ₹ 7,000</v>
      </c>
      <c r="P1411" s="8" t="str" cm="1">
        <f t="array" ref="P141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2" spans="1:16" x14ac:dyDescent="0.8">
      <c r="A1412" s="5" t="s">
        <v>1484</v>
      </c>
      <c r="B1412" s="8">
        <v>55</v>
      </c>
      <c r="C1412" s="5" t="s">
        <v>49</v>
      </c>
      <c r="D1412" s="5" t="s">
        <v>42</v>
      </c>
      <c r="E1412" s="5" t="s">
        <v>44</v>
      </c>
      <c r="F1412" s="5" t="s">
        <v>161</v>
      </c>
      <c r="G1412" s="8">
        <v>2</v>
      </c>
      <c r="H1412" s="8">
        <v>6385</v>
      </c>
      <c r="I1412" s="5" t="s">
        <v>40</v>
      </c>
      <c r="J1412" s="8">
        <v>3</v>
      </c>
      <c r="K1412" s="8">
        <v>3</v>
      </c>
      <c r="L1412" s="8">
        <v>8</v>
      </c>
      <c r="M141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12" s="8" t="str" cm="1">
        <f t="array" ref="N1412">_xlfn.IFS(HR_Analytics56[[#This Row],[PerformanceRating]]=3,"Good",HR_Analytics56[[#This Row],[PerformanceRating]]=4, "Excellent")</f>
        <v>Good</v>
      </c>
      <c r="O1412" s="8" t="str">
        <f>IF(HR_Analytics56[[#This Row],[MonthlyIncome]]&lt;3000,"&lt; ₹3,000",IF(HR_Analytics56[[#This Row],[MonthlyIncome]]&lt;=7000,"₹ 3,000 - ₹ 7,000","&gt; ₹7,000"))</f>
        <v>₹ 3,000 - ₹ 7,000</v>
      </c>
      <c r="P1412" s="8" t="str" cm="1">
        <f t="array" ref="P141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3" spans="1:16" x14ac:dyDescent="0.8">
      <c r="A1413" s="5" t="s">
        <v>1485</v>
      </c>
      <c r="B1413" s="8">
        <v>55</v>
      </c>
      <c r="C1413" s="5" t="s">
        <v>49</v>
      </c>
      <c r="D1413" s="5" t="s">
        <v>42</v>
      </c>
      <c r="E1413" s="5" t="s">
        <v>44</v>
      </c>
      <c r="F1413" s="5" t="s">
        <v>442</v>
      </c>
      <c r="G1413" s="8">
        <v>1</v>
      </c>
      <c r="H1413" s="8">
        <v>16756</v>
      </c>
      <c r="I1413" s="5" t="s">
        <v>49</v>
      </c>
      <c r="J1413" s="8">
        <v>3</v>
      </c>
      <c r="K1413" s="8">
        <v>3</v>
      </c>
      <c r="L1413" s="8">
        <v>9</v>
      </c>
      <c r="M141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13" s="8" t="str" cm="1">
        <f t="array" ref="N1413">_xlfn.IFS(HR_Analytics56[[#This Row],[PerformanceRating]]=3,"Good",HR_Analytics56[[#This Row],[PerformanceRating]]=4, "Excellent")</f>
        <v>Good</v>
      </c>
      <c r="O1413" s="8" t="str">
        <f>IF(HR_Analytics56[[#This Row],[MonthlyIncome]]&lt;3000,"&lt; ₹3,000",IF(HR_Analytics56[[#This Row],[MonthlyIncome]]&lt;=7000,"₹ 3,000 - ₹ 7,000","&gt; ₹7,000"))</f>
        <v>&gt; ₹7,000</v>
      </c>
      <c r="P1413" s="8" t="str" cm="1">
        <f t="array" ref="P141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4" spans="1:16" x14ac:dyDescent="0.8">
      <c r="A1414" s="5" t="s">
        <v>1486</v>
      </c>
      <c r="B1414" s="8">
        <v>55</v>
      </c>
      <c r="C1414" s="5" t="s">
        <v>49</v>
      </c>
      <c r="D1414" s="5" t="s">
        <v>42</v>
      </c>
      <c r="E1414" s="5" t="s">
        <v>44</v>
      </c>
      <c r="F1414" s="5" t="s">
        <v>112</v>
      </c>
      <c r="G1414" s="8">
        <v>2</v>
      </c>
      <c r="H1414" s="8">
        <v>10976</v>
      </c>
      <c r="I1414" s="5" t="s">
        <v>49</v>
      </c>
      <c r="J1414" s="8">
        <v>3</v>
      </c>
      <c r="K1414" s="8">
        <v>4</v>
      </c>
      <c r="L1414" s="8">
        <v>3</v>
      </c>
      <c r="M141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14" s="8" t="str" cm="1">
        <f t="array" ref="N1414">_xlfn.IFS(HR_Analytics56[[#This Row],[PerformanceRating]]=3,"Good",HR_Analytics56[[#This Row],[PerformanceRating]]=4, "Excellent")</f>
        <v>Good</v>
      </c>
      <c r="O1414" s="8" t="str">
        <f>IF(HR_Analytics56[[#This Row],[MonthlyIncome]]&lt;3000,"&lt; ₹3,000",IF(HR_Analytics56[[#This Row],[MonthlyIncome]]&lt;=7000,"₹ 3,000 - ₹ 7,000","&gt; ₹7,000"))</f>
        <v>&gt; ₹7,000</v>
      </c>
      <c r="P1414" s="8" t="str" cm="1">
        <f t="array" ref="P141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5" spans="1:16" x14ac:dyDescent="0.8">
      <c r="A1415" s="5" t="s">
        <v>1487</v>
      </c>
      <c r="B1415" s="8">
        <v>55</v>
      </c>
      <c r="C1415" s="5" t="s">
        <v>49</v>
      </c>
      <c r="D1415" s="5" t="s">
        <v>42</v>
      </c>
      <c r="E1415" s="5" t="s">
        <v>44</v>
      </c>
      <c r="F1415" s="5" t="s">
        <v>161</v>
      </c>
      <c r="G1415" s="8">
        <v>2</v>
      </c>
      <c r="H1415" s="8">
        <v>13577</v>
      </c>
      <c r="I1415" s="5" t="s">
        <v>40</v>
      </c>
      <c r="J1415" s="8">
        <v>3</v>
      </c>
      <c r="K1415" s="8">
        <v>3</v>
      </c>
      <c r="L1415" s="8">
        <v>33</v>
      </c>
      <c r="M141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15" s="8" t="str" cm="1">
        <f t="array" ref="N1415">_xlfn.IFS(HR_Analytics56[[#This Row],[PerformanceRating]]=3,"Good",HR_Analytics56[[#This Row],[PerformanceRating]]=4, "Excellent")</f>
        <v>Good</v>
      </c>
      <c r="O1415" s="8" t="str">
        <f>IF(HR_Analytics56[[#This Row],[MonthlyIncome]]&lt;3000,"&lt; ₹3,000",IF(HR_Analytics56[[#This Row],[MonthlyIncome]]&lt;=7000,"₹ 3,000 - ₹ 7,000","&gt; ₹7,000"))</f>
        <v>&gt; ₹7,000</v>
      </c>
      <c r="P1415" s="8" t="str" cm="1">
        <f t="array" ref="P141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6" spans="1:16" x14ac:dyDescent="0.8">
      <c r="A1416" s="5" t="s">
        <v>1488</v>
      </c>
      <c r="B1416" s="8">
        <v>55</v>
      </c>
      <c r="C1416" s="5" t="s">
        <v>49</v>
      </c>
      <c r="D1416" s="5" t="s">
        <v>42</v>
      </c>
      <c r="E1416" s="5" t="s">
        <v>53</v>
      </c>
      <c r="F1416" s="5" t="s">
        <v>442</v>
      </c>
      <c r="G1416" s="8">
        <v>3</v>
      </c>
      <c r="H1416" s="8">
        <v>19187</v>
      </c>
      <c r="I1416" s="5" t="s">
        <v>49</v>
      </c>
      <c r="J1416" s="8">
        <v>3</v>
      </c>
      <c r="K1416" s="8">
        <v>5</v>
      </c>
      <c r="L1416" s="8">
        <v>19</v>
      </c>
      <c r="M141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16" s="8" t="str" cm="1">
        <f t="array" ref="N1416">_xlfn.IFS(HR_Analytics56[[#This Row],[PerformanceRating]]=3,"Good",HR_Analytics56[[#This Row],[PerformanceRating]]=4, "Excellent")</f>
        <v>Good</v>
      </c>
      <c r="O1416" s="8" t="str">
        <f>IF(HR_Analytics56[[#This Row],[MonthlyIncome]]&lt;3000,"&lt; ₹3,000",IF(HR_Analytics56[[#This Row],[MonthlyIncome]]&lt;=7000,"₹ 3,000 - ₹ 7,000","&gt; ₹7,000"))</f>
        <v>&gt; ₹7,000</v>
      </c>
      <c r="P1416" s="8" t="str" cm="1">
        <f t="array" ref="P141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7" spans="1:16" x14ac:dyDescent="0.8">
      <c r="A1417" s="5" t="s">
        <v>1489</v>
      </c>
      <c r="B1417" s="8">
        <v>55</v>
      </c>
      <c r="C1417" s="5" t="s">
        <v>40</v>
      </c>
      <c r="D1417" s="5" t="s">
        <v>51</v>
      </c>
      <c r="E1417" s="5" t="s">
        <v>44</v>
      </c>
      <c r="F1417" s="5" t="s">
        <v>137</v>
      </c>
      <c r="G1417" s="8">
        <v>3</v>
      </c>
      <c r="H1417" s="8">
        <v>13695</v>
      </c>
      <c r="I1417" s="5" t="s">
        <v>40</v>
      </c>
      <c r="J1417" s="8">
        <v>3</v>
      </c>
      <c r="K1417" s="8">
        <v>2</v>
      </c>
      <c r="L1417" s="8">
        <v>19</v>
      </c>
      <c r="M141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17" s="8" t="str" cm="1">
        <f t="array" ref="N1417">_xlfn.IFS(HR_Analytics56[[#This Row],[PerformanceRating]]=3,"Good",HR_Analytics56[[#This Row],[PerformanceRating]]=4, "Excellent")</f>
        <v>Good</v>
      </c>
      <c r="O1417" s="8" t="str">
        <f>IF(HR_Analytics56[[#This Row],[MonthlyIncome]]&lt;3000,"&lt; ₹3,000",IF(HR_Analytics56[[#This Row],[MonthlyIncome]]&lt;=7000,"₹ 3,000 - ₹ 7,000","&gt; ₹7,000"))</f>
        <v>&gt; ₹7,000</v>
      </c>
      <c r="P1417" s="8" t="str" cm="1">
        <f t="array" ref="P141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8" spans="1:16" x14ac:dyDescent="0.8">
      <c r="A1418" s="5" t="s">
        <v>1490</v>
      </c>
      <c r="B1418" s="8">
        <v>55</v>
      </c>
      <c r="C1418" s="5" t="s">
        <v>49</v>
      </c>
      <c r="D1418" s="5" t="s">
        <v>42</v>
      </c>
      <c r="E1418" s="5" t="s">
        <v>44</v>
      </c>
      <c r="F1418" s="5" t="s">
        <v>252</v>
      </c>
      <c r="G1418" s="8">
        <v>4</v>
      </c>
      <c r="H1418" s="8">
        <v>14732</v>
      </c>
      <c r="I1418" s="5" t="s">
        <v>49</v>
      </c>
      <c r="J1418" s="8">
        <v>3</v>
      </c>
      <c r="K1418" s="8">
        <v>4</v>
      </c>
      <c r="L1418" s="8">
        <v>7</v>
      </c>
      <c r="M141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18" s="8" t="str" cm="1">
        <f t="array" ref="N1418">_xlfn.IFS(HR_Analytics56[[#This Row],[PerformanceRating]]=3,"Good",HR_Analytics56[[#This Row],[PerformanceRating]]=4, "Excellent")</f>
        <v>Good</v>
      </c>
      <c r="O1418" s="8" t="str">
        <f>IF(HR_Analytics56[[#This Row],[MonthlyIncome]]&lt;3000,"&lt; ₹3,000",IF(HR_Analytics56[[#This Row],[MonthlyIncome]]&lt;=7000,"₹ 3,000 - ₹ 7,000","&gt; ₹7,000"))</f>
        <v>&gt; ₹7,000</v>
      </c>
      <c r="P1418" s="8" t="str" cm="1">
        <f t="array" ref="P141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19" spans="1:16" x14ac:dyDescent="0.8">
      <c r="A1419" s="5" t="s">
        <v>1491</v>
      </c>
      <c r="B1419" s="8">
        <v>55</v>
      </c>
      <c r="C1419" s="5" t="s">
        <v>49</v>
      </c>
      <c r="D1419" s="5" t="s">
        <v>42</v>
      </c>
      <c r="E1419" s="5" t="s">
        <v>44</v>
      </c>
      <c r="F1419" s="5" t="s">
        <v>161</v>
      </c>
      <c r="G1419" s="8">
        <v>3</v>
      </c>
      <c r="H1419" s="8">
        <v>4035</v>
      </c>
      <c r="I1419" s="5" t="s">
        <v>40</v>
      </c>
      <c r="J1419" s="8">
        <v>3</v>
      </c>
      <c r="K1419" s="8">
        <v>2</v>
      </c>
      <c r="L1419" s="8">
        <v>3</v>
      </c>
      <c r="M141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19" s="8" t="str" cm="1">
        <f t="array" ref="N1419">_xlfn.IFS(HR_Analytics56[[#This Row],[PerformanceRating]]=3,"Good",HR_Analytics56[[#This Row],[PerformanceRating]]=4, "Excellent")</f>
        <v>Good</v>
      </c>
      <c r="O1419" s="8" t="str">
        <f>IF(HR_Analytics56[[#This Row],[MonthlyIncome]]&lt;3000,"&lt; ₹3,000",IF(HR_Analytics56[[#This Row],[MonthlyIncome]]&lt;=7000,"₹ 3,000 - ₹ 7,000","&gt; ₹7,000"))</f>
        <v>₹ 3,000 - ₹ 7,000</v>
      </c>
      <c r="P1419" s="8" t="str" cm="1">
        <f t="array" ref="P141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0" spans="1:16" x14ac:dyDescent="0.8">
      <c r="A1420" s="5" t="s">
        <v>1492</v>
      </c>
      <c r="B1420" s="8">
        <v>55</v>
      </c>
      <c r="C1420" s="5" t="s">
        <v>49</v>
      </c>
      <c r="D1420" s="5" t="s">
        <v>51</v>
      </c>
      <c r="E1420" s="5" t="s">
        <v>44</v>
      </c>
      <c r="F1420" s="5" t="s">
        <v>442</v>
      </c>
      <c r="G1420" s="8">
        <v>4</v>
      </c>
      <c r="H1420" s="8">
        <v>19586</v>
      </c>
      <c r="I1420" s="5" t="s">
        <v>49</v>
      </c>
      <c r="J1420" s="8">
        <v>4</v>
      </c>
      <c r="K1420" s="8">
        <v>3</v>
      </c>
      <c r="L1420" s="8">
        <v>36</v>
      </c>
      <c r="M142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0" s="8" t="str" cm="1">
        <f t="array" ref="N1420">_xlfn.IFS(HR_Analytics56[[#This Row],[PerformanceRating]]=3,"Good",HR_Analytics56[[#This Row],[PerformanceRating]]=4, "Excellent")</f>
        <v>Excellent</v>
      </c>
      <c r="O1420" s="8" t="str">
        <f>IF(HR_Analytics56[[#This Row],[MonthlyIncome]]&lt;3000,"&lt; ₹3,000",IF(HR_Analytics56[[#This Row],[MonthlyIncome]]&lt;=7000,"₹ 3,000 - ₹ 7,000","&gt; ₹7,000"))</f>
        <v>&gt; ₹7,000</v>
      </c>
      <c r="P1420" s="8" t="str" cm="1">
        <f t="array" ref="P142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21" spans="1:16" x14ac:dyDescent="0.8">
      <c r="A1421" s="5" t="s">
        <v>1493</v>
      </c>
      <c r="B1421" s="8">
        <v>55</v>
      </c>
      <c r="C1421" s="5" t="s">
        <v>49</v>
      </c>
      <c r="D1421" s="5" t="s">
        <v>42</v>
      </c>
      <c r="E1421" s="5" t="s">
        <v>44</v>
      </c>
      <c r="F1421" s="5" t="s">
        <v>60</v>
      </c>
      <c r="G1421" s="8">
        <v>2</v>
      </c>
      <c r="H1421" s="8">
        <v>3537</v>
      </c>
      <c r="I1421" s="5" t="s">
        <v>49</v>
      </c>
      <c r="J1421" s="8">
        <v>3</v>
      </c>
      <c r="K1421" s="8">
        <v>1</v>
      </c>
      <c r="L1421" s="8">
        <v>4</v>
      </c>
      <c r="M142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1" s="8" t="str" cm="1">
        <f t="array" ref="N1421">_xlfn.IFS(HR_Analytics56[[#This Row],[PerformanceRating]]=3,"Good",HR_Analytics56[[#This Row],[PerformanceRating]]=4, "Excellent")</f>
        <v>Good</v>
      </c>
      <c r="O1421" s="8" t="str">
        <f>IF(HR_Analytics56[[#This Row],[MonthlyIncome]]&lt;3000,"&lt; ₹3,000",IF(HR_Analytics56[[#This Row],[MonthlyIncome]]&lt;=7000,"₹ 3,000 - ₹ 7,000","&gt; ₹7,000"))</f>
        <v>₹ 3,000 - ₹ 7,000</v>
      </c>
      <c r="P1421" s="8" t="str" cm="1">
        <f t="array" ref="P142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2" spans="1:16" x14ac:dyDescent="0.8">
      <c r="A1422" s="5" t="s">
        <v>1494</v>
      </c>
      <c r="B1422" s="8">
        <v>55</v>
      </c>
      <c r="C1422" s="5" t="s">
        <v>49</v>
      </c>
      <c r="D1422" s="5" t="s">
        <v>42</v>
      </c>
      <c r="E1422" s="5" t="s">
        <v>44</v>
      </c>
      <c r="F1422" s="5" t="s">
        <v>252</v>
      </c>
      <c r="G1422" s="8">
        <v>1</v>
      </c>
      <c r="H1422" s="8">
        <v>19038</v>
      </c>
      <c r="I1422" s="5" t="s">
        <v>49</v>
      </c>
      <c r="J1422" s="8">
        <v>3</v>
      </c>
      <c r="K1422" s="8">
        <v>2</v>
      </c>
      <c r="L1422" s="8">
        <v>1</v>
      </c>
      <c r="M142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2" s="8" t="str" cm="1">
        <f t="array" ref="N1422">_xlfn.IFS(HR_Analytics56[[#This Row],[PerformanceRating]]=3,"Good",HR_Analytics56[[#This Row],[PerformanceRating]]=4, "Excellent")</f>
        <v>Good</v>
      </c>
      <c r="O1422" s="8" t="str">
        <f>IF(HR_Analytics56[[#This Row],[MonthlyIncome]]&lt;3000,"&lt; ₹3,000",IF(HR_Analytics56[[#This Row],[MonthlyIncome]]&lt;=7000,"₹ 3,000 - ₹ 7,000","&gt; ₹7,000"))</f>
        <v>&gt; ₹7,000</v>
      </c>
      <c r="P1422" s="8" t="str" cm="1">
        <f t="array" ref="P142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3" spans="1:16" x14ac:dyDescent="0.8">
      <c r="A1423" s="5" t="s">
        <v>1495</v>
      </c>
      <c r="B1423" s="8">
        <v>55</v>
      </c>
      <c r="C1423" s="5" t="s">
        <v>49</v>
      </c>
      <c r="D1423" s="5" t="s">
        <v>42</v>
      </c>
      <c r="E1423" s="5" t="s">
        <v>44</v>
      </c>
      <c r="F1423" s="5" t="s">
        <v>60</v>
      </c>
      <c r="G1423" s="8">
        <v>4</v>
      </c>
      <c r="H1423" s="8">
        <v>2662</v>
      </c>
      <c r="I1423" s="5" t="s">
        <v>49</v>
      </c>
      <c r="J1423" s="8">
        <v>4</v>
      </c>
      <c r="K1423" s="8">
        <v>2</v>
      </c>
      <c r="L1423" s="8">
        <v>5</v>
      </c>
      <c r="M142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3" s="8" t="str" cm="1">
        <f t="array" ref="N1423">_xlfn.IFS(HR_Analytics56[[#This Row],[PerformanceRating]]=3,"Good",HR_Analytics56[[#This Row],[PerformanceRating]]=4, "Excellent")</f>
        <v>Excellent</v>
      </c>
      <c r="O1423" s="8" t="str">
        <f>IF(HR_Analytics56[[#This Row],[MonthlyIncome]]&lt;3000,"&lt; ₹3,000",IF(HR_Analytics56[[#This Row],[MonthlyIncome]]&lt;=7000,"₹ 3,000 - ₹ 7,000","&gt; ₹7,000"))</f>
        <v>&lt; ₹3,000</v>
      </c>
      <c r="P1423" s="8" t="str" cm="1">
        <f t="array" ref="P142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4" spans="1:16" x14ac:dyDescent="0.8">
      <c r="A1424" s="5" t="s">
        <v>1496</v>
      </c>
      <c r="B1424" s="8">
        <v>55</v>
      </c>
      <c r="C1424" s="5" t="s">
        <v>49</v>
      </c>
      <c r="D1424" s="5" t="s">
        <v>71</v>
      </c>
      <c r="E1424" s="5" t="s">
        <v>44</v>
      </c>
      <c r="F1424" s="5" t="s">
        <v>442</v>
      </c>
      <c r="G1424" s="8">
        <v>2</v>
      </c>
      <c r="H1424" s="8">
        <v>19636</v>
      </c>
      <c r="I1424" s="5" t="s">
        <v>40</v>
      </c>
      <c r="J1424" s="8">
        <v>3</v>
      </c>
      <c r="K1424" s="8">
        <v>0</v>
      </c>
      <c r="L1424" s="8">
        <v>10</v>
      </c>
      <c r="M142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24" s="8" t="str" cm="1">
        <f t="array" ref="N1424">_xlfn.IFS(HR_Analytics56[[#This Row],[PerformanceRating]]=3,"Good",HR_Analytics56[[#This Row],[PerformanceRating]]=4, "Excellent")</f>
        <v>Good</v>
      </c>
      <c r="O1424" s="8" t="str">
        <f>IF(HR_Analytics56[[#This Row],[MonthlyIncome]]&lt;3000,"&lt; ₹3,000",IF(HR_Analytics56[[#This Row],[MonthlyIncome]]&lt;=7000,"₹ 3,000 - ₹ 7,000","&gt; ₹7,000"))</f>
        <v>&gt; ₹7,000</v>
      </c>
      <c r="P1424" s="8" t="str" cm="1">
        <f t="array" ref="P142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5" spans="1:16" x14ac:dyDescent="0.8">
      <c r="A1425" s="5" t="s">
        <v>1497</v>
      </c>
      <c r="B1425" s="8">
        <v>56</v>
      </c>
      <c r="C1425" s="5" t="s">
        <v>49</v>
      </c>
      <c r="D1425" s="5" t="s">
        <v>42</v>
      </c>
      <c r="E1425" s="5" t="s">
        <v>44</v>
      </c>
      <c r="F1425" s="5" t="s">
        <v>112</v>
      </c>
      <c r="G1425" s="8">
        <v>4</v>
      </c>
      <c r="H1425" s="8">
        <v>7260</v>
      </c>
      <c r="I1425" s="5" t="s">
        <v>49</v>
      </c>
      <c r="J1425" s="8">
        <v>3</v>
      </c>
      <c r="K1425" s="8">
        <v>3</v>
      </c>
      <c r="L1425" s="8">
        <v>6</v>
      </c>
      <c r="M142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5" s="8" t="str" cm="1">
        <f t="array" ref="N1425">_xlfn.IFS(HR_Analytics56[[#This Row],[PerformanceRating]]=3,"Good",HR_Analytics56[[#This Row],[PerformanceRating]]=4, "Excellent")</f>
        <v>Good</v>
      </c>
      <c r="O1425" s="8" t="str">
        <f>IF(HR_Analytics56[[#This Row],[MonthlyIncome]]&lt;3000,"&lt; ₹3,000",IF(HR_Analytics56[[#This Row],[MonthlyIncome]]&lt;=7000,"₹ 3,000 - ₹ 7,000","&gt; ₹7,000"))</f>
        <v>&gt; ₹7,000</v>
      </c>
      <c r="P1425" s="8" t="str" cm="1">
        <f t="array" ref="P142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6" spans="1:16" x14ac:dyDescent="0.8">
      <c r="A1426" s="5" t="s">
        <v>1499</v>
      </c>
      <c r="B1426" s="8">
        <v>56</v>
      </c>
      <c r="C1426" s="5" t="s">
        <v>40</v>
      </c>
      <c r="D1426" s="5" t="s">
        <v>42</v>
      </c>
      <c r="E1426" s="5" t="s">
        <v>53</v>
      </c>
      <c r="F1426" s="5" t="s">
        <v>60</v>
      </c>
      <c r="G1426" s="8">
        <v>2</v>
      </c>
      <c r="H1426" s="8">
        <v>4963</v>
      </c>
      <c r="I1426" s="5" t="s">
        <v>40</v>
      </c>
      <c r="J1426" s="8">
        <v>3</v>
      </c>
      <c r="K1426" s="8">
        <v>2</v>
      </c>
      <c r="L1426" s="8">
        <v>5</v>
      </c>
      <c r="M142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26" s="8" t="str" cm="1">
        <f t="array" ref="N1426">_xlfn.IFS(HR_Analytics56[[#This Row],[PerformanceRating]]=3,"Good",HR_Analytics56[[#This Row],[PerformanceRating]]=4, "Excellent")</f>
        <v>Good</v>
      </c>
      <c r="O1426" s="8" t="str">
        <f>IF(HR_Analytics56[[#This Row],[MonthlyIncome]]&lt;3000,"&lt; ₹3,000",IF(HR_Analytics56[[#This Row],[MonthlyIncome]]&lt;=7000,"₹ 3,000 - ₹ 7,000","&gt; ₹7,000"))</f>
        <v>₹ 3,000 - ₹ 7,000</v>
      </c>
      <c r="P1426" s="8" t="str" cm="1">
        <f t="array" ref="P142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7" spans="1:16" x14ac:dyDescent="0.8">
      <c r="A1427" s="5" t="s">
        <v>1500</v>
      </c>
      <c r="B1427" s="8">
        <v>56</v>
      </c>
      <c r="C1427" s="5" t="s">
        <v>49</v>
      </c>
      <c r="D1427" s="5" t="s">
        <v>42</v>
      </c>
      <c r="E1427" s="5" t="s">
        <v>53</v>
      </c>
      <c r="F1427" s="5" t="s">
        <v>60</v>
      </c>
      <c r="G1427" s="8">
        <v>1</v>
      </c>
      <c r="H1427" s="8">
        <v>4257</v>
      </c>
      <c r="I1427" s="5" t="s">
        <v>40</v>
      </c>
      <c r="J1427" s="8">
        <v>3</v>
      </c>
      <c r="K1427" s="8">
        <v>3</v>
      </c>
      <c r="L1427" s="8">
        <v>2</v>
      </c>
      <c r="M142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27" s="8" t="str" cm="1">
        <f t="array" ref="N1427">_xlfn.IFS(HR_Analytics56[[#This Row],[PerformanceRating]]=3,"Good",HR_Analytics56[[#This Row],[PerformanceRating]]=4, "Excellent")</f>
        <v>Good</v>
      </c>
      <c r="O1427" s="8" t="str">
        <f>IF(HR_Analytics56[[#This Row],[MonthlyIncome]]&lt;3000,"&lt; ₹3,000",IF(HR_Analytics56[[#This Row],[MonthlyIncome]]&lt;=7000,"₹ 3,000 - ₹ 7,000","&gt; ₹7,000"))</f>
        <v>₹ 3,000 - ₹ 7,000</v>
      </c>
      <c r="P1427" s="8" t="str" cm="1">
        <f t="array" ref="P142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8" spans="1:16" x14ac:dyDescent="0.8">
      <c r="A1428" s="5" t="s">
        <v>1501</v>
      </c>
      <c r="B1428" s="8">
        <v>56</v>
      </c>
      <c r="C1428" s="5" t="s">
        <v>49</v>
      </c>
      <c r="D1428" s="5" t="s">
        <v>51</v>
      </c>
      <c r="E1428" s="5" t="s">
        <v>53</v>
      </c>
      <c r="F1428" s="5" t="s">
        <v>137</v>
      </c>
      <c r="G1428" s="8">
        <v>1</v>
      </c>
      <c r="H1428" s="8">
        <v>13212</v>
      </c>
      <c r="I1428" s="5" t="s">
        <v>49</v>
      </c>
      <c r="J1428" s="8">
        <v>3</v>
      </c>
      <c r="K1428" s="8">
        <v>0</v>
      </c>
      <c r="L1428" s="8">
        <v>7</v>
      </c>
      <c r="M142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8" s="8" t="str" cm="1">
        <f t="array" ref="N1428">_xlfn.IFS(HR_Analytics56[[#This Row],[PerformanceRating]]=3,"Good",HR_Analytics56[[#This Row],[PerformanceRating]]=4, "Excellent")</f>
        <v>Good</v>
      </c>
      <c r="O1428" s="8" t="str">
        <f>IF(HR_Analytics56[[#This Row],[MonthlyIncome]]&lt;3000,"&lt; ₹3,000",IF(HR_Analytics56[[#This Row],[MonthlyIncome]]&lt;=7000,"₹ 3,000 - ₹ 7,000","&gt; ₹7,000"))</f>
        <v>&gt; ₹7,000</v>
      </c>
      <c r="P1428" s="8" t="str" cm="1">
        <f t="array" ref="P142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29" spans="1:16" x14ac:dyDescent="0.8">
      <c r="A1429" s="5" t="s">
        <v>1502</v>
      </c>
      <c r="B1429" s="8">
        <v>56</v>
      </c>
      <c r="C1429" s="5" t="s">
        <v>49</v>
      </c>
      <c r="D1429" s="5" t="s">
        <v>42</v>
      </c>
      <c r="E1429" s="5" t="s">
        <v>44</v>
      </c>
      <c r="F1429" s="5" t="s">
        <v>161</v>
      </c>
      <c r="G1429" s="8">
        <v>4</v>
      </c>
      <c r="H1429" s="8">
        <v>11103</v>
      </c>
      <c r="I1429" s="5" t="s">
        <v>49</v>
      </c>
      <c r="J1429" s="8">
        <v>3</v>
      </c>
      <c r="K1429" s="8">
        <v>1</v>
      </c>
      <c r="L1429" s="8">
        <v>10</v>
      </c>
      <c r="M142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29" s="8" t="str" cm="1">
        <f t="array" ref="N1429">_xlfn.IFS(HR_Analytics56[[#This Row],[PerformanceRating]]=3,"Good",HR_Analytics56[[#This Row],[PerformanceRating]]=4, "Excellent")</f>
        <v>Good</v>
      </c>
      <c r="O1429" s="8" t="str">
        <f>IF(HR_Analytics56[[#This Row],[MonthlyIncome]]&lt;3000,"&lt; ₹3,000",IF(HR_Analytics56[[#This Row],[MonthlyIncome]]&lt;=7000,"₹ 3,000 - ₹ 7,000","&gt; ₹7,000"))</f>
        <v>&gt; ₹7,000</v>
      </c>
      <c r="P1429" s="8" t="str" cm="1">
        <f t="array" ref="P142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0" spans="1:16" x14ac:dyDescent="0.8">
      <c r="A1430" s="5" t="s">
        <v>1503</v>
      </c>
      <c r="B1430" s="8">
        <v>56</v>
      </c>
      <c r="C1430" s="5" t="s">
        <v>49</v>
      </c>
      <c r="D1430" s="5" t="s">
        <v>42</v>
      </c>
      <c r="E1430" s="5" t="s">
        <v>53</v>
      </c>
      <c r="F1430" s="5" t="s">
        <v>60</v>
      </c>
      <c r="G1430" s="8">
        <v>3</v>
      </c>
      <c r="H1430" s="8">
        <v>2942</v>
      </c>
      <c r="I1430" s="5" t="s">
        <v>49</v>
      </c>
      <c r="J1430" s="8">
        <v>3</v>
      </c>
      <c r="K1430" s="8">
        <v>4</v>
      </c>
      <c r="L1430" s="8">
        <v>5</v>
      </c>
      <c r="M143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0" s="8" t="str" cm="1">
        <f t="array" ref="N1430">_xlfn.IFS(HR_Analytics56[[#This Row],[PerformanceRating]]=3,"Good",HR_Analytics56[[#This Row],[PerformanceRating]]=4, "Excellent")</f>
        <v>Good</v>
      </c>
      <c r="O1430" s="8" t="str">
        <f>IF(HR_Analytics56[[#This Row],[MonthlyIncome]]&lt;3000,"&lt; ₹3,000",IF(HR_Analytics56[[#This Row],[MonthlyIncome]]&lt;=7000,"₹ 3,000 - ₹ 7,000","&gt; ₹7,000"))</f>
        <v>&lt; ₹3,000</v>
      </c>
      <c r="P1430" s="8" t="str" cm="1">
        <f t="array" ref="P143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1" spans="1:16" x14ac:dyDescent="0.8">
      <c r="A1431" s="5" t="s">
        <v>1504</v>
      </c>
      <c r="B1431" s="8">
        <v>56</v>
      </c>
      <c r="C1431" s="5" t="s">
        <v>49</v>
      </c>
      <c r="D1431" s="5" t="s">
        <v>42</v>
      </c>
      <c r="E1431" s="5" t="s">
        <v>53</v>
      </c>
      <c r="F1431" s="5" t="s">
        <v>442</v>
      </c>
      <c r="G1431" s="8">
        <v>1</v>
      </c>
      <c r="H1431" s="8">
        <v>19943</v>
      </c>
      <c r="I1431" s="5" t="s">
        <v>49</v>
      </c>
      <c r="J1431" s="8">
        <v>3</v>
      </c>
      <c r="K1431" s="8">
        <v>2</v>
      </c>
      <c r="L1431" s="8">
        <v>5</v>
      </c>
      <c r="M143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1" s="8" t="str" cm="1">
        <f t="array" ref="N1431">_xlfn.IFS(HR_Analytics56[[#This Row],[PerformanceRating]]=3,"Good",HR_Analytics56[[#This Row],[PerformanceRating]]=4, "Excellent")</f>
        <v>Good</v>
      </c>
      <c r="O1431" s="8" t="str">
        <f>IF(HR_Analytics56[[#This Row],[MonthlyIncome]]&lt;3000,"&lt; ₹3,000",IF(HR_Analytics56[[#This Row],[MonthlyIncome]]&lt;=7000,"₹ 3,000 - ₹ 7,000","&gt; ₹7,000"))</f>
        <v>&gt; ₹7,000</v>
      </c>
      <c r="P1431" s="8" t="str" cm="1">
        <f t="array" ref="P143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2" spans="1:16" x14ac:dyDescent="0.8">
      <c r="A1432" s="5" t="s">
        <v>1505</v>
      </c>
      <c r="B1432" s="8">
        <v>56</v>
      </c>
      <c r="C1432" s="5" t="s">
        <v>49</v>
      </c>
      <c r="D1432" s="5" t="s">
        <v>71</v>
      </c>
      <c r="E1432" s="5" t="s">
        <v>44</v>
      </c>
      <c r="F1432" s="5" t="s">
        <v>442</v>
      </c>
      <c r="G1432" s="8">
        <v>2</v>
      </c>
      <c r="H1432" s="8">
        <v>19717</v>
      </c>
      <c r="I1432" s="5" t="s">
        <v>49</v>
      </c>
      <c r="J1432" s="8">
        <v>3</v>
      </c>
      <c r="K1432" s="8">
        <v>4</v>
      </c>
      <c r="L1432" s="8">
        <v>7</v>
      </c>
      <c r="M143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2" s="8" t="str" cm="1">
        <f t="array" ref="N1432">_xlfn.IFS(HR_Analytics56[[#This Row],[PerformanceRating]]=3,"Good",HR_Analytics56[[#This Row],[PerformanceRating]]=4, "Excellent")</f>
        <v>Good</v>
      </c>
      <c r="O1432" s="8" t="str">
        <f>IF(HR_Analytics56[[#This Row],[MonthlyIncome]]&lt;3000,"&lt; ₹3,000",IF(HR_Analytics56[[#This Row],[MonthlyIncome]]&lt;=7000,"₹ 3,000 - ₹ 7,000","&gt; ₹7,000"))</f>
        <v>&gt; ₹7,000</v>
      </c>
      <c r="P1432" s="8" t="str" cm="1">
        <f t="array" ref="P143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3" spans="1:16" x14ac:dyDescent="0.8">
      <c r="A1433" s="5" t="s">
        <v>1506</v>
      </c>
      <c r="B1433" s="8">
        <v>56</v>
      </c>
      <c r="C1433" s="5" t="s">
        <v>49</v>
      </c>
      <c r="D1433" s="5" t="s">
        <v>42</v>
      </c>
      <c r="E1433" s="5" t="s">
        <v>44</v>
      </c>
      <c r="F1433" s="5" t="s">
        <v>112</v>
      </c>
      <c r="G1433" s="8">
        <v>2</v>
      </c>
      <c r="H1433" s="8">
        <v>13402</v>
      </c>
      <c r="I1433" s="5" t="s">
        <v>40</v>
      </c>
      <c r="J1433" s="8">
        <v>3</v>
      </c>
      <c r="K1433" s="8">
        <v>0</v>
      </c>
      <c r="L1433" s="8">
        <v>19</v>
      </c>
      <c r="M143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33" s="8" t="str" cm="1">
        <f t="array" ref="N1433">_xlfn.IFS(HR_Analytics56[[#This Row],[PerformanceRating]]=3,"Good",HR_Analytics56[[#This Row],[PerformanceRating]]=4, "Excellent")</f>
        <v>Good</v>
      </c>
      <c r="O1433" s="8" t="str">
        <f>IF(HR_Analytics56[[#This Row],[MonthlyIncome]]&lt;3000,"&lt; ₹3,000",IF(HR_Analytics56[[#This Row],[MonthlyIncome]]&lt;=7000,"₹ 3,000 - ₹ 7,000","&gt; ₹7,000"))</f>
        <v>&gt; ₹7,000</v>
      </c>
      <c r="P1433" s="8" t="str" cm="1">
        <f t="array" ref="P143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4" spans="1:16" x14ac:dyDescent="0.8">
      <c r="A1434" s="5" t="s">
        <v>1507</v>
      </c>
      <c r="B1434" s="8">
        <v>56</v>
      </c>
      <c r="C1434" s="5" t="s">
        <v>49</v>
      </c>
      <c r="D1434" s="5" t="s">
        <v>42</v>
      </c>
      <c r="E1434" s="5" t="s">
        <v>53</v>
      </c>
      <c r="F1434" s="5" t="s">
        <v>60</v>
      </c>
      <c r="G1434" s="8">
        <v>1</v>
      </c>
      <c r="H1434" s="8">
        <v>2066</v>
      </c>
      <c r="I1434" s="5" t="s">
        <v>49</v>
      </c>
      <c r="J1434" s="8">
        <v>4</v>
      </c>
      <c r="K1434" s="8">
        <v>3</v>
      </c>
      <c r="L1434" s="8">
        <v>3</v>
      </c>
      <c r="M143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4" s="8" t="str" cm="1">
        <f t="array" ref="N1434">_xlfn.IFS(HR_Analytics56[[#This Row],[PerformanceRating]]=3,"Good",HR_Analytics56[[#This Row],[PerformanceRating]]=4, "Excellent")</f>
        <v>Excellent</v>
      </c>
      <c r="O1434" s="8" t="str">
        <f>IF(HR_Analytics56[[#This Row],[MonthlyIncome]]&lt;3000,"&lt; ₹3,000",IF(HR_Analytics56[[#This Row],[MonthlyIncome]]&lt;=7000,"₹ 3,000 - ₹ 7,000","&gt; ₹7,000"))</f>
        <v>&lt; ₹3,000</v>
      </c>
      <c r="P1434" s="8" t="str" cm="1">
        <f t="array" ref="P1434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35" spans="1:16" x14ac:dyDescent="0.8">
      <c r="A1435" s="5" t="s">
        <v>1508</v>
      </c>
      <c r="B1435" s="8">
        <v>56</v>
      </c>
      <c r="C1435" s="5" t="s">
        <v>40</v>
      </c>
      <c r="D1435" s="5" t="s">
        <v>42</v>
      </c>
      <c r="E1435" s="5" t="s">
        <v>44</v>
      </c>
      <c r="F1435" s="5" t="s">
        <v>45</v>
      </c>
      <c r="G1435" s="8">
        <v>4</v>
      </c>
      <c r="H1435" s="8">
        <v>2587</v>
      </c>
      <c r="I1435" s="5" t="s">
        <v>49</v>
      </c>
      <c r="J1435" s="8">
        <v>3</v>
      </c>
      <c r="K1435" s="8">
        <v>3</v>
      </c>
      <c r="L1435" s="8">
        <v>4</v>
      </c>
      <c r="M143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35" s="8" t="str" cm="1">
        <f t="array" ref="N1435">_xlfn.IFS(HR_Analytics56[[#This Row],[PerformanceRating]]=3,"Good",HR_Analytics56[[#This Row],[PerformanceRating]]=4, "Excellent")</f>
        <v>Good</v>
      </c>
      <c r="O1435" s="8" t="str">
        <f>IF(HR_Analytics56[[#This Row],[MonthlyIncome]]&lt;3000,"&lt; ₹3,000",IF(HR_Analytics56[[#This Row],[MonthlyIncome]]&lt;=7000,"₹ 3,000 - ₹ 7,000","&gt; ₹7,000"))</f>
        <v>&lt; ₹3,000</v>
      </c>
      <c r="P1435" s="8" t="str" cm="1">
        <f t="array" ref="P143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6" spans="1:16" x14ac:dyDescent="0.8">
      <c r="A1436" s="5" t="s">
        <v>1509</v>
      </c>
      <c r="B1436" s="8">
        <v>56</v>
      </c>
      <c r="C1436" s="5" t="s">
        <v>49</v>
      </c>
      <c r="D1436" s="5" t="s">
        <v>51</v>
      </c>
      <c r="E1436" s="5" t="s">
        <v>53</v>
      </c>
      <c r="F1436" s="5" t="s">
        <v>137</v>
      </c>
      <c r="G1436" s="8">
        <v>1</v>
      </c>
      <c r="H1436" s="8">
        <v>5380</v>
      </c>
      <c r="I1436" s="5" t="s">
        <v>49</v>
      </c>
      <c r="J1436" s="8">
        <v>3</v>
      </c>
      <c r="K1436" s="8">
        <v>3</v>
      </c>
      <c r="L1436" s="8">
        <v>0</v>
      </c>
      <c r="M143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6" s="8" t="str" cm="1">
        <f t="array" ref="N1436">_xlfn.IFS(HR_Analytics56[[#This Row],[PerformanceRating]]=3,"Good",HR_Analytics56[[#This Row],[PerformanceRating]]=4, "Excellent")</f>
        <v>Good</v>
      </c>
      <c r="O1436" s="8" t="str">
        <f>IF(HR_Analytics56[[#This Row],[MonthlyIncome]]&lt;3000,"&lt; ₹3,000",IF(HR_Analytics56[[#This Row],[MonthlyIncome]]&lt;=7000,"₹ 3,000 - ₹ 7,000","&gt; ₹7,000"))</f>
        <v>₹ 3,000 - ₹ 7,000</v>
      </c>
      <c r="P1436" s="8" t="str" cm="1">
        <f t="array" ref="P143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7" spans="1:16" x14ac:dyDescent="0.8">
      <c r="A1437" s="5" t="s">
        <v>1510</v>
      </c>
      <c r="B1437" s="8">
        <v>56</v>
      </c>
      <c r="C1437" s="5" t="s">
        <v>49</v>
      </c>
      <c r="D1437" s="5" t="s">
        <v>42</v>
      </c>
      <c r="E1437" s="5" t="s">
        <v>44</v>
      </c>
      <c r="F1437" s="5" t="s">
        <v>161</v>
      </c>
      <c r="G1437" s="8">
        <v>3</v>
      </c>
      <c r="H1437" s="8">
        <v>6306</v>
      </c>
      <c r="I1437" s="5" t="s">
        <v>49</v>
      </c>
      <c r="J1437" s="8">
        <v>4</v>
      </c>
      <c r="K1437" s="8">
        <v>2</v>
      </c>
      <c r="L1437" s="8">
        <v>13</v>
      </c>
      <c r="M143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37" s="8" t="str" cm="1">
        <f t="array" ref="N1437">_xlfn.IFS(HR_Analytics56[[#This Row],[PerformanceRating]]=3,"Good",HR_Analytics56[[#This Row],[PerformanceRating]]=4, "Excellent")</f>
        <v>Excellent</v>
      </c>
      <c r="O1437" s="8" t="str">
        <f>IF(HR_Analytics56[[#This Row],[MonthlyIncome]]&lt;3000,"&lt; ₹3,000",IF(HR_Analytics56[[#This Row],[MonthlyIncome]]&lt;=7000,"₹ 3,000 - ₹ 7,000","&gt; ₹7,000"))</f>
        <v>₹ 3,000 - ₹ 7,000</v>
      </c>
      <c r="P1437" s="8" t="str" cm="1">
        <f t="array" ref="P143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8" spans="1:16" x14ac:dyDescent="0.8">
      <c r="A1438" s="5" t="s">
        <v>1511</v>
      </c>
      <c r="B1438" s="8">
        <v>56</v>
      </c>
      <c r="C1438" s="5" t="s">
        <v>40</v>
      </c>
      <c r="D1438" s="5" t="s">
        <v>42</v>
      </c>
      <c r="E1438" s="5" t="s">
        <v>44</v>
      </c>
      <c r="F1438" s="5" t="s">
        <v>45</v>
      </c>
      <c r="G1438" s="8">
        <v>3</v>
      </c>
      <c r="H1438" s="8">
        <v>2339</v>
      </c>
      <c r="I1438" s="5" t="s">
        <v>49</v>
      </c>
      <c r="J1438" s="8">
        <v>3</v>
      </c>
      <c r="K1438" s="8">
        <v>4</v>
      </c>
      <c r="L1438" s="8">
        <v>10</v>
      </c>
      <c r="M143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38" s="8" t="str" cm="1">
        <f t="array" ref="N1438">_xlfn.IFS(HR_Analytics56[[#This Row],[PerformanceRating]]=3,"Good",HR_Analytics56[[#This Row],[PerformanceRating]]=4, "Excellent")</f>
        <v>Good</v>
      </c>
      <c r="O1438" s="8" t="str">
        <f>IF(HR_Analytics56[[#This Row],[MonthlyIncome]]&lt;3000,"&lt; ₹3,000",IF(HR_Analytics56[[#This Row],[MonthlyIncome]]&lt;=7000,"₹ 3,000 - ₹ 7,000","&gt; ₹7,000"))</f>
        <v>&lt; ₹3,000</v>
      </c>
      <c r="P1438" s="8" t="str" cm="1">
        <f t="array" ref="P143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39" spans="1:16" x14ac:dyDescent="0.8">
      <c r="A1439" s="5" t="s">
        <v>1512</v>
      </c>
      <c r="B1439" s="8">
        <v>57</v>
      </c>
      <c r="C1439" s="5" t="s">
        <v>49</v>
      </c>
      <c r="D1439" s="5" t="s">
        <v>42</v>
      </c>
      <c r="E1439" s="5" t="s">
        <v>44</v>
      </c>
      <c r="F1439" s="5" t="s">
        <v>161</v>
      </c>
      <c r="G1439" s="8">
        <v>4</v>
      </c>
      <c r="H1439" s="8">
        <v>9439</v>
      </c>
      <c r="I1439" s="5" t="s">
        <v>40</v>
      </c>
      <c r="J1439" s="8">
        <v>3</v>
      </c>
      <c r="K1439" s="8">
        <v>2</v>
      </c>
      <c r="L1439" s="8">
        <v>5</v>
      </c>
      <c r="M143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39" s="8" t="str" cm="1">
        <f t="array" ref="N1439">_xlfn.IFS(HR_Analytics56[[#This Row],[PerformanceRating]]=3,"Good",HR_Analytics56[[#This Row],[PerformanceRating]]=4, "Excellent")</f>
        <v>Good</v>
      </c>
      <c r="O1439" s="8" t="str">
        <f>IF(HR_Analytics56[[#This Row],[MonthlyIncome]]&lt;3000,"&lt; ₹3,000",IF(HR_Analytics56[[#This Row],[MonthlyIncome]]&lt;=7000,"₹ 3,000 - ₹ 7,000","&gt; ₹7,000"))</f>
        <v>&gt; ₹7,000</v>
      </c>
      <c r="P1439" s="8" t="str" cm="1">
        <f t="array" ref="P143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0" spans="1:16" x14ac:dyDescent="0.8">
      <c r="A1440" s="5" t="s">
        <v>1513</v>
      </c>
      <c r="B1440" s="8">
        <v>57</v>
      </c>
      <c r="C1440" s="5" t="s">
        <v>49</v>
      </c>
      <c r="D1440" s="5" t="s">
        <v>42</v>
      </c>
      <c r="E1440" s="5" t="s">
        <v>44</v>
      </c>
      <c r="F1440" s="5" t="s">
        <v>161</v>
      </c>
      <c r="G1440" s="8">
        <v>3</v>
      </c>
      <c r="H1440" s="8">
        <v>6755</v>
      </c>
      <c r="I1440" s="5" t="s">
        <v>49</v>
      </c>
      <c r="J1440" s="8">
        <v>3</v>
      </c>
      <c r="K1440" s="8">
        <v>2</v>
      </c>
      <c r="L1440" s="8">
        <v>3</v>
      </c>
      <c r="M144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40" s="8" t="str" cm="1">
        <f t="array" ref="N1440">_xlfn.IFS(HR_Analytics56[[#This Row],[PerformanceRating]]=3,"Good",HR_Analytics56[[#This Row],[PerformanceRating]]=4, "Excellent")</f>
        <v>Good</v>
      </c>
      <c r="O1440" s="8" t="str">
        <f>IF(HR_Analytics56[[#This Row],[MonthlyIncome]]&lt;3000,"&lt; ₹3,000",IF(HR_Analytics56[[#This Row],[MonthlyIncome]]&lt;=7000,"₹ 3,000 - ₹ 7,000","&gt; ₹7,000"))</f>
        <v>₹ 3,000 - ₹ 7,000</v>
      </c>
      <c r="P1440" s="8" t="str" cm="1">
        <f t="array" ref="P144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1" spans="1:16" x14ac:dyDescent="0.8">
      <c r="A1441" s="5" t="s">
        <v>1514</v>
      </c>
      <c r="B1441" s="8">
        <v>57</v>
      </c>
      <c r="C1441" s="5" t="s">
        <v>49</v>
      </c>
      <c r="D1441" s="5" t="s">
        <v>51</v>
      </c>
      <c r="E1441" s="5" t="s">
        <v>44</v>
      </c>
      <c r="F1441" s="5" t="s">
        <v>442</v>
      </c>
      <c r="G1441" s="8">
        <v>4</v>
      </c>
      <c r="H1441" s="8">
        <v>14118</v>
      </c>
      <c r="I1441" s="5" t="s">
        <v>49</v>
      </c>
      <c r="J1441" s="8">
        <v>3</v>
      </c>
      <c r="K1441" s="8">
        <v>3</v>
      </c>
      <c r="L1441" s="8">
        <v>1</v>
      </c>
      <c r="M144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41" s="8" t="str" cm="1">
        <f t="array" ref="N1441">_xlfn.IFS(HR_Analytics56[[#This Row],[PerformanceRating]]=3,"Good",HR_Analytics56[[#This Row],[PerformanceRating]]=4, "Excellent")</f>
        <v>Good</v>
      </c>
      <c r="O1441" s="8" t="str">
        <f>IF(HR_Analytics56[[#This Row],[MonthlyIncome]]&lt;3000,"&lt; ₹3,000",IF(HR_Analytics56[[#This Row],[MonthlyIncome]]&lt;=7000,"₹ 3,000 - ₹ 7,000","&gt; ₹7,000"))</f>
        <v>&gt; ₹7,000</v>
      </c>
      <c r="P1441" s="8" t="str" cm="1">
        <f t="array" ref="P144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2" spans="1:16" x14ac:dyDescent="0.8">
      <c r="A1442" s="5" t="s">
        <v>1515</v>
      </c>
      <c r="B1442" s="8">
        <v>57</v>
      </c>
      <c r="C1442" s="5" t="s">
        <v>49</v>
      </c>
      <c r="D1442" s="5" t="s">
        <v>42</v>
      </c>
      <c r="E1442" s="5" t="s">
        <v>44</v>
      </c>
      <c r="F1442" s="5" t="s">
        <v>60</v>
      </c>
      <c r="G1442" s="8">
        <v>3</v>
      </c>
      <c r="H1442" s="8">
        <v>4900</v>
      </c>
      <c r="I1442" s="5" t="s">
        <v>49</v>
      </c>
      <c r="J1442" s="8">
        <v>4</v>
      </c>
      <c r="K1442" s="8">
        <v>2</v>
      </c>
      <c r="L1442" s="8">
        <v>12</v>
      </c>
      <c r="M144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42" s="8" t="str" cm="1">
        <f t="array" ref="N1442">_xlfn.IFS(HR_Analytics56[[#This Row],[PerformanceRating]]=3,"Good",HR_Analytics56[[#This Row],[PerformanceRating]]=4, "Excellent")</f>
        <v>Excellent</v>
      </c>
      <c r="O1442" s="8" t="str">
        <f>IF(HR_Analytics56[[#This Row],[MonthlyIncome]]&lt;3000,"&lt; ₹3,000",IF(HR_Analytics56[[#This Row],[MonthlyIncome]]&lt;=7000,"₹ 3,000 - ₹ 7,000","&gt; ₹7,000"))</f>
        <v>₹ 3,000 - ₹ 7,000</v>
      </c>
      <c r="P1442" s="8" t="str" cm="1">
        <f t="array" ref="P144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3" spans="1:16" x14ac:dyDescent="0.8">
      <c r="A1443" s="5" t="s">
        <v>1516</v>
      </c>
      <c r="B1443" s="8">
        <v>58</v>
      </c>
      <c r="C1443" s="5" t="s">
        <v>49</v>
      </c>
      <c r="D1443" s="5" t="s">
        <v>51</v>
      </c>
      <c r="E1443" s="5" t="s">
        <v>44</v>
      </c>
      <c r="F1443" s="5" t="s">
        <v>137</v>
      </c>
      <c r="G1443" s="8">
        <v>3</v>
      </c>
      <c r="H1443" s="8">
        <v>13872</v>
      </c>
      <c r="I1443" s="5" t="s">
        <v>49</v>
      </c>
      <c r="J1443" s="8">
        <v>3</v>
      </c>
      <c r="K1443" s="8">
        <v>1</v>
      </c>
      <c r="L1443" s="8">
        <v>37</v>
      </c>
      <c r="M144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43" s="8" t="str" cm="1">
        <f t="array" ref="N1443">_xlfn.IFS(HR_Analytics56[[#This Row],[PerformanceRating]]=3,"Good",HR_Analytics56[[#This Row],[PerformanceRating]]=4, "Excellent")</f>
        <v>Good</v>
      </c>
      <c r="O1443" s="8" t="str">
        <f>IF(HR_Analytics56[[#This Row],[MonthlyIncome]]&lt;3000,"&lt; ₹3,000",IF(HR_Analytics56[[#This Row],[MonthlyIncome]]&lt;=7000,"₹ 3,000 - ₹ 7,000","&gt; ₹7,000"))</f>
        <v>&gt; ₹7,000</v>
      </c>
      <c r="P1443" s="8" t="str" cm="1">
        <f t="array" ref="P144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4" spans="1:16" x14ac:dyDescent="0.8">
      <c r="A1444" s="5" t="s">
        <v>1517</v>
      </c>
      <c r="B1444" s="8">
        <v>58</v>
      </c>
      <c r="C1444" s="5" t="s">
        <v>40</v>
      </c>
      <c r="D1444" s="5" t="s">
        <v>42</v>
      </c>
      <c r="E1444" s="5" t="s">
        <v>53</v>
      </c>
      <c r="F1444" s="5" t="s">
        <v>161</v>
      </c>
      <c r="G1444" s="8">
        <v>4</v>
      </c>
      <c r="H1444" s="8">
        <v>10312</v>
      </c>
      <c r="I1444" s="5" t="s">
        <v>49</v>
      </c>
      <c r="J1444" s="8">
        <v>3</v>
      </c>
      <c r="K1444" s="8">
        <v>3</v>
      </c>
      <c r="L1444" s="8">
        <v>40</v>
      </c>
      <c r="M144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44" s="8" t="str" cm="1">
        <f t="array" ref="N1444">_xlfn.IFS(HR_Analytics56[[#This Row],[PerformanceRating]]=3,"Good",HR_Analytics56[[#This Row],[PerformanceRating]]=4, "Excellent")</f>
        <v>Good</v>
      </c>
      <c r="O1444" s="8" t="str">
        <f>IF(HR_Analytics56[[#This Row],[MonthlyIncome]]&lt;3000,"&lt; ₹3,000",IF(HR_Analytics56[[#This Row],[MonthlyIncome]]&lt;=7000,"₹ 3,000 - ₹ 7,000","&gt; ₹7,000"))</f>
        <v>&gt; ₹7,000</v>
      </c>
      <c r="P1444" s="8" t="str" cm="1">
        <f t="array" ref="P144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5" spans="1:16" x14ac:dyDescent="0.8">
      <c r="A1445" s="5" t="s">
        <v>1518</v>
      </c>
      <c r="B1445" s="8">
        <v>58</v>
      </c>
      <c r="C1445" s="5" t="s">
        <v>49</v>
      </c>
      <c r="D1445" s="5" t="s">
        <v>42</v>
      </c>
      <c r="E1445" s="5" t="s">
        <v>53</v>
      </c>
      <c r="F1445" s="5" t="s">
        <v>60</v>
      </c>
      <c r="G1445" s="8">
        <v>2</v>
      </c>
      <c r="H1445" s="8">
        <v>3346</v>
      </c>
      <c r="I1445" s="5" t="s">
        <v>40</v>
      </c>
      <c r="J1445" s="8">
        <v>4</v>
      </c>
      <c r="K1445" s="8">
        <v>3</v>
      </c>
      <c r="L1445" s="8">
        <v>1</v>
      </c>
      <c r="M144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45" s="8" t="str" cm="1">
        <f t="array" ref="N1445">_xlfn.IFS(HR_Analytics56[[#This Row],[PerformanceRating]]=3,"Good",HR_Analytics56[[#This Row],[PerformanceRating]]=4, "Excellent")</f>
        <v>Excellent</v>
      </c>
      <c r="O1445" s="8" t="str">
        <f>IF(HR_Analytics56[[#This Row],[MonthlyIncome]]&lt;3000,"&lt; ₹3,000",IF(HR_Analytics56[[#This Row],[MonthlyIncome]]&lt;=7000,"₹ 3,000 - ₹ 7,000","&gt; ₹7,000"))</f>
        <v>₹ 3,000 - ₹ 7,000</v>
      </c>
      <c r="P1445" s="8" t="str" cm="1">
        <f t="array" ref="P144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6" spans="1:16" x14ac:dyDescent="0.8">
      <c r="A1446" s="5" t="s">
        <v>1519</v>
      </c>
      <c r="B1446" s="8">
        <v>58</v>
      </c>
      <c r="C1446" s="5" t="s">
        <v>49</v>
      </c>
      <c r="D1446" s="5" t="s">
        <v>42</v>
      </c>
      <c r="E1446" s="5" t="s">
        <v>44</v>
      </c>
      <c r="F1446" s="5" t="s">
        <v>161</v>
      </c>
      <c r="G1446" s="8">
        <v>3</v>
      </c>
      <c r="H1446" s="8">
        <v>5660</v>
      </c>
      <c r="I1446" s="5" t="s">
        <v>40</v>
      </c>
      <c r="J1446" s="8">
        <v>3</v>
      </c>
      <c r="K1446" s="8">
        <v>2</v>
      </c>
      <c r="L1446" s="8">
        <v>5</v>
      </c>
      <c r="M144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46" s="8" t="str" cm="1">
        <f t="array" ref="N1446">_xlfn.IFS(HR_Analytics56[[#This Row],[PerformanceRating]]=3,"Good",HR_Analytics56[[#This Row],[PerformanceRating]]=4, "Excellent")</f>
        <v>Good</v>
      </c>
      <c r="O1446" s="8" t="str">
        <f>IF(HR_Analytics56[[#This Row],[MonthlyIncome]]&lt;3000,"&lt; ₹3,000",IF(HR_Analytics56[[#This Row],[MonthlyIncome]]&lt;=7000,"₹ 3,000 - ₹ 7,000","&gt; ₹7,000"))</f>
        <v>₹ 3,000 - ₹ 7,000</v>
      </c>
      <c r="P1446" s="8" t="str" cm="1">
        <f t="array" ref="P144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7" spans="1:16" x14ac:dyDescent="0.8">
      <c r="A1447" s="5" t="s">
        <v>1520</v>
      </c>
      <c r="B1447" s="8">
        <v>58</v>
      </c>
      <c r="C1447" s="5" t="s">
        <v>40</v>
      </c>
      <c r="D1447" s="5" t="s">
        <v>42</v>
      </c>
      <c r="E1447" s="5" t="s">
        <v>44</v>
      </c>
      <c r="F1447" s="5" t="s">
        <v>252</v>
      </c>
      <c r="G1447" s="8">
        <v>2</v>
      </c>
      <c r="H1447" s="8">
        <v>19246</v>
      </c>
      <c r="I1447" s="5" t="s">
        <v>40</v>
      </c>
      <c r="J1447" s="8">
        <v>3</v>
      </c>
      <c r="K1447" s="8">
        <v>2</v>
      </c>
      <c r="L1447" s="8">
        <v>31</v>
      </c>
      <c r="M144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47" s="8" t="str" cm="1">
        <f t="array" ref="N1447">_xlfn.IFS(HR_Analytics56[[#This Row],[PerformanceRating]]=3,"Good",HR_Analytics56[[#This Row],[PerformanceRating]]=4, "Excellent")</f>
        <v>Good</v>
      </c>
      <c r="O1447" s="8" t="str">
        <f>IF(HR_Analytics56[[#This Row],[MonthlyIncome]]&lt;3000,"&lt; ₹3,000",IF(HR_Analytics56[[#This Row],[MonthlyIncome]]&lt;=7000,"₹ 3,000 - ₹ 7,000","&gt; ₹7,000"))</f>
        <v>&gt; ₹7,000</v>
      </c>
      <c r="P1447" s="8" t="str" cm="1">
        <f t="array" ref="P144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8" spans="1:16" x14ac:dyDescent="0.8">
      <c r="A1448" s="5" t="s">
        <v>1521</v>
      </c>
      <c r="B1448" s="8">
        <v>58</v>
      </c>
      <c r="C1448" s="5" t="s">
        <v>40</v>
      </c>
      <c r="D1448" s="5" t="s">
        <v>42</v>
      </c>
      <c r="E1448" s="5" t="s">
        <v>44</v>
      </c>
      <c r="F1448" s="5" t="s">
        <v>45</v>
      </c>
      <c r="G1448" s="8">
        <v>4</v>
      </c>
      <c r="H1448" s="8">
        <v>2380</v>
      </c>
      <c r="I1448" s="5" t="s">
        <v>40</v>
      </c>
      <c r="J1448" s="8">
        <v>3</v>
      </c>
      <c r="K1448" s="8">
        <v>3</v>
      </c>
      <c r="L1448" s="8">
        <v>1</v>
      </c>
      <c r="M144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48" s="8" t="str" cm="1">
        <f t="array" ref="N1448">_xlfn.IFS(HR_Analytics56[[#This Row],[PerformanceRating]]=3,"Good",HR_Analytics56[[#This Row],[PerformanceRating]]=4, "Excellent")</f>
        <v>Good</v>
      </c>
      <c r="O1448" s="8" t="str">
        <f>IF(HR_Analytics56[[#This Row],[MonthlyIncome]]&lt;3000,"&lt; ₹3,000",IF(HR_Analytics56[[#This Row],[MonthlyIncome]]&lt;=7000,"₹ 3,000 - ₹ 7,000","&gt; ₹7,000"))</f>
        <v>&lt; ₹3,000</v>
      </c>
      <c r="P1448" s="8" t="str" cm="1">
        <f t="array" ref="P144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49" spans="1:16" x14ac:dyDescent="0.8">
      <c r="A1449" s="5" t="s">
        <v>1522</v>
      </c>
      <c r="B1449" s="8">
        <v>58</v>
      </c>
      <c r="C1449" s="5" t="s">
        <v>49</v>
      </c>
      <c r="D1449" s="5" t="s">
        <v>42</v>
      </c>
      <c r="E1449" s="5" t="s">
        <v>53</v>
      </c>
      <c r="F1449" s="5" t="s">
        <v>161</v>
      </c>
      <c r="G1449" s="8">
        <v>2</v>
      </c>
      <c r="H1449" s="8">
        <v>10552</v>
      </c>
      <c r="I1449" s="5" t="s">
        <v>40</v>
      </c>
      <c r="J1449" s="8">
        <v>3</v>
      </c>
      <c r="K1449" s="8">
        <v>3</v>
      </c>
      <c r="L1449" s="8">
        <v>6</v>
      </c>
      <c r="M144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49" s="8" t="str" cm="1">
        <f t="array" ref="N1449">_xlfn.IFS(HR_Analytics56[[#This Row],[PerformanceRating]]=3,"Good",HR_Analytics56[[#This Row],[PerformanceRating]]=4, "Excellent")</f>
        <v>Good</v>
      </c>
      <c r="O1449" s="8" t="str">
        <f>IF(HR_Analytics56[[#This Row],[MonthlyIncome]]&lt;3000,"&lt; ₹3,000",IF(HR_Analytics56[[#This Row],[MonthlyIncome]]&lt;=7000,"₹ 3,000 - ₹ 7,000","&gt; ₹7,000"))</f>
        <v>&gt; ₹7,000</v>
      </c>
      <c r="P1449" s="8" t="str" cm="1">
        <f t="array" ref="P144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0" spans="1:16" x14ac:dyDescent="0.8">
      <c r="A1450" s="5" t="s">
        <v>1523</v>
      </c>
      <c r="B1450" s="8">
        <v>58</v>
      </c>
      <c r="C1450" s="5" t="s">
        <v>40</v>
      </c>
      <c r="D1450" s="5" t="s">
        <v>42</v>
      </c>
      <c r="E1450" s="5" t="s">
        <v>44</v>
      </c>
      <c r="F1450" s="5" t="s">
        <v>60</v>
      </c>
      <c r="G1450" s="8">
        <v>3</v>
      </c>
      <c r="H1450" s="8">
        <v>2479</v>
      </c>
      <c r="I1450" s="5" t="s">
        <v>49</v>
      </c>
      <c r="J1450" s="8">
        <v>4</v>
      </c>
      <c r="K1450" s="8">
        <v>4</v>
      </c>
      <c r="L1450" s="8">
        <v>1</v>
      </c>
      <c r="M145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50" s="8" t="str" cm="1">
        <f t="array" ref="N1450">_xlfn.IFS(HR_Analytics56[[#This Row],[PerformanceRating]]=3,"Good",HR_Analytics56[[#This Row],[PerformanceRating]]=4, "Excellent")</f>
        <v>Excellent</v>
      </c>
      <c r="O1450" s="8" t="str">
        <f>IF(HR_Analytics56[[#This Row],[MonthlyIncome]]&lt;3000,"&lt; ₹3,000",IF(HR_Analytics56[[#This Row],[MonthlyIncome]]&lt;=7000,"₹ 3,000 - ₹ 7,000","&gt; ₹7,000"))</f>
        <v>&lt; ₹3,000</v>
      </c>
      <c r="P1450" s="8" t="str" cm="1">
        <f t="array" ref="P145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1" spans="1:16" x14ac:dyDescent="0.8">
      <c r="A1451" s="5" t="s">
        <v>1524</v>
      </c>
      <c r="B1451" s="8">
        <v>58</v>
      </c>
      <c r="C1451" s="5" t="s">
        <v>49</v>
      </c>
      <c r="D1451" s="5" t="s">
        <v>42</v>
      </c>
      <c r="E1451" s="5" t="s">
        <v>44</v>
      </c>
      <c r="F1451" s="5" t="s">
        <v>60</v>
      </c>
      <c r="G1451" s="8">
        <v>3</v>
      </c>
      <c r="H1451" s="8">
        <v>2372</v>
      </c>
      <c r="I1451" s="5" t="s">
        <v>49</v>
      </c>
      <c r="J1451" s="8">
        <v>3</v>
      </c>
      <c r="K1451" s="8">
        <v>3</v>
      </c>
      <c r="L1451" s="8">
        <v>2</v>
      </c>
      <c r="M145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51" s="8" t="str" cm="1">
        <f t="array" ref="N1451">_xlfn.IFS(HR_Analytics56[[#This Row],[PerformanceRating]]=3,"Good",HR_Analytics56[[#This Row],[PerformanceRating]]=4, "Excellent")</f>
        <v>Good</v>
      </c>
      <c r="O1451" s="8" t="str">
        <f>IF(HR_Analytics56[[#This Row],[MonthlyIncome]]&lt;3000,"&lt; ₹3,000",IF(HR_Analytics56[[#This Row],[MonthlyIncome]]&lt;=7000,"₹ 3,000 - ₹ 7,000","&gt; ₹7,000"))</f>
        <v>&lt; ₹3,000</v>
      </c>
      <c r="P1451" s="8" t="str" cm="1">
        <f t="array" ref="P145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2" spans="1:16" x14ac:dyDescent="0.8">
      <c r="A1452" s="5" t="s">
        <v>1525</v>
      </c>
      <c r="B1452" s="8">
        <v>58</v>
      </c>
      <c r="C1452" s="5" t="s">
        <v>40</v>
      </c>
      <c r="D1452" s="5" t="s">
        <v>42</v>
      </c>
      <c r="E1452" s="5" t="s">
        <v>53</v>
      </c>
      <c r="F1452" s="5" t="s">
        <v>112</v>
      </c>
      <c r="G1452" s="8">
        <v>1</v>
      </c>
      <c r="H1452" s="8">
        <v>10008</v>
      </c>
      <c r="I1452" s="5" t="s">
        <v>40</v>
      </c>
      <c r="J1452" s="8">
        <v>3</v>
      </c>
      <c r="K1452" s="8">
        <v>0</v>
      </c>
      <c r="L1452" s="8">
        <v>10</v>
      </c>
      <c r="M145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High Risk</v>
      </c>
      <c r="N1452" s="8" t="str" cm="1">
        <f t="array" ref="N1452">_xlfn.IFS(HR_Analytics56[[#This Row],[PerformanceRating]]=3,"Good",HR_Analytics56[[#This Row],[PerformanceRating]]=4, "Excellent")</f>
        <v>Good</v>
      </c>
      <c r="O1452" s="8" t="str">
        <f>IF(HR_Analytics56[[#This Row],[MonthlyIncome]]&lt;3000,"&lt; ₹3,000",IF(HR_Analytics56[[#This Row],[MonthlyIncome]]&lt;=7000,"₹ 3,000 - ₹ 7,000","&gt; ₹7,000"))</f>
        <v>&gt; ₹7,000</v>
      </c>
      <c r="P1452" s="8" t="str" cm="1">
        <f t="array" ref="P145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3" spans="1:16" x14ac:dyDescent="0.8">
      <c r="A1453" s="5" t="s">
        <v>1526</v>
      </c>
      <c r="B1453" s="8">
        <v>58</v>
      </c>
      <c r="C1453" s="5" t="s">
        <v>49</v>
      </c>
      <c r="D1453" s="5" t="s">
        <v>42</v>
      </c>
      <c r="E1453" s="5" t="s">
        <v>53</v>
      </c>
      <c r="F1453" s="5" t="s">
        <v>252</v>
      </c>
      <c r="G1453" s="8">
        <v>1</v>
      </c>
      <c r="H1453" s="8">
        <v>19701</v>
      </c>
      <c r="I1453" s="5" t="s">
        <v>40</v>
      </c>
      <c r="J1453" s="8">
        <v>4</v>
      </c>
      <c r="K1453" s="8">
        <v>3</v>
      </c>
      <c r="L1453" s="8">
        <v>9</v>
      </c>
      <c r="M145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53" s="8" t="str" cm="1">
        <f t="array" ref="N1453">_xlfn.IFS(HR_Analytics56[[#This Row],[PerformanceRating]]=3,"Good",HR_Analytics56[[#This Row],[PerformanceRating]]=4, "Excellent")</f>
        <v>Excellent</v>
      </c>
      <c r="O1453" s="8" t="str">
        <f>IF(HR_Analytics56[[#This Row],[MonthlyIncome]]&lt;3000,"&lt; ₹3,000",IF(HR_Analytics56[[#This Row],[MonthlyIncome]]&lt;=7000,"₹ 3,000 - ₹ 7,000","&gt; ₹7,000"))</f>
        <v>&gt; ₹7,000</v>
      </c>
      <c r="P1453" s="8" t="str" cm="1">
        <f t="array" ref="P1453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54" spans="1:16" x14ac:dyDescent="0.8">
      <c r="A1454" s="5" t="s">
        <v>1527</v>
      </c>
      <c r="B1454" s="8">
        <v>58</v>
      </c>
      <c r="C1454" s="5" t="s">
        <v>49</v>
      </c>
      <c r="D1454" s="5" t="s">
        <v>51</v>
      </c>
      <c r="E1454" s="5" t="s">
        <v>44</v>
      </c>
      <c r="F1454" s="5" t="s">
        <v>442</v>
      </c>
      <c r="G1454" s="8">
        <v>2</v>
      </c>
      <c r="H1454" s="8">
        <v>16291</v>
      </c>
      <c r="I1454" s="5" t="s">
        <v>49</v>
      </c>
      <c r="J1454" s="8">
        <v>4</v>
      </c>
      <c r="K1454" s="8">
        <v>0</v>
      </c>
      <c r="L1454" s="8">
        <v>16</v>
      </c>
      <c r="M145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54" s="8" t="str" cm="1">
        <f t="array" ref="N1454">_xlfn.IFS(HR_Analytics56[[#This Row],[PerformanceRating]]=3,"Good",HR_Analytics56[[#This Row],[PerformanceRating]]=4, "Excellent")</f>
        <v>Excellent</v>
      </c>
      <c r="O1454" s="8" t="str">
        <f>IF(HR_Analytics56[[#This Row],[MonthlyIncome]]&lt;3000,"&lt; ₹3,000",IF(HR_Analytics56[[#This Row],[MonthlyIncome]]&lt;=7000,"₹ 3,000 - ₹ 7,000","&gt; ₹7,000"))</f>
        <v>&gt; ₹7,000</v>
      </c>
      <c r="P1454" s="8" t="str" cm="1">
        <f t="array" ref="P145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5" spans="1:16" x14ac:dyDescent="0.8">
      <c r="A1455" s="5" t="s">
        <v>1528</v>
      </c>
      <c r="B1455" s="8">
        <v>58</v>
      </c>
      <c r="C1455" s="5" t="s">
        <v>49</v>
      </c>
      <c r="D1455" s="5" t="s">
        <v>42</v>
      </c>
      <c r="E1455" s="5" t="s">
        <v>44</v>
      </c>
      <c r="F1455" s="5" t="s">
        <v>252</v>
      </c>
      <c r="G1455" s="8">
        <v>3</v>
      </c>
      <c r="H1455" s="8">
        <v>15787</v>
      </c>
      <c r="I1455" s="5" t="s">
        <v>40</v>
      </c>
      <c r="J1455" s="8">
        <v>3</v>
      </c>
      <c r="K1455" s="8">
        <v>3</v>
      </c>
      <c r="L1455" s="8">
        <v>2</v>
      </c>
      <c r="M145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55" s="8" t="str" cm="1">
        <f t="array" ref="N1455">_xlfn.IFS(HR_Analytics56[[#This Row],[PerformanceRating]]=3,"Good",HR_Analytics56[[#This Row],[PerformanceRating]]=4, "Excellent")</f>
        <v>Good</v>
      </c>
      <c r="O1455" s="8" t="str">
        <f>IF(HR_Analytics56[[#This Row],[MonthlyIncome]]&lt;3000,"&lt; ₹3,000",IF(HR_Analytics56[[#This Row],[MonthlyIncome]]&lt;=7000,"₹ 3,000 - ₹ 7,000","&gt; ₹7,000"))</f>
        <v>&gt; ₹7,000</v>
      </c>
      <c r="P1455" s="8" t="str" cm="1">
        <f t="array" ref="P145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6" spans="1:16" x14ac:dyDescent="0.8">
      <c r="A1456" s="5" t="s">
        <v>1529</v>
      </c>
      <c r="B1456" s="8">
        <v>58</v>
      </c>
      <c r="C1456" s="5" t="s">
        <v>49</v>
      </c>
      <c r="D1456" s="5" t="s">
        <v>51</v>
      </c>
      <c r="E1456" s="5" t="s">
        <v>53</v>
      </c>
      <c r="F1456" s="5" t="s">
        <v>442</v>
      </c>
      <c r="G1456" s="8">
        <v>4</v>
      </c>
      <c r="H1456" s="8">
        <v>17875</v>
      </c>
      <c r="I1456" s="5" t="s">
        <v>40</v>
      </c>
      <c r="J1456" s="8">
        <v>3</v>
      </c>
      <c r="K1456" s="8">
        <v>2</v>
      </c>
      <c r="L1456" s="8">
        <v>1</v>
      </c>
      <c r="M145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56" s="8" t="str" cm="1">
        <f t="array" ref="N1456">_xlfn.IFS(HR_Analytics56[[#This Row],[PerformanceRating]]=3,"Good",HR_Analytics56[[#This Row],[PerformanceRating]]=4, "Excellent")</f>
        <v>Good</v>
      </c>
      <c r="O1456" s="8" t="str">
        <f>IF(HR_Analytics56[[#This Row],[MonthlyIncome]]&lt;3000,"&lt; ₹3,000",IF(HR_Analytics56[[#This Row],[MonthlyIncome]]&lt;=7000,"₹ 3,000 - ₹ 7,000","&gt; ₹7,000"))</f>
        <v>&gt; ₹7,000</v>
      </c>
      <c r="P1456" s="8" t="str" cm="1">
        <f t="array" ref="P145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7" spans="1:18" x14ac:dyDescent="0.8">
      <c r="A1457" s="5" t="s">
        <v>1530</v>
      </c>
      <c r="B1457" s="8">
        <v>59</v>
      </c>
      <c r="C1457" s="5" t="s">
        <v>49</v>
      </c>
      <c r="D1457" s="5" t="s">
        <v>42</v>
      </c>
      <c r="E1457" s="5" t="s">
        <v>53</v>
      </c>
      <c r="F1457" s="5" t="s">
        <v>45</v>
      </c>
      <c r="G1457" s="8">
        <v>1</v>
      </c>
      <c r="H1457" s="8">
        <v>2670</v>
      </c>
      <c r="I1457" s="5" t="s">
        <v>40</v>
      </c>
      <c r="J1457" s="8">
        <v>4</v>
      </c>
      <c r="K1457" s="8">
        <v>3</v>
      </c>
      <c r="L1457" s="8">
        <v>1</v>
      </c>
      <c r="M145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57" s="8" t="str" cm="1">
        <f t="array" ref="N1457">_xlfn.IFS(HR_Analytics56[[#This Row],[PerformanceRating]]=3,"Good",HR_Analytics56[[#This Row],[PerformanceRating]]=4, "Excellent")</f>
        <v>Excellent</v>
      </c>
      <c r="O1457" s="8" t="str">
        <f>IF(HR_Analytics56[[#This Row],[MonthlyIncome]]&lt;3000,"&lt; ₹3,000",IF(HR_Analytics56[[#This Row],[MonthlyIncome]]&lt;=7000,"₹ 3,000 - ₹ 7,000","&gt; ₹7,000"))</f>
        <v>&lt; ₹3,000</v>
      </c>
      <c r="P1457" s="8" t="str" cm="1">
        <f t="array" ref="P145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8" spans="1:18" x14ac:dyDescent="0.8">
      <c r="A1458" s="5" t="s">
        <v>1531</v>
      </c>
      <c r="B1458" s="8">
        <v>59</v>
      </c>
      <c r="C1458" s="5" t="s">
        <v>49</v>
      </c>
      <c r="D1458" s="5" t="s">
        <v>51</v>
      </c>
      <c r="E1458" s="5" t="s">
        <v>53</v>
      </c>
      <c r="F1458" s="5" t="s">
        <v>137</v>
      </c>
      <c r="G1458" s="8">
        <v>1</v>
      </c>
      <c r="H1458" s="8">
        <v>7637</v>
      </c>
      <c r="I1458" s="5" t="s">
        <v>49</v>
      </c>
      <c r="J1458" s="8">
        <v>3</v>
      </c>
      <c r="K1458" s="8">
        <v>3</v>
      </c>
      <c r="L1458" s="8">
        <v>21</v>
      </c>
      <c r="M145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58" s="8" t="str" cm="1">
        <f t="array" ref="N1458">_xlfn.IFS(HR_Analytics56[[#This Row],[PerformanceRating]]=3,"Good",HR_Analytics56[[#This Row],[PerformanceRating]]=4, "Excellent")</f>
        <v>Good</v>
      </c>
      <c r="O1458" s="8" t="str">
        <f>IF(HR_Analytics56[[#This Row],[MonthlyIncome]]&lt;3000,"&lt; ₹3,000",IF(HR_Analytics56[[#This Row],[MonthlyIncome]]&lt;=7000,"₹ 3,000 - ₹ 7,000","&gt; ₹7,000"))</f>
        <v>&gt; ₹7,000</v>
      </c>
      <c r="P1458" s="8" t="str" cm="1">
        <f t="array" ref="P145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59" spans="1:18" x14ac:dyDescent="0.8">
      <c r="A1459" s="5" t="s">
        <v>1532</v>
      </c>
      <c r="B1459" s="8">
        <v>59</v>
      </c>
      <c r="C1459" s="5" t="s">
        <v>49</v>
      </c>
      <c r="D1459" s="5" t="s">
        <v>51</v>
      </c>
      <c r="E1459" s="5" t="s">
        <v>53</v>
      </c>
      <c r="F1459" s="5" t="s">
        <v>137</v>
      </c>
      <c r="G1459" s="8">
        <v>3</v>
      </c>
      <c r="H1459" s="8">
        <v>5473</v>
      </c>
      <c r="I1459" s="5" t="s">
        <v>49</v>
      </c>
      <c r="J1459" s="8">
        <v>3</v>
      </c>
      <c r="K1459" s="8">
        <v>2</v>
      </c>
      <c r="L1459" s="8">
        <v>4</v>
      </c>
      <c r="M145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59" s="8" t="str" cm="1">
        <f t="array" ref="N1459">_xlfn.IFS(HR_Analytics56[[#This Row],[PerformanceRating]]=3,"Good",HR_Analytics56[[#This Row],[PerformanceRating]]=4, "Excellent")</f>
        <v>Good</v>
      </c>
      <c r="O1459" s="8" t="str">
        <f>IF(HR_Analytics56[[#This Row],[MonthlyIncome]]&lt;3000,"&lt; ₹3,000",IF(HR_Analytics56[[#This Row],[MonthlyIncome]]&lt;=7000,"₹ 3,000 - ₹ 7,000","&gt; ₹7,000"))</f>
        <v>₹ 3,000 - ₹ 7,000</v>
      </c>
      <c r="P1459" s="8" t="str" cm="1">
        <f t="array" ref="P145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0" spans="1:18" x14ac:dyDescent="0.8">
      <c r="A1460" s="5" t="s">
        <v>1533</v>
      </c>
      <c r="B1460" s="8">
        <v>59</v>
      </c>
      <c r="C1460" s="5" t="s">
        <v>49</v>
      </c>
      <c r="D1460" s="5" t="s">
        <v>71</v>
      </c>
      <c r="E1460" s="5" t="s">
        <v>53</v>
      </c>
      <c r="F1460" s="5" t="s">
        <v>442</v>
      </c>
      <c r="G1460" s="8">
        <v>4</v>
      </c>
      <c r="H1460" s="8">
        <v>18844</v>
      </c>
      <c r="I1460" s="5" t="s">
        <v>49</v>
      </c>
      <c r="J1460" s="8">
        <v>4</v>
      </c>
      <c r="K1460" s="8">
        <v>3</v>
      </c>
      <c r="L1460" s="8">
        <v>3</v>
      </c>
      <c r="M146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0" s="8" t="str" cm="1">
        <f t="array" ref="N1460">_xlfn.IFS(HR_Analytics56[[#This Row],[PerformanceRating]]=3,"Good",HR_Analytics56[[#This Row],[PerformanceRating]]=4, "Excellent")</f>
        <v>Excellent</v>
      </c>
      <c r="O1460" s="8" t="str">
        <f>IF(HR_Analytics56[[#This Row],[MonthlyIncome]]&lt;3000,"&lt; ₹3,000",IF(HR_Analytics56[[#This Row],[MonthlyIncome]]&lt;=7000,"₹ 3,000 - ₹ 7,000","&gt; ₹7,000"))</f>
        <v>&gt; ₹7,000</v>
      </c>
      <c r="P1460" s="8" t="str" cm="1">
        <f t="array" ref="P1460">IF(OR(HR_Analytics56[[#This Row],[PerformanceRating]]=3, OR(HR_Analytics56[[#This Row],[YearsAtCompany]]={1,4}), OR(HR_Analytics56[[#This Row],[TrainingTimesLastYear]]={0,2})), "Recommend training", "Not recommend training")</f>
        <v>Not recommend training</v>
      </c>
    </row>
    <row r="1461" spans="1:18" x14ac:dyDescent="0.8">
      <c r="A1461" s="5" t="s">
        <v>1534</v>
      </c>
      <c r="B1461" s="8">
        <v>59</v>
      </c>
      <c r="C1461" s="5" t="s">
        <v>49</v>
      </c>
      <c r="D1461" s="5" t="s">
        <v>42</v>
      </c>
      <c r="E1461" s="5" t="s">
        <v>44</v>
      </c>
      <c r="F1461" s="5" t="s">
        <v>60</v>
      </c>
      <c r="G1461" s="8">
        <v>4</v>
      </c>
      <c r="H1461" s="8">
        <v>2177</v>
      </c>
      <c r="I1461" s="5" t="s">
        <v>49</v>
      </c>
      <c r="J1461" s="8">
        <v>3</v>
      </c>
      <c r="K1461" s="8">
        <v>6</v>
      </c>
      <c r="L1461" s="8">
        <v>1</v>
      </c>
      <c r="M146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1" s="8" t="str" cm="1">
        <f t="array" ref="N1461">_xlfn.IFS(HR_Analytics56[[#This Row],[PerformanceRating]]=3,"Good",HR_Analytics56[[#This Row],[PerformanceRating]]=4, "Excellent")</f>
        <v>Good</v>
      </c>
      <c r="O1461" s="8" t="str">
        <f>IF(HR_Analytics56[[#This Row],[MonthlyIncome]]&lt;3000,"&lt; ₹3,000",IF(HR_Analytics56[[#This Row],[MonthlyIncome]]&lt;=7000,"₹ 3,000 - ₹ 7,000","&gt; ₹7,000"))</f>
        <v>&lt; ₹3,000</v>
      </c>
      <c r="P1461" s="8" t="str" cm="1">
        <f t="array" ref="P146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2" spans="1:18" x14ac:dyDescent="0.8">
      <c r="A1462" s="5" t="s">
        <v>1535</v>
      </c>
      <c r="B1462" s="8">
        <v>59</v>
      </c>
      <c r="C1462" s="5" t="s">
        <v>49</v>
      </c>
      <c r="D1462" s="5" t="s">
        <v>71</v>
      </c>
      <c r="E1462" s="5" t="s">
        <v>44</v>
      </c>
      <c r="F1462" s="5" t="s">
        <v>71</v>
      </c>
      <c r="G1462" s="8">
        <v>3</v>
      </c>
      <c r="H1462" s="8">
        <v>2267</v>
      </c>
      <c r="I1462" s="5" t="s">
        <v>49</v>
      </c>
      <c r="J1462" s="8">
        <v>3</v>
      </c>
      <c r="K1462" s="8">
        <v>2</v>
      </c>
      <c r="L1462" s="8">
        <v>2</v>
      </c>
      <c r="M1462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2" s="8" t="str" cm="1">
        <f t="array" ref="N1462">_xlfn.IFS(HR_Analytics56[[#This Row],[PerformanceRating]]=3,"Good",HR_Analytics56[[#This Row],[PerformanceRating]]=4, "Excellent")</f>
        <v>Good</v>
      </c>
      <c r="O1462" s="8" t="str">
        <f>IF(HR_Analytics56[[#This Row],[MonthlyIncome]]&lt;3000,"&lt; ₹3,000",IF(HR_Analytics56[[#This Row],[MonthlyIncome]]&lt;=7000,"₹ 3,000 - ₹ 7,000","&gt; ₹7,000"))</f>
        <v>&lt; ₹3,000</v>
      </c>
      <c r="P1462" s="8" t="str" cm="1">
        <f t="array" ref="P1462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3" spans="1:18" x14ac:dyDescent="0.8">
      <c r="A1463" s="5" t="s">
        <v>1536</v>
      </c>
      <c r="B1463" s="8">
        <v>59</v>
      </c>
      <c r="C1463" s="5" t="s">
        <v>49</v>
      </c>
      <c r="D1463" s="5" t="s">
        <v>42</v>
      </c>
      <c r="E1463" s="5" t="s">
        <v>53</v>
      </c>
      <c r="F1463" s="5" t="s">
        <v>112</v>
      </c>
      <c r="G1463" s="8">
        <v>4</v>
      </c>
      <c r="H1463" s="8">
        <v>13726</v>
      </c>
      <c r="I1463" s="5" t="s">
        <v>40</v>
      </c>
      <c r="J1463" s="8">
        <v>3</v>
      </c>
      <c r="K1463" s="8">
        <v>4</v>
      </c>
      <c r="L1463" s="8">
        <v>5</v>
      </c>
      <c r="M1463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63" s="8" t="str" cm="1">
        <f t="array" ref="N1463">_xlfn.IFS(HR_Analytics56[[#This Row],[PerformanceRating]]=3,"Good",HR_Analytics56[[#This Row],[PerformanceRating]]=4, "Excellent")</f>
        <v>Good</v>
      </c>
      <c r="O1463" s="8" t="str">
        <f>IF(HR_Analytics56[[#This Row],[MonthlyIncome]]&lt;3000,"&lt; ₹3,000",IF(HR_Analytics56[[#This Row],[MonthlyIncome]]&lt;=7000,"₹ 3,000 - ₹ 7,000","&gt; ₹7,000"))</f>
        <v>&gt; ₹7,000</v>
      </c>
      <c r="P1463" s="8" t="str" cm="1">
        <f t="array" ref="P1463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4" spans="1:18" x14ac:dyDescent="0.8">
      <c r="A1464" s="5" t="s">
        <v>1537</v>
      </c>
      <c r="B1464" s="8">
        <v>59</v>
      </c>
      <c r="C1464" s="5" t="s">
        <v>49</v>
      </c>
      <c r="D1464" s="5" t="s">
        <v>51</v>
      </c>
      <c r="E1464" s="5" t="s">
        <v>44</v>
      </c>
      <c r="F1464" s="5" t="s">
        <v>442</v>
      </c>
      <c r="G1464" s="8">
        <v>4</v>
      </c>
      <c r="H1464" s="8">
        <v>11904</v>
      </c>
      <c r="I1464" s="5" t="s">
        <v>40</v>
      </c>
      <c r="J1464" s="8">
        <v>3</v>
      </c>
      <c r="K1464" s="8">
        <v>1</v>
      </c>
      <c r="L1464" s="8">
        <v>6</v>
      </c>
      <c r="M1464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64" s="8" t="str" cm="1">
        <f t="array" ref="N1464">_xlfn.IFS(HR_Analytics56[[#This Row],[PerformanceRating]]=3,"Good",HR_Analytics56[[#This Row],[PerformanceRating]]=4, "Excellent")</f>
        <v>Good</v>
      </c>
      <c r="O1464" s="8" t="str">
        <f>IF(HR_Analytics56[[#This Row],[MonthlyIncome]]&lt;3000,"&lt; ₹3,000",IF(HR_Analytics56[[#This Row],[MonthlyIncome]]&lt;=7000,"₹ 3,000 - ₹ 7,000","&gt; ₹7,000"))</f>
        <v>&gt; ₹7,000</v>
      </c>
      <c r="P1464" s="8" t="str" cm="1">
        <f t="array" ref="P1464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5" spans="1:18" x14ac:dyDescent="0.8">
      <c r="A1465" s="5" t="s">
        <v>1538</v>
      </c>
      <c r="B1465" s="8">
        <v>59</v>
      </c>
      <c r="C1465" s="5" t="s">
        <v>49</v>
      </c>
      <c r="D1465" s="5" t="s">
        <v>51</v>
      </c>
      <c r="E1465" s="5" t="s">
        <v>53</v>
      </c>
      <c r="F1465" s="5" t="s">
        <v>137</v>
      </c>
      <c r="G1465" s="8">
        <v>4</v>
      </c>
      <c r="H1465" s="8">
        <v>5171</v>
      </c>
      <c r="I1465" s="5" t="s">
        <v>49</v>
      </c>
      <c r="J1465" s="8">
        <v>3</v>
      </c>
      <c r="K1465" s="8">
        <v>2</v>
      </c>
      <c r="L1465" s="8">
        <v>6</v>
      </c>
      <c r="M1465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5" s="8" t="str" cm="1">
        <f t="array" ref="N1465">_xlfn.IFS(HR_Analytics56[[#This Row],[PerformanceRating]]=3,"Good",HR_Analytics56[[#This Row],[PerformanceRating]]=4, "Excellent")</f>
        <v>Good</v>
      </c>
      <c r="O1465" s="8" t="str">
        <f>IF(HR_Analytics56[[#This Row],[MonthlyIncome]]&lt;3000,"&lt; ₹3,000",IF(HR_Analytics56[[#This Row],[MonthlyIncome]]&lt;=7000,"₹ 3,000 - ₹ 7,000","&gt; ₹7,000"))</f>
        <v>₹ 3,000 - ₹ 7,000</v>
      </c>
      <c r="P1465" s="8" t="str" cm="1">
        <f t="array" ref="P1465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6" spans="1:18" x14ac:dyDescent="0.8">
      <c r="A1466" s="5" t="s">
        <v>1539</v>
      </c>
      <c r="B1466" s="8">
        <v>59</v>
      </c>
      <c r="C1466" s="5" t="s">
        <v>49</v>
      </c>
      <c r="D1466" s="5" t="s">
        <v>42</v>
      </c>
      <c r="E1466" s="5" t="s">
        <v>44</v>
      </c>
      <c r="F1466" s="5" t="s">
        <v>112</v>
      </c>
      <c r="G1466" s="8">
        <v>4</v>
      </c>
      <c r="H1466" s="8">
        <v>10512</v>
      </c>
      <c r="I1466" s="5" t="s">
        <v>49</v>
      </c>
      <c r="J1466" s="8">
        <v>3</v>
      </c>
      <c r="K1466" s="8">
        <v>6</v>
      </c>
      <c r="L1466" s="8">
        <v>9</v>
      </c>
      <c r="M1466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6" s="8" t="str" cm="1">
        <f t="array" ref="N1466">_xlfn.IFS(HR_Analytics56[[#This Row],[PerformanceRating]]=3,"Good",HR_Analytics56[[#This Row],[PerformanceRating]]=4, "Excellent")</f>
        <v>Good</v>
      </c>
      <c r="O1466" s="8" t="str">
        <f>IF(HR_Analytics56[[#This Row],[MonthlyIncome]]&lt;3000,"&lt; ₹3,000",IF(HR_Analytics56[[#This Row],[MonthlyIncome]]&lt;=7000,"₹ 3,000 - ₹ 7,000","&gt; ₹7,000"))</f>
        <v>&gt; ₹7,000</v>
      </c>
      <c r="P1466" s="8" t="str" cm="1">
        <f t="array" ref="P1466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7" spans="1:18" x14ac:dyDescent="0.8">
      <c r="A1467" s="5" t="s">
        <v>1540</v>
      </c>
      <c r="B1467" s="8">
        <v>60</v>
      </c>
      <c r="C1467" s="5" t="s">
        <v>49</v>
      </c>
      <c r="D1467" s="5" t="s">
        <v>42</v>
      </c>
      <c r="E1467" s="5" t="s">
        <v>53</v>
      </c>
      <c r="F1467" s="5" t="s">
        <v>442</v>
      </c>
      <c r="G1467" s="8">
        <v>1</v>
      </c>
      <c r="H1467" s="8">
        <v>19566</v>
      </c>
      <c r="I1467" s="5" t="s">
        <v>49</v>
      </c>
      <c r="J1467" s="8">
        <v>3</v>
      </c>
      <c r="K1467" s="8">
        <v>5</v>
      </c>
      <c r="L1467" s="8">
        <v>29</v>
      </c>
      <c r="M1467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7" s="8" t="str" cm="1">
        <f t="array" ref="N1467">_xlfn.IFS(HR_Analytics56[[#This Row],[PerformanceRating]]=3,"Good",HR_Analytics56[[#This Row],[PerformanceRating]]=4, "Excellent")</f>
        <v>Good</v>
      </c>
      <c r="O1467" s="8" t="str">
        <f>IF(HR_Analytics56[[#This Row],[MonthlyIncome]]&lt;3000,"&lt; ₹3,000",IF(HR_Analytics56[[#This Row],[MonthlyIncome]]&lt;=7000,"₹ 3,000 - ₹ 7,000","&gt; ₹7,000"))</f>
        <v>&gt; ₹7,000</v>
      </c>
      <c r="P1467" s="8" t="str" cm="1">
        <f t="array" ref="P1467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8" spans="1:18" x14ac:dyDescent="0.8">
      <c r="A1468" s="5" t="s">
        <v>1541</v>
      </c>
      <c r="B1468" s="8">
        <v>60</v>
      </c>
      <c r="C1468" s="5" t="s">
        <v>49</v>
      </c>
      <c r="D1468" s="5" t="s">
        <v>51</v>
      </c>
      <c r="E1468" s="5" t="s">
        <v>53</v>
      </c>
      <c r="F1468" s="5" t="s">
        <v>137</v>
      </c>
      <c r="G1468" s="8">
        <v>1</v>
      </c>
      <c r="H1468" s="8">
        <v>10266</v>
      </c>
      <c r="I1468" s="5" t="s">
        <v>49</v>
      </c>
      <c r="J1468" s="8">
        <v>3</v>
      </c>
      <c r="K1468" s="8">
        <v>5</v>
      </c>
      <c r="L1468" s="8">
        <v>18</v>
      </c>
      <c r="M1468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8" s="8" t="str" cm="1">
        <f t="array" ref="N1468">_xlfn.IFS(HR_Analytics56[[#This Row],[PerformanceRating]]=3,"Good",HR_Analytics56[[#This Row],[PerformanceRating]]=4, "Excellent")</f>
        <v>Good</v>
      </c>
      <c r="O1468" s="8" t="str">
        <f>IF(HR_Analytics56[[#This Row],[MonthlyIncome]]&lt;3000,"&lt; ₹3,000",IF(HR_Analytics56[[#This Row],[MonthlyIncome]]&lt;=7000,"₹ 3,000 - ₹ 7,000","&gt; ₹7,000"))</f>
        <v>&gt; ₹7,000</v>
      </c>
      <c r="P1468" s="8" t="str" cm="1">
        <f t="array" ref="P1468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69" spans="1:18" x14ac:dyDescent="0.8">
      <c r="A1469" s="5" t="s">
        <v>1542</v>
      </c>
      <c r="B1469" s="8">
        <v>60</v>
      </c>
      <c r="C1469" s="5" t="s">
        <v>49</v>
      </c>
      <c r="D1469" s="5" t="s">
        <v>51</v>
      </c>
      <c r="E1469" s="5" t="s">
        <v>44</v>
      </c>
      <c r="F1469" s="5" t="s">
        <v>137</v>
      </c>
      <c r="G1469" s="8">
        <v>1</v>
      </c>
      <c r="H1469" s="8">
        <v>5405</v>
      </c>
      <c r="I1469" s="5" t="s">
        <v>49</v>
      </c>
      <c r="J1469" s="8">
        <v>3</v>
      </c>
      <c r="K1469" s="8">
        <v>1</v>
      </c>
      <c r="L1469" s="8">
        <v>2</v>
      </c>
      <c r="M1469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69" s="8" t="str" cm="1">
        <f t="array" ref="N1469">_xlfn.IFS(HR_Analytics56[[#This Row],[PerformanceRating]]=3,"Good",HR_Analytics56[[#This Row],[PerformanceRating]]=4, "Excellent")</f>
        <v>Good</v>
      </c>
      <c r="O1469" s="8" t="str">
        <f>IF(HR_Analytics56[[#This Row],[MonthlyIncome]]&lt;3000,"&lt; ₹3,000",IF(HR_Analytics56[[#This Row],[MonthlyIncome]]&lt;=7000,"₹ 3,000 - ₹ 7,000","&gt; ₹7,000"))</f>
        <v>₹ 3,000 - ₹ 7,000</v>
      </c>
      <c r="P1469" s="8" t="str" cm="1">
        <f t="array" ref="P1469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70" spans="1:18" x14ac:dyDescent="0.8">
      <c r="A1470" s="5" t="s">
        <v>1543</v>
      </c>
      <c r="B1470" s="8">
        <v>60</v>
      </c>
      <c r="C1470" s="5" t="s">
        <v>49</v>
      </c>
      <c r="D1470" s="5" t="s">
        <v>51</v>
      </c>
      <c r="E1470" s="5" t="s">
        <v>44</v>
      </c>
      <c r="F1470" s="5" t="s">
        <v>137</v>
      </c>
      <c r="G1470" s="8">
        <v>4</v>
      </c>
      <c r="H1470" s="8">
        <v>5220</v>
      </c>
      <c r="I1470" s="5" t="s">
        <v>40</v>
      </c>
      <c r="J1470" s="8">
        <v>3</v>
      </c>
      <c r="K1470" s="8">
        <v>3</v>
      </c>
      <c r="L1470" s="8">
        <v>11</v>
      </c>
      <c r="M1470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medium risk</v>
      </c>
      <c r="N1470" s="8" t="str" cm="1">
        <f t="array" ref="N1470">_xlfn.IFS(HR_Analytics56[[#This Row],[PerformanceRating]]=3,"Good",HR_Analytics56[[#This Row],[PerformanceRating]]=4, "Excellent")</f>
        <v>Good</v>
      </c>
      <c r="O1470" s="8" t="str">
        <f>IF(HR_Analytics56[[#This Row],[MonthlyIncome]]&lt;3000,"&lt; ₹3,000",IF(HR_Analytics56[[#This Row],[MonthlyIncome]]&lt;=7000,"₹ 3,000 - ₹ 7,000","&gt; ₹7,000"))</f>
        <v>₹ 3,000 - ₹ 7,000</v>
      </c>
      <c r="P1470" s="8" t="str" cm="1">
        <f t="array" ref="P1470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71" spans="1:18" x14ac:dyDescent="0.8">
      <c r="A1471" s="5" t="s">
        <v>1544</v>
      </c>
      <c r="B1471" s="8">
        <v>60</v>
      </c>
      <c r="C1471" s="5" t="s">
        <v>49</v>
      </c>
      <c r="D1471" s="5" t="s">
        <v>42</v>
      </c>
      <c r="E1471" s="5" t="s">
        <v>44</v>
      </c>
      <c r="F1471" s="5" t="s">
        <v>161</v>
      </c>
      <c r="G1471" s="8">
        <v>4</v>
      </c>
      <c r="H1471" s="8">
        <v>10883</v>
      </c>
      <c r="I1471" s="5" t="s">
        <v>49</v>
      </c>
      <c r="J1471" s="8">
        <v>4</v>
      </c>
      <c r="K1471" s="8">
        <v>2</v>
      </c>
      <c r="L1471" s="8">
        <v>1</v>
      </c>
      <c r="M1471" s="8" t="str">
        <f>IF(AND(HR_Analytics56[[#This Row],[Attrition]]="Yes",HR_Analytics56[[#This Row],[OverTime]]="Yes"),"High Risk",IF(OR(HR_Analytics56[[#This Row],[Attrition]]="Yes",HR_Analytics56[[#This Row],[OverTime]]="Yes"), "medium risk", "No Risk"))</f>
        <v>No Risk</v>
      </c>
      <c r="N1471" s="8" t="str" cm="1">
        <f t="array" ref="N1471">_xlfn.IFS(HR_Analytics56[[#This Row],[PerformanceRating]]=3,"Good",HR_Analytics56[[#This Row],[PerformanceRating]]=4, "Excellent")</f>
        <v>Excellent</v>
      </c>
      <c r="O1471" s="8" t="str">
        <f>IF(HR_Analytics56[[#This Row],[MonthlyIncome]]&lt;3000,"&lt; ₹3,000",IF(HR_Analytics56[[#This Row],[MonthlyIncome]]&lt;=7000,"₹ 3,000 - ₹ 7,000","&gt; ₹7,000"))</f>
        <v>&gt; ₹7,000</v>
      </c>
      <c r="P1471" s="14" t="str" cm="1">
        <f t="array" ref="P1471">IF(OR(HR_Analytics56[[#This Row],[PerformanceRating]]=3, OR(HR_Analytics56[[#This Row],[YearsAtCompany]]={1,4}), OR(HR_Analytics56[[#This Row],[TrainingTimesLastYear]]={0,2})), "Recommend training", "Not recommend training")</f>
        <v>Recommend training</v>
      </c>
    </row>
    <row r="1472" spans="1:18" x14ac:dyDescent="0.8">
      <c r="A1472" s="12"/>
      <c r="B1472" s="10"/>
      <c r="C1472" s="12"/>
      <c r="D1472" s="12"/>
      <c r="E1472" s="10"/>
      <c r="F1472" s="12"/>
      <c r="G1472" s="12"/>
      <c r="H1472" s="10"/>
      <c r="I1472" s="10"/>
      <c r="J1472" s="12"/>
      <c r="K1472" s="10"/>
      <c r="L1472" s="10"/>
      <c r="M1472" s="10"/>
      <c r="Q1472" s="12"/>
      <c r="R1472" s="12"/>
    </row>
    <row r="1473" spans="1:13" x14ac:dyDescent="0.8">
      <c r="A1473" s="12"/>
      <c r="B1473" s="10"/>
      <c r="C1473" s="12"/>
      <c r="D1473" s="12"/>
      <c r="E1473" s="10"/>
      <c r="F1473" s="12"/>
      <c r="G1473" s="12"/>
      <c r="H1473" s="10"/>
      <c r="I1473" s="10"/>
      <c r="J1473" s="12"/>
      <c r="K1473" s="10"/>
      <c r="L1473" s="10"/>
      <c r="M1473" s="10"/>
    </row>
    <row r="1474" spans="1:13" x14ac:dyDescent="0.8">
      <c r="A1474" s="12"/>
      <c r="B1474" s="10"/>
      <c r="C1474" s="12"/>
      <c r="D1474" s="12"/>
      <c r="E1474" s="10"/>
      <c r="F1474" s="12"/>
      <c r="G1474" s="12"/>
      <c r="H1474" s="10"/>
      <c r="I1474" s="10"/>
      <c r="J1474" s="12"/>
      <c r="K1474" s="10"/>
      <c r="L1474" s="10"/>
      <c r="M1474" s="10"/>
    </row>
    <row r="1475" spans="1:13" x14ac:dyDescent="0.8">
      <c r="A1475" s="12"/>
      <c r="B1475" s="10"/>
      <c r="C1475" s="12"/>
      <c r="D1475" s="12"/>
      <c r="E1475" s="10"/>
      <c r="F1475" s="12"/>
      <c r="G1475" s="12"/>
      <c r="H1475" s="10"/>
      <c r="I1475" s="10"/>
      <c r="J1475" s="12"/>
      <c r="K1475" s="10"/>
      <c r="L1475" s="10"/>
      <c r="M1475" s="10"/>
    </row>
    <row r="1476" spans="1:13" x14ac:dyDescent="0.8">
      <c r="A1476" s="12"/>
      <c r="B1476" s="10"/>
      <c r="C1476" s="12"/>
      <c r="D1476" s="12"/>
      <c r="E1476" s="10"/>
      <c r="F1476" s="12"/>
      <c r="G1476" s="12"/>
      <c r="H1476" s="10"/>
      <c r="I1476" s="10"/>
      <c r="J1476" s="12"/>
      <c r="K1476" s="10"/>
      <c r="L1476" s="10"/>
      <c r="M1476" s="10"/>
    </row>
    <row r="1477" spans="1:13" x14ac:dyDescent="0.8">
      <c r="A1477" s="12"/>
      <c r="B1477" s="10"/>
      <c r="C1477" s="12"/>
      <c r="D1477" s="12"/>
      <c r="E1477" s="10"/>
      <c r="F1477" s="12"/>
      <c r="G1477" s="12"/>
      <c r="H1477" s="10"/>
      <c r="I1477" s="10"/>
      <c r="J1477" s="12"/>
      <c r="K1477" s="10"/>
      <c r="L1477" s="10"/>
      <c r="M1477" s="10"/>
    </row>
    <row r="1478" spans="1:13" x14ac:dyDescent="0.8">
      <c r="A1478" s="12"/>
      <c r="B1478" s="10"/>
      <c r="C1478" s="12"/>
      <c r="D1478" s="12"/>
      <c r="E1478" s="10"/>
      <c r="F1478" s="12"/>
      <c r="G1478" s="12"/>
      <c r="H1478" s="10"/>
      <c r="I1478" s="10"/>
      <c r="J1478" s="12"/>
      <c r="K1478" s="10"/>
      <c r="L1478" s="10"/>
      <c r="M1478" s="10"/>
    </row>
    <row r="1479" spans="1:13" x14ac:dyDescent="0.8">
      <c r="A1479" s="12"/>
      <c r="B1479" s="10"/>
      <c r="C1479" s="12"/>
      <c r="D1479" s="12"/>
      <c r="E1479" s="10"/>
      <c r="F1479" s="12"/>
      <c r="G1479" s="12"/>
      <c r="H1479" s="10"/>
      <c r="I1479" s="10"/>
      <c r="J1479" s="12"/>
      <c r="K1479" s="10"/>
      <c r="L1479" s="10"/>
      <c r="M1479" s="10"/>
    </row>
  </sheetData>
  <mergeCells count="1">
    <mergeCell ref="W3:X3"/>
  </mergeCells>
  <conditionalFormatting sqref="A2:P1471">
    <cfRule type="expression" dxfId="17" priority="5">
      <formula>$I2="Yes"</formula>
    </cfRule>
    <cfRule type="expression" dxfId="16" priority="6">
      <formula>$C2="Yes"</formula>
    </cfRule>
    <cfRule type="top10" dxfId="15" priority="7" percent="1" rank="10"/>
    <cfRule type="expression" dxfId="14" priority="8">
      <formula>$J2=4</formula>
    </cfRule>
  </conditionalFormatting>
  <dataValidations count="3">
    <dataValidation type="list" allowBlank="1" showInputMessage="1" showErrorMessage="1" sqref="X4" xr:uid="{5AB52FA1-5315-48F4-962F-4DF8BBEF421F}">
      <formula1>$D$2:$D$1471</formula1>
    </dataValidation>
    <dataValidation type="list" allowBlank="1" showInputMessage="1" showErrorMessage="1" sqref="X5" xr:uid="{64034BD0-3763-41FF-A9FA-0198CE1A1FB6}">
      <formula1>$F$2:$F$1471</formula1>
    </dataValidation>
    <dataValidation type="list" allowBlank="1" showInputMessage="1" showErrorMessage="1" sqref="X6" xr:uid="{FC11ADDB-1253-4252-8376-7C26D5663E74}">
      <formula1>$C$2:$C$1471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B9A3-C237-4782-A8E4-C846B607435B}">
  <dimension ref="A1:L1481"/>
  <sheetViews>
    <sheetView tabSelected="1" workbookViewId="0">
      <selection activeCell="E1" sqref="E1:E1048576"/>
    </sheetView>
  </sheetViews>
  <sheetFormatPr defaultRowHeight="24" x14ac:dyDescent="0.8"/>
  <cols>
    <col min="1" max="1" width="8.8984375" style="6" bestFit="1" customWidth="1"/>
    <col min="2" max="2" width="9" style="9" customWidth="1"/>
    <col min="3" max="3" width="9.8984375" style="6" bestFit="1" customWidth="1"/>
    <col min="4" max="4" width="22.59765625" style="6" bestFit="1" customWidth="1"/>
    <col min="5" max="5" width="9.5" style="6" bestFit="1" customWidth="1"/>
    <col min="6" max="6" width="22.8984375" style="6" bestFit="1" customWidth="1"/>
    <col min="7" max="7" width="16.69921875" style="9" bestFit="1" customWidth="1"/>
    <col min="8" max="8" width="16.5" style="9" bestFit="1" customWidth="1"/>
    <col min="9" max="9" width="11.59765625" style="6" bestFit="1" customWidth="1"/>
    <col min="10" max="10" width="20.296875" style="9" bestFit="1" customWidth="1"/>
    <col min="11" max="11" width="23.8984375" style="9" bestFit="1" customWidth="1"/>
    <col min="12" max="12" width="18.5" style="9" bestFit="1" customWidth="1"/>
  </cols>
  <sheetData>
    <row r="1" spans="1:12" x14ac:dyDescent="0.8">
      <c r="A1" s="4" t="s">
        <v>0</v>
      </c>
      <c r="B1" s="7" t="s">
        <v>1</v>
      </c>
      <c r="C1" s="4" t="s">
        <v>3</v>
      </c>
      <c r="D1" s="4" t="s">
        <v>6</v>
      </c>
      <c r="E1" s="4" t="s">
        <v>13</v>
      </c>
      <c r="F1" s="4" t="s">
        <v>17</v>
      </c>
      <c r="G1" s="7" t="s">
        <v>18</v>
      </c>
      <c r="H1" s="7" t="s">
        <v>20</v>
      </c>
      <c r="I1" s="4" t="s">
        <v>25</v>
      </c>
      <c r="J1" s="7" t="s">
        <v>27</v>
      </c>
      <c r="K1" s="7" t="s">
        <v>32</v>
      </c>
      <c r="L1" s="7" t="s">
        <v>34</v>
      </c>
    </row>
    <row r="2" spans="1:12" x14ac:dyDescent="0.8">
      <c r="A2" s="5" t="s">
        <v>38</v>
      </c>
      <c r="B2" s="8">
        <v>18</v>
      </c>
      <c r="C2" s="5" t="s">
        <v>40</v>
      </c>
      <c r="D2" s="5" t="s">
        <v>42</v>
      </c>
      <c r="E2" s="5" t="s">
        <v>44</v>
      </c>
      <c r="F2" s="5" t="s">
        <v>45</v>
      </c>
      <c r="G2" s="8">
        <v>3</v>
      </c>
      <c r="H2" s="8">
        <v>1420</v>
      </c>
      <c r="I2" s="5" t="s">
        <v>49</v>
      </c>
      <c r="J2" s="8">
        <v>3</v>
      </c>
      <c r="K2" s="8">
        <v>2</v>
      </c>
      <c r="L2" s="8">
        <v>0</v>
      </c>
    </row>
    <row r="3" spans="1:12" x14ac:dyDescent="0.8">
      <c r="A3" s="5" t="s">
        <v>50</v>
      </c>
      <c r="B3" s="8">
        <v>18</v>
      </c>
      <c r="C3" s="5" t="s">
        <v>49</v>
      </c>
      <c r="D3" s="5" t="s">
        <v>51</v>
      </c>
      <c r="E3" s="5" t="s">
        <v>53</v>
      </c>
      <c r="F3" s="5" t="s">
        <v>54</v>
      </c>
      <c r="G3" s="8">
        <v>3</v>
      </c>
      <c r="H3" s="8">
        <v>1200</v>
      </c>
      <c r="I3" s="5" t="s">
        <v>49</v>
      </c>
      <c r="J3" s="8">
        <v>3</v>
      </c>
      <c r="K3" s="8">
        <v>2</v>
      </c>
      <c r="L3" s="8">
        <v>0</v>
      </c>
    </row>
    <row r="4" spans="1:12" x14ac:dyDescent="0.8">
      <c r="A4" s="5" t="s">
        <v>55</v>
      </c>
      <c r="B4" s="8">
        <v>18</v>
      </c>
      <c r="C4" s="5" t="s">
        <v>40</v>
      </c>
      <c r="D4" s="5" t="s">
        <v>51</v>
      </c>
      <c r="E4" s="5" t="s">
        <v>44</v>
      </c>
      <c r="F4" s="5" t="s">
        <v>54</v>
      </c>
      <c r="G4" s="8">
        <v>2</v>
      </c>
      <c r="H4" s="8">
        <v>1878</v>
      </c>
      <c r="I4" s="5" t="s">
        <v>40</v>
      </c>
      <c r="J4" s="8">
        <v>3</v>
      </c>
      <c r="K4" s="8">
        <v>3</v>
      </c>
      <c r="L4" s="8">
        <v>0</v>
      </c>
    </row>
    <row r="5" spans="1:12" x14ac:dyDescent="0.8">
      <c r="A5" s="5" t="s">
        <v>58</v>
      </c>
      <c r="B5" s="8">
        <v>18</v>
      </c>
      <c r="C5" s="5" t="s">
        <v>49</v>
      </c>
      <c r="D5" s="5" t="s">
        <v>42</v>
      </c>
      <c r="E5" s="5" t="s">
        <v>44</v>
      </c>
      <c r="F5" s="5" t="s">
        <v>60</v>
      </c>
      <c r="G5" s="8">
        <v>4</v>
      </c>
      <c r="H5" s="8">
        <v>1051</v>
      </c>
      <c r="I5" s="5" t="s">
        <v>49</v>
      </c>
      <c r="J5" s="8">
        <v>3</v>
      </c>
      <c r="K5" s="8">
        <v>2</v>
      </c>
      <c r="L5" s="8">
        <v>0</v>
      </c>
    </row>
    <row r="6" spans="1:12" x14ac:dyDescent="0.8">
      <c r="A6" s="5" t="s">
        <v>61</v>
      </c>
      <c r="B6" s="8">
        <v>18</v>
      </c>
      <c r="C6" s="5" t="s">
        <v>40</v>
      </c>
      <c r="D6" s="5" t="s">
        <v>42</v>
      </c>
      <c r="E6" s="5" t="s">
        <v>44</v>
      </c>
      <c r="F6" s="5" t="s">
        <v>45</v>
      </c>
      <c r="G6" s="8">
        <v>3</v>
      </c>
      <c r="H6" s="8">
        <v>1904</v>
      </c>
      <c r="I6" s="5" t="s">
        <v>49</v>
      </c>
      <c r="J6" s="8">
        <v>3</v>
      </c>
      <c r="K6" s="8">
        <v>0</v>
      </c>
      <c r="L6" s="8">
        <v>0</v>
      </c>
    </row>
    <row r="7" spans="1:12" x14ac:dyDescent="0.8">
      <c r="A7" s="5" t="s">
        <v>62</v>
      </c>
      <c r="B7" s="8">
        <v>18</v>
      </c>
      <c r="C7" s="5" t="s">
        <v>49</v>
      </c>
      <c r="D7" s="5" t="s">
        <v>42</v>
      </c>
      <c r="E7" s="5" t="s">
        <v>53</v>
      </c>
      <c r="F7" s="5" t="s">
        <v>45</v>
      </c>
      <c r="G7" s="8">
        <v>4</v>
      </c>
      <c r="H7" s="8">
        <v>1611</v>
      </c>
      <c r="I7" s="5" t="s">
        <v>49</v>
      </c>
      <c r="J7" s="8">
        <v>3</v>
      </c>
      <c r="K7" s="8">
        <v>5</v>
      </c>
      <c r="L7" s="8">
        <v>0</v>
      </c>
    </row>
    <row r="8" spans="1:12" x14ac:dyDescent="0.8">
      <c r="A8" s="5" t="s">
        <v>63</v>
      </c>
      <c r="B8" s="8">
        <v>18</v>
      </c>
      <c r="C8" s="5" t="s">
        <v>40</v>
      </c>
      <c r="D8" s="5" t="s">
        <v>51</v>
      </c>
      <c r="E8" s="5" t="s">
        <v>53</v>
      </c>
      <c r="F8" s="5" t="s">
        <v>54</v>
      </c>
      <c r="G8" s="8">
        <v>4</v>
      </c>
      <c r="H8" s="8">
        <v>1569</v>
      </c>
      <c r="I8" s="5" t="s">
        <v>40</v>
      </c>
      <c r="J8" s="8">
        <v>3</v>
      </c>
      <c r="K8" s="8">
        <v>2</v>
      </c>
      <c r="L8" s="8">
        <v>0</v>
      </c>
    </row>
    <row r="9" spans="1:12" x14ac:dyDescent="0.8">
      <c r="A9" s="5" t="s">
        <v>64</v>
      </c>
      <c r="B9" s="8">
        <v>18</v>
      </c>
      <c r="C9" s="5" t="s">
        <v>49</v>
      </c>
      <c r="D9" s="5" t="s">
        <v>42</v>
      </c>
      <c r="E9" s="5" t="s">
        <v>53</v>
      </c>
      <c r="F9" s="5" t="s">
        <v>60</v>
      </c>
      <c r="G9" s="8">
        <v>3</v>
      </c>
      <c r="H9" s="8">
        <v>1514</v>
      </c>
      <c r="I9" s="5" t="s">
        <v>49</v>
      </c>
      <c r="J9" s="8">
        <v>3</v>
      </c>
      <c r="K9" s="8">
        <v>4</v>
      </c>
      <c r="L9" s="8">
        <v>0</v>
      </c>
    </row>
    <row r="10" spans="1:12" x14ac:dyDescent="0.8">
      <c r="A10" s="5" t="s">
        <v>65</v>
      </c>
      <c r="B10" s="8">
        <v>19</v>
      </c>
      <c r="C10" s="5" t="s">
        <v>40</v>
      </c>
      <c r="D10" s="5" t="s">
        <v>51</v>
      </c>
      <c r="E10" s="5" t="s">
        <v>44</v>
      </c>
      <c r="F10" s="5" t="s">
        <v>54</v>
      </c>
      <c r="G10" s="8">
        <v>3</v>
      </c>
      <c r="H10" s="8">
        <v>1675</v>
      </c>
      <c r="I10" s="5" t="s">
        <v>40</v>
      </c>
      <c r="J10" s="8">
        <v>3</v>
      </c>
      <c r="K10" s="8">
        <v>2</v>
      </c>
      <c r="L10" s="8">
        <v>0</v>
      </c>
    </row>
    <row r="11" spans="1:12" x14ac:dyDescent="0.8">
      <c r="A11" s="5" t="s">
        <v>66</v>
      </c>
      <c r="B11" s="8">
        <v>19</v>
      </c>
      <c r="C11" s="5" t="s">
        <v>49</v>
      </c>
      <c r="D11" s="5" t="s">
        <v>42</v>
      </c>
      <c r="E11" s="5" t="s">
        <v>53</v>
      </c>
      <c r="F11" s="5" t="s">
        <v>45</v>
      </c>
      <c r="G11" s="8">
        <v>2</v>
      </c>
      <c r="H11" s="8">
        <v>1483</v>
      </c>
      <c r="I11" s="5" t="s">
        <v>49</v>
      </c>
      <c r="J11" s="8">
        <v>3</v>
      </c>
      <c r="K11" s="8">
        <v>3</v>
      </c>
      <c r="L11" s="8">
        <v>1</v>
      </c>
    </row>
    <row r="12" spans="1:12" x14ac:dyDescent="0.8">
      <c r="A12" s="5" t="s">
        <v>67</v>
      </c>
      <c r="B12" s="8">
        <v>19</v>
      </c>
      <c r="C12" s="5" t="s">
        <v>40</v>
      </c>
      <c r="D12" s="5" t="s">
        <v>51</v>
      </c>
      <c r="E12" s="5" t="s">
        <v>53</v>
      </c>
      <c r="F12" s="5" t="s">
        <v>54</v>
      </c>
      <c r="G12" s="8">
        <v>1</v>
      </c>
      <c r="H12" s="8">
        <v>2325</v>
      </c>
      <c r="I12" s="5" t="s">
        <v>49</v>
      </c>
      <c r="J12" s="8">
        <v>4</v>
      </c>
      <c r="K12" s="8">
        <v>5</v>
      </c>
      <c r="L12" s="8">
        <v>0</v>
      </c>
    </row>
    <row r="13" spans="1:12" x14ac:dyDescent="0.8">
      <c r="A13" s="5" t="s">
        <v>69</v>
      </c>
      <c r="B13" s="8">
        <v>19</v>
      </c>
      <c r="C13" s="5" t="s">
        <v>40</v>
      </c>
      <c r="D13" s="5" t="s">
        <v>42</v>
      </c>
      <c r="E13" s="5" t="s">
        <v>44</v>
      </c>
      <c r="F13" s="5" t="s">
        <v>45</v>
      </c>
      <c r="G13" s="8">
        <v>4</v>
      </c>
      <c r="H13" s="8">
        <v>1102</v>
      </c>
      <c r="I13" s="5" t="s">
        <v>49</v>
      </c>
      <c r="J13" s="8">
        <v>4</v>
      </c>
      <c r="K13" s="8">
        <v>3</v>
      </c>
      <c r="L13" s="8">
        <v>1</v>
      </c>
    </row>
    <row r="14" spans="1:12" x14ac:dyDescent="0.8">
      <c r="A14" s="5" t="s">
        <v>70</v>
      </c>
      <c r="B14" s="8">
        <v>19</v>
      </c>
      <c r="C14" s="5" t="s">
        <v>40</v>
      </c>
      <c r="D14" s="5" t="s">
        <v>71</v>
      </c>
      <c r="E14" s="5" t="s">
        <v>44</v>
      </c>
      <c r="F14" s="5" t="s">
        <v>71</v>
      </c>
      <c r="G14" s="8">
        <v>4</v>
      </c>
      <c r="H14" s="8">
        <v>2564</v>
      </c>
      <c r="I14" s="5" t="s">
        <v>49</v>
      </c>
      <c r="J14" s="8">
        <v>3</v>
      </c>
      <c r="K14" s="8">
        <v>3</v>
      </c>
      <c r="L14" s="8">
        <v>1</v>
      </c>
    </row>
    <row r="15" spans="1:12" x14ac:dyDescent="0.8">
      <c r="A15" s="5" t="s">
        <v>72</v>
      </c>
      <c r="B15" s="8">
        <v>19</v>
      </c>
      <c r="C15" s="5" t="s">
        <v>40</v>
      </c>
      <c r="D15" s="5" t="s">
        <v>51</v>
      </c>
      <c r="E15" s="5" t="s">
        <v>44</v>
      </c>
      <c r="F15" s="5" t="s">
        <v>54</v>
      </c>
      <c r="G15" s="8">
        <v>2</v>
      </c>
      <c r="H15" s="8">
        <v>2121</v>
      </c>
      <c r="I15" s="5" t="s">
        <v>40</v>
      </c>
      <c r="J15" s="8">
        <v>3</v>
      </c>
      <c r="K15" s="8">
        <v>3</v>
      </c>
      <c r="L15" s="8">
        <v>1</v>
      </c>
    </row>
    <row r="16" spans="1:12" x14ac:dyDescent="0.8">
      <c r="A16" s="5" t="s">
        <v>74</v>
      </c>
      <c r="B16" s="8">
        <v>19</v>
      </c>
      <c r="C16" s="5" t="s">
        <v>49</v>
      </c>
      <c r="D16" s="5" t="s">
        <v>42</v>
      </c>
      <c r="E16" s="5" t="s">
        <v>44</v>
      </c>
      <c r="F16" s="5" t="s">
        <v>60</v>
      </c>
      <c r="G16" s="8">
        <v>1</v>
      </c>
      <c r="H16" s="8">
        <v>2552</v>
      </c>
      <c r="I16" s="5" t="s">
        <v>49</v>
      </c>
      <c r="J16" s="8">
        <v>4</v>
      </c>
      <c r="K16" s="8">
        <v>4</v>
      </c>
      <c r="L16" s="8">
        <v>1</v>
      </c>
    </row>
    <row r="17" spans="1:12" x14ac:dyDescent="0.8">
      <c r="A17" s="5" t="s">
        <v>75</v>
      </c>
      <c r="B17" s="8">
        <v>19</v>
      </c>
      <c r="C17" s="5" t="s">
        <v>40</v>
      </c>
      <c r="D17" s="5" t="s">
        <v>42</v>
      </c>
      <c r="E17" s="5" t="s">
        <v>53</v>
      </c>
      <c r="F17" s="5" t="s">
        <v>60</v>
      </c>
      <c r="G17" s="8">
        <v>2</v>
      </c>
      <c r="H17" s="8">
        <v>1859</v>
      </c>
      <c r="I17" s="5" t="s">
        <v>40</v>
      </c>
      <c r="J17" s="8">
        <v>4</v>
      </c>
      <c r="K17" s="8">
        <v>2</v>
      </c>
      <c r="L17" s="8">
        <v>1</v>
      </c>
    </row>
    <row r="18" spans="1:12" x14ac:dyDescent="0.8">
      <c r="A18" s="5" t="s">
        <v>76</v>
      </c>
      <c r="B18" s="8">
        <v>19</v>
      </c>
      <c r="C18" s="5" t="s">
        <v>49</v>
      </c>
      <c r="D18" s="5" t="s">
        <v>42</v>
      </c>
      <c r="E18" s="5" t="s">
        <v>53</v>
      </c>
      <c r="F18" s="5" t="s">
        <v>60</v>
      </c>
      <c r="G18" s="8">
        <v>4</v>
      </c>
      <c r="H18" s="8">
        <v>2994</v>
      </c>
      <c r="I18" s="5" t="s">
        <v>40</v>
      </c>
      <c r="J18" s="8">
        <v>3</v>
      </c>
      <c r="K18" s="8">
        <v>2</v>
      </c>
      <c r="L18" s="8">
        <v>1</v>
      </c>
    </row>
    <row r="19" spans="1:12" x14ac:dyDescent="0.8">
      <c r="A19" s="5" t="s">
        <v>77</v>
      </c>
      <c r="B19" s="8">
        <v>20</v>
      </c>
      <c r="C19" s="5" t="s">
        <v>40</v>
      </c>
      <c r="D19" s="5" t="s">
        <v>42</v>
      </c>
      <c r="E19" s="5" t="s">
        <v>53</v>
      </c>
      <c r="F19" s="5" t="s">
        <v>45</v>
      </c>
      <c r="G19" s="8">
        <v>4</v>
      </c>
      <c r="H19" s="8">
        <v>2926</v>
      </c>
      <c r="I19" s="5" t="s">
        <v>40</v>
      </c>
      <c r="J19" s="8">
        <v>3</v>
      </c>
      <c r="K19" s="8">
        <v>5</v>
      </c>
      <c r="L19" s="8">
        <v>1</v>
      </c>
    </row>
    <row r="20" spans="1:12" x14ac:dyDescent="0.8">
      <c r="A20" s="5" t="s">
        <v>78</v>
      </c>
      <c r="B20" s="8">
        <v>20</v>
      </c>
      <c r="C20" s="5" t="s">
        <v>49</v>
      </c>
      <c r="D20" s="5" t="s">
        <v>42</v>
      </c>
      <c r="E20" s="5" t="s">
        <v>53</v>
      </c>
      <c r="F20" s="5" t="s">
        <v>60</v>
      </c>
      <c r="G20" s="8">
        <v>2</v>
      </c>
      <c r="H20" s="8">
        <v>2836</v>
      </c>
      <c r="I20" s="5" t="s">
        <v>49</v>
      </c>
      <c r="J20" s="8">
        <v>3</v>
      </c>
      <c r="K20" s="8">
        <v>0</v>
      </c>
      <c r="L20" s="8">
        <v>1</v>
      </c>
    </row>
    <row r="21" spans="1:12" x14ac:dyDescent="0.8">
      <c r="A21" s="5" t="s">
        <v>79</v>
      </c>
      <c r="B21" s="8">
        <v>20</v>
      </c>
      <c r="C21" s="5" t="s">
        <v>40</v>
      </c>
      <c r="D21" s="5" t="s">
        <v>42</v>
      </c>
      <c r="E21" s="5" t="s">
        <v>44</v>
      </c>
      <c r="F21" s="5" t="s">
        <v>60</v>
      </c>
      <c r="G21" s="8">
        <v>3</v>
      </c>
      <c r="H21" s="8">
        <v>1009</v>
      </c>
      <c r="I21" s="5" t="s">
        <v>40</v>
      </c>
      <c r="J21" s="8">
        <v>3</v>
      </c>
      <c r="K21" s="8">
        <v>5</v>
      </c>
      <c r="L21" s="8">
        <v>1</v>
      </c>
    </row>
    <row r="22" spans="1:12" x14ac:dyDescent="0.8">
      <c r="A22" s="5" t="s">
        <v>80</v>
      </c>
      <c r="B22" s="8">
        <v>20</v>
      </c>
      <c r="C22" s="5" t="s">
        <v>40</v>
      </c>
      <c r="D22" s="5" t="s">
        <v>51</v>
      </c>
      <c r="E22" s="5" t="s">
        <v>53</v>
      </c>
      <c r="F22" s="5" t="s">
        <v>54</v>
      </c>
      <c r="G22" s="8">
        <v>3</v>
      </c>
      <c r="H22" s="8">
        <v>2044</v>
      </c>
      <c r="I22" s="5" t="s">
        <v>49</v>
      </c>
      <c r="J22" s="8">
        <v>3</v>
      </c>
      <c r="K22" s="8">
        <v>3</v>
      </c>
      <c r="L22" s="8">
        <v>2</v>
      </c>
    </row>
    <row r="23" spans="1:12" x14ac:dyDescent="0.8">
      <c r="A23" s="5" t="s">
        <v>81</v>
      </c>
      <c r="B23" s="8">
        <v>20</v>
      </c>
      <c r="C23" s="5" t="s">
        <v>40</v>
      </c>
      <c r="D23" s="5" t="s">
        <v>42</v>
      </c>
      <c r="E23" s="5" t="s">
        <v>44</v>
      </c>
      <c r="F23" s="5" t="s">
        <v>45</v>
      </c>
      <c r="G23" s="8">
        <v>1</v>
      </c>
      <c r="H23" s="8">
        <v>2973</v>
      </c>
      <c r="I23" s="5" t="s">
        <v>49</v>
      </c>
      <c r="J23" s="8">
        <v>3</v>
      </c>
      <c r="K23" s="8">
        <v>2</v>
      </c>
      <c r="L23" s="8">
        <v>1</v>
      </c>
    </row>
    <row r="24" spans="1:12" x14ac:dyDescent="0.8">
      <c r="A24" s="5" t="s">
        <v>82</v>
      </c>
      <c r="B24" s="8">
        <v>20</v>
      </c>
      <c r="C24" s="5" t="s">
        <v>40</v>
      </c>
      <c r="D24" s="5" t="s">
        <v>42</v>
      </c>
      <c r="E24" s="5" t="s">
        <v>53</v>
      </c>
      <c r="F24" s="5" t="s">
        <v>60</v>
      </c>
      <c r="G24" s="8">
        <v>1</v>
      </c>
      <c r="H24" s="8">
        <v>2600</v>
      </c>
      <c r="I24" s="5" t="s">
        <v>40</v>
      </c>
      <c r="J24" s="8">
        <v>3</v>
      </c>
      <c r="K24" s="8">
        <v>2</v>
      </c>
      <c r="L24" s="8">
        <v>1</v>
      </c>
    </row>
    <row r="25" spans="1:12" x14ac:dyDescent="0.8">
      <c r="A25" s="5" t="s">
        <v>83</v>
      </c>
      <c r="B25" s="8">
        <v>20</v>
      </c>
      <c r="C25" s="5" t="s">
        <v>40</v>
      </c>
      <c r="D25" s="5" t="s">
        <v>51</v>
      </c>
      <c r="E25" s="5" t="s">
        <v>53</v>
      </c>
      <c r="F25" s="5" t="s">
        <v>54</v>
      </c>
      <c r="G25" s="8">
        <v>4</v>
      </c>
      <c r="H25" s="8">
        <v>2323</v>
      </c>
      <c r="I25" s="5" t="s">
        <v>40</v>
      </c>
      <c r="J25" s="8">
        <v>3</v>
      </c>
      <c r="K25" s="8">
        <v>3</v>
      </c>
      <c r="L25" s="8">
        <v>2</v>
      </c>
    </row>
    <row r="26" spans="1:12" x14ac:dyDescent="0.8">
      <c r="A26" s="5" t="s">
        <v>84</v>
      </c>
      <c r="B26" s="8">
        <v>20</v>
      </c>
      <c r="C26" s="5" t="s">
        <v>49</v>
      </c>
      <c r="D26" s="5" t="s">
        <v>42</v>
      </c>
      <c r="E26" s="5" t="s">
        <v>44</v>
      </c>
      <c r="F26" s="5" t="s">
        <v>45</v>
      </c>
      <c r="G26" s="8">
        <v>3</v>
      </c>
      <c r="H26" s="8">
        <v>3033</v>
      </c>
      <c r="I26" s="5" t="s">
        <v>49</v>
      </c>
      <c r="J26" s="8">
        <v>3</v>
      </c>
      <c r="K26" s="8">
        <v>2</v>
      </c>
      <c r="L26" s="8">
        <v>2</v>
      </c>
    </row>
    <row r="27" spans="1:12" x14ac:dyDescent="0.8">
      <c r="A27" s="5" t="s">
        <v>85</v>
      </c>
      <c r="B27" s="8">
        <v>20</v>
      </c>
      <c r="C27" s="5" t="s">
        <v>49</v>
      </c>
      <c r="D27" s="5" t="s">
        <v>51</v>
      </c>
      <c r="E27" s="5" t="s">
        <v>44</v>
      </c>
      <c r="F27" s="5" t="s">
        <v>54</v>
      </c>
      <c r="G27" s="8">
        <v>4</v>
      </c>
      <c r="H27" s="8">
        <v>2678</v>
      </c>
      <c r="I27" s="5" t="s">
        <v>49</v>
      </c>
      <c r="J27" s="8">
        <v>3</v>
      </c>
      <c r="K27" s="8">
        <v>2</v>
      </c>
      <c r="L27" s="8">
        <v>2</v>
      </c>
    </row>
    <row r="28" spans="1:12" x14ac:dyDescent="0.8">
      <c r="A28" s="5" t="s">
        <v>86</v>
      </c>
      <c r="B28" s="8">
        <v>20</v>
      </c>
      <c r="C28" s="5" t="s">
        <v>49</v>
      </c>
      <c r="D28" s="5" t="s">
        <v>51</v>
      </c>
      <c r="E28" s="5" t="s">
        <v>53</v>
      </c>
      <c r="F28" s="5" t="s">
        <v>54</v>
      </c>
      <c r="G28" s="8">
        <v>3</v>
      </c>
      <c r="H28" s="8">
        <v>2783</v>
      </c>
      <c r="I28" s="5" t="s">
        <v>49</v>
      </c>
      <c r="J28" s="8">
        <v>3</v>
      </c>
      <c r="K28" s="8">
        <v>3</v>
      </c>
      <c r="L28" s="8">
        <v>2</v>
      </c>
    </row>
    <row r="29" spans="1:12" x14ac:dyDescent="0.8">
      <c r="A29" s="5" t="s">
        <v>87</v>
      </c>
      <c r="B29" s="8">
        <v>20</v>
      </c>
      <c r="C29" s="5" t="s">
        <v>49</v>
      </c>
      <c r="D29" s="5" t="s">
        <v>51</v>
      </c>
      <c r="E29" s="5" t="s">
        <v>44</v>
      </c>
      <c r="F29" s="5" t="s">
        <v>54</v>
      </c>
      <c r="G29" s="8">
        <v>1</v>
      </c>
      <c r="H29" s="8">
        <v>2728</v>
      </c>
      <c r="I29" s="5" t="s">
        <v>49</v>
      </c>
      <c r="J29" s="8">
        <v>3</v>
      </c>
      <c r="K29" s="8">
        <v>3</v>
      </c>
      <c r="L29" s="8">
        <v>2</v>
      </c>
    </row>
    <row r="30" spans="1:12" x14ac:dyDescent="0.8">
      <c r="A30" s="5" t="s">
        <v>88</v>
      </c>
      <c r="B30" s="8">
        <v>21</v>
      </c>
      <c r="C30" s="5" t="s">
        <v>49</v>
      </c>
      <c r="D30" s="5" t="s">
        <v>42</v>
      </c>
      <c r="E30" s="5" t="s">
        <v>44</v>
      </c>
      <c r="F30" s="5" t="s">
        <v>60</v>
      </c>
      <c r="G30" s="8">
        <v>4</v>
      </c>
      <c r="H30" s="8">
        <v>1232</v>
      </c>
      <c r="I30" s="5" t="s">
        <v>49</v>
      </c>
      <c r="J30" s="8">
        <v>3</v>
      </c>
      <c r="K30" s="8">
        <v>6</v>
      </c>
      <c r="L30" s="8">
        <v>0</v>
      </c>
    </row>
    <row r="31" spans="1:12" x14ac:dyDescent="0.8">
      <c r="A31" s="5" t="s">
        <v>89</v>
      </c>
      <c r="B31" s="8">
        <v>21</v>
      </c>
      <c r="C31" s="5" t="s">
        <v>49</v>
      </c>
      <c r="D31" s="5" t="s">
        <v>42</v>
      </c>
      <c r="E31" s="5" t="s">
        <v>44</v>
      </c>
      <c r="F31" s="5" t="s">
        <v>60</v>
      </c>
      <c r="G31" s="8">
        <v>3</v>
      </c>
      <c r="H31" s="8">
        <v>3230</v>
      </c>
      <c r="I31" s="5" t="s">
        <v>49</v>
      </c>
      <c r="J31" s="8">
        <v>3</v>
      </c>
      <c r="K31" s="8">
        <v>4</v>
      </c>
      <c r="L31" s="8">
        <v>3</v>
      </c>
    </row>
    <row r="32" spans="1:12" x14ac:dyDescent="0.8">
      <c r="A32" s="5" t="s">
        <v>90</v>
      </c>
      <c r="B32" s="8">
        <v>21</v>
      </c>
      <c r="C32" s="5" t="s">
        <v>40</v>
      </c>
      <c r="D32" s="5" t="s">
        <v>51</v>
      </c>
      <c r="E32" s="5" t="s">
        <v>53</v>
      </c>
      <c r="F32" s="5" t="s">
        <v>54</v>
      </c>
      <c r="G32" s="8">
        <v>2</v>
      </c>
      <c r="H32" s="8">
        <v>2174</v>
      </c>
      <c r="I32" s="5" t="s">
        <v>40</v>
      </c>
      <c r="J32" s="8">
        <v>3</v>
      </c>
      <c r="K32" s="8">
        <v>3</v>
      </c>
      <c r="L32" s="8">
        <v>3</v>
      </c>
    </row>
    <row r="33" spans="1:12" x14ac:dyDescent="0.8">
      <c r="A33" s="5" t="s">
        <v>91</v>
      </c>
      <c r="B33" s="8">
        <v>21</v>
      </c>
      <c r="C33" s="5" t="s">
        <v>49</v>
      </c>
      <c r="D33" s="5" t="s">
        <v>51</v>
      </c>
      <c r="E33" s="5" t="s">
        <v>44</v>
      </c>
      <c r="F33" s="5" t="s">
        <v>54</v>
      </c>
      <c r="G33" s="8">
        <v>4</v>
      </c>
      <c r="H33" s="8">
        <v>2610</v>
      </c>
      <c r="I33" s="5" t="s">
        <v>49</v>
      </c>
      <c r="J33" s="8">
        <v>4</v>
      </c>
      <c r="K33" s="8">
        <v>3</v>
      </c>
      <c r="L33" s="8">
        <v>3</v>
      </c>
    </row>
    <row r="34" spans="1:12" x14ac:dyDescent="0.8">
      <c r="A34" s="5" t="s">
        <v>92</v>
      </c>
      <c r="B34" s="8">
        <v>21</v>
      </c>
      <c r="C34" s="5" t="s">
        <v>40</v>
      </c>
      <c r="D34" s="5" t="s">
        <v>51</v>
      </c>
      <c r="E34" s="5" t="s">
        <v>53</v>
      </c>
      <c r="F34" s="5" t="s">
        <v>54</v>
      </c>
      <c r="G34" s="8">
        <v>2</v>
      </c>
      <c r="H34" s="8">
        <v>2716</v>
      </c>
      <c r="I34" s="5" t="s">
        <v>49</v>
      </c>
      <c r="J34" s="8">
        <v>3</v>
      </c>
      <c r="K34" s="8">
        <v>0</v>
      </c>
      <c r="L34" s="8">
        <v>1</v>
      </c>
    </row>
    <row r="35" spans="1:12" x14ac:dyDescent="0.8">
      <c r="A35" s="5" t="s">
        <v>93</v>
      </c>
      <c r="B35" s="8">
        <v>21</v>
      </c>
      <c r="C35" s="5" t="s">
        <v>49</v>
      </c>
      <c r="D35" s="5" t="s">
        <v>51</v>
      </c>
      <c r="E35" s="5" t="s">
        <v>44</v>
      </c>
      <c r="F35" s="5" t="s">
        <v>54</v>
      </c>
      <c r="G35" s="8">
        <v>3</v>
      </c>
      <c r="H35" s="8">
        <v>3447</v>
      </c>
      <c r="I35" s="5" t="s">
        <v>49</v>
      </c>
      <c r="J35" s="8">
        <v>3</v>
      </c>
      <c r="K35" s="8">
        <v>2</v>
      </c>
      <c r="L35" s="8">
        <v>3</v>
      </c>
    </row>
    <row r="36" spans="1:12" x14ac:dyDescent="0.8">
      <c r="A36" s="5" t="s">
        <v>94</v>
      </c>
      <c r="B36" s="8">
        <v>21</v>
      </c>
      <c r="C36" s="5" t="s">
        <v>40</v>
      </c>
      <c r="D36" s="5" t="s">
        <v>42</v>
      </c>
      <c r="E36" s="5" t="s">
        <v>53</v>
      </c>
      <c r="F36" s="5" t="s">
        <v>60</v>
      </c>
      <c r="G36" s="8">
        <v>4</v>
      </c>
      <c r="H36" s="8">
        <v>2693</v>
      </c>
      <c r="I36" s="5" t="s">
        <v>49</v>
      </c>
      <c r="J36" s="8">
        <v>3</v>
      </c>
      <c r="K36" s="8">
        <v>3</v>
      </c>
      <c r="L36" s="8">
        <v>1</v>
      </c>
    </row>
    <row r="37" spans="1:12" x14ac:dyDescent="0.8">
      <c r="A37" s="5" t="s">
        <v>95</v>
      </c>
      <c r="B37" s="8">
        <v>21</v>
      </c>
      <c r="C37" s="5" t="s">
        <v>40</v>
      </c>
      <c r="D37" s="5" t="s">
        <v>42</v>
      </c>
      <c r="E37" s="5" t="s">
        <v>53</v>
      </c>
      <c r="F37" s="5" t="s">
        <v>45</v>
      </c>
      <c r="G37" s="8">
        <v>1</v>
      </c>
      <c r="H37" s="8">
        <v>1416</v>
      </c>
      <c r="I37" s="5" t="s">
        <v>49</v>
      </c>
      <c r="J37" s="8">
        <v>3</v>
      </c>
      <c r="K37" s="8">
        <v>6</v>
      </c>
      <c r="L37" s="8">
        <v>1</v>
      </c>
    </row>
    <row r="38" spans="1:12" x14ac:dyDescent="0.8">
      <c r="A38" s="5" t="s">
        <v>96</v>
      </c>
      <c r="B38" s="8">
        <v>21</v>
      </c>
      <c r="C38" s="5" t="s">
        <v>49</v>
      </c>
      <c r="D38" s="5" t="s">
        <v>42</v>
      </c>
      <c r="E38" s="5" t="s">
        <v>53</v>
      </c>
      <c r="F38" s="5" t="s">
        <v>60</v>
      </c>
      <c r="G38" s="8">
        <v>2</v>
      </c>
      <c r="H38" s="8">
        <v>2070</v>
      </c>
      <c r="I38" s="5" t="s">
        <v>40</v>
      </c>
      <c r="J38" s="8">
        <v>3</v>
      </c>
      <c r="K38" s="8">
        <v>6</v>
      </c>
      <c r="L38" s="8">
        <v>2</v>
      </c>
    </row>
    <row r="39" spans="1:12" x14ac:dyDescent="0.8">
      <c r="A39" s="5" t="s">
        <v>97</v>
      </c>
      <c r="B39" s="8">
        <v>21</v>
      </c>
      <c r="C39" s="5" t="s">
        <v>40</v>
      </c>
      <c r="D39" s="5" t="s">
        <v>42</v>
      </c>
      <c r="E39" s="5" t="s">
        <v>53</v>
      </c>
      <c r="F39" s="5" t="s">
        <v>45</v>
      </c>
      <c r="G39" s="8">
        <v>3</v>
      </c>
      <c r="H39" s="8">
        <v>2625</v>
      </c>
      <c r="I39" s="5" t="s">
        <v>49</v>
      </c>
      <c r="J39" s="8">
        <v>4</v>
      </c>
      <c r="K39" s="8">
        <v>2</v>
      </c>
      <c r="L39" s="8">
        <v>2</v>
      </c>
    </row>
    <row r="40" spans="1:12" x14ac:dyDescent="0.8">
      <c r="A40" s="5" t="s">
        <v>98</v>
      </c>
      <c r="B40" s="8">
        <v>21</v>
      </c>
      <c r="C40" s="5" t="s">
        <v>49</v>
      </c>
      <c r="D40" s="5" t="s">
        <v>42</v>
      </c>
      <c r="E40" s="5" t="s">
        <v>44</v>
      </c>
      <c r="F40" s="5" t="s">
        <v>60</v>
      </c>
      <c r="G40" s="8">
        <v>4</v>
      </c>
      <c r="H40" s="8">
        <v>3117</v>
      </c>
      <c r="I40" s="5" t="s">
        <v>49</v>
      </c>
      <c r="J40" s="8">
        <v>3</v>
      </c>
      <c r="K40" s="8">
        <v>2</v>
      </c>
      <c r="L40" s="8">
        <v>2</v>
      </c>
    </row>
    <row r="41" spans="1:12" x14ac:dyDescent="0.8">
      <c r="A41" s="5" t="s">
        <v>99</v>
      </c>
      <c r="B41" s="8">
        <v>21</v>
      </c>
      <c r="C41" s="5" t="s">
        <v>40</v>
      </c>
      <c r="D41" s="5" t="s">
        <v>51</v>
      </c>
      <c r="E41" s="5" t="s">
        <v>44</v>
      </c>
      <c r="F41" s="5" t="s">
        <v>54</v>
      </c>
      <c r="G41" s="8">
        <v>2</v>
      </c>
      <c r="H41" s="8">
        <v>2679</v>
      </c>
      <c r="I41" s="5" t="s">
        <v>49</v>
      </c>
      <c r="J41" s="8">
        <v>3</v>
      </c>
      <c r="K41" s="8">
        <v>3</v>
      </c>
      <c r="L41" s="8">
        <v>1</v>
      </c>
    </row>
    <row r="42" spans="1:12" x14ac:dyDescent="0.8">
      <c r="A42" s="5" t="s">
        <v>100</v>
      </c>
      <c r="B42" s="8">
        <v>21</v>
      </c>
      <c r="C42" s="5" t="s">
        <v>49</v>
      </c>
      <c r="D42" s="5" t="s">
        <v>51</v>
      </c>
      <c r="E42" s="5" t="s">
        <v>44</v>
      </c>
      <c r="F42" s="5" t="s">
        <v>54</v>
      </c>
      <c r="G42" s="8">
        <v>1</v>
      </c>
      <c r="H42" s="8">
        <v>2380</v>
      </c>
      <c r="I42" s="5" t="s">
        <v>40</v>
      </c>
      <c r="J42" s="8">
        <v>3</v>
      </c>
      <c r="K42" s="8">
        <v>6</v>
      </c>
      <c r="L42" s="8">
        <v>2</v>
      </c>
    </row>
    <row r="43" spans="1:12" x14ac:dyDescent="0.8">
      <c r="A43" s="5" t="s">
        <v>101</v>
      </c>
      <c r="B43" s="8">
        <v>22</v>
      </c>
      <c r="C43" s="5" t="s">
        <v>49</v>
      </c>
      <c r="D43" s="5" t="s">
        <v>42</v>
      </c>
      <c r="E43" s="5" t="s">
        <v>44</v>
      </c>
      <c r="F43" s="5" t="s">
        <v>45</v>
      </c>
      <c r="G43" s="8">
        <v>4</v>
      </c>
      <c r="H43" s="8">
        <v>2935</v>
      </c>
      <c r="I43" s="5" t="s">
        <v>40</v>
      </c>
      <c r="J43" s="8">
        <v>3</v>
      </c>
      <c r="K43" s="8">
        <v>2</v>
      </c>
      <c r="L43" s="8">
        <v>1</v>
      </c>
    </row>
    <row r="44" spans="1:12" x14ac:dyDescent="0.8">
      <c r="A44" s="5" t="s">
        <v>103</v>
      </c>
      <c r="B44" s="8">
        <v>22</v>
      </c>
      <c r="C44" s="5" t="s">
        <v>49</v>
      </c>
      <c r="D44" s="5" t="s">
        <v>42</v>
      </c>
      <c r="E44" s="5" t="s">
        <v>53</v>
      </c>
      <c r="F44" s="5" t="s">
        <v>45</v>
      </c>
      <c r="G44" s="8">
        <v>4</v>
      </c>
      <c r="H44" s="8">
        <v>2871</v>
      </c>
      <c r="I44" s="5" t="s">
        <v>49</v>
      </c>
      <c r="J44" s="8">
        <v>3</v>
      </c>
      <c r="K44" s="8">
        <v>5</v>
      </c>
      <c r="L44" s="8">
        <v>0</v>
      </c>
    </row>
    <row r="45" spans="1:12" x14ac:dyDescent="0.8">
      <c r="A45" s="5" t="s">
        <v>104</v>
      </c>
      <c r="B45" s="8">
        <v>22</v>
      </c>
      <c r="C45" s="5" t="s">
        <v>49</v>
      </c>
      <c r="D45" s="5" t="s">
        <v>42</v>
      </c>
      <c r="E45" s="5" t="s">
        <v>44</v>
      </c>
      <c r="F45" s="5" t="s">
        <v>45</v>
      </c>
      <c r="G45" s="8">
        <v>4</v>
      </c>
      <c r="H45" s="8">
        <v>2523</v>
      </c>
      <c r="I45" s="5" t="s">
        <v>49</v>
      </c>
      <c r="J45" s="8">
        <v>3</v>
      </c>
      <c r="K45" s="8">
        <v>2</v>
      </c>
      <c r="L45" s="8">
        <v>2</v>
      </c>
    </row>
    <row r="46" spans="1:12" x14ac:dyDescent="0.8">
      <c r="A46" s="5" t="s">
        <v>106</v>
      </c>
      <c r="B46" s="8">
        <v>22</v>
      </c>
      <c r="C46" s="5" t="s">
        <v>49</v>
      </c>
      <c r="D46" s="5" t="s">
        <v>42</v>
      </c>
      <c r="E46" s="5" t="s">
        <v>44</v>
      </c>
      <c r="F46" s="5" t="s">
        <v>60</v>
      </c>
      <c r="G46" s="8">
        <v>4</v>
      </c>
      <c r="H46" s="8">
        <v>2323</v>
      </c>
      <c r="I46" s="5" t="s">
        <v>49</v>
      </c>
      <c r="J46" s="8">
        <v>4</v>
      </c>
      <c r="K46" s="8">
        <v>6</v>
      </c>
      <c r="L46" s="8">
        <v>2</v>
      </c>
    </row>
    <row r="47" spans="1:12" x14ac:dyDescent="0.8">
      <c r="A47" s="5" t="s">
        <v>107</v>
      </c>
      <c r="B47" s="8">
        <v>22</v>
      </c>
      <c r="C47" s="5" t="s">
        <v>49</v>
      </c>
      <c r="D47" s="5" t="s">
        <v>42</v>
      </c>
      <c r="E47" s="5" t="s">
        <v>44</v>
      </c>
      <c r="F47" s="5" t="s">
        <v>60</v>
      </c>
      <c r="G47" s="8">
        <v>2</v>
      </c>
      <c r="H47" s="8">
        <v>2328</v>
      </c>
      <c r="I47" s="5" t="s">
        <v>40</v>
      </c>
      <c r="J47" s="8">
        <v>3</v>
      </c>
      <c r="K47" s="8">
        <v>2</v>
      </c>
      <c r="L47" s="8">
        <v>4</v>
      </c>
    </row>
    <row r="48" spans="1:12" x14ac:dyDescent="0.8">
      <c r="A48" s="5" t="s">
        <v>108</v>
      </c>
      <c r="B48" s="8">
        <v>22</v>
      </c>
      <c r="C48" s="5" t="s">
        <v>49</v>
      </c>
      <c r="D48" s="5" t="s">
        <v>42</v>
      </c>
      <c r="E48" s="5" t="s">
        <v>53</v>
      </c>
      <c r="F48" s="5" t="s">
        <v>60</v>
      </c>
      <c r="G48" s="8">
        <v>2</v>
      </c>
      <c r="H48" s="8">
        <v>2244</v>
      </c>
      <c r="I48" s="5" t="s">
        <v>49</v>
      </c>
      <c r="J48" s="8">
        <v>3</v>
      </c>
      <c r="K48" s="8">
        <v>1</v>
      </c>
      <c r="L48" s="8">
        <v>2</v>
      </c>
    </row>
    <row r="49" spans="1:12" x14ac:dyDescent="0.8">
      <c r="A49" s="5" t="s">
        <v>109</v>
      </c>
      <c r="B49" s="8">
        <v>22</v>
      </c>
      <c r="C49" s="5" t="s">
        <v>40</v>
      </c>
      <c r="D49" s="5" t="s">
        <v>42</v>
      </c>
      <c r="E49" s="5" t="s">
        <v>44</v>
      </c>
      <c r="F49" s="5" t="s">
        <v>45</v>
      </c>
      <c r="G49" s="8">
        <v>3</v>
      </c>
      <c r="H49" s="8">
        <v>3894</v>
      </c>
      <c r="I49" s="5" t="s">
        <v>49</v>
      </c>
      <c r="J49" s="8">
        <v>3</v>
      </c>
      <c r="K49" s="8">
        <v>3</v>
      </c>
      <c r="L49" s="8">
        <v>2</v>
      </c>
    </row>
    <row r="50" spans="1:12" x14ac:dyDescent="0.8">
      <c r="A50" s="5" t="s">
        <v>110</v>
      </c>
      <c r="B50" s="8">
        <v>22</v>
      </c>
      <c r="C50" s="5" t="s">
        <v>49</v>
      </c>
      <c r="D50" s="5" t="s">
        <v>42</v>
      </c>
      <c r="E50" s="5" t="s">
        <v>44</v>
      </c>
      <c r="F50" s="5" t="s">
        <v>60</v>
      </c>
      <c r="G50" s="8">
        <v>3</v>
      </c>
      <c r="H50" s="8">
        <v>2773</v>
      </c>
      <c r="I50" s="5" t="s">
        <v>49</v>
      </c>
      <c r="J50" s="8">
        <v>4</v>
      </c>
      <c r="K50" s="8">
        <v>3</v>
      </c>
      <c r="L50" s="8">
        <v>2</v>
      </c>
    </row>
    <row r="51" spans="1:12" x14ac:dyDescent="0.8">
      <c r="A51" s="5" t="s">
        <v>111</v>
      </c>
      <c r="B51" s="8">
        <v>22</v>
      </c>
      <c r="C51" s="5" t="s">
        <v>49</v>
      </c>
      <c r="D51" s="5" t="s">
        <v>42</v>
      </c>
      <c r="E51" s="5" t="s">
        <v>44</v>
      </c>
      <c r="F51" s="5" t="s">
        <v>112</v>
      </c>
      <c r="G51" s="8">
        <v>4</v>
      </c>
      <c r="H51" s="8">
        <v>4775</v>
      </c>
      <c r="I51" s="5" t="s">
        <v>49</v>
      </c>
      <c r="J51" s="8">
        <v>4</v>
      </c>
      <c r="K51" s="8">
        <v>2</v>
      </c>
      <c r="L51" s="8">
        <v>2</v>
      </c>
    </row>
    <row r="52" spans="1:12" x14ac:dyDescent="0.8">
      <c r="A52" s="5" t="s">
        <v>113</v>
      </c>
      <c r="B52" s="8">
        <v>22</v>
      </c>
      <c r="C52" s="5" t="s">
        <v>40</v>
      </c>
      <c r="D52" s="5" t="s">
        <v>42</v>
      </c>
      <c r="E52" s="5" t="s">
        <v>53</v>
      </c>
      <c r="F52" s="5" t="s">
        <v>112</v>
      </c>
      <c r="G52" s="8">
        <v>3</v>
      </c>
      <c r="H52" s="8">
        <v>4171</v>
      </c>
      <c r="I52" s="5" t="s">
        <v>40</v>
      </c>
      <c r="J52" s="8">
        <v>3</v>
      </c>
      <c r="K52" s="8">
        <v>3</v>
      </c>
      <c r="L52" s="8">
        <v>3</v>
      </c>
    </row>
    <row r="53" spans="1:12" x14ac:dyDescent="0.8">
      <c r="A53" s="5" t="s">
        <v>114</v>
      </c>
      <c r="B53" s="8">
        <v>22</v>
      </c>
      <c r="C53" s="5" t="s">
        <v>49</v>
      </c>
      <c r="D53" s="5" t="s">
        <v>42</v>
      </c>
      <c r="E53" s="5" t="s">
        <v>44</v>
      </c>
      <c r="F53" s="5" t="s">
        <v>45</v>
      </c>
      <c r="G53" s="8">
        <v>1</v>
      </c>
      <c r="H53" s="8">
        <v>2451</v>
      </c>
      <c r="I53" s="5" t="s">
        <v>49</v>
      </c>
      <c r="J53" s="8">
        <v>3</v>
      </c>
      <c r="K53" s="8">
        <v>3</v>
      </c>
      <c r="L53" s="8">
        <v>4</v>
      </c>
    </row>
    <row r="54" spans="1:12" x14ac:dyDescent="0.8">
      <c r="A54" s="5" t="s">
        <v>115</v>
      </c>
      <c r="B54" s="8">
        <v>22</v>
      </c>
      <c r="C54" s="5" t="s">
        <v>40</v>
      </c>
      <c r="D54" s="5" t="s">
        <v>42</v>
      </c>
      <c r="E54" s="5" t="s">
        <v>44</v>
      </c>
      <c r="F54" s="5" t="s">
        <v>60</v>
      </c>
      <c r="G54" s="8">
        <v>4</v>
      </c>
      <c r="H54" s="8">
        <v>2853</v>
      </c>
      <c r="I54" s="5" t="s">
        <v>40</v>
      </c>
      <c r="J54" s="8">
        <v>3</v>
      </c>
      <c r="K54" s="8">
        <v>5</v>
      </c>
      <c r="L54" s="8">
        <v>0</v>
      </c>
    </row>
    <row r="55" spans="1:12" x14ac:dyDescent="0.8">
      <c r="A55" s="5" t="s">
        <v>116</v>
      </c>
      <c r="B55" s="8">
        <v>22</v>
      </c>
      <c r="C55" s="5" t="s">
        <v>49</v>
      </c>
      <c r="D55" s="5" t="s">
        <v>42</v>
      </c>
      <c r="E55" s="5" t="s">
        <v>53</v>
      </c>
      <c r="F55" s="5" t="s">
        <v>60</v>
      </c>
      <c r="G55" s="8">
        <v>3</v>
      </c>
      <c r="H55" s="8">
        <v>2814</v>
      </c>
      <c r="I55" s="5" t="s">
        <v>40</v>
      </c>
      <c r="J55" s="8">
        <v>3</v>
      </c>
      <c r="K55" s="8">
        <v>2</v>
      </c>
      <c r="L55" s="8">
        <v>4</v>
      </c>
    </row>
    <row r="56" spans="1:12" x14ac:dyDescent="0.8">
      <c r="A56" s="5" t="s">
        <v>117</v>
      </c>
      <c r="B56" s="8">
        <v>22</v>
      </c>
      <c r="C56" s="5" t="s">
        <v>40</v>
      </c>
      <c r="D56" s="5" t="s">
        <v>42</v>
      </c>
      <c r="E56" s="5" t="s">
        <v>53</v>
      </c>
      <c r="F56" s="5" t="s">
        <v>45</v>
      </c>
      <c r="G56" s="8">
        <v>1</v>
      </c>
      <c r="H56" s="8">
        <v>2398</v>
      </c>
      <c r="I56" s="5" t="s">
        <v>40</v>
      </c>
      <c r="J56" s="8">
        <v>3</v>
      </c>
      <c r="K56" s="8">
        <v>6</v>
      </c>
      <c r="L56" s="8">
        <v>1</v>
      </c>
    </row>
    <row r="57" spans="1:12" x14ac:dyDescent="0.8">
      <c r="A57" s="5" t="s">
        <v>118</v>
      </c>
      <c r="B57" s="8">
        <v>22</v>
      </c>
      <c r="C57" s="5" t="s">
        <v>40</v>
      </c>
      <c r="D57" s="5" t="s">
        <v>42</v>
      </c>
      <c r="E57" s="5" t="s">
        <v>44</v>
      </c>
      <c r="F57" s="5" t="s">
        <v>60</v>
      </c>
      <c r="G57" s="8">
        <v>2</v>
      </c>
      <c r="H57" s="8">
        <v>2472</v>
      </c>
      <c r="I57" s="5" t="s">
        <v>40</v>
      </c>
      <c r="J57" s="8">
        <v>4</v>
      </c>
      <c r="K57" s="8">
        <v>2</v>
      </c>
      <c r="L57" s="8">
        <v>1</v>
      </c>
    </row>
    <row r="58" spans="1:12" x14ac:dyDescent="0.8">
      <c r="A58" s="5" t="s">
        <v>119</v>
      </c>
      <c r="B58" s="8">
        <v>22</v>
      </c>
      <c r="C58" s="5" t="s">
        <v>49</v>
      </c>
      <c r="D58" s="5" t="s">
        <v>42</v>
      </c>
      <c r="E58" s="5" t="s">
        <v>44</v>
      </c>
      <c r="F58" s="5" t="s">
        <v>60</v>
      </c>
      <c r="G58" s="8">
        <v>3</v>
      </c>
      <c r="H58" s="8">
        <v>3375</v>
      </c>
      <c r="I58" s="5" t="s">
        <v>49</v>
      </c>
      <c r="J58" s="8">
        <v>3</v>
      </c>
      <c r="K58" s="8">
        <v>2</v>
      </c>
      <c r="L58" s="8">
        <v>3</v>
      </c>
    </row>
    <row r="59" spans="1:12" x14ac:dyDescent="0.8">
      <c r="A59" s="5" t="s">
        <v>120</v>
      </c>
      <c r="B59" s="8">
        <v>23</v>
      </c>
      <c r="C59" s="5" t="s">
        <v>49</v>
      </c>
      <c r="D59" s="5" t="s">
        <v>51</v>
      </c>
      <c r="E59" s="5" t="s">
        <v>44</v>
      </c>
      <c r="F59" s="5" t="s">
        <v>54</v>
      </c>
      <c r="G59" s="8">
        <v>1</v>
      </c>
      <c r="H59" s="8">
        <v>2322</v>
      </c>
      <c r="I59" s="5" t="s">
        <v>49</v>
      </c>
      <c r="J59" s="8">
        <v>3</v>
      </c>
      <c r="K59" s="8">
        <v>3</v>
      </c>
      <c r="L59" s="8">
        <v>0</v>
      </c>
    </row>
    <row r="60" spans="1:12" x14ac:dyDescent="0.8">
      <c r="A60" s="5" t="s">
        <v>121</v>
      </c>
      <c r="B60" s="8">
        <v>23</v>
      </c>
      <c r="C60" s="5" t="s">
        <v>49</v>
      </c>
      <c r="D60" s="5" t="s">
        <v>42</v>
      </c>
      <c r="E60" s="5" t="s">
        <v>44</v>
      </c>
      <c r="F60" s="5" t="s">
        <v>60</v>
      </c>
      <c r="G60" s="8">
        <v>4</v>
      </c>
      <c r="H60" s="8">
        <v>2904</v>
      </c>
      <c r="I60" s="5" t="s">
        <v>49</v>
      </c>
      <c r="J60" s="8">
        <v>3</v>
      </c>
      <c r="K60" s="8">
        <v>2</v>
      </c>
      <c r="L60" s="8">
        <v>4</v>
      </c>
    </row>
    <row r="61" spans="1:12" x14ac:dyDescent="0.8">
      <c r="A61" s="5" t="s">
        <v>122</v>
      </c>
      <c r="B61" s="8">
        <v>23</v>
      </c>
      <c r="C61" s="5" t="s">
        <v>49</v>
      </c>
      <c r="D61" s="5" t="s">
        <v>42</v>
      </c>
      <c r="E61" s="5" t="s">
        <v>44</v>
      </c>
      <c r="F61" s="5" t="s">
        <v>60</v>
      </c>
      <c r="G61" s="8">
        <v>1</v>
      </c>
      <c r="H61" s="8">
        <v>2819</v>
      </c>
      <c r="I61" s="5" t="s">
        <v>49</v>
      </c>
      <c r="J61" s="8">
        <v>3</v>
      </c>
      <c r="K61" s="8">
        <v>3</v>
      </c>
      <c r="L61" s="8">
        <v>3</v>
      </c>
    </row>
    <row r="62" spans="1:12" x14ac:dyDescent="0.8">
      <c r="A62" s="5" t="s">
        <v>123</v>
      </c>
      <c r="B62" s="8">
        <v>23</v>
      </c>
      <c r="C62" s="5" t="s">
        <v>49</v>
      </c>
      <c r="D62" s="5" t="s">
        <v>42</v>
      </c>
      <c r="E62" s="5" t="s">
        <v>44</v>
      </c>
      <c r="F62" s="5" t="s">
        <v>45</v>
      </c>
      <c r="G62" s="8">
        <v>1</v>
      </c>
      <c r="H62" s="8">
        <v>2500</v>
      </c>
      <c r="I62" s="5" t="s">
        <v>49</v>
      </c>
      <c r="J62" s="8">
        <v>3</v>
      </c>
      <c r="K62" s="8">
        <v>2</v>
      </c>
      <c r="L62" s="8">
        <v>4</v>
      </c>
    </row>
    <row r="63" spans="1:12" x14ac:dyDescent="0.8">
      <c r="A63" s="5" t="s">
        <v>124</v>
      </c>
      <c r="B63" s="8">
        <v>23</v>
      </c>
      <c r="C63" s="5" t="s">
        <v>49</v>
      </c>
      <c r="D63" s="5" t="s">
        <v>42</v>
      </c>
      <c r="E63" s="5" t="s">
        <v>44</v>
      </c>
      <c r="F63" s="5" t="s">
        <v>60</v>
      </c>
      <c r="G63" s="8">
        <v>3</v>
      </c>
      <c r="H63" s="8">
        <v>3505</v>
      </c>
      <c r="I63" s="5" t="s">
        <v>49</v>
      </c>
      <c r="J63" s="8">
        <v>3</v>
      </c>
      <c r="K63" s="8">
        <v>3</v>
      </c>
      <c r="L63" s="8">
        <v>2</v>
      </c>
    </row>
    <row r="64" spans="1:12" x14ac:dyDescent="0.8">
      <c r="A64" s="5" t="s">
        <v>125</v>
      </c>
      <c r="B64" s="8">
        <v>23</v>
      </c>
      <c r="C64" s="5" t="s">
        <v>40</v>
      </c>
      <c r="D64" s="5" t="s">
        <v>42</v>
      </c>
      <c r="E64" s="5" t="s">
        <v>44</v>
      </c>
      <c r="F64" s="5" t="s">
        <v>45</v>
      </c>
      <c r="G64" s="8">
        <v>1</v>
      </c>
      <c r="H64" s="8">
        <v>1601</v>
      </c>
      <c r="I64" s="5" t="s">
        <v>40</v>
      </c>
      <c r="J64" s="8">
        <v>4</v>
      </c>
      <c r="K64" s="8">
        <v>2</v>
      </c>
      <c r="L64" s="8">
        <v>0</v>
      </c>
    </row>
    <row r="65" spans="1:12" x14ac:dyDescent="0.8">
      <c r="A65" s="5" t="s">
        <v>126</v>
      </c>
      <c r="B65" s="8">
        <v>23</v>
      </c>
      <c r="C65" s="5" t="s">
        <v>49</v>
      </c>
      <c r="D65" s="5" t="s">
        <v>42</v>
      </c>
      <c r="E65" s="5" t="s">
        <v>44</v>
      </c>
      <c r="F65" s="5" t="s">
        <v>60</v>
      </c>
      <c r="G65" s="8">
        <v>3</v>
      </c>
      <c r="H65" s="8">
        <v>1223</v>
      </c>
      <c r="I65" s="5" t="s">
        <v>49</v>
      </c>
      <c r="J65" s="8">
        <v>4</v>
      </c>
      <c r="K65" s="8">
        <v>2</v>
      </c>
      <c r="L65" s="8">
        <v>1</v>
      </c>
    </row>
    <row r="66" spans="1:12" x14ac:dyDescent="0.8">
      <c r="A66" s="5" t="s">
        <v>127</v>
      </c>
      <c r="B66" s="8">
        <v>23</v>
      </c>
      <c r="C66" s="5" t="s">
        <v>49</v>
      </c>
      <c r="D66" s="5" t="s">
        <v>42</v>
      </c>
      <c r="E66" s="5" t="s">
        <v>44</v>
      </c>
      <c r="F66" s="5" t="s">
        <v>45</v>
      </c>
      <c r="G66" s="8">
        <v>3</v>
      </c>
      <c r="H66" s="8">
        <v>2272</v>
      </c>
      <c r="I66" s="5" t="s">
        <v>49</v>
      </c>
      <c r="J66" s="8">
        <v>3</v>
      </c>
      <c r="K66" s="8">
        <v>2</v>
      </c>
      <c r="L66" s="8">
        <v>4</v>
      </c>
    </row>
    <row r="67" spans="1:12" x14ac:dyDescent="0.8">
      <c r="A67" s="5" t="s">
        <v>128</v>
      </c>
      <c r="B67" s="8">
        <v>23</v>
      </c>
      <c r="C67" s="5" t="s">
        <v>49</v>
      </c>
      <c r="D67" s="5" t="s">
        <v>42</v>
      </c>
      <c r="E67" s="5" t="s">
        <v>44</v>
      </c>
      <c r="F67" s="5" t="s">
        <v>60</v>
      </c>
      <c r="G67" s="8">
        <v>3</v>
      </c>
      <c r="H67" s="8">
        <v>2073</v>
      </c>
      <c r="I67" s="5" t="s">
        <v>49</v>
      </c>
      <c r="J67" s="8">
        <v>3</v>
      </c>
      <c r="K67" s="8">
        <v>2</v>
      </c>
      <c r="L67" s="8">
        <v>2</v>
      </c>
    </row>
    <row r="68" spans="1:12" x14ac:dyDescent="0.8">
      <c r="A68" s="5" t="s">
        <v>129</v>
      </c>
      <c r="B68" s="8">
        <v>23</v>
      </c>
      <c r="C68" s="5" t="s">
        <v>40</v>
      </c>
      <c r="D68" s="5" t="s">
        <v>42</v>
      </c>
      <c r="E68" s="5" t="s">
        <v>44</v>
      </c>
      <c r="F68" s="5" t="s">
        <v>45</v>
      </c>
      <c r="G68" s="8">
        <v>3</v>
      </c>
      <c r="H68" s="8">
        <v>3989</v>
      </c>
      <c r="I68" s="5" t="s">
        <v>40</v>
      </c>
      <c r="J68" s="8">
        <v>3</v>
      </c>
      <c r="K68" s="8">
        <v>2</v>
      </c>
      <c r="L68" s="8">
        <v>5</v>
      </c>
    </row>
    <row r="69" spans="1:12" x14ac:dyDescent="0.8">
      <c r="A69" s="5" t="s">
        <v>130</v>
      </c>
      <c r="B69" s="8">
        <v>23</v>
      </c>
      <c r="C69" s="5" t="s">
        <v>40</v>
      </c>
      <c r="D69" s="5" t="s">
        <v>51</v>
      </c>
      <c r="E69" s="5" t="s">
        <v>44</v>
      </c>
      <c r="F69" s="5" t="s">
        <v>54</v>
      </c>
      <c r="G69" s="8">
        <v>4</v>
      </c>
      <c r="H69" s="8">
        <v>2275</v>
      </c>
      <c r="I69" s="5" t="s">
        <v>40</v>
      </c>
      <c r="J69" s="8">
        <v>4</v>
      </c>
      <c r="K69" s="8">
        <v>2</v>
      </c>
      <c r="L69" s="8">
        <v>3</v>
      </c>
    </row>
    <row r="70" spans="1:12" x14ac:dyDescent="0.8">
      <c r="A70" s="5" t="s">
        <v>131</v>
      </c>
      <c r="B70" s="8">
        <v>23</v>
      </c>
      <c r="C70" s="5" t="s">
        <v>49</v>
      </c>
      <c r="D70" s="5" t="s">
        <v>42</v>
      </c>
      <c r="E70" s="5" t="s">
        <v>53</v>
      </c>
      <c r="F70" s="5" t="s">
        <v>45</v>
      </c>
      <c r="G70" s="8">
        <v>2</v>
      </c>
      <c r="H70" s="8">
        <v>3295</v>
      </c>
      <c r="I70" s="5" t="s">
        <v>49</v>
      </c>
      <c r="J70" s="8">
        <v>3</v>
      </c>
      <c r="K70" s="8">
        <v>3</v>
      </c>
      <c r="L70" s="8">
        <v>3</v>
      </c>
    </row>
    <row r="71" spans="1:12" x14ac:dyDescent="0.8">
      <c r="A71" s="5" t="s">
        <v>132</v>
      </c>
      <c r="B71" s="8">
        <v>23</v>
      </c>
      <c r="C71" s="5" t="s">
        <v>49</v>
      </c>
      <c r="D71" s="5" t="s">
        <v>42</v>
      </c>
      <c r="E71" s="5" t="s">
        <v>44</v>
      </c>
      <c r="F71" s="5" t="s">
        <v>45</v>
      </c>
      <c r="G71" s="8">
        <v>4</v>
      </c>
      <c r="H71" s="8">
        <v>2647</v>
      </c>
      <c r="I71" s="5" t="s">
        <v>49</v>
      </c>
      <c r="J71" s="8">
        <v>3</v>
      </c>
      <c r="K71" s="8">
        <v>6</v>
      </c>
      <c r="L71" s="8">
        <v>5</v>
      </c>
    </row>
    <row r="72" spans="1:12" x14ac:dyDescent="0.8">
      <c r="A72" s="5" t="s">
        <v>133</v>
      </c>
      <c r="B72" s="8">
        <v>23</v>
      </c>
      <c r="C72" s="5" t="s">
        <v>40</v>
      </c>
      <c r="D72" s="5" t="s">
        <v>51</v>
      </c>
      <c r="E72" s="5" t="s">
        <v>44</v>
      </c>
      <c r="F72" s="5" t="s">
        <v>54</v>
      </c>
      <c r="G72" s="8">
        <v>1</v>
      </c>
      <c r="H72" s="8">
        <v>1790</v>
      </c>
      <c r="I72" s="5" t="s">
        <v>49</v>
      </c>
      <c r="J72" s="8">
        <v>3</v>
      </c>
      <c r="K72" s="8">
        <v>3</v>
      </c>
      <c r="L72" s="8">
        <v>1</v>
      </c>
    </row>
    <row r="73" spans="1:12" x14ac:dyDescent="0.8">
      <c r="A73" s="5" t="s">
        <v>134</v>
      </c>
      <c r="B73" s="8">
        <v>24</v>
      </c>
      <c r="C73" s="5" t="s">
        <v>49</v>
      </c>
      <c r="D73" s="5" t="s">
        <v>42</v>
      </c>
      <c r="E73" s="5" t="s">
        <v>53</v>
      </c>
      <c r="F73" s="5" t="s">
        <v>112</v>
      </c>
      <c r="G73" s="8">
        <v>3</v>
      </c>
      <c r="H73" s="8">
        <v>4011</v>
      </c>
      <c r="I73" s="5" t="s">
        <v>49</v>
      </c>
      <c r="J73" s="8">
        <v>3</v>
      </c>
      <c r="K73" s="8">
        <v>5</v>
      </c>
      <c r="L73" s="8">
        <v>4</v>
      </c>
    </row>
    <row r="74" spans="1:12" x14ac:dyDescent="0.8">
      <c r="A74" s="5" t="s">
        <v>135</v>
      </c>
      <c r="B74" s="8">
        <v>24</v>
      </c>
      <c r="C74" s="5" t="s">
        <v>40</v>
      </c>
      <c r="D74" s="5" t="s">
        <v>42</v>
      </c>
      <c r="E74" s="5" t="s">
        <v>44</v>
      </c>
      <c r="F74" s="5" t="s">
        <v>60</v>
      </c>
      <c r="G74" s="8">
        <v>4</v>
      </c>
      <c r="H74" s="8">
        <v>2293</v>
      </c>
      <c r="I74" s="5" t="s">
        <v>40</v>
      </c>
      <c r="J74" s="8">
        <v>3</v>
      </c>
      <c r="K74" s="8">
        <v>2</v>
      </c>
      <c r="L74" s="8">
        <v>2</v>
      </c>
    </row>
    <row r="75" spans="1:12" x14ac:dyDescent="0.8">
      <c r="A75" s="5" t="s">
        <v>136</v>
      </c>
      <c r="B75" s="8">
        <v>24</v>
      </c>
      <c r="C75" s="5" t="s">
        <v>49</v>
      </c>
      <c r="D75" s="5" t="s">
        <v>51</v>
      </c>
      <c r="E75" s="5" t="s">
        <v>53</v>
      </c>
      <c r="F75" s="5" t="s">
        <v>137</v>
      </c>
      <c r="G75" s="8">
        <v>3</v>
      </c>
      <c r="H75" s="8">
        <v>4999</v>
      </c>
      <c r="I75" s="5" t="s">
        <v>49</v>
      </c>
      <c r="J75" s="8">
        <v>4</v>
      </c>
      <c r="K75" s="8">
        <v>2</v>
      </c>
      <c r="L75" s="8">
        <v>3</v>
      </c>
    </row>
    <row r="76" spans="1:12" x14ac:dyDescent="0.8">
      <c r="A76" s="5" t="s">
        <v>138</v>
      </c>
      <c r="B76" s="8">
        <v>24</v>
      </c>
      <c r="C76" s="5" t="s">
        <v>49</v>
      </c>
      <c r="D76" s="5" t="s">
        <v>42</v>
      </c>
      <c r="E76" s="5" t="s">
        <v>44</v>
      </c>
      <c r="F76" s="5" t="s">
        <v>45</v>
      </c>
      <c r="G76" s="8">
        <v>3</v>
      </c>
      <c r="H76" s="8">
        <v>2774</v>
      </c>
      <c r="I76" s="5" t="s">
        <v>49</v>
      </c>
      <c r="J76" s="8">
        <v>3</v>
      </c>
      <c r="K76" s="8">
        <v>2</v>
      </c>
      <c r="L76" s="8">
        <v>5</v>
      </c>
    </row>
    <row r="77" spans="1:12" x14ac:dyDescent="0.8">
      <c r="A77" s="5" t="s">
        <v>139</v>
      </c>
      <c r="B77" s="8">
        <v>24</v>
      </c>
      <c r="C77" s="5" t="s">
        <v>49</v>
      </c>
      <c r="D77" s="5" t="s">
        <v>51</v>
      </c>
      <c r="E77" s="5" t="s">
        <v>53</v>
      </c>
      <c r="F77" s="5" t="s">
        <v>137</v>
      </c>
      <c r="G77" s="8">
        <v>3</v>
      </c>
      <c r="H77" s="8">
        <v>4260</v>
      </c>
      <c r="I77" s="5" t="s">
        <v>40</v>
      </c>
      <c r="J77" s="8">
        <v>3</v>
      </c>
      <c r="K77" s="8">
        <v>2</v>
      </c>
      <c r="L77" s="8">
        <v>5</v>
      </c>
    </row>
    <row r="78" spans="1:12" x14ac:dyDescent="0.8">
      <c r="A78" s="5" t="s">
        <v>140</v>
      </c>
      <c r="B78" s="8">
        <v>24</v>
      </c>
      <c r="C78" s="5" t="s">
        <v>40</v>
      </c>
      <c r="D78" s="5" t="s">
        <v>51</v>
      </c>
      <c r="E78" s="5" t="s">
        <v>53</v>
      </c>
      <c r="F78" s="5" t="s">
        <v>54</v>
      </c>
      <c r="G78" s="8">
        <v>2</v>
      </c>
      <c r="H78" s="8">
        <v>3202</v>
      </c>
      <c r="I78" s="5" t="s">
        <v>40</v>
      </c>
      <c r="J78" s="8">
        <v>3</v>
      </c>
      <c r="K78" s="8">
        <v>4</v>
      </c>
      <c r="L78" s="8">
        <v>5</v>
      </c>
    </row>
    <row r="79" spans="1:12" x14ac:dyDescent="0.8">
      <c r="A79" s="5" t="s">
        <v>141</v>
      </c>
      <c r="B79" s="8">
        <v>24</v>
      </c>
      <c r="C79" s="5" t="s">
        <v>49</v>
      </c>
      <c r="D79" s="5" t="s">
        <v>51</v>
      </c>
      <c r="E79" s="5" t="s">
        <v>44</v>
      </c>
      <c r="F79" s="5" t="s">
        <v>54</v>
      </c>
      <c r="G79" s="8">
        <v>4</v>
      </c>
      <c r="H79" s="8">
        <v>2400</v>
      </c>
      <c r="I79" s="5" t="s">
        <v>49</v>
      </c>
      <c r="J79" s="8">
        <v>3</v>
      </c>
      <c r="K79" s="8">
        <v>3</v>
      </c>
      <c r="L79" s="8">
        <v>2</v>
      </c>
    </row>
    <row r="80" spans="1:12" x14ac:dyDescent="0.8">
      <c r="A80" s="5" t="s">
        <v>142</v>
      </c>
      <c r="B80" s="8">
        <v>24</v>
      </c>
      <c r="C80" s="5" t="s">
        <v>49</v>
      </c>
      <c r="D80" s="5" t="s">
        <v>42</v>
      </c>
      <c r="E80" s="5" t="s">
        <v>44</v>
      </c>
      <c r="F80" s="5" t="s">
        <v>60</v>
      </c>
      <c r="G80" s="8">
        <v>4</v>
      </c>
      <c r="H80" s="8">
        <v>2725</v>
      </c>
      <c r="I80" s="5" t="s">
        <v>40</v>
      </c>
      <c r="J80" s="8">
        <v>3</v>
      </c>
      <c r="K80" s="8">
        <v>3</v>
      </c>
      <c r="L80" s="8">
        <v>6</v>
      </c>
    </row>
    <row r="81" spans="1:12" x14ac:dyDescent="0.8">
      <c r="A81" s="5" t="s">
        <v>143</v>
      </c>
      <c r="B81" s="8">
        <v>24</v>
      </c>
      <c r="C81" s="5" t="s">
        <v>49</v>
      </c>
      <c r="D81" s="5" t="s">
        <v>42</v>
      </c>
      <c r="E81" s="5" t="s">
        <v>44</v>
      </c>
      <c r="F81" s="5" t="s">
        <v>45</v>
      </c>
      <c r="G81" s="8">
        <v>2</v>
      </c>
      <c r="H81" s="8">
        <v>2127</v>
      </c>
      <c r="I81" s="5" t="s">
        <v>49</v>
      </c>
      <c r="J81" s="8">
        <v>4</v>
      </c>
      <c r="K81" s="8">
        <v>2</v>
      </c>
      <c r="L81" s="8">
        <v>1</v>
      </c>
    </row>
    <row r="82" spans="1:12" x14ac:dyDescent="0.8">
      <c r="A82" s="5" t="s">
        <v>144</v>
      </c>
      <c r="B82" s="8">
        <v>24</v>
      </c>
      <c r="C82" s="5" t="s">
        <v>40</v>
      </c>
      <c r="D82" s="5" t="s">
        <v>42</v>
      </c>
      <c r="E82" s="5" t="s">
        <v>53</v>
      </c>
      <c r="F82" s="5" t="s">
        <v>45</v>
      </c>
      <c r="G82" s="8">
        <v>3</v>
      </c>
      <c r="H82" s="8">
        <v>2886</v>
      </c>
      <c r="I82" s="5" t="s">
        <v>40</v>
      </c>
      <c r="J82" s="8">
        <v>3</v>
      </c>
      <c r="K82" s="8">
        <v>4</v>
      </c>
      <c r="L82" s="8">
        <v>6</v>
      </c>
    </row>
    <row r="83" spans="1:12" x14ac:dyDescent="0.8">
      <c r="A83" s="5" t="s">
        <v>145</v>
      </c>
      <c r="B83" s="8">
        <v>24</v>
      </c>
      <c r="C83" s="5" t="s">
        <v>40</v>
      </c>
      <c r="D83" s="5" t="s">
        <v>51</v>
      </c>
      <c r="E83" s="5" t="s">
        <v>53</v>
      </c>
      <c r="F83" s="5" t="s">
        <v>137</v>
      </c>
      <c r="G83" s="8">
        <v>3</v>
      </c>
      <c r="H83" s="8">
        <v>4577</v>
      </c>
      <c r="I83" s="5" t="s">
        <v>49</v>
      </c>
      <c r="J83" s="8">
        <v>3</v>
      </c>
      <c r="K83" s="8">
        <v>3</v>
      </c>
      <c r="L83" s="8">
        <v>2</v>
      </c>
    </row>
    <row r="84" spans="1:12" x14ac:dyDescent="0.8">
      <c r="A84" s="5" t="s">
        <v>146</v>
      </c>
      <c r="B84" s="8">
        <v>24</v>
      </c>
      <c r="C84" s="5" t="s">
        <v>49</v>
      </c>
      <c r="D84" s="5" t="s">
        <v>42</v>
      </c>
      <c r="E84" s="5" t="s">
        <v>44</v>
      </c>
      <c r="F84" s="5" t="s">
        <v>45</v>
      </c>
      <c r="G84" s="8">
        <v>2</v>
      </c>
      <c r="H84" s="8">
        <v>2694</v>
      </c>
      <c r="I84" s="5" t="s">
        <v>49</v>
      </c>
      <c r="J84" s="8">
        <v>3</v>
      </c>
      <c r="K84" s="8">
        <v>4</v>
      </c>
      <c r="L84" s="8">
        <v>1</v>
      </c>
    </row>
    <row r="85" spans="1:12" x14ac:dyDescent="0.8">
      <c r="A85" s="5" t="s">
        <v>147</v>
      </c>
      <c r="B85" s="8">
        <v>24</v>
      </c>
      <c r="C85" s="5" t="s">
        <v>49</v>
      </c>
      <c r="D85" s="5" t="s">
        <v>42</v>
      </c>
      <c r="E85" s="5" t="s">
        <v>44</v>
      </c>
      <c r="F85" s="5" t="s">
        <v>45</v>
      </c>
      <c r="G85" s="8">
        <v>4</v>
      </c>
      <c r="H85" s="8">
        <v>3162</v>
      </c>
      <c r="I85" s="5" t="s">
        <v>49</v>
      </c>
      <c r="J85" s="8">
        <v>3</v>
      </c>
      <c r="K85" s="8">
        <v>2</v>
      </c>
      <c r="L85" s="8">
        <v>5</v>
      </c>
    </row>
    <row r="86" spans="1:12" x14ac:dyDescent="0.8">
      <c r="A86" s="5" t="s">
        <v>148</v>
      </c>
      <c r="B86" s="8">
        <v>24</v>
      </c>
      <c r="C86" s="5" t="s">
        <v>49</v>
      </c>
      <c r="D86" s="5" t="s">
        <v>42</v>
      </c>
      <c r="E86" s="5" t="s">
        <v>53</v>
      </c>
      <c r="F86" s="5" t="s">
        <v>112</v>
      </c>
      <c r="G86" s="8">
        <v>3</v>
      </c>
      <c r="H86" s="8">
        <v>4377</v>
      </c>
      <c r="I86" s="5" t="s">
        <v>49</v>
      </c>
      <c r="J86" s="8">
        <v>3</v>
      </c>
      <c r="K86" s="8">
        <v>6</v>
      </c>
      <c r="L86" s="8">
        <v>4</v>
      </c>
    </row>
    <row r="87" spans="1:12" x14ac:dyDescent="0.8">
      <c r="A87" s="5" t="s">
        <v>149</v>
      </c>
      <c r="B87" s="8">
        <v>24</v>
      </c>
      <c r="C87" s="5" t="s">
        <v>49</v>
      </c>
      <c r="D87" s="5" t="s">
        <v>42</v>
      </c>
      <c r="E87" s="5" t="s">
        <v>44</v>
      </c>
      <c r="F87" s="5" t="s">
        <v>45</v>
      </c>
      <c r="G87" s="8">
        <v>2</v>
      </c>
      <c r="H87" s="8">
        <v>3597</v>
      </c>
      <c r="I87" s="5" t="s">
        <v>49</v>
      </c>
      <c r="J87" s="8">
        <v>4</v>
      </c>
      <c r="K87" s="8">
        <v>2</v>
      </c>
      <c r="L87" s="8">
        <v>4</v>
      </c>
    </row>
    <row r="88" spans="1:12" x14ac:dyDescent="0.8">
      <c r="A88" s="5" t="s">
        <v>150</v>
      </c>
      <c r="B88" s="8">
        <v>24</v>
      </c>
      <c r="C88" s="5" t="s">
        <v>40</v>
      </c>
      <c r="D88" s="5" t="s">
        <v>42</v>
      </c>
      <c r="E88" s="5" t="s">
        <v>53</v>
      </c>
      <c r="F88" s="5" t="s">
        <v>45</v>
      </c>
      <c r="G88" s="8">
        <v>2</v>
      </c>
      <c r="H88" s="8">
        <v>2210</v>
      </c>
      <c r="I88" s="5" t="s">
        <v>49</v>
      </c>
      <c r="J88" s="8">
        <v>3</v>
      </c>
      <c r="K88" s="8">
        <v>3</v>
      </c>
      <c r="L88" s="8">
        <v>1</v>
      </c>
    </row>
    <row r="89" spans="1:12" x14ac:dyDescent="0.8">
      <c r="A89" s="5" t="s">
        <v>151</v>
      </c>
      <c r="B89" s="8">
        <v>24</v>
      </c>
      <c r="C89" s="5" t="s">
        <v>49</v>
      </c>
      <c r="D89" s="5" t="s">
        <v>51</v>
      </c>
      <c r="E89" s="5" t="s">
        <v>53</v>
      </c>
      <c r="F89" s="5" t="s">
        <v>137</v>
      </c>
      <c r="G89" s="8">
        <v>3</v>
      </c>
      <c r="H89" s="8">
        <v>4162</v>
      </c>
      <c r="I89" s="5" t="s">
        <v>40</v>
      </c>
      <c r="J89" s="8">
        <v>3</v>
      </c>
      <c r="K89" s="8">
        <v>3</v>
      </c>
      <c r="L89" s="8">
        <v>5</v>
      </c>
    </row>
    <row r="90" spans="1:12" x14ac:dyDescent="0.8">
      <c r="A90" s="5" t="s">
        <v>152</v>
      </c>
      <c r="B90" s="8">
        <v>24</v>
      </c>
      <c r="C90" s="5" t="s">
        <v>40</v>
      </c>
      <c r="D90" s="5" t="s">
        <v>42</v>
      </c>
      <c r="E90" s="5" t="s">
        <v>44</v>
      </c>
      <c r="F90" s="5" t="s">
        <v>45</v>
      </c>
      <c r="G90" s="8">
        <v>1</v>
      </c>
      <c r="H90" s="8">
        <v>3172</v>
      </c>
      <c r="I90" s="5" t="s">
        <v>40</v>
      </c>
      <c r="J90" s="8">
        <v>3</v>
      </c>
      <c r="K90" s="8">
        <v>2</v>
      </c>
      <c r="L90" s="8">
        <v>0</v>
      </c>
    </row>
    <row r="91" spans="1:12" x14ac:dyDescent="0.8">
      <c r="A91" s="5" t="s">
        <v>153</v>
      </c>
      <c r="B91" s="8">
        <v>24</v>
      </c>
      <c r="C91" s="5" t="s">
        <v>49</v>
      </c>
      <c r="D91" s="5" t="s">
        <v>51</v>
      </c>
      <c r="E91" s="5" t="s">
        <v>53</v>
      </c>
      <c r="F91" s="5" t="s">
        <v>54</v>
      </c>
      <c r="G91" s="8">
        <v>2</v>
      </c>
      <c r="H91" s="8">
        <v>2033</v>
      </c>
      <c r="I91" s="5" t="s">
        <v>49</v>
      </c>
      <c r="J91" s="8">
        <v>3</v>
      </c>
      <c r="K91" s="8">
        <v>2</v>
      </c>
      <c r="L91" s="8">
        <v>1</v>
      </c>
    </row>
    <row r="92" spans="1:12" x14ac:dyDescent="0.8">
      <c r="A92" s="5" t="s">
        <v>154</v>
      </c>
      <c r="B92" s="8">
        <v>24</v>
      </c>
      <c r="C92" s="5" t="s">
        <v>49</v>
      </c>
      <c r="D92" s="5" t="s">
        <v>42</v>
      </c>
      <c r="E92" s="5" t="s">
        <v>44</v>
      </c>
      <c r="F92" s="5" t="s">
        <v>45</v>
      </c>
      <c r="G92" s="8">
        <v>1</v>
      </c>
      <c r="H92" s="8">
        <v>2296</v>
      </c>
      <c r="I92" s="5" t="s">
        <v>49</v>
      </c>
      <c r="J92" s="8">
        <v>3</v>
      </c>
      <c r="K92" s="8">
        <v>3</v>
      </c>
      <c r="L92" s="8">
        <v>1</v>
      </c>
    </row>
    <row r="93" spans="1:12" x14ac:dyDescent="0.8">
      <c r="A93" s="5" t="s">
        <v>155</v>
      </c>
      <c r="B93" s="8">
        <v>24</v>
      </c>
      <c r="C93" s="5" t="s">
        <v>49</v>
      </c>
      <c r="D93" s="5" t="s">
        <v>42</v>
      </c>
      <c r="E93" s="5" t="s">
        <v>53</v>
      </c>
      <c r="F93" s="5" t="s">
        <v>60</v>
      </c>
      <c r="G93" s="8">
        <v>4</v>
      </c>
      <c r="H93" s="8">
        <v>3760</v>
      </c>
      <c r="I93" s="5" t="s">
        <v>40</v>
      </c>
      <c r="J93" s="8">
        <v>3</v>
      </c>
      <c r="K93" s="8">
        <v>2</v>
      </c>
      <c r="L93" s="8">
        <v>6</v>
      </c>
    </row>
    <row r="94" spans="1:12" x14ac:dyDescent="0.8">
      <c r="A94" s="5" t="s">
        <v>156</v>
      </c>
      <c r="B94" s="8">
        <v>24</v>
      </c>
      <c r="C94" s="5" t="s">
        <v>49</v>
      </c>
      <c r="D94" s="5" t="s">
        <v>42</v>
      </c>
      <c r="E94" s="5" t="s">
        <v>44</v>
      </c>
      <c r="F94" s="5" t="s">
        <v>60</v>
      </c>
      <c r="G94" s="8">
        <v>3</v>
      </c>
      <c r="H94" s="8">
        <v>4401</v>
      </c>
      <c r="I94" s="5" t="s">
        <v>49</v>
      </c>
      <c r="J94" s="8">
        <v>3</v>
      </c>
      <c r="K94" s="8">
        <v>1</v>
      </c>
      <c r="L94" s="8">
        <v>5</v>
      </c>
    </row>
    <row r="95" spans="1:12" x14ac:dyDescent="0.8">
      <c r="A95" s="5" t="s">
        <v>157</v>
      </c>
      <c r="B95" s="8">
        <v>24</v>
      </c>
      <c r="C95" s="5" t="s">
        <v>40</v>
      </c>
      <c r="D95" s="5" t="s">
        <v>71</v>
      </c>
      <c r="E95" s="5" t="s">
        <v>44</v>
      </c>
      <c r="F95" s="5" t="s">
        <v>71</v>
      </c>
      <c r="G95" s="8">
        <v>3</v>
      </c>
      <c r="H95" s="8">
        <v>1555</v>
      </c>
      <c r="I95" s="5" t="s">
        <v>49</v>
      </c>
      <c r="J95" s="8">
        <v>3</v>
      </c>
      <c r="K95" s="8">
        <v>2</v>
      </c>
      <c r="L95" s="8">
        <v>1</v>
      </c>
    </row>
    <row r="96" spans="1:12" x14ac:dyDescent="0.8">
      <c r="A96" s="5" t="s">
        <v>158</v>
      </c>
      <c r="B96" s="8">
        <v>24</v>
      </c>
      <c r="C96" s="5" t="s">
        <v>49</v>
      </c>
      <c r="D96" s="5" t="s">
        <v>42</v>
      </c>
      <c r="E96" s="5" t="s">
        <v>44</v>
      </c>
      <c r="F96" s="5" t="s">
        <v>45</v>
      </c>
      <c r="G96" s="8">
        <v>1</v>
      </c>
      <c r="H96" s="8">
        <v>3907</v>
      </c>
      <c r="I96" s="5" t="s">
        <v>49</v>
      </c>
      <c r="J96" s="8">
        <v>3</v>
      </c>
      <c r="K96" s="8">
        <v>2</v>
      </c>
      <c r="L96" s="8">
        <v>6</v>
      </c>
    </row>
    <row r="97" spans="1:12" x14ac:dyDescent="0.8">
      <c r="A97" s="5" t="s">
        <v>159</v>
      </c>
      <c r="B97" s="8">
        <v>24</v>
      </c>
      <c r="C97" s="5" t="s">
        <v>49</v>
      </c>
      <c r="D97" s="5" t="s">
        <v>71</v>
      </c>
      <c r="E97" s="5" t="s">
        <v>44</v>
      </c>
      <c r="F97" s="5" t="s">
        <v>71</v>
      </c>
      <c r="G97" s="8">
        <v>4</v>
      </c>
      <c r="H97" s="8">
        <v>2145</v>
      </c>
      <c r="I97" s="5" t="s">
        <v>49</v>
      </c>
      <c r="J97" s="8">
        <v>3</v>
      </c>
      <c r="K97" s="8">
        <v>2</v>
      </c>
      <c r="L97" s="8">
        <v>2</v>
      </c>
    </row>
    <row r="98" spans="1:12" x14ac:dyDescent="0.8">
      <c r="A98" s="5" t="s">
        <v>160</v>
      </c>
      <c r="B98" s="8">
        <v>24</v>
      </c>
      <c r="C98" s="5" t="s">
        <v>49</v>
      </c>
      <c r="D98" s="5" t="s">
        <v>42</v>
      </c>
      <c r="E98" s="5" t="s">
        <v>44</v>
      </c>
      <c r="F98" s="5" t="s">
        <v>161</v>
      </c>
      <c r="G98" s="8">
        <v>3</v>
      </c>
      <c r="H98" s="8">
        <v>4617</v>
      </c>
      <c r="I98" s="5" t="s">
        <v>49</v>
      </c>
      <c r="J98" s="8">
        <v>3</v>
      </c>
      <c r="K98" s="8">
        <v>2</v>
      </c>
      <c r="L98" s="8">
        <v>4</v>
      </c>
    </row>
    <row r="99" spans="1:12" x14ac:dyDescent="0.8">
      <c r="A99" s="5" t="s">
        <v>162</v>
      </c>
      <c r="B99" s="8">
        <v>25</v>
      </c>
      <c r="C99" s="5" t="s">
        <v>40</v>
      </c>
      <c r="D99" s="5" t="s">
        <v>51</v>
      </c>
      <c r="E99" s="5" t="s">
        <v>44</v>
      </c>
      <c r="F99" s="5" t="s">
        <v>137</v>
      </c>
      <c r="G99" s="8">
        <v>3</v>
      </c>
      <c r="H99" s="8">
        <v>5744</v>
      </c>
      <c r="I99" s="5" t="s">
        <v>40</v>
      </c>
      <c r="J99" s="8">
        <v>3</v>
      </c>
      <c r="K99" s="8">
        <v>1</v>
      </c>
      <c r="L99" s="8">
        <v>6</v>
      </c>
    </row>
    <row r="100" spans="1:12" x14ac:dyDescent="0.8">
      <c r="A100" s="5" t="s">
        <v>164</v>
      </c>
      <c r="B100" s="8">
        <v>25</v>
      </c>
      <c r="C100" s="5" t="s">
        <v>49</v>
      </c>
      <c r="D100" s="5" t="s">
        <v>42</v>
      </c>
      <c r="E100" s="5" t="s">
        <v>44</v>
      </c>
      <c r="F100" s="5" t="s">
        <v>60</v>
      </c>
      <c r="G100" s="8">
        <v>4</v>
      </c>
      <c r="H100" s="8">
        <v>2889</v>
      </c>
      <c r="I100" s="5" t="s">
        <v>49</v>
      </c>
      <c r="J100" s="8">
        <v>3</v>
      </c>
      <c r="K100" s="8">
        <v>2</v>
      </c>
      <c r="L100" s="8">
        <v>2</v>
      </c>
    </row>
    <row r="101" spans="1:12" x14ac:dyDescent="0.8">
      <c r="A101" s="5" t="s">
        <v>165</v>
      </c>
      <c r="B101" s="8">
        <v>25</v>
      </c>
      <c r="C101" s="5" t="s">
        <v>49</v>
      </c>
      <c r="D101" s="5" t="s">
        <v>51</v>
      </c>
      <c r="E101" s="5" t="s">
        <v>44</v>
      </c>
      <c r="F101" s="5" t="s">
        <v>137</v>
      </c>
      <c r="G101" s="8">
        <v>3</v>
      </c>
      <c r="H101" s="8">
        <v>8639</v>
      </c>
      <c r="I101" s="5" t="s">
        <v>49</v>
      </c>
      <c r="J101" s="8">
        <v>3</v>
      </c>
      <c r="K101" s="8">
        <v>3</v>
      </c>
      <c r="L101" s="8">
        <v>2</v>
      </c>
    </row>
    <row r="102" spans="1:12" x14ac:dyDescent="0.8">
      <c r="A102" s="5" t="s">
        <v>166</v>
      </c>
      <c r="B102" s="8">
        <v>25</v>
      </c>
      <c r="C102" s="5" t="s">
        <v>49</v>
      </c>
      <c r="D102" s="5" t="s">
        <v>42</v>
      </c>
      <c r="E102" s="5" t="s">
        <v>53</v>
      </c>
      <c r="F102" s="5" t="s">
        <v>112</v>
      </c>
      <c r="G102" s="8">
        <v>3</v>
      </c>
      <c r="H102" s="8">
        <v>4898</v>
      </c>
      <c r="I102" s="5" t="s">
        <v>49</v>
      </c>
      <c r="J102" s="8">
        <v>3</v>
      </c>
      <c r="K102" s="8">
        <v>3</v>
      </c>
      <c r="L102" s="8">
        <v>4</v>
      </c>
    </row>
    <row r="103" spans="1:12" x14ac:dyDescent="0.8">
      <c r="A103" s="5" t="s">
        <v>167</v>
      </c>
      <c r="B103" s="8">
        <v>25</v>
      </c>
      <c r="C103" s="5" t="s">
        <v>49</v>
      </c>
      <c r="D103" s="5" t="s">
        <v>42</v>
      </c>
      <c r="E103" s="5" t="s">
        <v>44</v>
      </c>
      <c r="F103" s="5" t="s">
        <v>161</v>
      </c>
      <c r="G103" s="8">
        <v>1</v>
      </c>
      <c r="H103" s="8">
        <v>4000</v>
      </c>
      <c r="I103" s="5" t="s">
        <v>49</v>
      </c>
      <c r="J103" s="8">
        <v>3</v>
      </c>
      <c r="K103" s="8">
        <v>2</v>
      </c>
      <c r="L103" s="8">
        <v>6</v>
      </c>
    </row>
    <row r="104" spans="1:12" x14ac:dyDescent="0.8">
      <c r="A104" s="5" t="s">
        <v>168</v>
      </c>
      <c r="B104" s="8">
        <v>25</v>
      </c>
      <c r="C104" s="5" t="s">
        <v>49</v>
      </c>
      <c r="D104" s="5" t="s">
        <v>51</v>
      </c>
      <c r="E104" s="5" t="s">
        <v>53</v>
      </c>
      <c r="F104" s="5" t="s">
        <v>137</v>
      </c>
      <c r="G104" s="8">
        <v>4</v>
      </c>
      <c r="H104" s="8">
        <v>4487</v>
      </c>
      <c r="I104" s="5" t="s">
        <v>40</v>
      </c>
      <c r="J104" s="8">
        <v>3</v>
      </c>
      <c r="K104" s="8">
        <v>3</v>
      </c>
      <c r="L104" s="8">
        <v>5</v>
      </c>
    </row>
    <row r="105" spans="1:12" x14ac:dyDescent="0.8">
      <c r="A105" s="5" t="s">
        <v>169</v>
      </c>
      <c r="B105" s="8">
        <v>25</v>
      </c>
      <c r="C105" s="5" t="s">
        <v>40</v>
      </c>
      <c r="D105" s="5" t="s">
        <v>42</v>
      </c>
      <c r="E105" s="5" t="s">
        <v>44</v>
      </c>
      <c r="F105" s="5" t="s">
        <v>45</v>
      </c>
      <c r="G105" s="8">
        <v>1</v>
      </c>
      <c r="H105" s="8">
        <v>4031</v>
      </c>
      <c r="I105" s="5" t="s">
        <v>49</v>
      </c>
      <c r="J105" s="8">
        <v>3</v>
      </c>
      <c r="K105" s="8">
        <v>5</v>
      </c>
      <c r="L105" s="8">
        <v>2</v>
      </c>
    </row>
    <row r="106" spans="1:12" x14ac:dyDescent="0.8">
      <c r="A106" s="5" t="s">
        <v>170</v>
      </c>
      <c r="B106" s="8">
        <v>25</v>
      </c>
      <c r="C106" s="5" t="s">
        <v>49</v>
      </c>
      <c r="D106" s="5" t="s">
        <v>51</v>
      </c>
      <c r="E106" s="5" t="s">
        <v>44</v>
      </c>
      <c r="F106" s="5" t="s">
        <v>54</v>
      </c>
      <c r="G106" s="8">
        <v>3</v>
      </c>
      <c r="H106" s="8">
        <v>2096</v>
      </c>
      <c r="I106" s="5" t="s">
        <v>49</v>
      </c>
      <c r="J106" s="8">
        <v>3</v>
      </c>
      <c r="K106" s="8">
        <v>1</v>
      </c>
      <c r="L106" s="8">
        <v>7</v>
      </c>
    </row>
    <row r="107" spans="1:12" x14ac:dyDescent="0.8">
      <c r="A107" s="5" t="s">
        <v>171</v>
      </c>
      <c r="B107" s="8">
        <v>25</v>
      </c>
      <c r="C107" s="5" t="s">
        <v>49</v>
      </c>
      <c r="D107" s="5" t="s">
        <v>51</v>
      </c>
      <c r="E107" s="5" t="s">
        <v>44</v>
      </c>
      <c r="F107" s="5" t="s">
        <v>137</v>
      </c>
      <c r="G107" s="8">
        <v>2</v>
      </c>
      <c r="H107" s="8">
        <v>4851</v>
      </c>
      <c r="I107" s="5" t="s">
        <v>49</v>
      </c>
      <c r="J107" s="8">
        <v>4</v>
      </c>
      <c r="K107" s="8">
        <v>4</v>
      </c>
      <c r="L107" s="8">
        <v>3</v>
      </c>
    </row>
    <row r="108" spans="1:12" x14ac:dyDescent="0.8">
      <c r="A108" s="5" t="s">
        <v>172</v>
      </c>
      <c r="B108" s="8">
        <v>25</v>
      </c>
      <c r="C108" s="5" t="s">
        <v>49</v>
      </c>
      <c r="D108" s="5" t="s">
        <v>51</v>
      </c>
      <c r="E108" s="5" t="s">
        <v>53</v>
      </c>
      <c r="F108" s="5" t="s">
        <v>137</v>
      </c>
      <c r="G108" s="8">
        <v>4</v>
      </c>
      <c r="H108" s="8">
        <v>6180</v>
      </c>
      <c r="I108" s="5" t="s">
        <v>49</v>
      </c>
      <c r="J108" s="8">
        <v>4</v>
      </c>
      <c r="K108" s="8">
        <v>5</v>
      </c>
      <c r="L108" s="8">
        <v>6</v>
      </c>
    </row>
    <row r="109" spans="1:12" x14ac:dyDescent="0.8">
      <c r="A109" s="5" t="s">
        <v>173</v>
      </c>
      <c r="B109" s="8">
        <v>25</v>
      </c>
      <c r="C109" s="5" t="s">
        <v>49</v>
      </c>
      <c r="D109" s="5" t="s">
        <v>42</v>
      </c>
      <c r="E109" s="5" t="s">
        <v>44</v>
      </c>
      <c r="F109" s="5" t="s">
        <v>60</v>
      </c>
      <c r="G109" s="8">
        <v>1</v>
      </c>
      <c r="H109" s="8">
        <v>3424</v>
      </c>
      <c r="I109" s="5" t="s">
        <v>49</v>
      </c>
      <c r="J109" s="8">
        <v>3</v>
      </c>
      <c r="K109" s="8">
        <v>3</v>
      </c>
      <c r="L109" s="8">
        <v>4</v>
      </c>
    </row>
    <row r="110" spans="1:12" x14ac:dyDescent="0.8">
      <c r="A110" s="5" t="s">
        <v>174</v>
      </c>
      <c r="B110" s="8">
        <v>25</v>
      </c>
      <c r="C110" s="5" t="s">
        <v>49</v>
      </c>
      <c r="D110" s="5" t="s">
        <v>51</v>
      </c>
      <c r="E110" s="5" t="s">
        <v>44</v>
      </c>
      <c r="F110" s="5" t="s">
        <v>137</v>
      </c>
      <c r="G110" s="8">
        <v>1</v>
      </c>
      <c r="H110" s="8">
        <v>4194</v>
      </c>
      <c r="I110" s="5" t="s">
        <v>40</v>
      </c>
      <c r="J110" s="8">
        <v>3</v>
      </c>
      <c r="K110" s="8">
        <v>3</v>
      </c>
      <c r="L110" s="8">
        <v>5</v>
      </c>
    </row>
    <row r="111" spans="1:12" x14ac:dyDescent="0.8">
      <c r="A111" s="5" t="s">
        <v>175</v>
      </c>
      <c r="B111" s="8">
        <v>25</v>
      </c>
      <c r="C111" s="5" t="s">
        <v>49</v>
      </c>
      <c r="D111" s="5" t="s">
        <v>51</v>
      </c>
      <c r="E111" s="5" t="s">
        <v>44</v>
      </c>
      <c r="F111" s="5" t="s">
        <v>137</v>
      </c>
      <c r="G111" s="8">
        <v>1</v>
      </c>
      <c r="H111" s="8">
        <v>4256</v>
      </c>
      <c r="I111" s="5" t="s">
        <v>49</v>
      </c>
      <c r="J111" s="8">
        <v>3</v>
      </c>
      <c r="K111" s="8">
        <v>1</v>
      </c>
      <c r="L111" s="8">
        <v>5</v>
      </c>
    </row>
    <row r="112" spans="1:12" x14ac:dyDescent="0.8">
      <c r="A112" s="5" t="s">
        <v>176</v>
      </c>
      <c r="B112" s="8">
        <v>25</v>
      </c>
      <c r="C112" s="5" t="s">
        <v>40</v>
      </c>
      <c r="D112" s="5" t="s">
        <v>51</v>
      </c>
      <c r="E112" s="5" t="s">
        <v>44</v>
      </c>
      <c r="F112" s="5" t="s">
        <v>54</v>
      </c>
      <c r="G112" s="8">
        <v>2</v>
      </c>
      <c r="H112" s="8">
        <v>2413</v>
      </c>
      <c r="I112" s="5" t="s">
        <v>40</v>
      </c>
      <c r="J112" s="8">
        <v>3</v>
      </c>
      <c r="K112" s="8">
        <v>2</v>
      </c>
      <c r="L112" s="8">
        <v>1</v>
      </c>
    </row>
    <row r="113" spans="1:12" x14ac:dyDescent="0.8">
      <c r="A113" s="5" t="s">
        <v>177</v>
      </c>
      <c r="B113" s="8">
        <v>25</v>
      </c>
      <c r="C113" s="5" t="s">
        <v>40</v>
      </c>
      <c r="D113" s="5" t="s">
        <v>42</v>
      </c>
      <c r="E113" s="5" t="s">
        <v>44</v>
      </c>
      <c r="F113" s="5" t="s">
        <v>45</v>
      </c>
      <c r="G113" s="8">
        <v>4</v>
      </c>
      <c r="H113" s="8">
        <v>3691</v>
      </c>
      <c r="I113" s="5" t="s">
        <v>40</v>
      </c>
      <c r="J113" s="8">
        <v>3</v>
      </c>
      <c r="K113" s="8">
        <v>3</v>
      </c>
      <c r="L113" s="8">
        <v>7</v>
      </c>
    </row>
    <row r="114" spans="1:12" x14ac:dyDescent="0.8">
      <c r="A114" s="5" t="s">
        <v>178</v>
      </c>
      <c r="B114" s="8">
        <v>25</v>
      </c>
      <c r="C114" s="5" t="s">
        <v>49</v>
      </c>
      <c r="D114" s="5" t="s">
        <v>51</v>
      </c>
      <c r="E114" s="5" t="s">
        <v>44</v>
      </c>
      <c r="F114" s="5" t="s">
        <v>137</v>
      </c>
      <c r="G114" s="8">
        <v>4</v>
      </c>
      <c r="H114" s="8">
        <v>4950</v>
      </c>
      <c r="I114" s="5" t="s">
        <v>49</v>
      </c>
      <c r="J114" s="8">
        <v>3</v>
      </c>
      <c r="K114" s="8">
        <v>4</v>
      </c>
      <c r="L114" s="8">
        <v>4</v>
      </c>
    </row>
    <row r="115" spans="1:12" x14ac:dyDescent="0.8">
      <c r="A115" s="5" t="s">
        <v>179</v>
      </c>
      <c r="B115" s="8">
        <v>25</v>
      </c>
      <c r="C115" s="5" t="s">
        <v>40</v>
      </c>
      <c r="D115" s="5" t="s">
        <v>51</v>
      </c>
      <c r="E115" s="5" t="s">
        <v>44</v>
      </c>
      <c r="F115" s="5" t="s">
        <v>54</v>
      </c>
      <c r="G115" s="8">
        <v>4</v>
      </c>
      <c r="H115" s="8">
        <v>1118</v>
      </c>
      <c r="I115" s="5" t="s">
        <v>40</v>
      </c>
      <c r="J115" s="8">
        <v>3</v>
      </c>
      <c r="K115" s="8">
        <v>4</v>
      </c>
      <c r="L115" s="8">
        <v>1</v>
      </c>
    </row>
    <row r="116" spans="1:12" x14ac:dyDescent="0.8">
      <c r="A116" s="5" t="s">
        <v>180</v>
      </c>
      <c r="B116" s="8">
        <v>25</v>
      </c>
      <c r="C116" s="5" t="s">
        <v>49</v>
      </c>
      <c r="D116" s="5" t="s">
        <v>42</v>
      </c>
      <c r="E116" s="5" t="s">
        <v>53</v>
      </c>
      <c r="F116" s="5" t="s">
        <v>60</v>
      </c>
      <c r="G116" s="8">
        <v>2</v>
      </c>
      <c r="H116" s="8">
        <v>2096</v>
      </c>
      <c r="I116" s="5" t="s">
        <v>49</v>
      </c>
      <c r="J116" s="8">
        <v>3</v>
      </c>
      <c r="K116" s="8">
        <v>3</v>
      </c>
      <c r="L116" s="8">
        <v>2</v>
      </c>
    </row>
    <row r="117" spans="1:12" x14ac:dyDescent="0.8">
      <c r="A117" s="5" t="s">
        <v>181</v>
      </c>
      <c r="B117" s="8">
        <v>25</v>
      </c>
      <c r="C117" s="5" t="s">
        <v>49</v>
      </c>
      <c r="D117" s="5" t="s">
        <v>42</v>
      </c>
      <c r="E117" s="5" t="s">
        <v>44</v>
      </c>
      <c r="F117" s="5" t="s">
        <v>45</v>
      </c>
      <c r="G117" s="8">
        <v>4</v>
      </c>
      <c r="H117" s="8">
        <v>3669</v>
      </c>
      <c r="I117" s="5" t="s">
        <v>49</v>
      </c>
      <c r="J117" s="8">
        <v>3</v>
      </c>
      <c r="K117" s="8">
        <v>6</v>
      </c>
      <c r="L117" s="8">
        <v>3</v>
      </c>
    </row>
    <row r="118" spans="1:12" x14ac:dyDescent="0.8">
      <c r="A118" s="5" t="s">
        <v>182</v>
      </c>
      <c r="B118" s="8">
        <v>25</v>
      </c>
      <c r="C118" s="5" t="s">
        <v>49</v>
      </c>
      <c r="D118" s="5" t="s">
        <v>51</v>
      </c>
      <c r="E118" s="5" t="s">
        <v>44</v>
      </c>
      <c r="F118" s="5" t="s">
        <v>137</v>
      </c>
      <c r="G118" s="8">
        <v>3</v>
      </c>
      <c r="H118" s="8">
        <v>6232</v>
      </c>
      <c r="I118" s="5" t="s">
        <v>49</v>
      </c>
      <c r="J118" s="8">
        <v>3</v>
      </c>
      <c r="K118" s="8">
        <v>3</v>
      </c>
      <c r="L118" s="8">
        <v>3</v>
      </c>
    </row>
    <row r="119" spans="1:12" x14ac:dyDescent="0.8">
      <c r="A119" s="5" t="s">
        <v>183</v>
      </c>
      <c r="B119" s="8">
        <v>25</v>
      </c>
      <c r="C119" s="5" t="s">
        <v>49</v>
      </c>
      <c r="D119" s="5" t="s">
        <v>42</v>
      </c>
      <c r="E119" s="5" t="s">
        <v>44</v>
      </c>
      <c r="F119" s="5" t="s">
        <v>45</v>
      </c>
      <c r="G119" s="8">
        <v>4</v>
      </c>
      <c r="H119" s="8">
        <v>3229</v>
      </c>
      <c r="I119" s="5" t="s">
        <v>49</v>
      </c>
      <c r="J119" s="8">
        <v>3</v>
      </c>
      <c r="K119" s="8">
        <v>2</v>
      </c>
      <c r="L119" s="8">
        <v>3</v>
      </c>
    </row>
    <row r="120" spans="1:12" x14ac:dyDescent="0.8">
      <c r="A120" s="5" t="s">
        <v>184</v>
      </c>
      <c r="B120" s="8">
        <v>25</v>
      </c>
      <c r="C120" s="5" t="s">
        <v>40</v>
      </c>
      <c r="D120" s="5" t="s">
        <v>51</v>
      </c>
      <c r="E120" s="5" t="s">
        <v>44</v>
      </c>
      <c r="F120" s="5" t="s">
        <v>54</v>
      </c>
      <c r="G120" s="8">
        <v>1</v>
      </c>
      <c r="H120" s="8">
        <v>4400</v>
      </c>
      <c r="I120" s="5" t="s">
        <v>49</v>
      </c>
      <c r="J120" s="8">
        <v>3</v>
      </c>
      <c r="K120" s="8">
        <v>2</v>
      </c>
      <c r="L120" s="8">
        <v>3</v>
      </c>
    </row>
    <row r="121" spans="1:12" x14ac:dyDescent="0.8">
      <c r="A121" s="5" t="s">
        <v>185</v>
      </c>
      <c r="B121" s="8">
        <v>25</v>
      </c>
      <c r="C121" s="5" t="s">
        <v>49</v>
      </c>
      <c r="D121" s="5" t="s">
        <v>42</v>
      </c>
      <c r="E121" s="5" t="s">
        <v>44</v>
      </c>
      <c r="F121" s="5" t="s">
        <v>112</v>
      </c>
      <c r="G121" s="8">
        <v>3</v>
      </c>
      <c r="H121" s="8">
        <v>5206</v>
      </c>
      <c r="I121" s="5" t="s">
        <v>49</v>
      </c>
      <c r="J121" s="8">
        <v>3</v>
      </c>
      <c r="K121" s="8">
        <v>6</v>
      </c>
      <c r="L121" s="8">
        <v>7</v>
      </c>
    </row>
    <row r="122" spans="1:12" x14ac:dyDescent="0.8">
      <c r="A122" s="5" t="s">
        <v>186</v>
      </c>
      <c r="B122" s="8">
        <v>25</v>
      </c>
      <c r="C122" s="5" t="s">
        <v>49</v>
      </c>
      <c r="D122" s="5" t="s">
        <v>71</v>
      </c>
      <c r="E122" s="5" t="s">
        <v>53</v>
      </c>
      <c r="F122" s="5" t="s">
        <v>71</v>
      </c>
      <c r="G122" s="8">
        <v>2</v>
      </c>
      <c r="H122" s="8">
        <v>2187</v>
      </c>
      <c r="I122" s="5" t="s">
        <v>49</v>
      </c>
      <c r="J122" s="8">
        <v>3</v>
      </c>
      <c r="K122" s="8">
        <v>3</v>
      </c>
      <c r="L122" s="8">
        <v>2</v>
      </c>
    </row>
    <row r="123" spans="1:12" x14ac:dyDescent="0.8">
      <c r="A123" s="5" t="s">
        <v>187</v>
      </c>
      <c r="B123" s="8">
        <v>25</v>
      </c>
      <c r="C123" s="5" t="s">
        <v>49</v>
      </c>
      <c r="D123" s="5" t="s">
        <v>42</v>
      </c>
      <c r="E123" s="5" t="s">
        <v>44</v>
      </c>
      <c r="F123" s="5" t="s">
        <v>45</v>
      </c>
      <c r="G123" s="8">
        <v>3</v>
      </c>
      <c r="H123" s="8">
        <v>3977</v>
      </c>
      <c r="I123" s="5" t="s">
        <v>40</v>
      </c>
      <c r="J123" s="8">
        <v>3</v>
      </c>
      <c r="K123" s="8">
        <v>2</v>
      </c>
      <c r="L123" s="8">
        <v>2</v>
      </c>
    </row>
    <row r="124" spans="1:12" x14ac:dyDescent="0.8">
      <c r="A124" s="5" t="s">
        <v>188</v>
      </c>
      <c r="B124" s="8">
        <v>25</v>
      </c>
      <c r="C124" s="5" t="s">
        <v>49</v>
      </c>
      <c r="D124" s="5" t="s">
        <v>51</v>
      </c>
      <c r="E124" s="5" t="s">
        <v>53</v>
      </c>
      <c r="F124" s="5" t="s">
        <v>137</v>
      </c>
      <c r="G124" s="8">
        <v>3</v>
      </c>
      <c r="H124" s="8">
        <v>4907</v>
      </c>
      <c r="I124" s="5" t="s">
        <v>40</v>
      </c>
      <c r="J124" s="8">
        <v>4</v>
      </c>
      <c r="K124" s="8">
        <v>3</v>
      </c>
      <c r="L124" s="8">
        <v>5</v>
      </c>
    </row>
    <row r="125" spans="1:12" x14ac:dyDescent="0.8">
      <c r="A125" s="5" t="s">
        <v>189</v>
      </c>
      <c r="B125" s="8">
        <v>26</v>
      </c>
      <c r="C125" s="5" t="s">
        <v>40</v>
      </c>
      <c r="D125" s="5" t="s">
        <v>42</v>
      </c>
      <c r="E125" s="5" t="s">
        <v>44</v>
      </c>
      <c r="F125" s="5" t="s">
        <v>45</v>
      </c>
      <c r="G125" s="8">
        <v>3</v>
      </c>
      <c r="H125" s="8">
        <v>2293</v>
      </c>
      <c r="I125" s="5" t="s">
        <v>49</v>
      </c>
      <c r="J125" s="8">
        <v>3</v>
      </c>
      <c r="K125" s="8">
        <v>2</v>
      </c>
      <c r="L125" s="8">
        <v>1</v>
      </c>
    </row>
    <row r="126" spans="1:12" x14ac:dyDescent="0.8">
      <c r="A126" s="5" t="s">
        <v>191</v>
      </c>
      <c r="B126" s="8">
        <v>26</v>
      </c>
      <c r="C126" s="5" t="s">
        <v>49</v>
      </c>
      <c r="D126" s="5" t="s">
        <v>51</v>
      </c>
      <c r="E126" s="5" t="s">
        <v>53</v>
      </c>
      <c r="F126" s="5" t="s">
        <v>137</v>
      </c>
      <c r="G126" s="8">
        <v>4</v>
      </c>
      <c r="H126" s="8">
        <v>4157</v>
      </c>
      <c r="I126" s="5" t="s">
        <v>40</v>
      </c>
      <c r="J126" s="8">
        <v>3</v>
      </c>
      <c r="K126" s="8">
        <v>2</v>
      </c>
      <c r="L126" s="8">
        <v>2</v>
      </c>
    </row>
    <row r="127" spans="1:12" x14ac:dyDescent="0.8">
      <c r="A127" s="5" t="s">
        <v>192</v>
      </c>
      <c r="B127" s="8">
        <v>26</v>
      </c>
      <c r="C127" s="5" t="s">
        <v>49</v>
      </c>
      <c r="D127" s="5" t="s">
        <v>42</v>
      </c>
      <c r="E127" s="5" t="s">
        <v>53</v>
      </c>
      <c r="F127" s="5" t="s">
        <v>60</v>
      </c>
      <c r="G127" s="8">
        <v>2</v>
      </c>
      <c r="H127" s="8">
        <v>2368</v>
      </c>
      <c r="I127" s="5" t="s">
        <v>49</v>
      </c>
      <c r="J127" s="8">
        <v>3</v>
      </c>
      <c r="K127" s="8">
        <v>3</v>
      </c>
      <c r="L127" s="8">
        <v>5</v>
      </c>
    </row>
    <row r="128" spans="1:12" x14ac:dyDescent="0.8">
      <c r="A128" s="5" t="s">
        <v>193</v>
      </c>
      <c r="B128" s="8">
        <v>26</v>
      </c>
      <c r="C128" s="5" t="s">
        <v>49</v>
      </c>
      <c r="D128" s="5" t="s">
        <v>71</v>
      </c>
      <c r="E128" s="5" t="s">
        <v>53</v>
      </c>
      <c r="F128" s="5" t="s">
        <v>71</v>
      </c>
      <c r="G128" s="8">
        <v>3</v>
      </c>
      <c r="H128" s="8">
        <v>2942</v>
      </c>
      <c r="I128" s="5" t="s">
        <v>49</v>
      </c>
      <c r="J128" s="8">
        <v>4</v>
      </c>
      <c r="K128" s="8">
        <v>3</v>
      </c>
      <c r="L128" s="8">
        <v>8</v>
      </c>
    </row>
    <row r="129" spans="1:12" x14ac:dyDescent="0.8">
      <c r="A129" s="5" t="s">
        <v>194</v>
      </c>
      <c r="B129" s="8">
        <v>26</v>
      </c>
      <c r="C129" s="5" t="s">
        <v>49</v>
      </c>
      <c r="D129" s="5" t="s">
        <v>42</v>
      </c>
      <c r="E129" s="5" t="s">
        <v>53</v>
      </c>
      <c r="F129" s="5" t="s">
        <v>112</v>
      </c>
      <c r="G129" s="8">
        <v>2</v>
      </c>
      <c r="H129" s="8">
        <v>6397</v>
      </c>
      <c r="I129" s="5" t="s">
        <v>49</v>
      </c>
      <c r="J129" s="8">
        <v>4</v>
      </c>
      <c r="K129" s="8">
        <v>6</v>
      </c>
      <c r="L129" s="8">
        <v>6</v>
      </c>
    </row>
    <row r="130" spans="1:12" x14ac:dyDescent="0.8">
      <c r="A130" s="5" t="s">
        <v>195</v>
      </c>
      <c r="B130" s="8">
        <v>26</v>
      </c>
      <c r="C130" s="5" t="s">
        <v>49</v>
      </c>
      <c r="D130" s="5" t="s">
        <v>42</v>
      </c>
      <c r="E130" s="5" t="s">
        <v>44</v>
      </c>
      <c r="F130" s="5" t="s">
        <v>161</v>
      </c>
      <c r="G130" s="8">
        <v>1</v>
      </c>
      <c r="H130" s="8">
        <v>4741</v>
      </c>
      <c r="I130" s="5" t="s">
        <v>40</v>
      </c>
      <c r="J130" s="8">
        <v>3</v>
      </c>
      <c r="K130" s="8">
        <v>3</v>
      </c>
      <c r="L130" s="8">
        <v>5</v>
      </c>
    </row>
    <row r="131" spans="1:12" x14ac:dyDescent="0.8">
      <c r="A131" s="5" t="s">
        <v>196</v>
      </c>
      <c r="B131" s="8">
        <v>26</v>
      </c>
      <c r="C131" s="5" t="s">
        <v>40</v>
      </c>
      <c r="D131" s="5" t="s">
        <v>42</v>
      </c>
      <c r="E131" s="5" t="s">
        <v>44</v>
      </c>
      <c r="F131" s="5" t="s">
        <v>45</v>
      </c>
      <c r="G131" s="8">
        <v>2</v>
      </c>
      <c r="H131" s="8">
        <v>2373</v>
      </c>
      <c r="I131" s="5" t="s">
        <v>40</v>
      </c>
      <c r="J131" s="8">
        <v>3</v>
      </c>
      <c r="K131" s="8">
        <v>2</v>
      </c>
      <c r="L131" s="8">
        <v>3</v>
      </c>
    </row>
    <row r="132" spans="1:12" x14ac:dyDescent="0.8">
      <c r="A132" s="5" t="s">
        <v>197</v>
      </c>
      <c r="B132" s="8">
        <v>26</v>
      </c>
      <c r="C132" s="5" t="s">
        <v>40</v>
      </c>
      <c r="D132" s="5" t="s">
        <v>51</v>
      </c>
      <c r="E132" s="5" t="s">
        <v>44</v>
      </c>
      <c r="F132" s="5" t="s">
        <v>137</v>
      </c>
      <c r="G132" s="8">
        <v>4</v>
      </c>
      <c r="H132" s="8">
        <v>5828</v>
      </c>
      <c r="I132" s="5" t="s">
        <v>40</v>
      </c>
      <c r="J132" s="8">
        <v>3</v>
      </c>
      <c r="K132" s="8">
        <v>0</v>
      </c>
      <c r="L132" s="8">
        <v>8</v>
      </c>
    </row>
    <row r="133" spans="1:12" x14ac:dyDescent="0.8">
      <c r="A133" s="5" t="s">
        <v>198</v>
      </c>
      <c r="B133" s="8">
        <v>26</v>
      </c>
      <c r="C133" s="5" t="s">
        <v>49</v>
      </c>
      <c r="D133" s="5" t="s">
        <v>51</v>
      </c>
      <c r="E133" s="5" t="s">
        <v>44</v>
      </c>
      <c r="F133" s="5" t="s">
        <v>137</v>
      </c>
      <c r="G133" s="8">
        <v>3</v>
      </c>
      <c r="H133" s="8">
        <v>5296</v>
      </c>
      <c r="I133" s="5" t="s">
        <v>49</v>
      </c>
      <c r="J133" s="8">
        <v>3</v>
      </c>
      <c r="K133" s="8">
        <v>3</v>
      </c>
      <c r="L133" s="8">
        <v>8</v>
      </c>
    </row>
    <row r="134" spans="1:12" x14ac:dyDescent="0.8">
      <c r="A134" s="5" t="s">
        <v>199</v>
      </c>
      <c r="B134" s="8">
        <v>26</v>
      </c>
      <c r="C134" s="5" t="s">
        <v>40</v>
      </c>
      <c r="D134" s="5" t="s">
        <v>42</v>
      </c>
      <c r="E134" s="5" t="s">
        <v>44</v>
      </c>
      <c r="F134" s="5" t="s">
        <v>60</v>
      </c>
      <c r="G134" s="8">
        <v>1</v>
      </c>
      <c r="H134" s="8">
        <v>3102</v>
      </c>
      <c r="I134" s="5" t="s">
        <v>49</v>
      </c>
      <c r="J134" s="8">
        <v>4</v>
      </c>
      <c r="K134" s="8">
        <v>2</v>
      </c>
      <c r="L134" s="8">
        <v>6</v>
      </c>
    </row>
    <row r="135" spans="1:12" x14ac:dyDescent="0.8">
      <c r="A135" s="5" t="s">
        <v>200</v>
      </c>
      <c r="B135" s="8">
        <v>26</v>
      </c>
      <c r="C135" s="5" t="s">
        <v>49</v>
      </c>
      <c r="D135" s="5" t="s">
        <v>42</v>
      </c>
      <c r="E135" s="5" t="s">
        <v>53</v>
      </c>
      <c r="F135" s="5" t="s">
        <v>60</v>
      </c>
      <c r="G135" s="8">
        <v>4</v>
      </c>
      <c r="H135" s="8">
        <v>2886</v>
      </c>
      <c r="I135" s="5" t="s">
        <v>49</v>
      </c>
      <c r="J135" s="8">
        <v>4</v>
      </c>
      <c r="K135" s="8">
        <v>3</v>
      </c>
      <c r="L135" s="8">
        <v>3</v>
      </c>
    </row>
    <row r="136" spans="1:12" x14ac:dyDescent="0.8">
      <c r="A136" s="5" t="s">
        <v>201</v>
      </c>
      <c r="B136" s="8">
        <v>26</v>
      </c>
      <c r="C136" s="5" t="s">
        <v>40</v>
      </c>
      <c r="D136" s="5" t="s">
        <v>71</v>
      </c>
      <c r="E136" s="5" t="s">
        <v>53</v>
      </c>
      <c r="F136" s="5" t="s">
        <v>71</v>
      </c>
      <c r="G136" s="8">
        <v>3</v>
      </c>
      <c r="H136" s="8">
        <v>2741</v>
      </c>
      <c r="I136" s="5" t="s">
        <v>40</v>
      </c>
      <c r="J136" s="8">
        <v>3</v>
      </c>
      <c r="K136" s="8">
        <v>2</v>
      </c>
      <c r="L136" s="8">
        <v>7</v>
      </c>
    </row>
    <row r="137" spans="1:12" x14ac:dyDescent="0.8">
      <c r="A137" s="5" t="s">
        <v>202</v>
      </c>
      <c r="B137" s="8">
        <v>26</v>
      </c>
      <c r="C137" s="5" t="s">
        <v>49</v>
      </c>
      <c r="D137" s="5" t="s">
        <v>51</v>
      </c>
      <c r="E137" s="5" t="s">
        <v>44</v>
      </c>
      <c r="F137" s="5" t="s">
        <v>137</v>
      </c>
      <c r="G137" s="8">
        <v>3</v>
      </c>
      <c r="H137" s="8">
        <v>4306</v>
      </c>
      <c r="I137" s="5" t="s">
        <v>49</v>
      </c>
      <c r="J137" s="8">
        <v>3</v>
      </c>
      <c r="K137" s="8">
        <v>5</v>
      </c>
      <c r="L137" s="8">
        <v>0</v>
      </c>
    </row>
    <row r="138" spans="1:12" x14ac:dyDescent="0.8">
      <c r="A138" s="5" t="s">
        <v>203</v>
      </c>
      <c r="B138" s="8">
        <v>26</v>
      </c>
      <c r="C138" s="5" t="s">
        <v>40</v>
      </c>
      <c r="D138" s="5" t="s">
        <v>42</v>
      </c>
      <c r="E138" s="5" t="s">
        <v>44</v>
      </c>
      <c r="F138" s="5" t="s">
        <v>45</v>
      </c>
      <c r="G138" s="8">
        <v>4</v>
      </c>
      <c r="H138" s="8">
        <v>2340</v>
      </c>
      <c r="I138" s="5" t="s">
        <v>40</v>
      </c>
      <c r="J138" s="8">
        <v>3</v>
      </c>
      <c r="K138" s="8">
        <v>3</v>
      </c>
      <c r="L138" s="8">
        <v>1</v>
      </c>
    </row>
    <row r="139" spans="1:12" x14ac:dyDescent="0.8">
      <c r="A139" s="5" t="s">
        <v>204</v>
      </c>
      <c r="B139" s="8">
        <v>26</v>
      </c>
      <c r="C139" s="5" t="s">
        <v>49</v>
      </c>
      <c r="D139" s="5" t="s">
        <v>51</v>
      </c>
      <c r="E139" s="5" t="s">
        <v>44</v>
      </c>
      <c r="F139" s="5" t="s">
        <v>137</v>
      </c>
      <c r="G139" s="8">
        <v>2</v>
      </c>
      <c r="H139" s="8">
        <v>6272</v>
      </c>
      <c r="I139" s="5" t="s">
        <v>49</v>
      </c>
      <c r="J139" s="8">
        <v>4</v>
      </c>
      <c r="K139" s="8">
        <v>5</v>
      </c>
      <c r="L139" s="8">
        <v>5</v>
      </c>
    </row>
    <row r="140" spans="1:12" x14ac:dyDescent="0.8">
      <c r="A140" s="5" t="s">
        <v>205</v>
      </c>
      <c r="B140" s="8">
        <v>26</v>
      </c>
      <c r="C140" s="5" t="s">
        <v>49</v>
      </c>
      <c r="D140" s="5" t="s">
        <v>42</v>
      </c>
      <c r="E140" s="5" t="s">
        <v>53</v>
      </c>
      <c r="F140" s="5" t="s">
        <v>45</v>
      </c>
      <c r="G140" s="8">
        <v>4</v>
      </c>
      <c r="H140" s="8">
        <v>2659</v>
      </c>
      <c r="I140" s="5" t="s">
        <v>40</v>
      </c>
      <c r="J140" s="8">
        <v>3</v>
      </c>
      <c r="K140" s="8">
        <v>2</v>
      </c>
      <c r="L140" s="8">
        <v>3</v>
      </c>
    </row>
    <row r="141" spans="1:12" x14ac:dyDescent="0.8">
      <c r="A141" s="5" t="s">
        <v>206</v>
      </c>
      <c r="B141" s="8">
        <v>26</v>
      </c>
      <c r="C141" s="5" t="s">
        <v>49</v>
      </c>
      <c r="D141" s="5" t="s">
        <v>42</v>
      </c>
      <c r="E141" s="5" t="s">
        <v>53</v>
      </c>
      <c r="F141" s="5" t="s">
        <v>45</v>
      </c>
      <c r="G141" s="8">
        <v>4</v>
      </c>
      <c r="H141" s="8">
        <v>4364</v>
      </c>
      <c r="I141" s="5" t="s">
        <v>49</v>
      </c>
      <c r="J141" s="8">
        <v>3</v>
      </c>
      <c r="K141" s="8">
        <v>2</v>
      </c>
      <c r="L141" s="8">
        <v>2</v>
      </c>
    </row>
    <row r="142" spans="1:12" x14ac:dyDescent="0.8">
      <c r="A142" s="5" t="s">
        <v>207</v>
      </c>
      <c r="B142" s="8">
        <v>26</v>
      </c>
      <c r="C142" s="5" t="s">
        <v>40</v>
      </c>
      <c r="D142" s="5" t="s">
        <v>51</v>
      </c>
      <c r="E142" s="5" t="s">
        <v>44</v>
      </c>
      <c r="F142" s="5" t="s">
        <v>137</v>
      </c>
      <c r="G142" s="8">
        <v>1</v>
      </c>
      <c r="H142" s="8">
        <v>5326</v>
      </c>
      <c r="I142" s="5" t="s">
        <v>49</v>
      </c>
      <c r="J142" s="8">
        <v>3</v>
      </c>
      <c r="K142" s="8">
        <v>2</v>
      </c>
      <c r="L142" s="8">
        <v>4</v>
      </c>
    </row>
    <row r="143" spans="1:12" x14ac:dyDescent="0.8">
      <c r="A143" s="5" t="s">
        <v>208</v>
      </c>
      <c r="B143" s="8">
        <v>26</v>
      </c>
      <c r="C143" s="5" t="s">
        <v>40</v>
      </c>
      <c r="D143" s="5" t="s">
        <v>42</v>
      </c>
      <c r="E143" s="5" t="s">
        <v>53</v>
      </c>
      <c r="F143" s="5" t="s">
        <v>60</v>
      </c>
      <c r="G143" s="8">
        <v>3</v>
      </c>
      <c r="H143" s="8">
        <v>2366</v>
      </c>
      <c r="I143" s="5" t="s">
        <v>40</v>
      </c>
      <c r="J143" s="8">
        <v>3</v>
      </c>
      <c r="K143" s="8">
        <v>2</v>
      </c>
      <c r="L143" s="8">
        <v>8</v>
      </c>
    </row>
    <row r="144" spans="1:12" x14ac:dyDescent="0.8">
      <c r="A144" s="5" t="s">
        <v>209</v>
      </c>
      <c r="B144" s="8">
        <v>26</v>
      </c>
      <c r="C144" s="5" t="s">
        <v>49</v>
      </c>
      <c r="D144" s="5" t="s">
        <v>51</v>
      </c>
      <c r="E144" s="5" t="s">
        <v>44</v>
      </c>
      <c r="F144" s="5" t="s">
        <v>137</v>
      </c>
      <c r="G144" s="8">
        <v>1</v>
      </c>
      <c r="H144" s="8">
        <v>4294</v>
      </c>
      <c r="I144" s="5" t="s">
        <v>49</v>
      </c>
      <c r="J144" s="8">
        <v>3</v>
      </c>
      <c r="K144" s="8">
        <v>2</v>
      </c>
      <c r="L144" s="8">
        <v>7</v>
      </c>
    </row>
    <row r="145" spans="1:12" x14ac:dyDescent="0.8">
      <c r="A145" s="5" t="s">
        <v>210</v>
      </c>
      <c r="B145" s="8">
        <v>26</v>
      </c>
      <c r="C145" s="5" t="s">
        <v>49</v>
      </c>
      <c r="D145" s="5" t="s">
        <v>42</v>
      </c>
      <c r="E145" s="5" t="s">
        <v>44</v>
      </c>
      <c r="F145" s="5" t="s">
        <v>112</v>
      </c>
      <c r="G145" s="8">
        <v>4</v>
      </c>
      <c r="H145" s="8">
        <v>5472</v>
      </c>
      <c r="I145" s="5" t="s">
        <v>49</v>
      </c>
      <c r="J145" s="8">
        <v>3</v>
      </c>
      <c r="K145" s="8">
        <v>2</v>
      </c>
      <c r="L145" s="8">
        <v>8</v>
      </c>
    </row>
    <row r="146" spans="1:12" x14ac:dyDescent="0.8">
      <c r="A146" s="5" t="s">
        <v>211</v>
      </c>
      <c r="B146" s="8">
        <v>26</v>
      </c>
      <c r="C146" s="5" t="s">
        <v>40</v>
      </c>
      <c r="D146" s="5" t="s">
        <v>51</v>
      </c>
      <c r="E146" s="5" t="s">
        <v>44</v>
      </c>
      <c r="F146" s="5" t="s">
        <v>137</v>
      </c>
      <c r="G146" s="8">
        <v>1</v>
      </c>
      <c r="H146" s="8">
        <v>4969</v>
      </c>
      <c r="I146" s="5" t="s">
        <v>49</v>
      </c>
      <c r="J146" s="8">
        <v>3</v>
      </c>
      <c r="K146" s="8">
        <v>6</v>
      </c>
      <c r="L146" s="8">
        <v>2</v>
      </c>
    </row>
    <row r="147" spans="1:12" x14ac:dyDescent="0.8">
      <c r="A147" s="5" t="s">
        <v>212</v>
      </c>
      <c r="B147" s="8">
        <v>26</v>
      </c>
      <c r="C147" s="5" t="s">
        <v>40</v>
      </c>
      <c r="D147" s="5" t="s">
        <v>42</v>
      </c>
      <c r="E147" s="5" t="s">
        <v>44</v>
      </c>
      <c r="F147" s="5" t="s">
        <v>60</v>
      </c>
      <c r="G147" s="8">
        <v>1</v>
      </c>
      <c r="H147" s="8">
        <v>2042</v>
      </c>
      <c r="I147" s="5" t="s">
        <v>40</v>
      </c>
      <c r="J147" s="8">
        <v>3</v>
      </c>
      <c r="K147" s="8">
        <v>2</v>
      </c>
      <c r="L147" s="8">
        <v>3</v>
      </c>
    </row>
    <row r="148" spans="1:12" x14ac:dyDescent="0.8">
      <c r="A148" s="5" t="s">
        <v>213</v>
      </c>
      <c r="B148" s="8">
        <v>26</v>
      </c>
      <c r="C148" s="5" t="s">
        <v>49</v>
      </c>
      <c r="D148" s="5" t="s">
        <v>42</v>
      </c>
      <c r="E148" s="5" t="s">
        <v>53</v>
      </c>
      <c r="F148" s="5" t="s">
        <v>60</v>
      </c>
      <c r="G148" s="8">
        <v>3</v>
      </c>
      <c r="H148" s="8">
        <v>2007</v>
      </c>
      <c r="I148" s="5" t="s">
        <v>49</v>
      </c>
      <c r="J148" s="8">
        <v>3</v>
      </c>
      <c r="K148" s="8">
        <v>5</v>
      </c>
      <c r="L148" s="8">
        <v>5</v>
      </c>
    </row>
    <row r="149" spans="1:12" x14ac:dyDescent="0.8">
      <c r="A149" s="5" t="s">
        <v>214</v>
      </c>
      <c r="B149" s="8">
        <v>26</v>
      </c>
      <c r="C149" s="5" t="s">
        <v>49</v>
      </c>
      <c r="D149" s="5" t="s">
        <v>42</v>
      </c>
      <c r="E149" s="5" t="s">
        <v>44</v>
      </c>
      <c r="F149" s="5" t="s">
        <v>45</v>
      </c>
      <c r="G149" s="8">
        <v>1</v>
      </c>
      <c r="H149" s="8">
        <v>3955</v>
      </c>
      <c r="I149" s="5" t="s">
        <v>49</v>
      </c>
      <c r="J149" s="8">
        <v>3</v>
      </c>
      <c r="K149" s="8">
        <v>2</v>
      </c>
      <c r="L149" s="8">
        <v>5</v>
      </c>
    </row>
    <row r="150" spans="1:12" x14ac:dyDescent="0.8">
      <c r="A150" s="5" t="s">
        <v>215</v>
      </c>
      <c r="B150" s="8">
        <v>26</v>
      </c>
      <c r="C150" s="5" t="s">
        <v>40</v>
      </c>
      <c r="D150" s="5" t="s">
        <v>42</v>
      </c>
      <c r="E150" s="5" t="s">
        <v>44</v>
      </c>
      <c r="F150" s="5" t="s">
        <v>45</v>
      </c>
      <c r="G150" s="8">
        <v>3</v>
      </c>
      <c r="H150" s="8">
        <v>2377</v>
      </c>
      <c r="I150" s="5" t="s">
        <v>49</v>
      </c>
      <c r="J150" s="8">
        <v>4</v>
      </c>
      <c r="K150" s="8">
        <v>0</v>
      </c>
      <c r="L150" s="8">
        <v>1</v>
      </c>
    </row>
    <row r="151" spans="1:12" x14ac:dyDescent="0.8">
      <c r="A151" s="5" t="s">
        <v>216</v>
      </c>
      <c r="B151" s="8">
        <v>26</v>
      </c>
      <c r="C151" s="5" t="s">
        <v>49</v>
      </c>
      <c r="D151" s="5" t="s">
        <v>42</v>
      </c>
      <c r="E151" s="5" t="s">
        <v>44</v>
      </c>
      <c r="F151" s="5" t="s">
        <v>45</v>
      </c>
      <c r="G151" s="8">
        <v>4</v>
      </c>
      <c r="H151" s="8">
        <v>4420</v>
      </c>
      <c r="I151" s="5" t="s">
        <v>49</v>
      </c>
      <c r="J151" s="8">
        <v>4</v>
      </c>
      <c r="K151" s="8">
        <v>2</v>
      </c>
      <c r="L151" s="8">
        <v>8</v>
      </c>
    </row>
    <row r="152" spans="1:12" x14ac:dyDescent="0.8">
      <c r="A152" s="5" t="s">
        <v>217</v>
      </c>
      <c r="B152" s="8">
        <v>26</v>
      </c>
      <c r="C152" s="5" t="s">
        <v>49</v>
      </c>
      <c r="D152" s="5" t="s">
        <v>42</v>
      </c>
      <c r="E152" s="5" t="s">
        <v>44</v>
      </c>
      <c r="F152" s="5" t="s">
        <v>60</v>
      </c>
      <c r="G152" s="8">
        <v>4</v>
      </c>
      <c r="H152" s="8">
        <v>2875</v>
      </c>
      <c r="I152" s="5" t="s">
        <v>40</v>
      </c>
      <c r="J152" s="8">
        <v>4</v>
      </c>
      <c r="K152" s="8">
        <v>2</v>
      </c>
      <c r="L152" s="8">
        <v>8</v>
      </c>
    </row>
    <row r="153" spans="1:12" x14ac:dyDescent="0.8">
      <c r="A153" s="5" t="s">
        <v>218</v>
      </c>
      <c r="B153" s="8">
        <v>26</v>
      </c>
      <c r="C153" s="5" t="s">
        <v>49</v>
      </c>
      <c r="D153" s="5" t="s">
        <v>42</v>
      </c>
      <c r="E153" s="5" t="s">
        <v>44</v>
      </c>
      <c r="F153" s="5" t="s">
        <v>60</v>
      </c>
      <c r="G153" s="8">
        <v>4</v>
      </c>
      <c r="H153" s="8">
        <v>3904</v>
      </c>
      <c r="I153" s="5" t="s">
        <v>49</v>
      </c>
      <c r="J153" s="8">
        <v>3</v>
      </c>
      <c r="K153" s="8">
        <v>2</v>
      </c>
      <c r="L153" s="8">
        <v>4</v>
      </c>
    </row>
    <row r="154" spans="1:12" x14ac:dyDescent="0.8">
      <c r="A154" s="5" t="s">
        <v>219</v>
      </c>
      <c r="B154" s="8">
        <v>26</v>
      </c>
      <c r="C154" s="5" t="s">
        <v>49</v>
      </c>
      <c r="D154" s="5" t="s">
        <v>42</v>
      </c>
      <c r="E154" s="5" t="s">
        <v>44</v>
      </c>
      <c r="F154" s="5" t="s">
        <v>45</v>
      </c>
      <c r="G154" s="8">
        <v>1</v>
      </c>
      <c r="H154" s="8">
        <v>3578</v>
      </c>
      <c r="I154" s="5" t="s">
        <v>49</v>
      </c>
      <c r="J154" s="8">
        <v>3</v>
      </c>
      <c r="K154" s="8">
        <v>2</v>
      </c>
      <c r="L154" s="8">
        <v>7</v>
      </c>
    </row>
    <row r="155" spans="1:12" x14ac:dyDescent="0.8">
      <c r="A155" s="5" t="s">
        <v>220</v>
      </c>
      <c r="B155" s="8">
        <v>26</v>
      </c>
      <c r="C155" s="5" t="s">
        <v>49</v>
      </c>
      <c r="D155" s="5" t="s">
        <v>42</v>
      </c>
      <c r="E155" s="5" t="s">
        <v>53</v>
      </c>
      <c r="F155" s="5" t="s">
        <v>60</v>
      </c>
      <c r="G155" s="8">
        <v>4</v>
      </c>
      <c r="H155" s="8">
        <v>2061</v>
      </c>
      <c r="I155" s="5" t="s">
        <v>49</v>
      </c>
      <c r="J155" s="8">
        <v>4</v>
      </c>
      <c r="K155" s="8">
        <v>5</v>
      </c>
      <c r="L155" s="8">
        <v>1</v>
      </c>
    </row>
    <row r="156" spans="1:12" x14ac:dyDescent="0.8">
      <c r="A156" s="5" t="s">
        <v>221</v>
      </c>
      <c r="B156" s="8">
        <v>26</v>
      </c>
      <c r="C156" s="5" t="s">
        <v>49</v>
      </c>
      <c r="D156" s="5" t="s">
        <v>42</v>
      </c>
      <c r="E156" s="5" t="s">
        <v>44</v>
      </c>
      <c r="F156" s="5" t="s">
        <v>45</v>
      </c>
      <c r="G156" s="8">
        <v>4</v>
      </c>
      <c r="H156" s="8">
        <v>2570</v>
      </c>
      <c r="I156" s="5" t="s">
        <v>49</v>
      </c>
      <c r="J156" s="8">
        <v>4</v>
      </c>
      <c r="K156" s="8">
        <v>5</v>
      </c>
      <c r="L156" s="8">
        <v>7</v>
      </c>
    </row>
    <row r="157" spans="1:12" x14ac:dyDescent="0.8">
      <c r="A157" s="5" t="s">
        <v>222</v>
      </c>
      <c r="B157" s="8">
        <v>26</v>
      </c>
      <c r="C157" s="5" t="s">
        <v>49</v>
      </c>
      <c r="D157" s="5" t="s">
        <v>42</v>
      </c>
      <c r="E157" s="5" t="s">
        <v>44</v>
      </c>
      <c r="F157" s="5" t="s">
        <v>45</v>
      </c>
      <c r="G157" s="8">
        <v>3</v>
      </c>
      <c r="H157" s="8">
        <v>2305</v>
      </c>
      <c r="I157" s="5" t="s">
        <v>49</v>
      </c>
      <c r="J157" s="8">
        <v>3</v>
      </c>
      <c r="K157" s="8">
        <v>3</v>
      </c>
      <c r="L157" s="8">
        <v>3</v>
      </c>
    </row>
    <row r="158" spans="1:12" x14ac:dyDescent="0.8">
      <c r="A158" s="5" t="s">
        <v>223</v>
      </c>
      <c r="B158" s="8">
        <v>26</v>
      </c>
      <c r="C158" s="5" t="s">
        <v>40</v>
      </c>
      <c r="D158" s="5" t="s">
        <v>71</v>
      </c>
      <c r="E158" s="5" t="s">
        <v>53</v>
      </c>
      <c r="F158" s="5" t="s">
        <v>71</v>
      </c>
      <c r="G158" s="8">
        <v>2</v>
      </c>
      <c r="H158" s="8">
        <v>2148</v>
      </c>
      <c r="I158" s="5" t="s">
        <v>40</v>
      </c>
      <c r="J158" s="8">
        <v>3</v>
      </c>
      <c r="K158" s="8">
        <v>3</v>
      </c>
      <c r="L158" s="8">
        <v>5</v>
      </c>
    </row>
    <row r="159" spans="1:12" x14ac:dyDescent="0.8">
      <c r="A159" s="5" t="s">
        <v>224</v>
      </c>
      <c r="B159" s="8">
        <v>26</v>
      </c>
      <c r="C159" s="5" t="s">
        <v>49</v>
      </c>
      <c r="D159" s="5" t="s">
        <v>51</v>
      </c>
      <c r="E159" s="5" t="s">
        <v>44</v>
      </c>
      <c r="F159" s="5" t="s">
        <v>137</v>
      </c>
      <c r="G159" s="8">
        <v>4</v>
      </c>
      <c r="H159" s="8">
        <v>4684</v>
      </c>
      <c r="I159" s="5" t="s">
        <v>49</v>
      </c>
      <c r="J159" s="8">
        <v>3</v>
      </c>
      <c r="K159" s="8">
        <v>4</v>
      </c>
      <c r="L159" s="8">
        <v>5</v>
      </c>
    </row>
    <row r="160" spans="1:12" x14ac:dyDescent="0.8">
      <c r="A160" s="5" t="s">
        <v>225</v>
      </c>
      <c r="B160" s="8">
        <v>26</v>
      </c>
      <c r="C160" s="5" t="s">
        <v>49</v>
      </c>
      <c r="D160" s="5" t="s">
        <v>42</v>
      </c>
      <c r="E160" s="5" t="s">
        <v>53</v>
      </c>
      <c r="F160" s="5" t="s">
        <v>60</v>
      </c>
      <c r="G160" s="8">
        <v>3</v>
      </c>
      <c r="H160" s="8">
        <v>2933</v>
      </c>
      <c r="I160" s="5" t="s">
        <v>40</v>
      </c>
      <c r="J160" s="8">
        <v>3</v>
      </c>
      <c r="K160" s="8">
        <v>3</v>
      </c>
      <c r="L160" s="8">
        <v>1</v>
      </c>
    </row>
    <row r="161" spans="1:12" x14ac:dyDescent="0.8">
      <c r="A161" s="5" t="s">
        <v>226</v>
      </c>
      <c r="B161" s="8">
        <v>26</v>
      </c>
      <c r="C161" s="5" t="s">
        <v>49</v>
      </c>
      <c r="D161" s="5" t="s">
        <v>42</v>
      </c>
      <c r="E161" s="5" t="s">
        <v>44</v>
      </c>
      <c r="F161" s="5" t="s">
        <v>45</v>
      </c>
      <c r="G161" s="8">
        <v>4</v>
      </c>
      <c r="H161" s="8">
        <v>2544</v>
      </c>
      <c r="I161" s="5" t="s">
        <v>49</v>
      </c>
      <c r="J161" s="8">
        <v>3</v>
      </c>
      <c r="K161" s="8">
        <v>3</v>
      </c>
      <c r="L161" s="8">
        <v>7</v>
      </c>
    </row>
    <row r="162" spans="1:12" x14ac:dyDescent="0.8">
      <c r="A162" s="5" t="s">
        <v>227</v>
      </c>
      <c r="B162" s="8">
        <v>26</v>
      </c>
      <c r="C162" s="5" t="s">
        <v>49</v>
      </c>
      <c r="D162" s="5" t="s">
        <v>42</v>
      </c>
      <c r="E162" s="5" t="s">
        <v>44</v>
      </c>
      <c r="F162" s="5" t="s">
        <v>45</v>
      </c>
      <c r="G162" s="8">
        <v>1</v>
      </c>
      <c r="H162" s="8">
        <v>2867</v>
      </c>
      <c r="I162" s="5" t="s">
        <v>49</v>
      </c>
      <c r="J162" s="8">
        <v>3</v>
      </c>
      <c r="K162" s="8">
        <v>6</v>
      </c>
      <c r="L162" s="8">
        <v>7</v>
      </c>
    </row>
    <row r="163" spans="1:12" x14ac:dyDescent="0.8">
      <c r="A163" s="5" t="s">
        <v>228</v>
      </c>
      <c r="B163" s="8">
        <v>26</v>
      </c>
      <c r="C163" s="5" t="s">
        <v>49</v>
      </c>
      <c r="D163" s="5" t="s">
        <v>51</v>
      </c>
      <c r="E163" s="5" t="s">
        <v>53</v>
      </c>
      <c r="F163" s="5" t="s">
        <v>54</v>
      </c>
      <c r="G163" s="8">
        <v>3</v>
      </c>
      <c r="H163" s="8">
        <v>2966</v>
      </c>
      <c r="I163" s="5" t="s">
        <v>49</v>
      </c>
      <c r="J163" s="8">
        <v>3</v>
      </c>
      <c r="K163" s="8">
        <v>2</v>
      </c>
      <c r="L163" s="8">
        <v>4</v>
      </c>
    </row>
    <row r="164" spans="1:12" x14ac:dyDescent="0.8">
      <c r="A164" s="5" t="s">
        <v>229</v>
      </c>
      <c r="B164" s="8">
        <v>27</v>
      </c>
      <c r="C164" s="5" t="s">
        <v>49</v>
      </c>
      <c r="D164" s="5" t="s">
        <v>42</v>
      </c>
      <c r="E164" s="5" t="s">
        <v>44</v>
      </c>
      <c r="F164" s="5" t="s">
        <v>45</v>
      </c>
      <c r="G164" s="8">
        <v>2</v>
      </c>
      <c r="H164" s="8">
        <v>3468</v>
      </c>
      <c r="I164" s="5" t="s">
        <v>49</v>
      </c>
      <c r="J164" s="8">
        <v>3</v>
      </c>
      <c r="K164" s="8">
        <v>3</v>
      </c>
      <c r="L164" s="8">
        <v>2</v>
      </c>
    </row>
    <row r="165" spans="1:12" x14ac:dyDescent="0.8">
      <c r="A165" s="5" t="s">
        <v>230</v>
      </c>
      <c r="B165" s="8">
        <v>27</v>
      </c>
      <c r="C165" s="5" t="s">
        <v>49</v>
      </c>
      <c r="D165" s="5" t="s">
        <v>42</v>
      </c>
      <c r="E165" s="5" t="s">
        <v>53</v>
      </c>
      <c r="F165" s="5" t="s">
        <v>45</v>
      </c>
      <c r="G165" s="8">
        <v>1</v>
      </c>
      <c r="H165" s="8">
        <v>2341</v>
      </c>
      <c r="I165" s="5" t="s">
        <v>49</v>
      </c>
      <c r="J165" s="8">
        <v>3</v>
      </c>
      <c r="K165" s="8">
        <v>6</v>
      </c>
      <c r="L165" s="8">
        <v>1</v>
      </c>
    </row>
    <row r="166" spans="1:12" x14ac:dyDescent="0.8">
      <c r="A166" s="5" t="s">
        <v>231</v>
      </c>
      <c r="B166" s="8">
        <v>27</v>
      </c>
      <c r="C166" s="5" t="s">
        <v>49</v>
      </c>
      <c r="D166" s="5" t="s">
        <v>51</v>
      </c>
      <c r="E166" s="5" t="s">
        <v>44</v>
      </c>
      <c r="F166" s="5" t="s">
        <v>137</v>
      </c>
      <c r="G166" s="8">
        <v>3</v>
      </c>
      <c r="H166" s="8">
        <v>8726</v>
      </c>
      <c r="I166" s="5" t="s">
        <v>49</v>
      </c>
      <c r="J166" s="8">
        <v>3</v>
      </c>
      <c r="K166" s="8">
        <v>0</v>
      </c>
      <c r="L166" s="8">
        <v>9</v>
      </c>
    </row>
    <row r="167" spans="1:12" x14ac:dyDescent="0.8">
      <c r="A167" s="5" t="s">
        <v>232</v>
      </c>
      <c r="B167" s="8">
        <v>27</v>
      </c>
      <c r="C167" s="5" t="s">
        <v>49</v>
      </c>
      <c r="D167" s="5" t="s">
        <v>42</v>
      </c>
      <c r="E167" s="5" t="s">
        <v>44</v>
      </c>
      <c r="F167" s="5" t="s">
        <v>60</v>
      </c>
      <c r="G167" s="8">
        <v>2</v>
      </c>
      <c r="H167" s="8">
        <v>2024</v>
      </c>
      <c r="I167" s="5" t="s">
        <v>49</v>
      </c>
      <c r="J167" s="8">
        <v>3</v>
      </c>
      <c r="K167" s="8">
        <v>1</v>
      </c>
      <c r="L167" s="8">
        <v>2</v>
      </c>
    </row>
    <row r="168" spans="1:12" x14ac:dyDescent="0.8">
      <c r="A168" s="5" t="s">
        <v>233</v>
      </c>
      <c r="B168" s="8">
        <v>27</v>
      </c>
      <c r="C168" s="5" t="s">
        <v>49</v>
      </c>
      <c r="D168" s="5" t="s">
        <v>42</v>
      </c>
      <c r="E168" s="5" t="s">
        <v>44</v>
      </c>
      <c r="F168" s="5" t="s">
        <v>60</v>
      </c>
      <c r="G168" s="8">
        <v>3</v>
      </c>
      <c r="H168" s="8">
        <v>2566</v>
      </c>
      <c r="I168" s="5" t="s">
        <v>40</v>
      </c>
      <c r="J168" s="8">
        <v>3</v>
      </c>
      <c r="K168" s="8">
        <v>2</v>
      </c>
      <c r="L168" s="8">
        <v>1</v>
      </c>
    </row>
    <row r="169" spans="1:12" x14ac:dyDescent="0.8">
      <c r="A169" s="5" t="s">
        <v>234</v>
      </c>
      <c r="B169" s="8">
        <v>27</v>
      </c>
      <c r="C169" s="5" t="s">
        <v>49</v>
      </c>
      <c r="D169" s="5" t="s">
        <v>42</v>
      </c>
      <c r="E169" s="5" t="s">
        <v>44</v>
      </c>
      <c r="F169" s="5" t="s">
        <v>60</v>
      </c>
      <c r="G169" s="8">
        <v>2</v>
      </c>
      <c r="H169" s="8">
        <v>3058</v>
      </c>
      <c r="I169" s="5" t="s">
        <v>40</v>
      </c>
      <c r="J169" s="8">
        <v>3</v>
      </c>
      <c r="K169" s="8">
        <v>3</v>
      </c>
      <c r="L169" s="8">
        <v>5</v>
      </c>
    </row>
    <row r="170" spans="1:12" x14ac:dyDescent="0.8">
      <c r="A170" s="5" t="s">
        <v>235</v>
      </c>
      <c r="B170" s="8">
        <v>27</v>
      </c>
      <c r="C170" s="5" t="s">
        <v>49</v>
      </c>
      <c r="D170" s="5" t="s">
        <v>42</v>
      </c>
      <c r="E170" s="5" t="s">
        <v>53</v>
      </c>
      <c r="F170" s="5" t="s">
        <v>60</v>
      </c>
      <c r="G170" s="8">
        <v>2</v>
      </c>
      <c r="H170" s="8">
        <v>2279</v>
      </c>
      <c r="I170" s="5" t="s">
        <v>49</v>
      </c>
      <c r="J170" s="8">
        <v>3</v>
      </c>
      <c r="K170" s="8">
        <v>2</v>
      </c>
      <c r="L170" s="8">
        <v>7</v>
      </c>
    </row>
    <row r="171" spans="1:12" x14ac:dyDescent="0.8">
      <c r="A171" s="5" t="s">
        <v>236</v>
      </c>
      <c r="B171" s="8">
        <v>27</v>
      </c>
      <c r="C171" s="5" t="s">
        <v>49</v>
      </c>
      <c r="D171" s="5" t="s">
        <v>42</v>
      </c>
      <c r="E171" s="5" t="s">
        <v>44</v>
      </c>
      <c r="F171" s="5" t="s">
        <v>112</v>
      </c>
      <c r="G171" s="8">
        <v>1</v>
      </c>
      <c r="H171" s="8">
        <v>4298</v>
      </c>
      <c r="I171" s="5" t="s">
        <v>49</v>
      </c>
      <c r="J171" s="8">
        <v>3</v>
      </c>
      <c r="K171" s="8">
        <v>1</v>
      </c>
      <c r="L171" s="8">
        <v>2</v>
      </c>
    </row>
    <row r="172" spans="1:12" x14ac:dyDescent="0.8">
      <c r="A172" s="5" t="s">
        <v>237</v>
      </c>
      <c r="B172" s="8">
        <v>27</v>
      </c>
      <c r="C172" s="5" t="s">
        <v>49</v>
      </c>
      <c r="D172" s="5" t="s">
        <v>51</v>
      </c>
      <c r="E172" s="5" t="s">
        <v>53</v>
      </c>
      <c r="F172" s="5" t="s">
        <v>137</v>
      </c>
      <c r="G172" s="8">
        <v>3</v>
      </c>
      <c r="H172" s="8">
        <v>9981</v>
      </c>
      <c r="I172" s="5" t="s">
        <v>49</v>
      </c>
      <c r="J172" s="8">
        <v>3</v>
      </c>
      <c r="K172" s="8">
        <v>2</v>
      </c>
      <c r="L172" s="8">
        <v>7</v>
      </c>
    </row>
    <row r="173" spans="1:12" x14ac:dyDescent="0.8">
      <c r="A173" s="5" t="s">
        <v>238</v>
      </c>
      <c r="B173" s="8">
        <v>27</v>
      </c>
      <c r="C173" s="5" t="s">
        <v>49</v>
      </c>
      <c r="D173" s="5" t="s">
        <v>42</v>
      </c>
      <c r="E173" s="5" t="s">
        <v>53</v>
      </c>
      <c r="F173" s="5" t="s">
        <v>60</v>
      </c>
      <c r="G173" s="8">
        <v>2</v>
      </c>
      <c r="H173" s="8">
        <v>2478</v>
      </c>
      <c r="I173" s="5" t="s">
        <v>40</v>
      </c>
      <c r="J173" s="8">
        <v>3</v>
      </c>
      <c r="K173" s="8">
        <v>2</v>
      </c>
      <c r="L173" s="8">
        <v>4</v>
      </c>
    </row>
    <row r="174" spans="1:12" x14ac:dyDescent="0.8">
      <c r="A174" s="5" t="s">
        <v>239</v>
      </c>
      <c r="B174" s="8">
        <v>27</v>
      </c>
      <c r="C174" s="5" t="s">
        <v>49</v>
      </c>
      <c r="D174" s="5" t="s">
        <v>51</v>
      </c>
      <c r="E174" s="5" t="s">
        <v>44</v>
      </c>
      <c r="F174" s="5" t="s">
        <v>137</v>
      </c>
      <c r="G174" s="8">
        <v>3</v>
      </c>
      <c r="H174" s="8">
        <v>4478</v>
      </c>
      <c r="I174" s="5" t="s">
        <v>40</v>
      </c>
      <c r="J174" s="8">
        <v>3</v>
      </c>
      <c r="K174" s="8">
        <v>3</v>
      </c>
      <c r="L174" s="8">
        <v>5</v>
      </c>
    </row>
    <row r="175" spans="1:12" x14ac:dyDescent="0.8">
      <c r="A175" s="5" t="s">
        <v>240</v>
      </c>
      <c r="B175" s="8">
        <v>27</v>
      </c>
      <c r="C175" s="5" t="s">
        <v>49</v>
      </c>
      <c r="D175" s="5" t="s">
        <v>51</v>
      </c>
      <c r="E175" s="5" t="s">
        <v>44</v>
      </c>
      <c r="F175" s="5" t="s">
        <v>137</v>
      </c>
      <c r="G175" s="8">
        <v>2</v>
      </c>
      <c r="H175" s="8">
        <v>6349</v>
      </c>
      <c r="I175" s="5" t="s">
        <v>40</v>
      </c>
      <c r="J175" s="8">
        <v>3</v>
      </c>
      <c r="K175" s="8">
        <v>0</v>
      </c>
      <c r="L175" s="8">
        <v>5</v>
      </c>
    </row>
    <row r="176" spans="1:12" x14ac:dyDescent="0.8">
      <c r="A176" s="5" t="s">
        <v>241</v>
      </c>
      <c r="B176" s="8">
        <v>27</v>
      </c>
      <c r="C176" s="5" t="s">
        <v>49</v>
      </c>
      <c r="D176" s="5" t="s">
        <v>51</v>
      </c>
      <c r="E176" s="5" t="s">
        <v>53</v>
      </c>
      <c r="F176" s="5" t="s">
        <v>137</v>
      </c>
      <c r="G176" s="8">
        <v>2</v>
      </c>
      <c r="H176" s="8">
        <v>6214</v>
      </c>
      <c r="I176" s="5" t="s">
        <v>49</v>
      </c>
      <c r="J176" s="8">
        <v>3</v>
      </c>
      <c r="K176" s="8">
        <v>3</v>
      </c>
      <c r="L176" s="8">
        <v>8</v>
      </c>
    </row>
    <row r="177" spans="1:12" x14ac:dyDescent="0.8">
      <c r="A177" s="5" t="s">
        <v>242</v>
      </c>
      <c r="B177" s="8">
        <v>27</v>
      </c>
      <c r="C177" s="5" t="s">
        <v>49</v>
      </c>
      <c r="D177" s="5" t="s">
        <v>42</v>
      </c>
      <c r="E177" s="5" t="s">
        <v>44</v>
      </c>
      <c r="F177" s="5" t="s">
        <v>45</v>
      </c>
      <c r="G177" s="8">
        <v>2</v>
      </c>
      <c r="H177" s="8">
        <v>3816</v>
      </c>
      <c r="I177" s="5" t="s">
        <v>49</v>
      </c>
      <c r="J177" s="8">
        <v>3</v>
      </c>
      <c r="K177" s="8">
        <v>2</v>
      </c>
      <c r="L177" s="8">
        <v>5</v>
      </c>
    </row>
    <row r="178" spans="1:12" x14ac:dyDescent="0.8">
      <c r="A178" s="5" t="s">
        <v>243</v>
      </c>
      <c r="B178" s="8">
        <v>27</v>
      </c>
      <c r="C178" s="5" t="s">
        <v>49</v>
      </c>
      <c r="D178" s="5" t="s">
        <v>42</v>
      </c>
      <c r="E178" s="5" t="s">
        <v>53</v>
      </c>
      <c r="F178" s="5" t="s">
        <v>60</v>
      </c>
      <c r="G178" s="8">
        <v>3</v>
      </c>
      <c r="H178" s="8">
        <v>2187</v>
      </c>
      <c r="I178" s="5" t="s">
        <v>49</v>
      </c>
      <c r="J178" s="8">
        <v>3</v>
      </c>
      <c r="K178" s="8">
        <v>5</v>
      </c>
      <c r="L178" s="8">
        <v>5</v>
      </c>
    </row>
    <row r="179" spans="1:12" x14ac:dyDescent="0.8">
      <c r="A179" s="5" t="s">
        <v>244</v>
      </c>
      <c r="B179" s="8">
        <v>27</v>
      </c>
      <c r="C179" s="5" t="s">
        <v>40</v>
      </c>
      <c r="D179" s="5" t="s">
        <v>51</v>
      </c>
      <c r="E179" s="5" t="s">
        <v>44</v>
      </c>
      <c r="F179" s="5" t="s">
        <v>54</v>
      </c>
      <c r="G179" s="8">
        <v>1</v>
      </c>
      <c r="H179" s="8">
        <v>3041</v>
      </c>
      <c r="I179" s="5" t="s">
        <v>49</v>
      </c>
      <c r="J179" s="8">
        <v>3</v>
      </c>
      <c r="K179" s="8">
        <v>3</v>
      </c>
      <c r="L179" s="8">
        <v>4</v>
      </c>
    </row>
    <row r="180" spans="1:12" x14ac:dyDescent="0.8">
      <c r="A180" s="5" t="s">
        <v>245</v>
      </c>
      <c r="B180" s="8">
        <v>27</v>
      </c>
      <c r="C180" s="5" t="s">
        <v>49</v>
      </c>
      <c r="D180" s="5" t="s">
        <v>42</v>
      </c>
      <c r="E180" s="5" t="s">
        <v>44</v>
      </c>
      <c r="F180" s="5" t="s">
        <v>60</v>
      </c>
      <c r="G180" s="8">
        <v>4</v>
      </c>
      <c r="H180" s="8">
        <v>2045</v>
      </c>
      <c r="I180" s="5" t="s">
        <v>49</v>
      </c>
      <c r="J180" s="8">
        <v>3</v>
      </c>
      <c r="K180" s="8">
        <v>0</v>
      </c>
      <c r="L180" s="8">
        <v>4</v>
      </c>
    </row>
    <row r="181" spans="1:12" x14ac:dyDescent="0.8">
      <c r="A181" s="5" t="s">
        <v>246</v>
      </c>
      <c r="B181" s="8">
        <v>27</v>
      </c>
      <c r="C181" s="5" t="s">
        <v>49</v>
      </c>
      <c r="D181" s="5" t="s">
        <v>51</v>
      </c>
      <c r="E181" s="5" t="s">
        <v>53</v>
      </c>
      <c r="F181" s="5" t="s">
        <v>137</v>
      </c>
      <c r="G181" s="8">
        <v>4</v>
      </c>
      <c r="H181" s="8">
        <v>4647</v>
      </c>
      <c r="I181" s="5" t="s">
        <v>40</v>
      </c>
      <c r="J181" s="8">
        <v>4</v>
      </c>
      <c r="K181" s="8">
        <v>3</v>
      </c>
      <c r="L181" s="8">
        <v>6</v>
      </c>
    </row>
    <row r="182" spans="1:12" x14ac:dyDescent="0.8">
      <c r="A182" s="5" t="s">
        <v>247</v>
      </c>
      <c r="B182" s="8">
        <v>27</v>
      </c>
      <c r="C182" s="5" t="s">
        <v>49</v>
      </c>
      <c r="D182" s="5" t="s">
        <v>42</v>
      </c>
      <c r="E182" s="5" t="s">
        <v>53</v>
      </c>
      <c r="F182" s="5" t="s">
        <v>112</v>
      </c>
      <c r="G182" s="8">
        <v>1</v>
      </c>
      <c r="H182" s="8">
        <v>7412</v>
      </c>
      <c r="I182" s="5" t="s">
        <v>49</v>
      </c>
      <c r="J182" s="8">
        <v>3</v>
      </c>
      <c r="K182" s="8">
        <v>3</v>
      </c>
      <c r="L182" s="8">
        <v>9</v>
      </c>
    </row>
    <row r="183" spans="1:12" x14ac:dyDescent="0.8">
      <c r="A183" s="5" t="s">
        <v>248</v>
      </c>
      <c r="B183" s="8">
        <v>27</v>
      </c>
      <c r="C183" s="5" t="s">
        <v>49</v>
      </c>
      <c r="D183" s="5" t="s">
        <v>42</v>
      </c>
      <c r="E183" s="5" t="s">
        <v>44</v>
      </c>
      <c r="F183" s="5" t="s">
        <v>112</v>
      </c>
      <c r="G183" s="8">
        <v>1</v>
      </c>
      <c r="H183" s="8">
        <v>8793</v>
      </c>
      <c r="I183" s="5" t="s">
        <v>49</v>
      </c>
      <c r="J183" s="8">
        <v>4</v>
      </c>
      <c r="K183" s="8">
        <v>4</v>
      </c>
      <c r="L183" s="8">
        <v>9</v>
      </c>
    </row>
    <row r="184" spans="1:12" x14ac:dyDescent="0.8">
      <c r="A184" s="5" t="s">
        <v>249</v>
      </c>
      <c r="B184" s="8">
        <v>27</v>
      </c>
      <c r="C184" s="5" t="s">
        <v>49</v>
      </c>
      <c r="D184" s="5" t="s">
        <v>42</v>
      </c>
      <c r="E184" s="5" t="s">
        <v>53</v>
      </c>
      <c r="F184" s="5" t="s">
        <v>161</v>
      </c>
      <c r="G184" s="8">
        <v>1</v>
      </c>
      <c r="H184" s="8">
        <v>6811</v>
      </c>
      <c r="I184" s="5" t="s">
        <v>49</v>
      </c>
      <c r="J184" s="8">
        <v>3</v>
      </c>
      <c r="K184" s="8">
        <v>2</v>
      </c>
      <c r="L184" s="8">
        <v>7</v>
      </c>
    </row>
    <row r="185" spans="1:12" x14ac:dyDescent="0.8">
      <c r="A185" s="5" t="s">
        <v>250</v>
      </c>
      <c r="B185" s="8">
        <v>27</v>
      </c>
      <c r="C185" s="5" t="s">
        <v>49</v>
      </c>
      <c r="D185" s="5" t="s">
        <v>51</v>
      </c>
      <c r="E185" s="5" t="s">
        <v>44</v>
      </c>
      <c r="F185" s="5" t="s">
        <v>137</v>
      </c>
      <c r="G185" s="8">
        <v>4</v>
      </c>
      <c r="H185" s="8">
        <v>4342</v>
      </c>
      <c r="I185" s="5" t="s">
        <v>49</v>
      </c>
      <c r="J185" s="8">
        <v>3</v>
      </c>
      <c r="K185" s="8">
        <v>3</v>
      </c>
      <c r="L185" s="8">
        <v>4</v>
      </c>
    </row>
    <row r="186" spans="1:12" x14ac:dyDescent="0.8">
      <c r="A186" s="5" t="s">
        <v>251</v>
      </c>
      <c r="B186" s="8">
        <v>27</v>
      </c>
      <c r="C186" s="5" t="s">
        <v>49</v>
      </c>
      <c r="D186" s="5" t="s">
        <v>42</v>
      </c>
      <c r="E186" s="5" t="s">
        <v>44</v>
      </c>
      <c r="F186" s="5" t="s">
        <v>252</v>
      </c>
      <c r="G186" s="8">
        <v>4</v>
      </c>
      <c r="H186" s="8">
        <v>12808</v>
      </c>
      <c r="I186" s="5" t="s">
        <v>40</v>
      </c>
      <c r="J186" s="8">
        <v>3</v>
      </c>
      <c r="K186" s="8">
        <v>3</v>
      </c>
      <c r="L186" s="8">
        <v>9</v>
      </c>
    </row>
    <row r="187" spans="1:12" x14ac:dyDescent="0.8">
      <c r="A187" s="5" t="s">
        <v>254</v>
      </c>
      <c r="B187" s="8">
        <v>27</v>
      </c>
      <c r="C187" s="5" t="s">
        <v>49</v>
      </c>
      <c r="D187" s="5" t="s">
        <v>42</v>
      </c>
      <c r="E187" s="5" t="s">
        <v>44</v>
      </c>
      <c r="F187" s="5" t="s">
        <v>60</v>
      </c>
      <c r="G187" s="8">
        <v>4</v>
      </c>
      <c r="H187" s="8">
        <v>1706</v>
      </c>
      <c r="I187" s="5" t="s">
        <v>49</v>
      </c>
      <c r="J187" s="8">
        <v>3</v>
      </c>
      <c r="K187" s="8">
        <v>6</v>
      </c>
      <c r="L187" s="8">
        <v>0</v>
      </c>
    </row>
    <row r="188" spans="1:12" x14ac:dyDescent="0.8">
      <c r="A188" s="5" t="s">
        <v>255</v>
      </c>
      <c r="B188" s="8">
        <v>27</v>
      </c>
      <c r="C188" s="5" t="s">
        <v>49</v>
      </c>
      <c r="D188" s="5" t="s">
        <v>42</v>
      </c>
      <c r="E188" s="5" t="s">
        <v>53</v>
      </c>
      <c r="F188" s="5" t="s">
        <v>60</v>
      </c>
      <c r="G188" s="8">
        <v>3</v>
      </c>
      <c r="H188" s="8">
        <v>2318</v>
      </c>
      <c r="I188" s="5" t="s">
        <v>49</v>
      </c>
      <c r="J188" s="8">
        <v>3</v>
      </c>
      <c r="K188" s="8">
        <v>2</v>
      </c>
      <c r="L188" s="8">
        <v>1</v>
      </c>
    </row>
    <row r="189" spans="1:12" x14ac:dyDescent="0.8">
      <c r="A189" s="5" t="s">
        <v>256</v>
      </c>
      <c r="B189" s="8">
        <v>27</v>
      </c>
      <c r="C189" s="5" t="s">
        <v>49</v>
      </c>
      <c r="D189" s="5" t="s">
        <v>42</v>
      </c>
      <c r="E189" s="5" t="s">
        <v>53</v>
      </c>
      <c r="F189" s="5" t="s">
        <v>45</v>
      </c>
      <c r="G189" s="8">
        <v>2</v>
      </c>
      <c r="H189" s="8">
        <v>2811</v>
      </c>
      <c r="I189" s="5" t="s">
        <v>49</v>
      </c>
      <c r="J189" s="8">
        <v>3</v>
      </c>
      <c r="K189" s="8">
        <v>2</v>
      </c>
      <c r="L189" s="8">
        <v>2</v>
      </c>
    </row>
    <row r="190" spans="1:12" x14ac:dyDescent="0.8">
      <c r="A190" s="5" t="s">
        <v>257</v>
      </c>
      <c r="B190" s="8">
        <v>27</v>
      </c>
      <c r="C190" s="5" t="s">
        <v>49</v>
      </c>
      <c r="D190" s="5" t="s">
        <v>42</v>
      </c>
      <c r="E190" s="5" t="s">
        <v>53</v>
      </c>
      <c r="F190" s="5" t="s">
        <v>112</v>
      </c>
      <c r="G190" s="8">
        <v>4</v>
      </c>
      <c r="H190" s="8">
        <v>4227</v>
      </c>
      <c r="I190" s="5" t="s">
        <v>49</v>
      </c>
      <c r="J190" s="8">
        <v>3</v>
      </c>
      <c r="K190" s="8">
        <v>2</v>
      </c>
      <c r="L190" s="8">
        <v>3</v>
      </c>
    </row>
    <row r="191" spans="1:12" x14ac:dyDescent="0.8">
      <c r="A191" s="5" t="s">
        <v>258</v>
      </c>
      <c r="B191" s="8">
        <v>27</v>
      </c>
      <c r="C191" s="5" t="s">
        <v>49</v>
      </c>
      <c r="D191" s="5" t="s">
        <v>42</v>
      </c>
      <c r="E191" s="5" t="s">
        <v>44</v>
      </c>
      <c r="F191" s="5" t="s">
        <v>45</v>
      </c>
      <c r="G191" s="8">
        <v>3</v>
      </c>
      <c r="H191" s="8">
        <v>4621</v>
      </c>
      <c r="I191" s="5" t="s">
        <v>49</v>
      </c>
      <c r="J191" s="8">
        <v>3</v>
      </c>
      <c r="K191" s="8">
        <v>4</v>
      </c>
      <c r="L191" s="8">
        <v>3</v>
      </c>
    </row>
    <row r="192" spans="1:12" x14ac:dyDescent="0.8">
      <c r="A192" s="5" t="s">
        <v>259</v>
      </c>
      <c r="B192" s="8">
        <v>27</v>
      </c>
      <c r="C192" s="5" t="s">
        <v>49</v>
      </c>
      <c r="D192" s="5" t="s">
        <v>42</v>
      </c>
      <c r="E192" s="5" t="s">
        <v>44</v>
      </c>
      <c r="F192" s="5" t="s">
        <v>60</v>
      </c>
      <c r="G192" s="8">
        <v>3</v>
      </c>
      <c r="H192" s="8">
        <v>2539</v>
      </c>
      <c r="I192" s="5" t="s">
        <v>49</v>
      </c>
      <c r="J192" s="8">
        <v>3</v>
      </c>
      <c r="K192" s="8">
        <v>0</v>
      </c>
      <c r="L192" s="8">
        <v>4</v>
      </c>
    </row>
    <row r="193" spans="1:12" x14ac:dyDescent="0.8">
      <c r="A193" s="5" t="s">
        <v>260</v>
      </c>
      <c r="B193" s="8">
        <v>27</v>
      </c>
      <c r="C193" s="5" t="s">
        <v>49</v>
      </c>
      <c r="D193" s="5" t="s">
        <v>42</v>
      </c>
      <c r="E193" s="5" t="s">
        <v>44</v>
      </c>
      <c r="F193" s="5" t="s">
        <v>60</v>
      </c>
      <c r="G193" s="8">
        <v>1</v>
      </c>
      <c r="H193" s="8">
        <v>2235</v>
      </c>
      <c r="I193" s="5" t="s">
        <v>40</v>
      </c>
      <c r="J193" s="8">
        <v>3</v>
      </c>
      <c r="K193" s="8">
        <v>3</v>
      </c>
      <c r="L193" s="8">
        <v>9</v>
      </c>
    </row>
    <row r="194" spans="1:12" x14ac:dyDescent="0.8">
      <c r="A194" s="5" t="s">
        <v>261</v>
      </c>
      <c r="B194" s="8">
        <v>27</v>
      </c>
      <c r="C194" s="5" t="s">
        <v>49</v>
      </c>
      <c r="D194" s="5" t="s">
        <v>42</v>
      </c>
      <c r="E194" s="5" t="s">
        <v>44</v>
      </c>
      <c r="F194" s="5" t="s">
        <v>60</v>
      </c>
      <c r="G194" s="8">
        <v>3</v>
      </c>
      <c r="H194" s="8">
        <v>2517</v>
      </c>
      <c r="I194" s="5" t="s">
        <v>49</v>
      </c>
      <c r="J194" s="8">
        <v>3</v>
      </c>
      <c r="K194" s="8">
        <v>2</v>
      </c>
      <c r="L194" s="8">
        <v>5</v>
      </c>
    </row>
    <row r="195" spans="1:12" x14ac:dyDescent="0.8">
      <c r="A195" s="5" t="s">
        <v>262</v>
      </c>
      <c r="B195" s="8">
        <v>27</v>
      </c>
      <c r="C195" s="5" t="s">
        <v>49</v>
      </c>
      <c r="D195" s="5" t="s">
        <v>51</v>
      </c>
      <c r="E195" s="5" t="s">
        <v>53</v>
      </c>
      <c r="F195" s="5" t="s">
        <v>54</v>
      </c>
      <c r="G195" s="8">
        <v>4</v>
      </c>
      <c r="H195" s="8">
        <v>2534</v>
      </c>
      <c r="I195" s="5" t="s">
        <v>49</v>
      </c>
      <c r="J195" s="8">
        <v>3</v>
      </c>
      <c r="K195" s="8">
        <v>4</v>
      </c>
      <c r="L195" s="8">
        <v>1</v>
      </c>
    </row>
    <row r="196" spans="1:12" x14ac:dyDescent="0.8">
      <c r="A196" s="5" t="s">
        <v>263</v>
      </c>
      <c r="B196" s="8">
        <v>27</v>
      </c>
      <c r="C196" s="5" t="s">
        <v>49</v>
      </c>
      <c r="D196" s="5" t="s">
        <v>51</v>
      </c>
      <c r="E196" s="5" t="s">
        <v>44</v>
      </c>
      <c r="F196" s="5" t="s">
        <v>137</v>
      </c>
      <c r="G196" s="8">
        <v>4</v>
      </c>
      <c r="H196" s="8">
        <v>5071</v>
      </c>
      <c r="I196" s="5" t="s">
        <v>49</v>
      </c>
      <c r="J196" s="8">
        <v>4</v>
      </c>
      <c r="K196" s="8">
        <v>3</v>
      </c>
      <c r="L196" s="8">
        <v>6</v>
      </c>
    </row>
    <row r="197" spans="1:12" x14ac:dyDescent="0.8">
      <c r="A197" s="5" t="s">
        <v>264</v>
      </c>
      <c r="B197" s="8">
        <v>27</v>
      </c>
      <c r="C197" s="5" t="s">
        <v>49</v>
      </c>
      <c r="D197" s="5" t="s">
        <v>51</v>
      </c>
      <c r="E197" s="5" t="s">
        <v>53</v>
      </c>
      <c r="F197" s="5" t="s">
        <v>137</v>
      </c>
      <c r="G197" s="8">
        <v>4</v>
      </c>
      <c r="H197" s="8">
        <v>5769</v>
      </c>
      <c r="I197" s="5" t="s">
        <v>40</v>
      </c>
      <c r="J197" s="8">
        <v>3</v>
      </c>
      <c r="K197" s="8">
        <v>3</v>
      </c>
      <c r="L197" s="8">
        <v>6</v>
      </c>
    </row>
    <row r="198" spans="1:12" x14ac:dyDescent="0.8">
      <c r="A198" s="5" t="s">
        <v>265</v>
      </c>
      <c r="B198" s="8">
        <v>27</v>
      </c>
      <c r="C198" s="5" t="s">
        <v>40</v>
      </c>
      <c r="D198" s="5" t="s">
        <v>42</v>
      </c>
      <c r="E198" s="5" t="s">
        <v>53</v>
      </c>
      <c r="F198" s="5" t="s">
        <v>60</v>
      </c>
      <c r="G198" s="8">
        <v>3</v>
      </c>
      <c r="H198" s="8">
        <v>2394</v>
      </c>
      <c r="I198" s="5" t="s">
        <v>40</v>
      </c>
      <c r="J198" s="8">
        <v>3</v>
      </c>
      <c r="K198" s="8">
        <v>2</v>
      </c>
      <c r="L198" s="8">
        <v>8</v>
      </c>
    </row>
    <row r="199" spans="1:12" x14ac:dyDescent="0.8">
      <c r="A199" s="5" t="s">
        <v>266</v>
      </c>
      <c r="B199" s="8">
        <v>27</v>
      </c>
      <c r="C199" s="5" t="s">
        <v>49</v>
      </c>
      <c r="D199" s="5" t="s">
        <v>42</v>
      </c>
      <c r="E199" s="5" t="s">
        <v>44</v>
      </c>
      <c r="F199" s="5" t="s">
        <v>45</v>
      </c>
      <c r="G199" s="8">
        <v>1</v>
      </c>
      <c r="H199" s="8">
        <v>2099</v>
      </c>
      <c r="I199" s="5" t="s">
        <v>49</v>
      </c>
      <c r="J199" s="8">
        <v>3</v>
      </c>
      <c r="K199" s="8">
        <v>3</v>
      </c>
      <c r="L199" s="8">
        <v>5</v>
      </c>
    </row>
    <row r="200" spans="1:12" x14ac:dyDescent="0.8">
      <c r="A200" s="5" t="s">
        <v>267</v>
      </c>
      <c r="B200" s="8">
        <v>27</v>
      </c>
      <c r="C200" s="5" t="s">
        <v>49</v>
      </c>
      <c r="D200" s="5" t="s">
        <v>42</v>
      </c>
      <c r="E200" s="5" t="s">
        <v>44</v>
      </c>
      <c r="F200" s="5" t="s">
        <v>45</v>
      </c>
      <c r="G200" s="8">
        <v>1</v>
      </c>
      <c r="H200" s="8">
        <v>4066</v>
      </c>
      <c r="I200" s="5" t="s">
        <v>49</v>
      </c>
      <c r="J200" s="8">
        <v>3</v>
      </c>
      <c r="K200" s="8">
        <v>3</v>
      </c>
      <c r="L200" s="8">
        <v>7</v>
      </c>
    </row>
    <row r="201" spans="1:12" x14ac:dyDescent="0.8">
      <c r="A201" s="5" t="s">
        <v>268</v>
      </c>
      <c r="B201" s="8">
        <v>27</v>
      </c>
      <c r="C201" s="5" t="s">
        <v>49</v>
      </c>
      <c r="D201" s="5" t="s">
        <v>42</v>
      </c>
      <c r="E201" s="5" t="s">
        <v>53</v>
      </c>
      <c r="F201" s="5" t="s">
        <v>60</v>
      </c>
      <c r="G201" s="8">
        <v>3</v>
      </c>
      <c r="H201" s="8">
        <v>3517</v>
      </c>
      <c r="I201" s="5" t="s">
        <v>49</v>
      </c>
      <c r="J201" s="8">
        <v>3</v>
      </c>
      <c r="K201" s="8">
        <v>0</v>
      </c>
      <c r="L201" s="8">
        <v>3</v>
      </c>
    </row>
    <row r="202" spans="1:12" x14ac:dyDescent="0.8">
      <c r="A202" s="5" t="s">
        <v>269</v>
      </c>
      <c r="B202" s="8">
        <v>27</v>
      </c>
      <c r="C202" s="5" t="s">
        <v>49</v>
      </c>
      <c r="D202" s="5" t="s">
        <v>42</v>
      </c>
      <c r="E202" s="5" t="s">
        <v>44</v>
      </c>
      <c r="F202" s="5" t="s">
        <v>60</v>
      </c>
      <c r="G202" s="8">
        <v>4</v>
      </c>
      <c r="H202" s="8">
        <v>2580</v>
      </c>
      <c r="I202" s="5" t="s">
        <v>49</v>
      </c>
      <c r="J202" s="8">
        <v>3</v>
      </c>
      <c r="K202" s="8">
        <v>0</v>
      </c>
      <c r="L202" s="8">
        <v>4</v>
      </c>
    </row>
    <row r="203" spans="1:12" x14ac:dyDescent="0.8">
      <c r="A203" s="5" t="s">
        <v>270</v>
      </c>
      <c r="B203" s="8">
        <v>27</v>
      </c>
      <c r="C203" s="5" t="s">
        <v>49</v>
      </c>
      <c r="D203" s="5" t="s">
        <v>42</v>
      </c>
      <c r="E203" s="5" t="s">
        <v>53</v>
      </c>
      <c r="F203" s="5" t="s">
        <v>60</v>
      </c>
      <c r="G203" s="8">
        <v>4</v>
      </c>
      <c r="H203" s="8">
        <v>3445</v>
      </c>
      <c r="I203" s="5" t="s">
        <v>49</v>
      </c>
      <c r="J203" s="8">
        <v>3</v>
      </c>
      <c r="K203" s="8">
        <v>5</v>
      </c>
      <c r="L203" s="8">
        <v>6</v>
      </c>
    </row>
    <row r="204" spans="1:12" x14ac:dyDescent="0.8">
      <c r="A204" s="5" t="s">
        <v>271</v>
      </c>
      <c r="B204" s="8">
        <v>27</v>
      </c>
      <c r="C204" s="5" t="s">
        <v>49</v>
      </c>
      <c r="D204" s="5" t="s">
        <v>42</v>
      </c>
      <c r="E204" s="5" t="s">
        <v>53</v>
      </c>
      <c r="F204" s="5" t="s">
        <v>45</v>
      </c>
      <c r="G204" s="8">
        <v>4</v>
      </c>
      <c r="H204" s="8">
        <v>2379</v>
      </c>
      <c r="I204" s="5" t="s">
        <v>40</v>
      </c>
      <c r="J204" s="8">
        <v>3</v>
      </c>
      <c r="K204" s="8">
        <v>3</v>
      </c>
      <c r="L204" s="8">
        <v>5</v>
      </c>
    </row>
    <row r="205" spans="1:12" x14ac:dyDescent="0.8">
      <c r="A205" s="5" t="s">
        <v>272</v>
      </c>
      <c r="B205" s="8">
        <v>27</v>
      </c>
      <c r="C205" s="5" t="s">
        <v>49</v>
      </c>
      <c r="D205" s="5" t="s">
        <v>51</v>
      </c>
      <c r="E205" s="5" t="s">
        <v>53</v>
      </c>
      <c r="F205" s="5" t="s">
        <v>54</v>
      </c>
      <c r="G205" s="8">
        <v>3</v>
      </c>
      <c r="H205" s="8">
        <v>3540</v>
      </c>
      <c r="I205" s="5" t="s">
        <v>49</v>
      </c>
      <c r="J205" s="8">
        <v>4</v>
      </c>
      <c r="K205" s="8">
        <v>5</v>
      </c>
      <c r="L205" s="8">
        <v>9</v>
      </c>
    </row>
    <row r="206" spans="1:12" x14ac:dyDescent="0.8">
      <c r="A206" s="5" t="s">
        <v>273</v>
      </c>
      <c r="B206" s="8">
        <v>27</v>
      </c>
      <c r="C206" s="5" t="s">
        <v>49</v>
      </c>
      <c r="D206" s="5" t="s">
        <v>42</v>
      </c>
      <c r="E206" s="5" t="s">
        <v>53</v>
      </c>
      <c r="F206" s="5" t="s">
        <v>60</v>
      </c>
      <c r="G206" s="8">
        <v>1</v>
      </c>
      <c r="H206" s="8">
        <v>4774</v>
      </c>
      <c r="I206" s="5" t="s">
        <v>49</v>
      </c>
      <c r="J206" s="8">
        <v>3</v>
      </c>
      <c r="K206" s="8">
        <v>2</v>
      </c>
      <c r="L206" s="8">
        <v>7</v>
      </c>
    </row>
    <row r="207" spans="1:12" x14ac:dyDescent="0.8">
      <c r="A207" s="5" t="s">
        <v>274</v>
      </c>
      <c r="B207" s="8">
        <v>27</v>
      </c>
      <c r="C207" s="5" t="s">
        <v>49</v>
      </c>
      <c r="D207" s="5" t="s">
        <v>51</v>
      </c>
      <c r="E207" s="5" t="s">
        <v>53</v>
      </c>
      <c r="F207" s="5" t="s">
        <v>137</v>
      </c>
      <c r="G207" s="8">
        <v>3</v>
      </c>
      <c r="H207" s="8">
        <v>6500</v>
      </c>
      <c r="I207" s="5" t="s">
        <v>49</v>
      </c>
      <c r="J207" s="8">
        <v>3</v>
      </c>
      <c r="K207" s="8">
        <v>5</v>
      </c>
      <c r="L207" s="8">
        <v>8</v>
      </c>
    </row>
    <row r="208" spans="1:12" x14ac:dyDescent="0.8">
      <c r="A208" s="5" t="s">
        <v>275</v>
      </c>
      <c r="B208" s="8">
        <v>27</v>
      </c>
      <c r="C208" s="5" t="s">
        <v>49</v>
      </c>
      <c r="D208" s="5" t="s">
        <v>42</v>
      </c>
      <c r="E208" s="5" t="s">
        <v>44</v>
      </c>
      <c r="F208" s="5" t="s">
        <v>60</v>
      </c>
      <c r="G208" s="8">
        <v>2</v>
      </c>
      <c r="H208" s="8">
        <v>2226</v>
      </c>
      <c r="I208" s="5" t="s">
        <v>49</v>
      </c>
      <c r="J208" s="8">
        <v>3</v>
      </c>
      <c r="K208" s="8">
        <v>3</v>
      </c>
      <c r="L208" s="8">
        <v>5</v>
      </c>
    </row>
    <row r="209" spans="1:12" x14ac:dyDescent="0.8">
      <c r="A209" s="5" t="s">
        <v>277</v>
      </c>
      <c r="B209" s="8">
        <v>27</v>
      </c>
      <c r="C209" s="5" t="s">
        <v>40</v>
      </c>
      <c r="D209" s="5" t="s">
        <v>71</v>
      </c>
      <c r="E209" s="5" t="s">
        <v>53</v>
      </c>
      <c r="F209" s="5" t="s">
        <v>71</v>
      </c>
      <c r="G209" s="8">
        <v>2</v>
      </c>
      <c r="H209" s="8">
        <v>2863</v>
      </c>
      <c r="I209" s="5" t="s">
        <v>49</v>
      </c>
      <c r="J209" s="8">
        <v>3</v>
      </c>
      <c r="K209" s="8">
        <v>2</v>
      </c>
      <c r="L209" s="8">
        <v>1</v>
      </c>
    </row>
    <row r="210" spans="1:12" x14ac:dyDescent="0.8">
      <c r="A210" s="5" t="s">
        <v>278</v>
      </c>
      <c r="B210" s="8">
        <v>27</v>
      </c>
      <c r="C210" s="5" t="s">
        <v>49</v>
      </c>
      <c r="D210" s="5" t="s">
        <v>51</v>
      </c>
      <c r="E210" s="5" t="s">
        <v>44</v>
      </c>
      <c r="F210" s="5" t="s">
        <v>137</v>
      </c>
      <c r="G210" s="8">
        <v>4</v>
      </c>
      <c r="H210" s="8">
        <v>4105</v>
      </c>
      <c r="I210" s="5" t="s">
        <v>49</v>
      </c>
      <c r="J210" s="8">
        <v>3</v>
      </c>
      <c r="K210" s="8">
        <v>5</v>
      </c>
      <c r="L210" s="8">
        <v>7</v>
      </c>
    </row>
    <row r="211" spans="1:12" x14ac:dyDescent="0.8">
      <c r="A211" s="5" t="s">
        <v>279</v>
      </c>
      <c r="B211" s="8">
        <v>27</v>
      </c>
      <c r="C211" s="5" t="s">
        <v>49</v>
      </c>
      <c r="D211" s="5" t="s">
        <v>42</v>
      </c>
      <c r="E211" s="5" t="s">
        <v>44</v>
      </c>
      <c r="F211" s="5" t="s">
        <v>112</v>
      </c>
      <c r="G211" s="8">
        <v>2</v>
      </c>
      <c r="H211" s="8">
        <v>6142</v>
      </c>
      <c r="I211" s="5" t="s">
        <v>40</v>
      </c>
      <c r="J211" s="8">
        <v>4</v>
      </c>
      <c r="K211" s="8">
        <v>0</v>
      </c>
      <c r="L211" s="8">
        <v>6</v>
      </c>
    </row>
    <row r="212" spans="1:12" x14ac:dyDescent="0.8">
      <c r="A212" s="5" t="s">
        <v>280</v>
      </c>
      <c r="B212" s="8">
        <v>28</v>
      </c>
      <c r="C212" s="5" t="s">
        <v>40</v>
      </c>
      <c r="D212" s="5" t="s">
        <v>42</v>
      </c>
      <c r="E212" s="5" t="s">
        <v>44</v>
      </c>
      <c r="F212" s="5" t="s">
        <v>45</v>
      </c>
      <c r="G212" s="8">
        <v>3</v>
      </c>
      <c r="H212" s="8">
        <v>2028</v>
      </c>
      <c r="I212" s="5" t="s">
        <v>40</v>
      </c>
      <c r="J212" s="8">
        <v>3</v>
      </c>
      <c r="K212" s="8">
        <v>4</v>
      </c>
      <c r="L212" s="8">
        <v>4</v>
      </c>
    </row>
    <row r="213" spans="1:12" x14ac:dyDescent="0.8">
      <c r="A213" s="5" t="s">
        <v>281</v>
      </c>
      <c r="B213" s="8">
        <v>28</v>
      </c>
      <c r="C213" s="5" t="s">
        <v>40</v>
      </c>
      <c r="D213" s="5" t="s">
        <v>42</v>
      </c>
      <c r="E213" s="5" t="s">
        <v>44</v>
      </c>
      <c r="F213" s="5" t="s">
        <v>45</v>
      </c>
      <c r="G213" s="8">
        <v>3</v>
      </c>
      <c r="H213" s="8">
        <v>3441</v>
      </c>
      <c r="I213" s="5" t="s">
        <v>40</v>
      </c>
      <c r="J213" s="8">
        <v>3</v>
      </c>
      <c r="K213" s="8">
        <v>3</v>
      </c>
      <c r="L213" s="8">
        <v>2</v>
      </c>
    </row>
    <row r="214" spans="1:12" x14ac:dyDescent="0.8">
      <c r="A214" s="5" t="s">
        <v>282</v>
      </c>
      <c r="B214" s="8">
        <v>28</v>
      </c>
      <c r="C214" s="5" t="s">
        <v>49</v>
      </c>
      <c r="D214" s="5" t="s">
        <v>51</v>
      </c>
      <c r="E214" s="5" t="s">
        <v>44</v>
      </c>
      <c r="F214" s="5" t="s">
        <v>137</v>
      </c>
      <c r="G214" s="8">
        <v>3</v>
      </c>
      <c r="H214" s="8">
        <v>4221</v>
      </c>
      <c r="I214" s="5" t="s">
        <v>49</v>
      </c>
      <c r="J214" s="8">
        <v>3</v>
      </c>
      <c r="K214" s="8">
        <v>3</v>
      </c>
      <c r="L214" s="8">
        <v>5</v>
      </c>
    </row>
    <row r="215" spans="1:12" x14ac:dyDescent="0.8">
      <c r="A215" s="5" t="s">
        <v>283</v>
      </c>
      <c r="B215" s="8">
        <v>28</v>
      </c>
      <c r="C215" s="5" t="s">
        <v>49</v>
      </c>
      <c r="D215" s="5" t="s">
        <v>42</v>
      </c>
      <c r="E215" s="5" t="s">
        <v>44</v>
      </c>
      <c r="F215" s="5" t="s">
        <v>60</v>
      </c>
      <c r="G215" s="8">
        <v>4</v>
      </c>
      <c r="H215" s="8">
        <v>2713</v>
      </c>
      <c r="I215" s="5" t="s">
        <v>49</v>
      </c>
      <c r="J215" s="8">
        <v>3</v>
      </c>
      <c r="K215" s="8">
        <v>2</v>
      </c>
      <c r="L215" s="8">
        <v>5</v>
      </c>
    </row>
    <row r="216" spans="1:12" x14ac:dyDescent="0.8">
      <c r="A216" s="5" t="s">
        <v>284</v>
      </c>
      <c r="B216" s="8">
        <v>28</v>
      </c>
      <c r="C216" s="5" t="s">
        <v>40</v>
      </c>
      <c r="D216" s="5" t="s">
        <v>42</v>
      </c>
      <c r="E216" s="5" t="s">
        <v>44</v>
      </c>
      <c r="F216" s="5" t="s">
        <v>45</v>
      </c>
      <c r="G216" s="8">
        <v>3</v>
      </c>
      <c r="H216" s="8">
        <v>3485</v>
      </c>
      <c r="I216" s="5" t="s">
        <v>49</v>
      </c>
      <c r="J216" s="8">
        <v>3</v>
      </c>
      <c r="K216" s="8">
        <v>5</v>
      </c>
      <c r="L216" s="8">
        <v>0</v>
      </c>
    </row>
    <row r="217" spans="1:12" x14ac:dyDescent="0.8">
      <c r="A217" s="5" t="s">
        <v>285</v>
      </c>
      <c r="B217" s="8">
        <v>28</v>
      </c>
      <c r="C217" s="5" t="s">
        <v>49</v>
      </c>
      <c r="D217" s="5" t="s">
        <v>42</v>
      </c>
      <c r="E217" s="5" t="s">
        <v>44</v>
      </c>
      <c r="F217" s="5" t="s">
        <v>60</v>
      </c>
      <c r="G217" s="8">
        <v>4</v>
      </c>
      <c r="H217" s="8">
        <v>2070</v>
      </c>
      <c r="I217" s="5" t="s">
        <v>49</v>
      </c>
      <c r="J217" s="8">
        <v>4</v>
      </c>
      <c r="K217" s="8">
        <v>3</v>
      </c>
      <c r="L217" s="8">
        <v>5</v>
      </c>
    </row>
    <row r="218" spans="1:12" x14ac:dyDescent="0.8">
      <c r="A218" s="5" t="s">
        <v>286</v>
      </c>
      <c r="B218" s="8">
        <v>28</v>
      </c>
      <c r="C218" s="5" t="s">
        <v>49</v>
      </c>
      <c r="D218" s="5" t="s">
        <v>42</v>
      </c>
      <c r="E218" s="5" t="s">
        <v>53</v>
      </c>
      <c r="F218" s="5" t="s">
        <v>60</v>
      </c>
      <c r="G218" s="8">
        <v>4</v>
      </c>
      <c r="H218" s="8">
        <v>3310</v>
      </c>
      <c r="I218" s="5" t="s">
        <v>49</v>
      </c>
      <c r="J218" s="8">
        <v>4</v>
      </c>
      <c r="K218" s="8">
        <v>3</v>
      </c>
      <c r="L218" s="8">
        <v>5</v>
      </c>
    </row>
    <row r="219" spans="1:12" x14ac:dyDescent="0.8">
      <c r="A219" s="5" t="s">
        <v>287</v>
      </c>
      <c r="B219" s="8">
        <v>28</v>
      </c>
      <c r="C219" s="5" t="s">
        <v>49</v>
      </c>
      <c r="D219" s="5" t="s">
        <v>42</v>
      </c>
      <c r="E219" s="5" t="s">
        <v>44</v>
      </c>
      <c r="F219" s="5" t="s">
        <v>161</v>
      </c>
      <c r="G219" s="8">
        <v>1</v>
      </c>
      <c r="H219" s="8">
        <v>5661</v>
      </c>
      <c r="I219" s="5" t="s">
        <v>49</v>
      </c>
      <c r="J219" s="8">
        <v>3</v>
      </c>
      <c r="K219" s="8">
        <v>2</v>
      </c>
      <c r="L219" s="8">
        <v>8</v>
      </c>
    </row>
    <row r="220" spans="1:12" x14ac:dyDescent="0.8">
      <c r="A220" s="5" t="s">
        <v>288</v>
      </c>
      <c r="B220" s="8">
        <v>28</v>
      </c>
      <c r="C220" s="5" t="s">
        <v>40</v>
      </c>
      <c r="D220" s="5" t="s">
        <v>42</v>
      </c>
      <c r="E220" s="5" t="s">
        <v>44</v>
      </c>
      <c r="F220" s="5" t="s">
        <v>60</v>
      </c>
      <c r="G220" s="8">
        <v>4</v>
      </c>
      <c r="H220" s="8">
        <v>3464</v>
      </c>
      <c r="I220" s="5" t="s">
        <v>40</v>
      </c>
      <c r="J220" s="8">
        <v>3</v>
      </c>
      <c r="K220" s="8">
        <v>4</v>
      </c>
      <c r="L220" s="8">
        <v>3</v>
      </c>
    </row>
    <row r="221" spans="1:12" x14ac:dyDescent="0.8">
      <c r="A221" s="5" t="s">
        <v>289</v>
      </c>
      <c r="B221" s="8">
        <v>28</v>
      </c>
      <c r="C221" s="5" t="s">
        <v>49</v>
      </c>
      <c r="D221" s="5" t="s">
        <v>51</v>
      </c>
      <c r="E221" s="5" t="s">
        <v>44</v>
      </c>
      <c r="F221" s="5" t="s">
        <v>137</v>
      </c>
      <c r="G221" s="8">
        <v>4</v>
      </c>
      <c r="H221" s="8">
        <v>5253</v>
      </c>
      <c r="I221" s="5" t="s">
        <v>49</v>
      </c>
      <c r="J221" s="8">
        <v>3</v>
      </c>
      <c r="K221" s="8">
        <v>1</v>
      </c>
      <c r="L221" s="8">
        <v>7</v>
      </c>
    </row>
    <row r="222" spans="1:12" x14ac:dyDescent="0.8">
      <c r="A222" s="5" t="s">
        <v>290</v>
      </c>
      <c r="B222" s="8">
        <v>28</v>
      </c>
      <c r="C222" s="5" t="s">
        <v>49</v>
      </c>
      <c r="D222" s="5" t="s">
        <v>42</v>
      </c>
      <c r="E222" s="5" t="s">
        <v>44</v>
      </c>
      <c r="F222" s="5" t="s">
        <v>45</v>
      </c>
      <c r="G222" s="8">
        <v>1</v>
      </c>
      <c r="H222" s="8">
        <v>4558</v>
      </c>
      <c r="I222" s="5" t="s">
        <v>49</v>
      </c>
      <c r="J222" s="8">
        <v>3</v>
      </c>
      <c r="K222" s="8">
        <v>2</v>
      </c>
      <c r="L222" s="8">
        <v>10</v>
      </c>
    </row>
    <row r="223" spans="1:12" x14ac:dyDescent="0.8">
      <c r="A223" s="5" t="s">
        <v>291</v>
      </c>
      <c r="B223" s="8">
        <v>28</v>
      </c>
      <c r="C223" s="5" t="s">
        <v>40</v>
      </c>
      <c r="D223" s="5" t="s">
        <v>42</v>
      </c>
      <c r="E223" s="5" t="s">
        <v>53</v>
      </c>
      <c r="F223" s="5" t="s">
        <v>60</v>
      </c>
      <c r="G223" s="8">
        <v>2</v>
      </c>
      <c r="H223" s="8">
        <v>2216</v>
      </c>
      <c r="I223" s="5" t="s">
        <v>40</v>
      </c>
      <c r="J223" s="8">
        <v>3</v>
      </c>
      <c r="K223" s="8">
        <v>4</v>
      </c>
      <c r="L223" s="8">
        <v>7</v>
      </c>
    </row>
    <row r="224" spans="1:12" x14ac:dyDescent="0.8">
      <c r="A224" s="5" t="s">
        <v>292</v>
      </c>
      <c r="B224" s="8">
        <v>28</v>
      </c>
      <c r="C224" s="5" t="s">
        <v>40</v>
      </c>
      <c r="D224" s="5" t="s">
        <v>42</v>
      </c>
      <c r="E224" s="5" t="s">
        <v>44</v>
      </c>
      <c r="F224" s="5" t="s">
        <v>60</v>
      </c>
      <c r="G224" s="8">
        <v>3</v>
      </c>
      <c r="H224" s="8">
        <v>4382</v>
      </c>
      <c r="I224" s="5" t="s">
        <v>49</v>
      </c>
      <c r="J224" s="8">
        <v>3</v>
      </c>
      <c r="K224" s="8">
        <v>3</v>
      </c>
      <c r="L224" s="8">
        <v>2</v>
      </c>
    </row>
    <row r="225" spans="1:12" x14ac:dyDescent="0.8">
      <c r="A225" s="5" t="s">
        <v>293</v>
      </c>
      <c r="B225" s="8">
        <v>28</v>
      </c>
      <c r="C225" s="5" t="s">
        <v>49</v>
      </c>
      <c r="D225" s="5" t="s">
        <v>51</v>
      </c>
      <c r="E225" s="5" t="s">
        <v>53</v>
      </c>
      <c r="F225" s="5" t="s">
        <v>137</v>
      </c>
      <c r="G225" s="8">
        <v>2</v>
      </c>
      <c r="H225" s="8">
        <v>4779</v>
      </c>
      <c r="I225" s="5" t="s">
        <v>40</v>
      </c>
      <c r="J225" s="8">
        <v>4</v>
      </c>
      <c r="K225" s="8">
        <v>2</v>
      </c>
      <c r="L225" s="8">
        <v>8</v>
      </c>
    </row>
    <row r="226" spans="1:12" x14ac:dyDescent="0.8">
      <c r="A226" s="5" t="s">
        <v>294</v>
      </c>
      <c r="B226" s="8">
        <v>28</v>
      </c>
      <c r="C226" s="5" t="s">
        <v>49</v>
      </c>
      <c r="D226" s="5" t="s">
        <v>71</v>
      </c>
      <c r="E226" s="5" t="s">
        <v>44</v>
      </c>
      <c r="F226" s="5" t="s">
        <v>71</v>
      </c>
      <c r="G226" s="8">
        <v>4</v>
      </c>
      <c r="H226" s="8">
        <v>4936</v>
      </c>
      <c r="I226" s="5" t="s">
        <v>49</v>
      </c>
      <c r="J226" s="8">
        <v>3</v>
      </c>
      <c r="K226" s="8">
        <v>6</v>
      </c>
      <c r="L226" s="8">
        <v>5</v>
      </c>
    </row>
    <row r="227" spans="1:12" x14ac:dyDescent="0.8">
      <c r="A227" s="5" t="s">
        <v>295</v>
      </c>
      <c r="B227" s="8">
        <v>28</v>
      </c>
      <c r="C227" s="5" t="s">
        <v>49</v>
      </c>
      <c r="D227" s="5" t="s">
        <v>51</v>
      </c>
      <c r="E227" s="5" t="s">
        <v>44</v>
      </c>
      <c r="F227" s="5" t="s">
        <v>137</v>
      </c>
      <c r="G227" s="8">
        <v>4</v>
      </c>
      <c r="H227" s="8">
        <v>4908</v>
      </c>
      <c r="I227" s="5" t="s">
        <v>49</v>
      </c>
      <c r="J227" s="8">
        <v>3</v>
      </c>
      <c r="K227" s="8">
        <v>3</v>
      </c>
      <c r="L227" s="8">
        <v>4</v>
      </c>
    </row>
    <row r="228" spans="1:12" x14ac:dyDescent="0.8">
      <c r="A228" s="5" t="s">
        <v>296</v>
      </c>
      <c r="B228" s="8">
        <v>28</v>
      </c>
      <c r="C228" s="5" t="s">
        <v>49</v>
      </c>
      <c r="D228" s="5" t="s">
        <v>42</v>
      </c>
      <c r="E228" s="5" t="s">
        <v>53</v>
      </c>
      <c r="F228" s="5" t="s">
        <v>60</v>
      </c>
      <c r="G228" s="8">
        <v>3</v>
      </c>
      <c r="H228" s="8">
        <v>2377</v>
      </c>
      <c r="I228" s="5" t="s">
        <v>49</v>
      </c>
      <c r="J228" s="8">
        <v>3</v>
      </c>
      <c r="K228" s="8">
        <v>2</v>
      </c>
      <c r="L228" s="8">
        <v>2</v>
      </c>
    </row>
    <row r="229" spans="1:12" x14ac:dyDescent="0.8">
      <c r="A229" s="5" t="s">
        <v>297</v>
      </c>
      <c r="B229" s="8">
        <v>28</v>
      </c>
      <c r="C229" s="5" t="s">
        <v>49</v>
      </c>
      <c r="D229" s="5" t="s">
        <v>51</v>
      </c>
      <c r="E229" s="5" t="s">
        <v>44</v>
      </c>
      <c r="F229" s="5" t="s">
        <v>54</v>
      </c>
      <c r="G229" s="8">
        <v>2</v>
      </c>
      <c r="H229" s="8">
        <v>1052</v>
      </c>
      <c r="I229" s="5" t="s">
        <v>49</v>
      </c>
      <c r="J229" s="8">
        <v>4</v>
      </c>
      <c r="K229" s="8">
        <v>5</v>
      </c>
      <c r="L229" s="8">
        <v>1</v>
      </c>
    </row>
    <row r="230" spans="1:12" x14ac:dyDescent="0.8">
      <c r="A230" s="5" t="s">
        <v>298</v>
      </c>
      <c r="B230" s="8">
        <v>28</v>
      </c>
      <c r="C230" s="5" t="s">
        <v>40</v>
      </c>
      <c r="D230" s="5" t="s">
        <v>42</v>
      </c>
      <c r="E230" s="5" t="s">
        <v>44</v>
      </c>
      <c r="F230" s="5" t="s">
        <v>161</v>
      </c>
      <c r="G230" s="8">
        <v>1</v>
      </c>
      <c r="H230" s="8">
        <v>8722</v>
      </c>
      <c r="I230" s="5" t="s">
        <v>49</v>
      </c>
      <c r="J230" s="8">
        <v>3</v>
      </c>
      <c r="K230" s="8">
        <v>2</v>
      </c>
      <c r="L230" s="8">
        <v>10</v>
      </c>
    </row>
    <row r="231" spans="1:12" x14ac:dyDescent="0.8">
      <c r="A231" s="5" t="s">
        <v>299</v>
      </c>
      <c r="B231" s="8">
        <v>28</v>
      </c>
      <c r="C231" s="5" t="s">
        <v>49</v>
      </c>
      <c r="D231" s="5" t="s">
        <v>42</v>
      </c>
      <c r="E231" s="5" t="s">
        <v>53</v>
      </c>
      <c r="F231" s="5" t="s">
        <v>60</v>
      </c>
      <c r="G231" s="8">
        <v>3</v>
      </c>
      <c r="H231" s="8">
        <v>3660</v>
      </c>
      <c r="I231" s="5" t="s">
        <v>49</v>
      </c>
      <c r="J231" s="8">
        <v>3</v>
      </c>
      <c r="K231" s="8">
        <v>4</v>
      </c>
      <c r="L231" s="8">
        <v>8</v>
      </c>
    </row>
    <row r="232" spans="1:12" x14ac:dyDescent="0.8">
      <c r="A232" s="5" t="s">
        <v>300</v>
      </c>
      <c r="B232" s="8">
        <v>28</v>
      </c>
      <c r="C232" s="5" t="s">
        <v>49</v>
      </c>
      <c r="D232" s="5" t="s">
        <v>42</v>
      </c>
      <c r="E232" s="5" t="s">
        <v>44</v>
      </c>
      <c r="F232" s="5" t="s">
        <v>45</v>
      </c>
      <c r="G232" s="8">
        <v>3</v>
      </c>
      <c r="H232" s="8">
        <v>2207</v>
      </c>
      <c r="I232" s="5" t="s">
        <v>49</v>
      </c>
      <c r="J232" s="8">
        <v>3</v>
      </c>
      <c r="K232" s="8">
        <v>5</v>
      </c>
      <c r="L232" s="8">
        <v>4</v>
      </c>
    </row>
    <row r="233" spans="1:12" x14ac:dyDescent="0.8">
      <c r="A233" s="5" t="s">
        <v>301</v>
      </c>
      <c r="B233" s="8">
        <v>28</v>
      </c>
      <c r="C233" s="5" t="s">
        <v>40</v>
      </c>
      <c r="D233" s="5" t="s">
        <v>42</v>
      </c>
      <c r="E233" s="5" t="s">
        <v>44</v>
      </c>
      <c r="F233" s="5" t="s">
        <v>45</v>
      </c>
      <c r="G233" s="8">
        <v>2</v>
      </c>
      <c r="H233" s="8">
        <v>2596</v>
      </c>
      <c r="I233" s="5" t="s">
        <v>49</v>
      </c>
      <c r="J233" s="8">
        <v>3</v>
      </c>
      <c r="K233" s="8">
        <v>2</v>
      </c>
      <c r="L233" s="8">
        <v>1</v>
      </c>
    </row>
    <row r="234" spans="1:12" x14ac:dyDescent="0.8">
      <c r="A234" s="5" t="s">
        <v>302</v>
      </c>
      <c r="B234" s="8">
        <v>28</v>
      </c>
      <c r="C234" s="5" t="s">
        <v>49</v>
      </c>
      <c r="D234" s="5" t="s">
        <v>42</v>
      </c>
      <c r="E234" s="5" t="s">
        <v>53</v>
      </c>
      <c r="F234" s="5" t="s">
        <v>112</v>
      </c>
      <c r="G234" s="8">
        <v>2</v>
      </c>
      <c r="H234" s="8">
        <v>7655</v>
      </c>
      <c r="I234" s="5" t="s">
        <v>49</v>
      </c>
      <c r="J234" s="8">
        <v>3</v>
      </c>
      <c r="K234" s="8">
        <v>3</v>
      </c>
      <c r="L234" s="8">
        <v>9</v>
      </c>
    </row>
    <row r="235" spans="1:12" x14ac:dyDescent="0.8">
      <c r="A235" s="5" t="s">
        <v>303</v>
      </c>
      <c r="B235" s="8">
        <v>28</v>
      </c>
      <c r="C235" s="5" t="s">
        <v>49</v>
      </c>
      <c r="D235" s="5" t="s">
        <v>42</v>
      </c>
      <c r="E235" s="5" t="s">
        <v>44</v>
      </c>
      <c r="F235" s="5" t="s">
        <v>60</v>
      </c>
      <c r="G235" s="8">
        <v>2</v>
      </c>
      <c r="H235" s="8">
        <v>3201</v>
      </c>
      <c r="I235" s="5" t="s">
        <v>49</v>
      </c>
      <c r="J235" s="8">
        <v>3</v>
      </c>
      <c r="K235" s="8">
        <v>2</v>
      </c>
      <c r="L235" s="8">
        <v>5</v>
      </c>
    </row>
    <row r="236" spans="1:12" x14ac:dyDescent="0.8">
      <c r="A236" s="5" t="s">
        <v>304</v>
      </c>
      <c r="B236" s="8">
        <v>28</v>
      </c>
      <c r="C236" s="5" t="s">
        <v>49</v>
      </c>
      <c r="D236" s="5" t="s">
        <v>42</v>
      </c>
      <c r="E236" s="5" t="s">
        <v>44</v>
      </c>
      <c r="F236" s="5" t="s">
        <v>60</v>
      </c>
      <c r="G236" s="8">
        <v>3</v>
      </c>
      <c r="H236" s="8">
        <v>2703</v>
      </c>
      <c r="I236" s="5" t="s">
        <v>40</v>
      </c>
      <c r="J236" s="8">
        <v>3</v>
      </c>
      <c r="K236" s="8">
        <v>2</v>
      </c>
      <c r="L236" s="8">
        <v>3</v>
      </c>
    </row>
    <row r="237" spans="1:12" x14ac:dyDescent="0.8">
      <c r="A237" s="5" t="s">
        <v>305</v>
      </c>
      <c r="B237" s="8">
        <v>28</v>
      </c>
      <c r="C237" s="5" t="s">
        <v>40</v>
      </c>
      <c r="D237" s="5" t="s">
        <v>42</v>
      </c>
      <c r="E237" s="5" t="s">
        <v>53</v>
      </c>
      <c r="F237" s="5" t="s">
        <v>45</v>
      </c>
      <c r="G237" s="8">
        <v>4</v>
      </c>
      <c r="H237" s="8">
        <v>2515</v>
      </c>
      <c r="I237" s="5" t="s">
        <v>40</v>
      </c>
      <c r="J237" s="8">
        <v>3</v>
      </c>
      <c r="K237" s="8">
        <v>4</v>
      </c>
      <c r="L237" s="8">
        <v>1</v>
      </c>
    </row>
    <row r="238" spans="1:12" x14ac:dyDescent="0.8">
      <c r="A238" s="5" t="s">
        <v>306</v>
      </c>
      <c r="B238" s="8">
        <v>28</v>
      </c>
      <c r="C238" s="5" t="s">
        <v>49</v>
      </c>
      <c r="D238" s="5" t="s">
        <v>42</v>
      </c>
      <c r="E238" s="5" t="s">
        <v>44</v>
      </c>
      <c r="F238" s="5" t="s">
        <v>45</v>
      </c>
      <c r="G238" s="8">
        <v>1</v>
      </c>
      <c r="H238" s="8">
        <v>3196</v>
      </c>
      <c r="I238" s="5" t="s">
        <v>49</v>
      </c>
      <c r="J238" s="8">
        <v>3</v>
      </c>
      <c r="K238" s="8">
        <v>2</v>
      </c>
      <c r="L238" s="8">
        <v>6</v>
      </c>
    </row>
    <row r="239" spans="1:12" x14ac:dyDescent="0.8">
      <c r="A239" s="5" t="s">
        <v>307</v>
      </c>
      <c r="B239" s="8">
        <v>28</v>
      </c>
      <c r="C239" s="5" t="s">
        <v>49</v>
      </c>
      <c r="D239" s="5" t="s">
        <v>42</v>
      </c>
      <c r="E239" s="5" t="s">
        <v>44</v>
      </c>
      <c r="F239" s="5" t="s">
        <v>45</v>
      </c>
      <c r="G239" s="8">
        <v>3</v>
      </c>
      <c r="H239" s="8">
        <v>2154</v>
      </c>
      <c r="I239" s="5" t="s">
        <v>40</v>
      </c>
      <c r="J239" s="8">
        <v>3</v>
      </c>
      <c r="K239" s="8">
        <v>2</v>
      </c>
      <c r="L239" s="8">
        <v>4</v>
      </c>
    </row>
    <row r="240" spans="1:12" x14ac:dyDescent="0.8">
      <c r="A240" s="5" t="s">
        <v>308</v>
      </c>
      <c r="B240" s="8">
        <v>28</v>
      </c>
      <c r="C240" s="5" t="s">
        <v>49</v>
      </c>
      <c r="D240" s="5" t="s">
        <v>42</v>
      </c>
      <c r="E240" s="5" t="s">
        <v>44</v>
      </c>
      <c r="F240" s="5" t="s">
        <v>45</v>
      </c>
      <c r="G240" s="8">
        <v>4</v>
      </c>
      <c r="H240" s="8">
        <v>3867</v>
      </c>
      <c r="I240" s="5" t="s">
        <v>40</v>
      </c>
      <c r="J240" s="8">
        <v>3</v>
      </c>
      <c r="K240" s="8">
        <v>2</v>
      </c>
      <c r="L240" s="8">
        <v>2</v>
      </c>
    </row>
    <row r="241" spans="1:12" x14ac:dyDescent="0.8">
      <c r="A241" s="5" t="s">
        <v>309</v>
      </c>
      <c r="B241" s="8">
        <v>28</v>
      </c>
      <c r="C241" s="5" t="s">
        <v>49</v>
      </c>
      <c r="D241" s="5" t="s">
        <v>42</v>
      </c>
      <c r="E241" s="5" t="s">
        <v>44</v>
      </c>
      <c r="F241" s="5" t="s">
        <v>60</v>
      </c>
      <c r="G241" s="8">
        <v>1</v>
      </c>
      <c r="H241" s="8">
        <v>2080</v>
      </c>
      <c r="I241" s="5" t="s">
        <v>49</v>
      </c>
      <c r="J241" s="8">
        <v>3</v>
      </c>
      <c r="K241" s="8">
        <v>2</v>
      </c>
      <c r="L241" s="8">
        <v>3</v>
      </c>
    </row>
    <row r="242" spans="1:12" x14ac:dyDescent="0.8">
      <c r="A242" s="5" t="s">
        <v>310</v>
      </c>
      <c r="B242" s="8">
        <v>28</v>
      </c>
      <c r="C242" s="5" t="s">
        <v>49</v>
      </c>
      <c r="D242" s="5" t="s">
        <v>42</v>
      </c>
      <c r="E242" s="5" t="s">
        <v>53</v>
      </c>
      <c r="F242" s="5" t="s">
        <v>45</v>
      </c>
      <c r="G242" s="8">
        <v>4</v>
      </c>
      <c r="H242" s="8">
        <v>6674</v>
      </c>
      <c r="I242" s="5" t="s">
        <v>49</v>
      </c>
      <c r="J242" s="8">
        <v>3</v>
      </c>
      <c r="K242" s="8">
        <v>6</v>
      </c>
      <c r="L242" s="8">
        <v>9</v>
      </c>
    </row>
    <row r="243" spans="1:12" x14ac:dyDescent="0.8">
      <c r="A243" s="5" t="s">
        <v>311</v>
      </c>
      <c r="B243" s="8">
        <v>28</v>
      </c>
      <c r="C243" s="5" t="s">
        <v>49</v>
      </c>
      <c r="D243" s="5" t="s">
        <v>51</v>
      </c>
      <c r="E243" s="5" t="s">
        <v>44</v>
      </c>
      <c r="F243" s="5" t="s">
        <v>137</v>
      </c>
      <c r="G243" s="8">
        <v>1</v>
      </c>
      <c r="H243" s="8">
        <v>4724</v>
      </c>
      <c r="I243" s="5" t="s">
        <v>49</v>
      </c>
      <c r="J243" s="8">
        <v>3</v>
      </c>
      <c r="K243" s="8">
        <v>0</v>
      </c>
      <c r="L243" s="8">
        <v>5</v>
      </c>
    </row>
    <row r="244" spans="1:12" x14ac:dyDescent="0.8">
      <c r="A244" s="5" t="s">
        <v>312</v>
      </c>
      <c r="B244" s="8">
        <v>28</v>
      </c>
      <c r="C244" s="5" t="s">
        <v>49</v>
      </c>
      <c r="D244" s="5" t="s">
        <v>51</v>
      </c>
      <c r="E244" s="5" t="s">
        <v>44</v>
      </c>
      <c r="F244" s="5" t="s">
        <v>137</v>
      </c>
      <c r="G244" s="8">
        <v>1</v>
      </c>
      <c r="H244" s="8">
        <v>8463</v>
      </c>
      <c r="I244" s="5" t="s">
        <v>49</v>
      </c>
      <c r="J244" s="8">
        <v>3</v>
      </c>
      <c r="K244" s="8">
        <v>4</v>
      </c>
      <c r="L244" s="8">
        <v>5</v>
      </c>
    </row>
    <row r="245" spans="1:12" x14ac:dyDescent="0.8">
      <c r="A245" s="5" t="s">
        <v>313</v>
      </c>
      <c r="B245" s="8">
        <v>28</v>
      </c>
      <c r="C245" s="5" t="s">
        <v>40</v>
      </c>
      <c r="D245" s="5" t="s">
        <v>51</v>
      </c>
      <c r="E245" s="5" t="s">
        <v>44</v>
      </c>
      <c r="F245" s="5" t="s">
        <v>54</v>
      </c>
      <c r="G245" s="8">
        <v>3</v>
      </c>
      <c r="H245" s="8">
        <v>2909</v>
      </c>
      <c r="I245" s="5" t="s">
        <v>49</v>
      </c>
      <c r="J245" s="8">
        <v>3</v>
      </c>
      <c r="K245" s="8">
        <v>3</v>
      </c>
      <c r="L245" s="8">
        <v>3</v>
      </c>
    </row>
    <row r="246" spans="1:12" x14ac:dyDescent="0.8">
      <c r="A246" s="5" t="s">
        <v>314</v>
      </c>
      <c r="B246" s="8">
        <v>28</v>
      </c>
      <c r="C246" s="5" t="s">
        <v>40</v>
      </c>
      <c r="D246" s="5" t="s">
        <v>42</v>
      </c>
      <c r="E246" s="5" t="s">
        <v>44</v>
      </c>
      <c r="F246" s="5" t="s">
        <v>45</v>
      </c>
      <c r="G246" s="8">
        <v>1</v>
      </c>
      <c r="H246" s="8">
        <v>2561</v>
      </c>
      <c r="I246" s="5" t="s">
        <v>49</v>
      </c>
      <c r="J246" s="8">
        <v>3</v>
      </c>
      <c r="K246" s="8">
        <v>2</v>
      </c>
      <c r="L246" s="8">
        <v>0</v>
      </c>
    </row>
    <row r="247" spans="1:12" x14ac:dyDescent="0.8">
      <c r="A247" s="5" t="s">
        <v>315</v>
      </c>
      <c r="B247" s="8">
        <v>28</v>
      </c>
      <c r="C247" s="5" t="s">
        <v>49</v>
      </c>
      <c r="D247" s="5" t="s">
        <v>42</v>
      </c>
      <c r="E247" s="5" t="s">
        <v>44</v>
      </c>
      <c r="F247" s="5" t="s">
        <v>60</v>
      </c>
      <c r="G247" s="8">
        <v>3</v>
      </c>
      <c r="H247" s="8">
        <v>1563</v>
      </c>
      <c r="I247" s="5" t="s">
        <v>49</v>
      </c>
      <c r="J247" s="8">
        <v>3</v>
      </c>
      <c r="K247" s="8">
        <v>2</v>
      </c>
      <c r="L247" s="8">
        <v>1</v>
      </c>
    </row>
    <row r="248" spans="1:12" x14ac:dyDescent="0.8">
      <c r="A248" s="5" t="s">
        <v>316</v>
      </c>
      <c r="B248" s="8">
        <v>28</v>
      </c>
      <c r="C248" s="5" t="s">
        <v>49</v>
      </c>
      <c r="D248" s="5" t="s">
        <v>51</v>
      </c>
      <c r="E248" s="5" t="s">
        <v>44</v>
      </c>
      <c r="F248" s="5" t="s">
        <v>137</v>
      </c>
      <c r="G248" s="8">
        <v>1</v>
      </c>
      <c r="H248" s="8">
        <v>4898</v>
      </c>
      <c r="I248" s="5" t="s">
        <v>49</v>
      </c>
      <c r="J248" s="8">
        <v>3</v>
      </c>
      <c r="K248" s="8">
        <v>5</v>
      </c>
      <c r="L248" s="8">
        <v>4</v>
      </c>
    </row>
    <row r="249" spans="1:12" x14ac:dyDescent="0.8">
      <c r="A249" s="5" t="s">
        <v>317</v>
      </c>
      <c r="B249" s="8">
        <v>28</v>
      </c>
      <c r="C249" s="5" t="s">
        <v>49</v>
      </c>
      <c r="D249" s="5" t="s">
        <v>42</v>
      </c>
      <c r="E249" s="5" t="s">
        <v>44</v>
      </c>
      <c r="F249" s="5" t="s">
        <v>112</v>
      </c>
      <c r="G249" s="8">
        <v>2</v>
      </c>
      <c r="H249" s="8">
        <v>6549</v>
      </c>
      <c r="I249" s="5" t="s">
        <v>49</v>
      </c>
      <c r="J249" s="8">
        <v>3</v>
      </c>
      <c r="K249" s="8">
        <v>2</v>
      </c>
      <c r="L249" s="8">
        <v>8</v>
      </c>
    </row>
    <row r="250" spans="1:12" x14ac:dyDescent="0.8">
      <c r="A250" s="5" t="s">
        <v>318</v>
      </c>
      <c r="B250" s="8">
        <v>28</v>
      </c>
      <c r="C250" s="5" t="s">
        <v>40</v>
      </c>
      <c r="D250" s="5" t="s">
        <v>42</v>
      </c>
      <c r="E250" s="5" t="s">
        <v>44</v>
      </c>
      <c r="F250" s="5" t="s">
        <v>45</v>
      </c>
      <c r="G250" s="8">
        <v>2</v>
      </c>
      <c r="H250" s="8">
        <v>2408</v>
      </c>
      <c r="I250" s="5" t="s">
        <v>40</v>
      </c>
      <c r="J250" s="8">
        <v>3</v>
      </c>
      <c r="K250" s="8">
        <v>3</v>
      </c>
      <c r="L250" s="8">
        <v>1</v>
      </c>
    </row>
    <row r="251" spans="1:12" x14ac:dyDescent="0.8">
      <c r="A251" s="5" t="s">
        <v>319</v>
      </c>
      <c r="B251" s="8">
        <v>28</v>
      </c>
      <c r="C251" s="5" t="s">
        <v>49</v>
      </c>
      <c r="D251" s="5" t="s">
        <v>42</v>
      </c>
      <c r="E251" s="5" t="s">
        <v>53</v>
      </c>
      <c r="F251" s="5" t="s">
        <v>112</v>
      </c>
      <c r="G251" s="8">
        <v>1</v>
      </c>
      <c r="H251" s="8">
        <v>4877</v>
      </c>
      <c r="I251" s="5" t="s">
        <v>49</v>
      </c>
      <c r="J251" s="8">
        <v>4</v>
      </c>
      <c r="K251" s="8">
        <v>5</v>
      </c>
      <c r="L251" s="8">
        <v>5</v>
      </c>
    </row>
    <row r="252" spans="1:12" x14ac:dyDescent="0.8">
      <c r="A252" s="5" t="s">
        <v>320</v>
      </c>
      <c r="B252" s="8">
        <v>28</v>
      </c>
      <c r="C252" s="5" t="s">
        <v>49</v>
      </c>
      <c r="D252" s="5" t="s">
        <v>42</v>
      </c>
      <c r="E252" s="5" t="s">
        <v>44</v>
      </c>
      <c r="F252" s="5" t="s">
        <v>60</v>
      </c>
      <c r="G252" s="8">
        <v>4</v>
      </c>
      <c r="H252" s="8">
        <v>2044</v>
      </c>
      <c r="I252" s="5" t="s">
        <v>49</v>
      </c>
      <c r="J252" s="8">
        <v>3</v>
      </c>
      <c r="K252" s="8">
        <v>6</v>
      </c>
      <c r="L252" s="8">
        <v>5</v>
      </c>
    </row>
    <row r="253" spans="1:12" x14ac:dyDescent="0.8">
      <c r="A253" s="5" t="s">
        <v>321</v>
      </c>
      <c r="B253" s="8">
        <v>28</v>
      </c>
      <c r="C253" s="5" t="s">
        <v>49</v>
      </c>
      <c r="D253" s="5" t="s">
        <v>42</v>
      </c>
      <c r="E253" s="5" t="s">
        <v>53</v>
      </c>
      <c r="F253" s="5" t="s">
        <v>60</v>
      </c>
      <c r="G253" s="8">
        <v>1</v>
      </c>
      <c r="H253" s="8">
        <v>3591</v>
      </c>
      <c r="I253" s="5" t="s">
        <v>49</v>
      </c>
      <c r="J253" s="8">
        <v>4</v>
      </c>
      <c r="K253" s="8">
        <v>3</v>
      </c>
      <c r="L253" s="8">
        <v>3</v>
      </c>
    </row>
    <row r="254" spans="1:12" x14ac:dyDescent="0.8">
      <c r="A254" s="5" t="s">
        <v>322</v>
      </c>
      <c r="B254" s="8">
        <v>28</v>
      </c>
      <c r="C254" s="5" t="s">
        <v>49</v>
      </c>
      <c r="D254" s="5" t="s">
        <v>71</v>
      </c>
      <c r="E254" s="5" t="s">
        <v>44</v>
      </c>
      <c r="F254" s="5" t="s">
        <v>71</v>
      </c>
      <c r="G254" s="8">
        <v>4</v>
      </c>
      <c r="H254" s="8">
        <v>2706</v>
      </c>
      <c r="I254" s="5" t="s">
        <v>49</v>
      </c>
      <c r="J254" s="8">
        <v>3</v>
      </c>
      <c r="K254" s="8">
        <v>2</v>
      </c>
      <c r="L254" s="8">
        <v>3</v>
      </c>
    </row>
    <row r="255" spans="1:12" x14ac:dyDescent="0.8">
      <c r="A255" s="5" t="s">
        <v>323</v>
      </c>
      <c r="B255" s="8">
        <v>28</v>
      </c>
      <c r="C255" s="5" t="s">
        <v>49</v>
      </c>
      <c r="D255" s="5" t="s">
        <v>51</v>
      </c>
      <c r="E255" s="5" t="s">
        <v>53</v>
      </c>
      <c r="F255" s="5" t="s">
        <v>54</v>
      </c>
      <c r="G255" s="8">
        <v>2</v>
      </c>
      <c r="H255" s="8">
        <v>2856</v>
      </c>
      <c r="I255" s="5" t="s">
        <v>49</v>
      </c>
      <c r="J255" s="8">
        <v>3</v>
      </c>
      <c r="K255" s="8">
        <v>3</v>
      </c>
      <c r="L255" s="8">
        <v>1</v>
      </c>
    </row>
    <row r="256" spans="1:12" x14ac:dyDescent="0.8">
      <c r="A256" s="5" t="s">
        <v>324</v>
      </c>
      <c r="B256" s="8">
        <v>28</v>
      </c>
      <c r="C256" s="5" t="s">
        <v>49</v>
      </c>
      <c r="D256" s="5" t="s">
        <v>51</v>
      </c>
      <c r="E256" s="5" t="s">
        <v>44</v>
      </c>
      <c r="F256" s="5" t="s">
        <v>137</v>
      </c>
      <c r="G256" s="8">
        <v>4</v>
      </c>
      <c r="H256" s="8">
        <v>6834</v>
      </c>
      <c r="I256" s="5" t="s">
        <v>40</v>
      </c>
      <c r="J256" s="8">
        <v>3</v>
      </c>
      <c r="K256" s="8">
        <v>2</v>
      </c>
      <c r="L256" s="8">
        <v>7</v>
      </c>
    </row>
    <row r="257" spans="1:12" x14ac:dyDescent="0.8">
      <c r="A257" s="5" t="s">
        <v>325</v>
      </c>
      <c r="B257" s="8">
        <v>28</v>
      </c>
      <c r="C257" s="5" t="s">
        <v>40</v>
      </c>
      <c r="D257" s="5" t="s">
        <v>51</v>
      </c>
      <c r="E257" s="5" t="s">
        <v>53</v>
      </c>
      <c r="F257" s="5" t="s">
        <v>137</v>
      </c>
      <c r="G257" s="8">
        <v>3</v>
      </c>
      <c r="H257" s="8">
        <v>9854</v>
      </c>
      <c r="I257" s="5" t="s">
        <v>40</v>
      </c>
      <c r="J257" s="8">
        <v>3</v>
      </c>
      <c r="K257" s="8">
        <v>0</v>
      </c>
      <c r="L257" s="8">
        <v>2</v>
      </c>
    </row>
    <row r="258" spans="1:12" x14ac:dyDescent="0.8">
      <c r="A258" s="5" t="s">
        <v>326</v>
      </c>
      <c r="B258" s="8">
        <v>28</v>
      </c>
      <c r="C258" s="5" t="s">
        <v>49</v>
      </c>
      <c r="D258" s="5" t="s">
        <v>42</v>
      </c>
      <c r="E258" s="5" t="s">
        <v>44</v>
      </c>
      <c r="F258" s="5" t="s">
        <v>60</v>
      </c>
      <c r="G258" s="8">
        <v>3</v>
      </c>
      <c r="H258" s="8">
        <v>2144</v>
      </c>
      <c r="I258" s="5" t="s">
        <v>49</v>
      </c>
      <c r="J258" s="8">
        <v>3</v>
      </c>
      <c r="K258" s="8">
        <v>3</v>
      </c>
      <c r="L258" s="8">
        <v>5</v>
      </c>
    </row>
    <row r="259" spans="1:12" x14ac:dyDescent="0.8">
      <c r="A259" s="5" t="s">
        <v>327</v>
      </c>
      <c r="B259" s="8">
        <v>28</v>
      </c>
      <c r="C259" s="5" t="s">
        <v>40</v>
      </c>
      <c r="D259" s="5" t="s">
        <v>42</v>
      </c>
      <c r="E259" s="5" t="s">
        <v>44</v>
      </c>
      <c r="F259" s="5" t="s">
        <v>45</v>
      </c>
      <c r="G259" s="8">
        <v>4</v>
      </c>
      <c r="H259" s="8">
        <v>2367</v>
      </c>
      <c r="I259" s="5" t="s">
        <v>49</v>
      </c>
      <c r="J259" s="8">
        <v>3</v>
      </c>
      <c r="K259" s="8">
        <v>2</v>
      </c>
      <c r="L259" s="8">
        <v>4</v>
      </c>
    </row>
    <row r="260" spans="1:12" x14ac:dyDescent="0.8">
      <c r="A260" s="5" t="s">
        <v>328</v>
      </c>
      <c r="B260" s="8">
        <v>29</v>
      </c>
      <c r="C260" s="5" t="s">
        <v>49</v>
      </c>
      <c r="D260" s="5" t="s">
        <v>42</v>
      </c>
      <c r="E260" s="5" t="s">
        <v>53</v>
      </c>
      <c r="F260" s="5" t="s">
        <v>45</v>
      </c>
      <c r="G260" s="8">
        <v>3</v>
      </c>
      <c r="H260" s="8">
        <v>4193</v>
      </c>
      <c r="I260" s="5" t="s">
        <v>40</v>
      </c>
      <c r="J260" s="8">
        <v>3</v>
      </c>
      <c r="K260" s="8">
        <v>3</v>
      </c>
      <c r="L260" s="8">
        <v>9</v>
      </c>
    </row>
    <row r="261" spans="1:12" x14ac:dyDescent="0.8">
      <c r="A261" s="5" t="s">
        <v>329</v>
      </c>
      <c r="B261" s="8">
        <v>29</v>
      </c>
      <c r="C261" s="5" t="s">
        <v>49</v>
      </c>
      <c r="D261" s="5" t="s">
        <v>42</v>
      </c>
      <c r="E261" s="5" t="s">
        <v>53</v>
      </c>
      <c r="F261" s="5" t="s">
        <v>112</v>
      </c>
      <c r="G261" s="8">
        <v>1</v>
      </c>
      <c r="H261" s="8">
        <v>9980</v>
      </c>
      <c r="I261" s="5" t="s">
        <v>49</v>
      </c>
      <c r="J261" s="8">
        <v>3</v>
      </c>
      <c r="K261" s="8">
        <v>1</v>
      </c>
      <c r="L261" s="8">
        <v>10</v>
      </c>
    </row>
    <row r="262" spans="1:12" x14ac:dyDescent="0.8">
      <c r="A262" s="5" t="s">
        <v>330</v>
      </c>
      <c r="B262" s="8">
        <v>29</v>
      </c>
      <c r="C262" s="5" t="s">
        <v>49</v>
      </c>
      <c r="D262" s="5" t="s">
        <v>42</v>
      </c>
      <c r="E262" s="5" t="s">
        <v>44</v>
      </c>
      <c r="F262" s="5" t="s">
        <v>60</v>
      </c>
      <c r="G262" s="8">
        <v>2</v>
      </c>
      <c r="H262" s="8">
        <v>2703</v>
      </c>
      <c r="I262" s="5" t="s">
        <v>49</v>
      </c>
      <c r="J262" s="8">
        <v>4</v>
      </c>
      <c r="K262" s="8">
        <v>3</v>
      </c>
      <c r="L262" s="8">
        <v>5</v>
      </c>
    </row>
    <row r="263" spans="1:12" x14ac:dyDescent="0.8">
      <c r="A263" s="5" t="s">
        <v>331</v>
      </c>
      <c r="B263" s="8">
        <v>29</v>
      </c>
      <c r="C263" s="5" t="s">
        <v>49</v>
      </c>
      <c r="D263" s="5" t="s">
        <v>42</v>
      </c>
      <c r="E263" s="5" t="s">
        <v>44</v>
      </c>
      <c r="F263" s="5" t="s">
        <v>112</v>
      </c>
      <c r="G263" s="8">
        <v>3</v>
      </c>
      <c r="H263" s="8">
        <v>4319</v>
      </c>
      <c r="I263" s="5" t="s">
        <v>49</v>
      </c>
      <c r="J263" s="8">
        <v>3</v>
      </c>
      <c r="K263" s="8">
        <v>1</v>
      </c>
      <c r="L263" s="8">
        <v>10</v>
      </c>
    </row>
    <row r="264" spans="1:12" x14ac:dyDescent="0.8">
      <c r="A264" s="5" t="s">
        <v>332</v>
      </c>
      <c r="B264" s="8">
        <v>29</v>
      </c>
      <c r="C264" s="5" t="s">
        <v>40</v>
      </c>
      <c r="D264" s="5" t="s">
        <v>51</v>
      </c>
      <c r="E264" s="5" t="s">
        <v>53</v>
      </c>
      <c r="F264" s="5" t="s">
        <v>137</v>
      </c>
      <c r="G264" s="8">
        <v>4</v>
      </c>
      <c r="H264" s="8">
        <v>7639</v>
      </c>
      <c r="I264" s="5" t="s">
        <v>49</v>
      </c>
      <c r="J264" s="8">
        <v>4</v>
      </c>
      <c r="K264" s="8">
        <v>3</v>
      </c>
      <c r="L264" s="8">
        <v>10</v>
      </c>
    </row>
    <row r="265" spans="1:12" x14ac:dyDescent="0.8">
      <c r="A265" s="5" t="s">
        <v>333</v>
      </c>
      <c r="B265" s="8">
        <v>29</v>
      </c>
      <c r="C265" s="5" t="s">
        <v>40</v>
      </c>
      <c r="D265" s="5" t="s">
        <v>42</v>
      </c>
      <c r="E265" s="5" t="s">
        <v>44</v>
      </c>
      <c r="F265" s="5" t="s">
        <v>60</v>
      </c>
      <c r="G265" s="8">
        <v>3</v>
      </c>
      <c r="H265" s="8">
        <v>2058</v>
      </c>
      <c r="I265" s="5" t="s">
        <v>49</v>
      </c>
      <c r="J265" s="8">
        <v>3</v>
      </c>
      <c r="K265" s="8">
        <v>1</v>
      </c>
      <c r="L265" s="8">
        <v>6</v>
      </c>
    </row>
    <row r="266" spans="1:12" x14ac:dyDescent="0.8">
      <c r="A266" s="5" t="s">
        <v>334</v>
      </c>
      <c r="B266" s="8">
        <v>29</v>
      </c>
      <c r="C266" s="5" t="s">
        <v>49</v>
      </c>
      <c r="D266" s="5" t="s">
        <v>51</v>
      </c>
      <c r="E266" s="5" t="s">
        <v>53</v>
      </c>
      <c r="F266" s="5" t="s">
        <v>137</v>
      </c>
      <c r="G266" s="8">
        <v>4</v>
      </c>
      <c r="H266" s="8">
        <v>7918</v>
      </c>
      <c r="I266" s="5" t="s">
        <v>49</v>
      </c>
      <c r="J266" s="8">
        <v>3</v>
      </c>
      <c r="K266" s="8">
        <v>5</v>
      </c>
      <c r="L266" s="8">
        <v>11</v>
      </c>
    </row>
    <row r="267" spans="1:12" x14ac:dyDescent="0.8">
      <c r="A267" s="5" t="s">
        <v>335</v>
      </c>
      <c r="B267" s="8">
        <v>29</v>
      </c>
      <c r="C267" s="5" t="s">
        <v>40</v>
      </c>
      <c r="D267" s="5" t="s">
        <v>42</v>
      </c>
      <c r="E267" s="5" t="s">
        <v>44</v>
      </c>
      <c r="F267" s="5" t="s">
        <v>60</v>
      </c>
      <c r="G267" s="8">
        <v>4</v>
      </c>
      <c r="H267" s="8">
        <v>2389</v>
      </c>
      <c r="I267" s="5" t="s">
        <v>40</v>
      </c>
      <c r="J267" s="8">
        <v>3</v>
      </c>
      <c r="K267" s="8">
        <v>3</v>
      </c>
      <c r="L267" s="8">
        <v>4</v>
      </c>
    </row>
    <row r="268" spans="1:12" x14ac:dyDescent="0.8">
      <c r="A268" s="5" t="s">
        <v>336</v>
      </c>
      <c r="B268" s="8">
        <v>29</v>
      </c>
      <c r="C268" s="5" t="s">
        <v>49</v>
      </c>
      <c r="D268" s="5" t="s">
        <v>42</v>
      </c>
      <c r="E268" s="5" t="s">
        <v>44</v>
      </c>
      <c r="F268" s="5" t="s">
        <v>60</v>
      </c>
      <c r="G268" s="8">
        <v>4</v>
      </c>
      <c r="H268" s="8">
        <v>2340</v>
      </c>
      <c r="I268" s="5" t="s">
        <v>49</v>
      </c>
      <c r="J268" s="8">
        <v>3</v>
      </c>
      <c r="K268" s="8">
        <v>1</v>
      </c>
      <c r="L268" s="8">
        <v>6</v>
      </c>
    </row>
    <row r="269" spans="1:12" x14ac:dyDescent="0.8">
      <c r="A269" s="5" t="s">
        <v>337</v>
      </c>
      <c r="B269" s="8">
        <v>29</v>
      </c>
      <c r="C269" s="5" t="s">
        <v>49</v>
      </c>
      <c r="D269" s="5" t="s">
        <v>51</v>
      </c>
      <c r="E269" s="5" t="s">
        <v>44</v>
      </c>
      <c r="F269" s="5" t="s">
        <v>137</v>
      </c>
      <c r="G269" s="8">
        <v>4</v>
      </c>
      <c r="H269" s="8">
        <v>6931</v>
      </c>
      <c r="I269" s="5" t="s">
        <v>49</v>
      </c>
      <c r="J269" s="8">
        <v>3</v>
      </c>
      <c r="K269" s="8">
        <v>2</v>
      </c>
      <c r="L269" s="8">
        <v>3</v>
      </c>
    </row>
    <row r="270" spans="1:12" x14ac:dyDescent="0.8">
      <c r="A270" s="5" t="s">
        <v>338</v>
      </c>
      <c r="B270" s="8">
        <v>29</v>
      </c>
      <c r="C270" s="5" t="s">
        <v>49</v>
      </c>
      <c r="D270" s="5" t="s">
        <v>51</v>
      </c>
      <c r="E270" s="5" t="s">
        <v>44</v>
      </c>
      <c r="F270" s="5" t="s">
        <v>137</v>
      </c>
      <c r="G270" s="8">
        <v>2</v>
      </c>
      <c r="H270" s="8">
        <v>6644</v>
      </c>
      <c r="I270" s="5" t="s">
        <v>49</v>
      </c>
      <c r="J270" s="8">
        <v>3</v>
      </c>
      <c r="K270" s="8">
        <v>2</v>
      </c>
      <c r="L270" s="8">
        <v>0</v>
      </c>
    </row>
    <row r="271" spans="1:12" x14ac:dyDescent="0.8">
      <c r="A271" s="5" t="s">
        <v>339</v>
      </c>
      <c r="B271" s="8">
        <v>29</v>
      </c>
      <c r="C271" s="5" t="s">
        <v>49</v>
      </c>
      <c r="D271" s="5" t="s">
        <v>51</v>
      </c>
      <c r="E271" s="5" t="s">
        <v>44</v>
      </c>
      <c r="F271" s="5" t="s">
        <v>137</v>
      </c>
      <c r="G271" s="8">
        <v>4</v>
      </c>
      <c r="H271" s="8">
        <v>4554</v>
      </c>
      <c r="I271" s="5" t="s">
        <v>49</v>
      </c>
      <c r="J271" s="8">
        <v>3</v>
      </c>
      <c r="K271" s="8">
        <v>3</v>
      </c>
      <c r="L271" s="8">
        <v>10</v>
      </c>
    </row>
    <row r="272" spans="1:12" x14ac:dyDescent="0.8">
      <c r="A272" s="5" t="s">
        <v>340</v>
      </c>
      <c r="B272" s="8">
        <v>29</v>
      </c>
      <c r="C272" s="5" t="s">
        <v>40</v>
      </c>
      <c r="D272" s="5" t="s">
        <v>42</v>
      </c>
      <c r="E272" s="5" t="s">
        <v>44</v>
      </c>
      <c r="F272" s="5" t="s">
        <v>45</v>
      </c>
      <c r="G272" s="8">
        <v>1</v>
      </c>
      <c r="H272" s="8">
        <v>2119</v>
      </c>
      <c r="I272" s="5" t="s">
        <v>40</v>
      </c>
      <c r="J272" s="8">
        <v>3</v>
      </c>
      <c r="K272" s="8">
        <v>4</v>
      </c>
      <c r="L272" s="8">
        <v>7</v>
      </c>
    </row>
    <row r="273" spans="1:12" x14ac:dyDescent="0.8">
      <c r="A273" s="5" t="s">
        <v>341</v>
      </c>
      <c r="B273" s="8">
        <v>29</v>
      </c>
      <c r="C273" s="5" t="s">
        <v>49</v>
      </c>
      <c r="D273" s="5" t="s">
        <v>42</v>
      </c>
      <c r="E273" s="5" t="s">
        <v>44</v>
      </c>
      <c r="F273" s="5" t="s">
        <v>45</v>
      </c>
      <c r="G273" s="8">
        <v>4</v>
      </c>
      <c r="H273" s="8">
        <v>3983</v>
      </c>
      <c r="I273" s="5" t="s">
        <v>49</v>
      </c>
      <c r="J273" s="8">
        <v>3</v>
      </c>
      <c r="K273" s="8">
        <v>2</v>
      </c>
      <c r="L273" s="8">
        <v>3</v>
      </c>
    </row>
    <row r="274" spans="1:12" x14ac:dyDescent="0.8">
      <c r="A274" s="5" t="s">
        <v>342</v>
      </c>
      <c r="B274" s="8">
        <v>29</v>
      </c>
      <c r="C274" s="5" t="s">
        <v>49</v>
      </c>
      <c r="D274" s="5" t="s">
        <v>51</v>
      </c>
      <c r="E274" s="5" t="s">
        <v>53</v>
      </c>
      <c r="F274" s="5" t="s">
        <v>137</v>
      </c>
      <c r="G274" s="8">
        <v>2</v>
      </c>
      <c r="H274" s="8">
        <v>8268</v>
      </c>
      <c r="I274" s="5" t="s">
        <v>40</v>
      </c>
      <c r="J274" s="8">
        <v>3</v>
      </c>
      <c r="K274" s="8">
        <v>2</v>
      </c>
      <c r="L274" s="8">
        <v>7</v>
      </c>
    </row>
    <row r="275" spans="1:12" x14ac:dyDescent="0.8">
      <c r="A275" s="5" t="s">
        <v>343</v>
      </c>
      <c r="B275" s="8">
        <v>29</v>
      </c>
      <c r="C275" s="5" t="s">
        <v>49</v>
      </c>
      <c r="D275" s="5" t="s">
        <v>51</v>
      </c>
      <c r="E275" s="5" t="s">
        <v>44</v>
      </c>
      <c r="F275" s="5" t="s">
        <v>137</v>
      </c>
      <c r="G275" s="8">
        <v>3</v>
      </c>
      <c r="H275" s="8">
        <v>4649</v>
      </c>
      <c r="I275" s="5" t="s">
        <v>49</v>
      </c>
      <c r="J275" s="8">
        <v>3</v>
      </c>
      <c r="K275" s="8">
        <v>3</v>
      </c>
      <c r="L275" s="8">
        <v>4</v>
      </c>
    </row>
    <row r="276" spans="1:12" x14ac:dyDescent="0.8">
      <c r="A276" s="5" t="s">
        <v>344</v>
      </c>
      <c r="B276" s="8">
        <v>29</v>
      </c>
      <c r="C276" s="5" t="s">
        <v>49</v>
      </c>
      <c r="D276" s="5" t="s">
        <v>42</v>
      </c>
      <c r="E276" s="5" t="s">
        <v>44</v>
      </c>
      <c r="F276" s="5" t="s">
        <v>60</v>
      </c>
      <c r="G276" s="8">
        <v>4</v>
      </c>
      <c r="H276" s="8">
        <v>2201</v>
      </c>
      <c r="I276" s="5" t="s">
        <v>49</v>
      </c>
      <c r="J276" s="8">
        <v>3</v>
      </c>
      <c r="K276" s="8">
        <v>4</v>
      </c>
      <c r="L276" s="8">
        <v>3</v>
      </c>
    </row>
    <row r="277" spans="1:12" x14ac:dyDescent="0.8">
      <c r="A277" s="5" t="s">
        <v>345</v>
      </c>
      <c r="B277" s="8">
        <v>29</v>
      </c>
      <c r="C277" s="5" t="s">
        <v>49</v>
      </c>
      <c r="D277" s="5" t="s">
        <v>42</v>
      </c>
      <c r="E277" s="5" t="s">
        <v>44</v>
      </c>
      <c r="F277" s="5" t="s">
        <v>252</v>
      </c>
      <c r="G277" s="8">
        <v>3</v>
      </c>
      <c r="H277" s="8">
        <v>11935</v>
      </c>
      <c r="I277" s="5" t="s">
        <v>49</v>
      </c>
      <c r="J277" s="8">
        <v>3</v>
      </c>
      <c r="K277" s="8">
        <v>2</v>
      </c>
      <c r="L277" s="8">
        <v>10</v>
      </c>
    </row>
    <row r="278" spans="1:12" x14ac:dyDescent="0.8">
      <c r="A278" s="5" t="s">
        <v>346</v>
      </c>
      <c r="B278" s="8">
        <v>29</v>
      </c>
      <c r="C278" s="5" t="s">
        <v>40</v>
      </c>
      <c r="D278" s="5" t="s">
        <v>42</v>
      </c>
      <c r="E278" s="5" t="s">
        <v>53</v>
      </c>
      <c r="F278" s="5" t="s">
        <v>60</v>
      </c>
      <c r="G278" s="8">
        <v>2</v>
      </c>
      <c r="H278" s="8">
        <v>2546</v>
      </c>
      <c r="I278" s="5" t="s">
        <v>49</v>
      </c>
      <c r="J278" s="8">
        <v>3</v>
      </c>
      <c r="K278" s="8">
        <v>2</v>
      </c>
      <c r="L278" s="8">
        <v>2</v>
      </c>
    </row>
    <row r="279" spans="1:12" x14ac:dyDescent="0.8">
      <c r="A279" s="5" t="s">
        <v>347</v>
      </c>
      <c r="B279" s="8">
        <v>29</v>
      </c>
      <c r="C279" s="5" t="s">
        <v>49</v>
      </c>
      <c r="D279" s="5" t="s">
        <v>42</v>
      </c>
      <c r="E279" s="5" t="s">
        <v>44</v>
      </c>
      <c r="F279" s="5" t="s">
        <v>112</v>
      </c>
      <c r="G279" s="8">
        <v>4</v>
      </c>
      <c r="H279" s="8">
        <v>4262</v>
      </c>
      <c r="I279" s="5" t="s">
        <v>49</v>
      </c>
      <c r="J279" s="8">
        <v>3</v>
      </c>
      <c r="K279" s="8">
        <v>2</v>
      </c>
      <c r="L279" s="8">
        <v>3</v>
      </c>
    </row>
    <row r="280" spans="1:12" x14ac:dyDescent="0.8">
      <c r="A280" s="5" t="s">
        <v>348</v>
      </c>
      <c r="B280" s="8">
        <v>29</v>
      </c>
      <c r="C280" s="5" t="s">
        <v>49</v>
      </c>
      <c r="D280" s="5" t="s">
        <v>51</v>
      </c>
      <c r="E280" s="5" t="s">
        <v>53</v>
      </c>
      <c r="F280" s="5" t="s">
        <v>137</v>
      </c>
      <c r="G280" s="8">
        <v>3</v>
      </c>
      <c r="H280" s="8">
        <v>5561</v>
      </c>
      <c r="I280" s="5" t="s">
        <v>49</v>
      </c>
      <c r="J280" s="8">
        <v>3</v>
      </c>
      <c r="K280" s="8">
        <v>5</v>
      </c>
      <c r="L280" s="8">
        <v>6</v>
      </c>
    </row>
    <row r="281" spans="1:12" x14ac:dyDescent="0.8">
      <c r="A281" s="5" t="s">
        <v>349</v>
      </c>
      <c r="B281" s="8">
        <v>29</v>
      </c>
      <c r="C281" s="5" t="s">
        <v>49</v>
      </c>
      <c r="D281" s="5" t="s">
        <v>42</v>
      </c>
      <c r="E281" s="5" t="s">
        <v>44</v>
      </c>
      <c r="F281" s="5" t="s">
        <v>60</v>
      </c>
      <c r="G281" s="8">
        <v>4</v>
      </c>
      <c r="H281" s="8">
        <v>2720</v>
      </c>
      <c r="I281" s="5" t="s">
        <v>49</v>
      </c>
      <c r="J281" s="8">
        <v>3</v>
      </c>
      <c r="K281" s="8">
        <v>5</v>
      </c>
      <c r="L281" s="8">
        <v>10</v>
      </c>
    </row>
    <row r="282" spans="1:12" x14ac:dyDescent="0.8">
      <c r="A282" s="5" t="s">
        <v>350</v>
      </c>
      <c r="B282" s="8">
        <v>29</v>
      </c>
      <c r="C282" s="5" t="s">
        <v>49</v>
      </c>
      <c r="D282" s="5" t="s">
        <v>51</v>
      </c>
      <c r="E282" s="5" t="s">
        <v>44</v>
      </c>
      <c r="F282" s="5" t="s">
        <v>54</v>
      </c>
      <c r="G282" s="8">
        <v>3</v>
      </c>
      <c r="H282" s="8">
        <v>2642</v>
      </c>
      <c r="I282" s="5" t="s">
        <v>49</v>
      </c>
      <c r="J282" s="8">
        <v>3</v>
      </c>
      <c r="K282" s="8">
        <v>6</v>
      </c>
      <c r="L282" s="8">
        <v>1</v>
      </c>
    </row>
    <row r="283" spans="1:12" x14ac:dyDescent="0.8">
      <c r="A283" s="5" t="s">
        <v>351</v>
      </c>
      <c r="B283" s="8">
        <v>29</v>
      </c>
      <c r="C283" s="5" t="s">
        <v>49</v>
      </c>
      <c r="D283" s="5" t="s">
        <v>51</v>
      </c>
      <c r="E283" s="5" t="s">
        <v>44</v>
      </c>
      <c r="F283" s="5" t="s">
        <v>54</v>
      </c>
      <c r="G283" s="8">
        <v>2</v>
      </c>
      <c r="H283" s="8">
        <v>2297</v>
      </c>
      <c r="I283" s="5" t="s">
        <v>49</v>
      </c>
      <c r="J283" s="8">
        <v>3</v>
      </c>
      <c r="K283" s="8">
        <v>2</v>
      </c>
      <c r="L283" s="8">
        <v>2</v>
      </c>
    </row>
    <row r="284" spans="1:12" x14ac:dyDescent="0.8">
      <c r="A284" s="5" t="s">
        <v>352</v>
      </c>
      <c r="B284" s="8">
        <v>29</v>
      </c>
      <c r="C284" s="5" t="s">
        <v>49</v>
      </c>
      <c r="D284" s="5" t="s">
        <v>42</v>
      </c>
      <c r="E284" s="5" t="s">
        <v>53</v>
      </c>
      <c r="F284" s="5" t="s">
        <v>161</v>
      </c>
      <c r="G284" s="8">
        <v>3</v>
      </c>
      <c r="H284" s="8">
        <v>4335</v>
      </c>
      <c r="I284" s="5" t="s">
        <v>49</v>
      </c>
      <c r="J284" s="8">
        <v>3</v>
      </c>
      <c r="K284" s="8">
        <v>3</v>
      </c>
      <c r="L284" s="8">
        <v>8</v>
      </c>
    </row>
    <row r="285" spans="1:12" x14ac:dyDescent="0.8">
      <c r="A285" s="5" t="s">
        <v>353</v>
      </c>
      <c r="B285" s="8">
        <v>29</v>
      </c>
      <c r="C285" s="5" t="s">
        <v>40</v>
      </c>
      <c r="D285" s="5" t="s">
        <v>42</v>
      </c>
      <c r="E285" s="5" t="s">
        <v>53</v>
      </c>
      <c r="F285" s="5" t="s">
        <v>45</v>
      </c>
      <c r="G285" s="8">
        <v>1</v>
      </c>
      <c r="H285" s="8">
        <v>2319</v>
      </c>
      <c r="I285" s="5" t="s">
        <v>40</v>
      </c>
      <c r="J285" s="8">
        <v>3</v>
      </c>
      <c r="K285" s="8">
        <v>1</v>
      </c>
      <c r="L285" s="8">
        <v>1</v>
      </c>
    </row>
    <row r="286" spans="1:12" x14ac:dyDescent="0.8">
      <c r="A286" s="5" t="s">
        <v>354</v>
      </c>
      <c r="B286" s="8">
        <v>29</v>
      </c>
      <c r="C286" s="5" t="s">
        <v>49</v>
      </c>
      <c r="D286" s="5" t="s">
        <v>42</v>
      </c>
      <c r="E286" s="5" t="s">
        <v>44</v>
      </c>
      <c r="F286" s="5" t="s">
        <v>60</v>
      </c>
      <c r="G286" s="8">
        <v>3</v>
      </c>
      <c r="H286" s="8">
        <v>2700</v>
      </c>
      <c r="I286" s="5" t="s">
        <v>49</v>
      </c>
      <c r="J286" s="8">
        <v>4</v>
      </c>
      <c r="K286" s="8">
        <v>3</v>
      </c>
      <c r="L286" s="8">
        <v>10</v>
      </c>
    </row>
    <row r="287" spans="1:12" x14ac:dyDescent="0.8">
      <c r="A287" s="5" t="s">
        <v>355</v>
      </c>
      <c r="B287" s="8">
        <v>29</v>
      </c>
      <c r="C287" s="5" t="s">
        <v>40</v>
      </c>
      <c r="D287" s="5" t="s">
        <v>51</v>
      </c>
      <c r="E287" s="5" t="s">
        <v>53</v>
      </c>
      <c r="F287" s="5" t="s">
        <v>54</v>
      </c>
      <c r="G287" s="8">
        <v>3</v>
      </c>
      <c r="H287" s="8">
        <v>2800</v>
      </c>
      <c r="I287" s="5" t="s">
        <v>40</v>
      </c>
      <c r="J287" s="8">
        <v>3</v>
      </c>
      <c r="K287" s="8">
        <v>3</v>
      </c>
      <c r="L287" s="8">
        <v>3</v>
      </c>
    </row>
    <row r="288" spans="1:12" x14ac:dyDescent="0.8">
      <c r="A288" s="5" t="s">
        <v>356</v>
      </c>
      <c r="B288" s="8">
        <v>29</v>
      </c>
      <c r="C288" s="5" t="s">
        <v>49</v>
      </c>
      <c r="D288" s="5" t="s">
        <v>42</v>
      </c>
      <c r="E288" s="5" t="s">
        <v>53</v>
      </c>
      <c r="F288" s="5" t="s">
        <v>45</v>
      </c>
      <c r="G288" s="8">
        <v>4</v>
      </c>
      <c r="H288" s="8">
        <v>2532</v>
      </c>
      <c r="I288" s="5" t="s">
        <v>49</v>
      </c>
      <c r="J288" s="8">
        <v>3</v>
      </c>
      <c r="K288" s="8">
        <v>5</v>
      </c>
      <c r="L288" s="8">
        <v>4</v>
      </c>
    </row>
    <row r="289" spans="1:12" x14ac:dyDescent="0.8">
      <c r="A289" s="5" t="s">
        <v>357</v>
      </c>
      <c r="B289" s="8">
        <v>29</v>
      </c>
      <c r="C289" s="5" t="s">
        <v>49</v>
      </c>
      <c r="D289" s="5" t="s">
        <v>51</v>
      </c>
      <c r="E289" s="5" t="s">
        <v>53</v>
      </c>
      <c r="F289" s="5" t="s">
        <v>54</v>
      </c>
      <c r="G289" s="8">
        <v>4</v>
      </c>
      <c r="H289" s="8">
        <v>2157</v>
      </c>
      <c r="I289" s="5" t="s">
        <v>49</v>
      </c>
      <c r="J289" s="8">
        <v>3</v>
      </c>
      <c r="K289" s="8">
        <v>5</v>
      </c>
      <c r="L289" s="8">
        <v>3</v>
      </c>
    </row>
    <row r="290" spans="1:12" x14ac:dyDescent="0.8">
      <c r="A290" s="5" t="s">
        <v>358</v>
      </c>
      <c r="B290" s="8">
        <v>29</v>
      </c>
      <c r="C290" s="5" t="s">
        <v>40</v>
      </c>
      <c r="D290" s="5" t="s">
        <v>42</v>
      </c>
      <c r="E290" s="5" t="s">
        <v>53</v>
      </c>
      <c r="F290" s="5" t="s">
        <v>60</v>
      </c>
      <c r="G290" s="8">
        <v>1</v>
      </c>
      <c r="H290" s="8">
        <v>2404</v>
      </c>
      <c r="I290" s="5" t="s">
        <v>40</v>
      </c>
      <c r="J290" s="8">
        <v>4</v>
      </c>
      <c r="K290" s="8">
        <v>5</v>
      </c>
      <c r="L290" s="8">
        <v>0</v>
      </c>
    </row>
    <row r="291" spans="1:12" x14ac:dyDescent="0.8">
      <c r="A291" s="5" t="s">
        <v>359</v>
      </c>
      <c r="B291" s="8">
        <v>29</v>
      </c>
      <c r="C291" s="5" t="s">
        <v>49</v>
      </c>
      <c r="D291" s="5" t="s">
        <v>42</v>
      </c>
      <c r="E291" s="5" t="s">
        <v>53</v>
      </c>
      <c r="F291" s="5" t="s">
        <v>60</v>
      </c>
      <c r="G291" s="8">
        <v>4</v>
      </c>
      <c r="H291" s="8">
        <v>2514</v>
      </c>
      <c r="I291" s="5" t="s">
        <v>49</v>
      </c>
      <c r="J291" s="8">
        <v>4</v>
      </c>
      <c r="K291" s="8">
        <v>1</v>
      </c>
      <c r="L291" s="8">
        <v>7</v>
      </c>
    </row>
    <row r="292" spans="1:12" x14ac:dyDescent="0.8">
      <c r="A292" s="5" t="s">
        <v>360</v>
      </c>
      <c r="B292" s="8">
        <v>29</v>
      </c>
      <c r="C292" s="5" t="s">
        <v>49</v>
      </c>
      <c r="D292" s="5" t="s">
        <v>42</v>
      </c>
      <c r="E292" s="5" t="s">
        <v>53</v>
      </c>
      <c r="F292" s="5" t="s">
        <v>60</v>
      </c>
      <c r="G292" s="8">
        <v>2</v>
      </c>
      <c r="H292" s="8">
        <v>3291</v>
      </c>
      <c r="I292" s="5" t="s">
        <v>49</v>
      </c>
      <c r="J292" s="8">
        <v>3</v>
      </c>
      <c r="K292" s="8">
        <v>2</v>
      </c>
      <c r="L292" s="8">
        <v>7</v>
      </c>
    </row>
    <row r="293" spans="1:12" x14ac:dyDescent="0.8">
      <c r="A293" s="5" t="s">
        <v>361</v>
      </c>
      <c r="B293" s="8">
        <v>29</v>
      </c>
      <c r="C293" s="5" t="s">
        <v>49</v>
      </c>
      <c r="D293" s="5" t="s">
        <v>42</v>
      </c>
      <c r="E293" s="5" t="s">
        <v>44</v>
      </c>
      <c r="F293" s="5" t="s">
        <v>112</v>
      </c>
      <c r="G293" s="8">
        <v>4</v>
      </c>
      <c r="H293" s="8">
        <v>5056</v>
      </c>
      <c r="I293" s="5" t="s">
        <v>40</v>
      </c>
      <c r="J293" s="8">
        <v>3</v>
      </c>
      <c r="K293" s="8">
        <v>2</v>
      </c>
      <c r="L293" s="8">
        <v>10</v>
      </c>
    </row>
    <row r="294" spans="1:12" x14ac:dyDescent="0.8">
      <c r="A294" s="5" t="s">
        <v>362</v>
      </c>
      <c r="B294" s="8">
        <v>29</v>
      </c>
      <c r="C294" s="5" t="s">
        <v>40</v>
      </c>
      <c r="D294" s="5" t="s">
        <v>51</v>
      </c>
      <c r="E294" s="5" t="s">
        <v>53</v>
      </c>
      <c r="F294" s="5" t="s">
        <v>137</v>
      </c>
      <c r="G294" s="8">
        <v>1</v>
      </c>
      <c r="H294" s="8">
        <v>7336</v>
      </c>
      <c r="I294" s="5" t="s">
        <v>49</v>
      </c>
      <c r="J294" s="8">
        <v>3</v>
      </c>
      <c r="K294" s="8">
        <v>3</v>
      </c>
      <c r="L294" s="8">
        <v>11</v>
      </c>
    </row>
    <row r="295" spans="1:12" x14ac:dyDescent="0.8">
      <c r="A295" s="5" t="s">
        <v>363</v>
      </c>
      <c r="B295" s="8">
        <v>29</v>
      </c>
      <c r="C295" s="5" t="s">
        <v>49</v>
      </c>
      <c r="D295" s="5" t="s">
        <v>42</v>
      </c>
      <c r="E295" s="5" t="s">
        <v>53</v>
      </c>
      <c r="F295" s="5" t="s">
        <v>45</v>
      </c>
      <c r="G295" s="8">
        <v>4</v>
      </c>
      <c r="H295" s="8">
        <v>3131</v>
      </c>
      <c r="I295" s="5" t="s">
        <v>49</v>
      </c>
      <c r="J295" s="8">
        <v>3</v>
      </c>
      <c r="K295" s="8">
        <v>5</v>
      </c>
      <c r="L295" s="8">
        <v>10</v>
      </c>
    </row>
    <row r="296" spans="1:12" x14ac:dyDescent="0.8">
      <c r="A296" s="5" t="s">
        <v>364</v>
      </c>
      <c r="B296" s="8">
        <v>29</v>
      </c>
      <c r="C296" s="5" t="s">
        <v>49</v>
      </c>
      <c r="D296" s="5" t="s">
        <v>42</v>
      </c>
      <c r="E296" s="5" t="s">
        <v>53</v>
      </c>
      <c r="F296" s="5" t="s">
        <v>60</v>
      </c>
      <c r="G296" s="8">
        <v>4</v>
      </c>
      <c r="H296" s="8">
        <v>2168</v>
      </c>
      <c r="I296" s="5" t="s">
        <v>40</v>
      </c>
      <c r="J296" s="8">
        <v>3</v>
      </c>
      <c r="K296" s="8">
        <v>2</v>
      </c>
      <c r="L296" s="8">
        <v>5</v>
      </c>
    </row>
    <row r="297" spans="1:12" x14ac:dyDescent="0.8">
      <c r="A297" s="5" t="s">
        <v>365</v>
      </c>
      <c r="B297" s="8">
        <v>29</v>
      </c>
      <c r="C297" s="5" t="s">
        <v>49</v>
      </c>
      <c r="D297" s="5" t="s">
        <v>42</v>
      </c>
      <c r="E297" s="5" t="s">
        <v>53</v>
      </c>
      <c r="F297" s="5" t="s">
        <v>60</v>
      </c>
      <c r="G297" s="8">
        <v>4</v>
      </c>
      <c r="H297" s="8">
        <v>3760</v>
      </c>
      <c r="I297" s="5" t="s">
        <v>49</v>
      </c>
      <c r="J297" s="8">
        <v>3</v>
      </c>
      <c r="K297" s="8">
        <v>5</v>
      </c>
      <c r="L297" s="8">
        <v>3</v>
      </c>
    </row>
    <row r="298" spans="1:12" x14ac:dyDescent="0.8">
      <c r="A298" s="5" t="s">
        <v>366</v>
      </c>
      <c r="B298" s="8">
        <v>29</v>
      </c>
      <c r="C298" s="5" t="s">
        <v>49</v>
      </c>
      <c r="D298" s="5" t="s">
        <v>42</v>
      </c>
      <c r="E298" s="5" t="s">
        <v>44</v>
      </c>
      <c r="F298" s="5" t="s">
        <v>161</v>
      </c>
      <c r="G298" s="8">
        <v>4</v>
      </c>
      <c r="H298" s="8">
        <v>6623</v>
      </c>
      <c r="I298" s="5" t="s">
        <v>40</v>
      </c>
      <c r="J298" s="8">
        <v>3</v>
      </c>
      <c r="K298" s="8">
        <v>2</v>
      </c>
      <c r="L298" s="8">
        <v>6</v>
      </c>
    </row>
    <row r="299" spans="1:12" x14ac:dyDescent="0.8">
      <c r="A299" s="5" t="s">
        <v>367</v>
      </c>
      <c r="B299" s="8">
        <v>29</v>
      </c>
      <c r="C299" s="5" t="s">
        <v>49</v>
      </c>
      <c r="D299" s="5" t="s">
        <v>42</v>
      </c>
      <c r="E299" s="5" t="s">
        <v>53</v>
      </c>
      <c r="F299" s="5" t="s">
        <v>252</v>
      </c>
      <c r="G299" s="8">
        <v>4</v>
      </c>
      <c r="H299" s="8">
        <v>16124</v>
      </c>
      <c r="I299" s="5" t="s">
        <v>49</v>
      </c>
      <c r="J299" s="8">
        <v>3</v>
      </c>
      <c r="K299" s="8">
        <v>2</v>
      </c>
      <c r="L299" s="8">
        <v>7</v>
      </c>
    </row>
    <row r="300" spans="1:12" x14ac:dyDescent="0.8">
      <c r="A300" s="5" t="s">
        <v>369</v>
      </c>
      <c r="B300" s="8">
        <v>29</v>
      </c>
      <c r="C300" s="5" t="s">
        <v>40</v>
      </c>
      <c r="D300" s="5" t="s">
        <v>42</v>
      </c>
      <c r="E300" s="5" t="s">
        <v>53</v>
      </c>
      <c r="F300" s="5" t="s">
        <v>45</v>
      </c>
      <c r="G300" s="8">
        <v>3</v>
      </c>
      <c r="H300" s="8">
        <v>3339</v>
      </c>
      <c r="I300" s="5" t="s">
        <v>40</v>
      </c>
      <c r="J300" s="8">
        <v>3</v>
      </c>
      <c r="K300" s="8">
        <v>2</v>
      </c>
      <c r="L300" s="8">
        <v>7</v>
      </c>
    </row>
    <row r="301" spans="1:12" x14ac:dyDescent="0.8">
      <c r="A301" s="5" t="s">
        <v>370</v>
      </c>
      <c r="B301" s="8">
        <v>29</v>
      </c>
      <c r="C301" s="5" t="s">
        <v>49</v>
      </c>
      <c r="D301" s="5" t="s">
        <v>71</v>
      </c>
      <c r="E301" s="5" t="s">
        <v>44</v>
      </c>
      <c r="F301" s="5" t="s">
        <v>71</v>
      </c>
      <c r="G301" s="8">
        <v>1</v>
      </c>
      <c r="H301" s="8">
        <v>7988</v>
      </c>
      <c r="I301" s="5" t="s">
        <v>49</v>
      </c>
      <c r="J301" s="8">
        <v>3</v>
      </c>
      <c r="K301" s="8">
        <v>3</v>
      </c>
      <c r="L301" s="8">
        <v>10</v>
      </c>
    </row>
    <row r="302" spans="1:12" x14ac:dyDescent="0.8">
      <c r="A302" s="5" t="s">
        <v>371</v>
      </c>
      <c r="B302" s="8">
        <v>29</v>
      </c>
      <c r="C302" s="5" t="s">
        <v>40</v>
      </c>
      <c r="D302" s="5" t="s">
        <v>42</v>
      </c>
      <c r="E302" s="5" t="s">
        <v>53</v>
      </c>
      <c r="F302" s="5" t="s">
        <v>161</v>
      </c>
      <c r="G302" s="8">
        <v>4</v>
      </c>
      <c r="H302" s="8">
        <v>7553</v>
      </c>
      <c r="I302" s="5" t="s">
        <v>40</v>
      </c>
      <c r="J302" s="8">
        <v>3</v>
      </c>
      <c r="K302" s="8">
        <v>1</v>
      </c>
      <c r="L302" s="8">
        <v>8</v>
      </c>
    </row>
    <row r="303" spans="1:12" x14ac:dyDescent="0.8">
      <c r="A303" s="5" t="s">
        <v>372</v>
      </c>
      <c r="B303" s="8">
        <v>29</v>
      </c>
      <c r="C303" s="5" t="s">
        <v>40</v>
      </c>
      <c r="D303" s="5" t="s">
        <v>51</v>
      </c>
      <c r="E303" s="5" t="s">
        <v>53</v>
      </c>
      <c r="F303" s="5" t="s">
        <v>137</v>
      </c>
      <c r="G303" s="8">
        <v>2</v>
      </c>
      <c r="H303" s="8">
        <v>5765</v>
      </c>
      <c r="I303" s="5" t="s">
        <v>49</v>
      </c>
      <c r="J303" s="8">
        <v>3</v>
      </c>
      <c r="K303" s="8">
        <v>4</v>
      </c>
      <c r="L303" s="8">
        <v>5</v>
      </c>
    </row>
    <row r="304" spans="1:12" x14ac:dyDescent="0.8">
      <c r="A304" s="5" t="s">
        <v>373</v>
      </c>
      <c r="B304" s="8">
        <v>29</v>
      </c>
      <c r="C304" s="5" t="s">
        <v>49</v>
      </c>
      <c r="D304" s="5" t="s">
        <v>51</v>
      </c>
      <c r="E304" s="5" t="s">
        <v>44</v>
      </c>
      <c r="F304" s="5" t="s">
        <v>137</v>
      </c>
      <c r="G304" s="8">
        <v>3</v>
      </c>
      <c r="H304" s="8">
        <v>8620</v>
      </c>
      <c r="I304" s="5" t="s">
        <v>49</v>
      </c>
      <c r="J304" s="8">
        <v>3</v>
      </c>
      <c r="K304" s="8">
        <v>3</v>
      </c>
      <c r="L304" s="8">
        <v>10</v>
      </c>
    </row>
    <row r="305" spans="1:12" x14ac:dyDescent="0.8">
      <c r="A305" s="5" t="s">
        <v>374</v>
      </c>
      <c r="B305" s="8">
        <v>29</v>
      </c>
      <c r="C305" s="5" t="s">
        <v>49</v>
      </c>
      <c r="D305" s="5" t="s">
        <v>42</v>
      </c>
      <c r="E305" s="5" t="s">
        <v>53</v>
      </c>
      <c r="F305" s="5" t="s">
        <v>45</v>
      </c>
      <c r="G305" s="8">
        <v>2</v>
      </c>
      <c r="H305" s="8">
        <v>3180</v>
      </c>
      <c r="I305" s="5" t="s">
        <v>49</v>
      </c>
      <c r="J305" s="8">
        <v>3</v>
      </c>
      <c r="K305" s="8">
        <v>3</v>
      </c>
      <c r="L305" s="8">
        <v>3</v>
      </c>
    </row>
    <row r="306" spans="1:12" x14ac:dyDescent="0.8">
      <c r="A306" s="5" t="s">
        <v>375</v>
      </c>
      <c r="B306" s="8">
        <v>29</v>
      </c>
      <c r="C306" s="5" t="s">
        <v>40</v>
      </c>
      <c r="D306" s="5" t="s">
        <v>42</v>
      </c>
      <c r="E306" s="5" t="s">
        <v>44</v>
      </c>
      <c r="F306" s="5" t="s">
        <v>60</v>
      </c>
      <c r="G306" s="8">
        <v>1</v>
      </c>
      <c r="H306" s="8">
        <v>2362</v>
      </c>
      <c r="I306" s="5" t="s">
        <v>49</v>
      </c>
      <c r="J306" s="8">
        <v>3</v>
      </c>
      <c r="K306" s="8">
        <v>2</v>
      </c>
      <c r="L306" s="8">
        <v>9</v>
      </c>
    </row>
    <row r="307" spans="1:12" x14ac:dyDescent="0.8">
      <c r="A307" s="5" t="s">
        <v>376</v>
      </c>
      <c r="B307" s="8">
        <v>29</v>
      </c>
      <c r="C307" s="5" t="s">
        <v>49</v>
      </c>
      <c r="D307" s="5" t="s">
        <v>42</v>
      </c>
      <c r="E307" s="5" t="s">
        <v>53</v>
      </c>
      <c r="F307" s="5" t="s">
        <v>161</v>
      </c>
      <c r="G307" s="8">
        <v>1</v>
      </c>
      <c r="H307" s="8">
        <v>9715</v>
      </c>
      <c r="I307" s="5" t="s">
        <v>49</v>
      </c>
      <c r="J307" s="8">
        <v>3</v>
      </c>
      <c r="K307" s="8">
        <v>3</v>
      </c>
      <c r="L307" s="8">
        <v>7</v>
      </c>
    </row>
    <row r="308" spans="1:12" x14ac:dyDescent="0.8">
      <c r="A308" s="5" t="s">
        <v>377</v>
      </c>
      <c r="B308" s="8">
        <v>29</v>
      </c>
      <c r="C308" s="5" t="s">
        <v>49</v>
      </c>
      <c r="D308" s="5" t="s">
        <v>42</v>
      </c>
      <c r="E308" s="5" t="s">
        <v>44</v>
      </c>
      <c r="F308" s="5" t="s">
        <v>60</v>
      </c>
      <c r="G308" s="8">
        <v>3</v>
      </c>
      <c r="H308" s="8">
        <v>2451</v>
      </c>
      <c r="I308" s="5" t="s">
        <v>49</v>
      </c>
      <c r="J308" s="8">
        <v>3</v>
      </c>
      <c r="K308" s="8">
        <v>2</v>
      </c>
      <c r="L308" s="8">
        <v>1</v>
      </c>
    </row>
    <row r="309" spans="1:12" x14ac:dyDescent="0.8">
      <c r="A309" s="5" t="s">
        <v>378</v>
      </c>
      <c r="B309" s="8">
        <v>29</v>
      </c>
      <c r="C309" s="5" t="s">
        <v>49</v>
      </c>
      <c r="D309" s="5" t="s">
        <v>42</v>
      </c>
      <c r="E309" s="5" t="s">
        <v>44</v>
      </c>
      <c r="F309" s="5" t="s">
        <v>45</v>
      </c>
      <c r="G309" s="8">
        <v>1</v>
      </c>
      <c r="H309" s="8">
        <v>4723</v>
      </c>
      <c r="I309" s="5" t="s">
        <v>40</v>
      </c>
      <c r="J309" s="8">
        <v>3</v>
      </c>
      <c r="K309" s="8">
        <v>3</v>
      </c>
      <c r="L309" s="8">
        <v>10</v>
      </c>
    </row>
    <row r="310" spans="1:12" x14ac:dyDescent="0.8">
      <c r="A310" s="5" t="s">
        <v>379</v>
      </c>
      <c r="B310" s="8">
        <v>29</v>
      </c>
      <c r="C310" s="5" t="s">
        <v>49</v>
      </c>
      <c r="D310" s="5" t="s">
        <v>42</v>
      </c>
      <c r="E310" s="5" t="s">
        <v>44</v>
      </c>
      <c r="F310" s="5" t="s">
        <v>161</v>
      </c>
      <c r="G310" s="8">
        <v>4</v>
      </c>
      <c r="H310" s="8">
        <v>8853</v>
      </c>
      <c r="I310" s="5" t="s">
        <v>49</v>
      </c>
      <c r="J310" s="8">
        <v>3</v>
      </c>
      <c r="K310" s="8">
        <v>0</v>
      </c>
      <c r="L310" s="8">
        <v>6</v>
      </c>
    </row>
    <row r="311" spans="1:12" x14ac:dyDescent="0.8">
      <c r="A311" s="5" t="s">
        <v>380</v>
      </c>
      <c r="B311" s="8">
        <v>29</v>
      </c>
      <c r="C311" s="5" t="s">
        <v>49</v>
      </c>
      <c r="D311" s="5" t="s">
        <v>51</v>
      </c>
      <c r="E311" s="5" t="s">
        <v>44</v>
      </c>
      <c r="F311" s="5" t="s">
        <v>137</v>
      </c>
      <c r="G311" s="8">
        <v>3</v>
      </c>
      <c r="H311" s="8">
        <v>5869</v>
      </c>
      <c r="I311" s="5" t="s">
        <v>49</v>
      </c>
      <c r="J311" s="8">
        <v>3</v>
      </c>
      <c r="K311" s="8">
        <v>2</v>
      </c>
      <c r="L311" s="8">
        <v>5</v>
      </c>
    </row>
    <row r="312" spans="1:12" x14ac:dyDescent="0.8">
      <c r="A312" s="5" t="s">
        <v>381</v>
      </c>
      <c r="B312" s="8">
        <v>29</v>
      </c>
      <c r="C312" s="5" t="s">
        <v>49</v>
      </c>
      <c r="D312" s="5" t="s">
        <v>51</v>
      </c>
      <c r="E312" s="5" t="s">
        <v>44</v>
      </c>
      <c r="F312" s="5" t="s">
        <v>137</v>
      </c>
      <c r="G312" s="8">
        <v>2</v>
      </c>
      <c r="H312" s="8">
        <v>4187</v>
      </c>
      <c r="I312" s="5" t="s">
        <v>40</v>
      </c>
      <c r="J312" s="8">
        <v>3</v>
      </c>
      <c r="K312" s="8">
        <v>3</v>
      </c>
      <c r="L312" s="8">
        <v>10</v>
      </c>
    </row>
    <row r="313" spans="1:12" x14ac:dyDescent="0.8">
      <c r="A313" s="5" t="s">
        <v>382</v>
      </c>
      <c r="B313" s="8">
        <v>29</v>
      </c>
      <c r="C313" s="5" t="s">
        <v>49</v>
      </c>
      <c r="D313" s="5" t="s">
        <v>42</v>
      </c>
      <c r="E313" s="5" t="s">
        <v>53</v>
      </c>
      <c r="F313" s="5" t="s">
        <v>45</v>
      </c>
      <c r="G313" s="8">
        <v>3</v>
      </c>
      <c r="H313" s="8">
        <v>2974</v>
      </c>
      <c r="I313" s="5" t="s">
        <v>49</v>
      </c>
      <c r="J313" s="8">
        <v>3</v>
      </c>
      <c r="K313" s="8">
        <v>2</v>
      </c>
      <c r="L313" s="8">
        <v>5</v>
      </c>
    </row>
    <row r="314" spans="1:12" x14ac:dyDescent="0.8">
      <c r="A314" s="5" t="s">
        <v>383</v>
      </c>
      <c r="B314" s="8">
        <v>29</v>
      </c>
      <c r="C314" s="5" t="s">
        <v>40</v>
      </c>
      <c r="D314" s="5" t="s">
        <v>51</v>
      </c>
      <c r="E314" s="5" t="s">
        <v>53</v>
      </c>
      <c r="F314" s="5" t="s">
        <v>54</v>
      </c>
      <c r="G314" s="8">
        <v>2</v>
      </c>
      <c r="H314" s="8">
        <v>2760</v>
      </c>
      <c r="I314" s="5" t="s">
        <v>49</v>
      </c>
      <c r="J314" s="8">
        <v>3</v>
      </c>
      <c r="K314" s="8">
        <v>3</v>
      </c>
      <c r="L314" s="8">
        <v>2</v>
      </c>
    </row>
    <row r="315" spans="1:12" x14ac:dyDescent="0.8">
      <c r="A315" s="5" t="s">
        <v>384</v>
      </c>
      <c r="B315" s="8">
        <v>29</v>
      </c>
      <c r="C315" s="5" t="s">
        <v>49</v>
      </c>
      <c r="D315" s="5" t="s">
        <v>42</v>
      </c>
      <c r="E315" s="5" t="s">
        <v>44</v>
      </c>
      <c r="F315" s="5" t="s">
        <v>161</v>
      </c>
      <c r="G315" s="8">
        <v>3</v>
      </c>
      <c r="H315" s="8">
        <v>6294</v>
      </c>
      <c r="I315" s="5" t="s">
        <v>40</v>
      </c>
      <c r="J315" s="8">
        <v>3</v>
      </c>
      <c r="K315" s="8">
        <v>5</v>
      </c>
      <c r="L315" s="8">
        <v>3</v>
      </c>
    </row>
    <row r="316" spans="1:12" x14ac:dyDescent="0.8">
      <c r="A316" s="5" t="s">
        <v>385</v>
      </c>
      <c r="B316" s="8">
        <v>29</v>
      </c>
      <c r="C316" s="5" t="s">
        <v>49</v>
      </c>
      <c r="D316" s="5" t="s">
        <v>42</v>
      </c>
      <c r="E316" s="5" t="s">
        <v>53</v>
      </c>
      <c r="F316" s="5" t="s">
        <v>60</v>
      </c>
      <c r="G316" s="8">
        <v>1</v>
      </c>
      <c r="H316" s="8">
        <v>2109</v>
      </c>
      <c r="I316" s="5" t="s">
        <v>49</v>
      </c>
      <c r="J316" s="8">
        <v>3</v>
      </c>
      <c r="K316" s="8">
        <v>2</v>
      </c>
      <c r="L316" s="8">
        <v>1</v>
      </c>
    </row>
    <row r="317" spans="1:12" x14ac:dyDescent="0.8">
      <c r="A317" s="5" t="s">
        <v>386</v>
      </c>
      <c r="B317" s="8">
        <v>29</v>
      </c>
      <c r="C317" s="5" t="s">
        <v>40</v>
      </c>
      <c r="D317" s="5" t="s">
        <v>71</v>
      </c>
      <c r="E317" s="5" t="s">
        <v>44</v>
      </c>
      <c r="F317" s="5" t="s">
        <v>71</v>
      </c>
      <c r="G317" s="8">
        <v>1</v>
      </c>
      <c r="H317" s="8">
        <v>2335</v>
      </c>
      <c r="I317" s="5" t="s">
        <v>40</v>
      </c>
      <c r="J317" s="8">
        <v>3</v>
      </c>
      <c r="K317" s="8">
        <v>3</v>
      </c>
      <c r="L317" s="8">
        <v>2</v>
      </c>
    </row>
    <row r="318" spans="1:12" x14ac:dyDescent="0.8">
      <c r="A318" s="5" t="s">
        <v>387</v>
      </c>
      <c r="B318" s="8">
        <v>29</v>
      </c>
      <c r="C318" s="5" t="s">
        <v>49</v>
      </c>
      <c r="D318" s="5" t="s">
        <v>42</v>
      </c>
      <c r="E318" s="5" t="s">
        <v>44</v>
      </c>
      <c r="F318" s="5" t="s">
        <v>45</v>
      </c>
      <c r="G318" s="8">
        <v>4</v>
      </c>
      <c r="H318" s="8">
        <v>3812</v>
      </c>
      <c r="I318" s="5" t="s">
        <v>49</v>
      </c>
      <c r="J318" s="8">
        <v>3</v>
      </c>
      <c r="K318" s="8">
        <v>3</v>
      </c>
      <c r="L318" s="8">
        <v>11</v>
      </c>
    </row>
    <row r="319" spans="1:12" x14ac:dyDescent="0.8">
      <c r="A319" s="5" t="s">
        <v>388</v>
      </c>
      <c r="B319" s="8">
        <v>29</v>
      </c>
      <c r="C319" s="5" t="s">
        <v>49</v>
      </c>
      <c r="D319" s="5" t="s">
        <v>42</v>
      </c>
      <c r="E319" s="5" t="s">
        <v>44</v>
      </c>
      <c r="F319" s="5" t="s">
        <v>161</v>
      </c>
      <c r="G319" s="8">
        <v>3</v>
      </c>
      <c r="H319" s="8">
        <v>6384</v>
      </c>
      <c r="I319" s="5" t="s">
        <v>49</v>
      </c>
      <c r="J319" s="8">
        <v>3</v>
      </c>
      <c r="K319" s="8">
        <v>3</v>
      </c>
      <c r="L319" s="8">
        <v>7</v>
      </c>
    </row>
    <row r="320" spans="1:12" x14ac:dyDescent="0.8">
      <c r="A320" s="5" t="s">
        <v>389</v>
      </c>
      <c r="B320" s="8">
        <v>29</v>
      </c>
      <c r="C320" s="5" t="s">
        <v>49</v>
      </c>
      <c r="D320" s="5" t="s">
        <v>71</v>
      </c>
      <c r="E320" s="5" t="s">
        <v>44</v>
      </c>
      <c r="F320" s="5" t="s">
        <v>71</v>
      </c>
      <c r="G320" s="8">
        <v>2</v>
      </c>
      <c r="H320" s="8">
        <v>2804</v>
      </c>
      <c r="I320" s="5" t="s">
        <v>49</v>
      </c>
      <c r="J320" s="8">
        <v>3</v>
      </c>
      <c r="K320" s="8">
        <v>3</v>
      </c>
      <c r="L320" s="8">
        <v>1</v>
      </c>
    </row>
    <row r="321" spans="1:12" x14ac:dyDescent="0.8">
      <c r="A321" s="5" t="s">
        <v>390</v>
      </c>
      <c r="B321" s="8">
        <v>29</v>
      </c>
      <c r="C321" s="5" t="s">
        <v>40</v>
      </c>
      <c r="D321" s="5" t="s">
        <v>42</v>
      </c>
      <c r="E321" s="5" t="s">
        <v>44</v>
      </c>
      <c r="F321" s="5" t="s">
        <v>60</v>
      </c>
      <c r="G321" s="8">
        <v>4</v>
      </c>
      <c r="H321" s="8">
        <v>2439</v>
      </c>
      <c r="I321" s="5" t="s">
        <v>40</v>
      </c>
      <c r="J321" s="8">
        <v>4</v>
      </c>
      <c r="K321" s="8">
        <v>3</v>
      </c>
      <c r="L321" s="8">
        <v>1</v>
      </c>
    </row>
    <row r="322" spans="1:12" x14ac:dyDescent="0.8">
      <c r="A322" s="5" t="s">
        <v>391</v>
      </c>
      <c r="B322" s="8">
        <v>29</v>
      </c>
      <c r="C322" s="5" t="s">
        <v>49</v>
      </c>
      <c r="D322" s="5" t="s">
        <v>42</v>
      </c>
      <c r="E322" s="5" t="s">
        <v>44</v>
      </c>
      <c r="F322" s="5" t="s">
        <v>45</v>
      </c>
      <c r="G322" s="8">
        <v>1</v>
      </c>
      <c r="H322" s="8">
        <v>2062</v>
      </c>
      <c r="I322" s="5" t="s">
        <v>49</v>
      </c>
      <c r="J322" s="8">
        <v>3</v>
      </c>
      <c r="K322" s="8">
        <v>2</v>
      </c>
      <c r="L322" s="8">
        <v>3</v>
      </c>
    </row>
    <row r="323" spans="1:12" x14ac:dyDescent="0.8">
      <c r="A323" s="5" t="s">
        <v>392</v>
      </c>
      <c r="B323" s="8">
        <v>29</v>
      </c>
      <c r="C323" s="5" t="s">
        <v>40</v>
      </c>
      <c r="D323" s="5" t="s">
        <v>51</v>
      </c>
      <c r="E323" s="5" t="s">
        <v>44</v>
      </c>
      <c r="F323" s="5" t="s">
        <v>54</v>
      </c>
      <c r="G323" s="8">
        <v>1</v>
      </c>
      <c r="H323" s="8">
        <v>1091</v>
      </c>
      <c r="I323" s="5" t="s">
        <v>49</v>
      </c>
      <c r="J323" s="8">
        <v>3</v>
      </c>
      <c r="K323" s="8">
        <v>3</v>
      </c>
      <c r="L323" s="8">
        <v>1</v>
      </c>
    </row>
    <row r="324" spans="1:12" x14ac:dyDescent="0.8">
      <c r="A324" s="5" t="s">
        <v>393</v>
      </c>
      <c r="B324" s="8">
        <v>29</v>
      </c>
      <c r="C324" s="5" t="s">
        <v>49</v>
      </c>
      <c r="D324" s="5" t="s">
        <v>42</v>
      </c>
      <c r="E324" s="5" t="s">
        <v>44</v>
      </c>
      <c r="F324" s="5" t="s">
        <v>161</v>
      </c>
      <c r="G324" s="8">
        <v>1</v>
      </c>
      <c r="H324" s="8">
        <v>5373</v>
      </c>
      <c r="I324" s="5" t="s">
        <v>49</v>
      </c>
      <c r="J324" s="8">
        <v>3</v>
      </c>
      <c r="K324" s="8">
        <v>5</v>
      </c>
      <c r="L324" s="8">
        <v>5</v>
      </c>
    </row>
    <row r="325" spans="1:12" x14ac:dyDescent="0.8">
      <c r="A325" s="5" t="s">
        <v>394</v>
      </c>
      <c r="B325" s="8">
        <v>29</v>
      </c>
      <c r="C325" s="5" t="s">
        <v>40</v>
      </c>
      <c r="D325" s="5" t="s">
        <v>42</v>
      </c>
      <c r="E325" s="5" t="s">
        <v>44</v>
      </c>
      <c r="F325" s="5" t="s">
        <v>60</v>
      </c>
      <c r="G325" s="8">
        <v>4</v>
      </c>
      <c r="H325" s="8">
        <v>4787</v>
      </c>
      <c r="I325" s="5" t="s">
        <v>40</v>
      </c>
      <c r="J325" s="8">
        <v>3</v>
      </c>
      <c r="K325" s="8">
        <v>3</v>
      </c>
      <c r="L325" s="8">
        <v>2</v>
      </c>
    </row>
    <row r="326" spans="1:12" x14ac:dyDescent="0.8">
      <c r="A326" s="5" t="s">
        <v>395</v>
      </c>
      <c r="B326" s="8">
        <v>29</v>
      </c>
      <c r="C326" s="5" t="s">
        <v>49</v>
      </c>
      <c r="D326" s="5" t="s">
        <v>42</v>
      </c>
      <c r="E326" s="5" t="s">
        <v>44</v>
      </c>
      <c r="F326" s="5" t="s">
        <v>45</v>
      </c>
      <c r="G326" s="8">
        <v>2</v>
      </c>
      <c r="H326" s="8">
        <v>4025</v>
      </c>
      <c r="I326" s="5" t="s">
        <v>40</v>
      </c>
      <c r="J326" s="8">
        <v>3</v>
      </c>
      <c r="K326" s="8">
        <v>2</v>
      </c>
      <c r="L326" s="8">
        <v>4</v>
      </c>
    </row>
    <row r="327" spans="1:12" x14ac:dyDescent="0.8">
      <c r="A327" s="5" t="s">
        <v>396</v>
      </c>
      <c r="B327" s="8">
        <v>29</v>
      </c>
      <c r="C327" s="5" t="s">
        <v>49</v>
      </c>
      <c r="D327" s="5" t="s">
        <v>42</v>
      </c>
      <c r="E327" s="5" t="s">
        <v>53</v>
      </c>
      <c r="F327" s="5" t="s">
        <v>60</v>
      </c>
      <c r="G327" s="8">
        <v>1</v>
      </c>
      <c r="H327" s="8">
        <v>3785</v>
      </c>
      <c r="I327" s="5" t="s">
        <v>49</v>
      </c>
      <c r="J327" s="8">
        <v>3</v>
      </c>
      <c r="K327" s="8">
        <v>3</v>
      </c>
      <c r="L327" s="8">
        <v>5</v>
      </c>
    </row>
    <row r="328" spans="1:12" x14ac:dyDescent="0.8">
      <c r="A328" s="5" t="s">
        <v>397</v>
      </c>
      <c r="B328" s="8">
        <v>30</v>
      </c>
      <c r="C328" s="5" t="s">
        <v>49</v>
      </c>
      <c r="D328" s="5" t="s">
        <v>42</v>
      </c>
      <c r="E328" s="5" t="s">
        <v>44</v>
      </c>
      <c r="F328" s="5" t="s">
        <v>45</v>
      </c>
      <c r="G328" s="8">
        <v>3</v>
      </c>
      <c r="H328" s="8">
        <v>2693</v>
      </c>
      <c r="I328" s="5" t="s">
        <v>49</v>
      </c>
      <c r="J328" s="8">
        <v>4</v>
      </c>
      <c r="K328" s="8">
        <v>2</v>
      </c>
      <c r="L328" s="8">
        <v>1</v>
      </c>
    </row>
    <row r="329" spans="1:12" x14ac:dyDescent="0.8">
      <c r="A329" s="5" t="s">
        <v>398</v>
      </c>
      <c r="B329" s="8">
        <v>30</v>
      </c>
      <c r="C329" s="5" t="s">
        <v>49</v>
      </c>
      <c r="D329" s="5" t="s">
        <v>42</v>
      </c>
      <c r="E329" s="5" t="s">
        <v>44</v>
      </c>
      <c r="F329" s="5" t="s">
        <v>45</v>
      </c>
      <c r="G329" s="8">
        <v>3</v>
      </c>
      <c r="H329" s="8">
        <v>2206</v>
      </c>
      <c r="I329" s="5" t="s">
        <v>49</v>
      </c>
      <c r="J329" s="8">
        <v>3</v>
      </c>
      <c r="K329" s="8">
        <v>5</v>
      </c>
      <c r="L329" s="8">
        <v>10</v>
      </c>
    </row>
    <row r="330" spans="1:12" x14ac:dyDescent="0.8">
      <c r="A330" s="5" t="s">
        <v>399</v>
      </c>
      <c r="B330" s="8">
        <v>30</v>
      </c>
      <c r="C330" s="5" t="s">
        <v>49</v>
      </c>
      <c r="D330" s="5" t="s">
        <v>42</v>
      </c>
      <c r="E330" s="5" t="s">
        <v>53</v>
      </c>
      <c r="F330" s="5" t="s">
        <v>45</v>
      </c>
      <c r="G330" s="8">
        <v>4</v>
      </c>
      <c r="H330" s="8">
        <v>4011</v>
      </c>
      <c r="I330" s="5" t="s">
        <v>49</v>
      </c>
      <c r="J330" s="8">
        <v>4</v>
      </c>
      <c r="K330" s="8">
        <v>2</v>
      </c>
      <c r="L330" s="8">
        <v>12</v>
      </c>
    </row>
    <row r="331" spans="1:12" x14ac:dyDescent="0.8">
      <c r="A331" s="5" t="s">
        <v>400</v>
      </c>
      <c r="B331" s="8">
        <v>30</v>
      </c>
      <c r="C331" s="5" t="s">
        <v>49</v>
      </c>
      <c r="D331" s="5" t="s">
        <v>42</v>
      </c>
      <c r="E331" s="5" t="s">
        <v>44</v>
      </c>
      <c r="F331" s="5" t="s">
        <v>45</v>
      </c>
      <c r="G331" s="8">
        <v>4</v>
      </c>
      <c r="H331" s="8">
        <v>5126</v>
      </c>
      <c r="I331" s="5" t="s">
        <v>40</v>
      </c>
      <c r="J331" s="8">
        <v>3</v>
      </c>
      <c r="K331" s="8">
        <v>1</v>
      </c>
      <c r="L331" s="8">
        <v>10</v>
      </c>
    </row>
    <row r="332" spans="1:12" x14ac:dyDescent="0.8">
      <c r="A332" s="5" t="s">
        <v>401</v>
      </c>
      <c r="B332" s="8">
        <v>30</v>
      </c>
      <c r="C332" s="5" t="s">
        <v>49</v>
      </c>
      <c r="D332" s="5" t="s">
        <v>42</v>
      </c>
      <c r="E332" s="5" t="s">
        <v>44</v>
      </c>
      <c r="F332" s="5" t="s">
        <v>161</v>
      </c>
      <c r="G332" s="8">
        <v>4</v>
      </c>
      <c r="H332" s="8">
        <v>4152</v>
      </c>
      <c r="I332" s="5" t="s">
        <v>49</v>
      </c>
      <c r="J332" s="8">
        <v>3</v>
      </c>
      <c r="K332" s="8">
        <v>3</v>
      </c>
      <c r="L332" s="8">
        <v>11</v>
      </c>
    </row>
    <row r="333" spans="1:12" x14ac:dyDescent="0.8">
      <c r="A333" s="5" t="s">
        <v>402</v>
      </c>
      <c r="B333" s="8">
        <v>30</v>
      </c>
      <c r="C333" s="5" t="s">
        <v>49</v>
      </c>
      <c r="D333" s="5" t="s">
        <v>51</v>
      </c>
      <c r="E333" s="5" t="s">
        <v>53</v>
      </c>
      <c r="F333" s="5" t="s">
        <v>137</v>
      </c>
      <c r="G333" s="8">
        <v>2</v>
      </c>
      <c r="H333" s="8">
        <v>5209</v>
      </c>
      <c r="I333" s="5" t="s">
        <v>40</v>
      </c>
      <c r="J333" s="8">
        <v>3</v>
      </c>
      <c r="K333" s="8">
        <v>4</v>
      </c>
      <c r="L333" s="8">
        <v>11</v>
      </c>
    </row>
    <row r="334" spans="1:12" x14ac:dyDescent="0.8">
      <c r="A334" s="5" t="s">
        <v>403</v>
      </c>
      <c r="B334" s="8">
        <v>30</v>
      </c>
      <c r="C334" s="5" t="s">
        <v>49</v>
      </c>
      <c r="D334" s="5" t="s">
        <v>42</v>
      </c>
      <c r="E334" s="5" t="s">
        <v>44</v>
      </c>
      <c r="F334" s="5" t="s">
        <v>60</v>
      </c>
      <c r="G334" s="8">
        <v>3</v>
      </c>
      <c r="H334" s="8">
        <v>2613</v>
      </c>
      <c r="I334" s="5" t="s">
        <v>49</v>
      </c>
      <c r="J334" s="8">
        <v>4</v>
      </c>
      <c r="K334" s="8">
        <v>2</v>
      </c>
      <c r="L334" s="8">
        <v>10</v>
      </c>
    </row>
    <row r="335" spans="1:12" x14ac:dyDescent="0.8">
      <c r="A335" s="5" t="s">
        <v>404</v>
      </c>
      <c r="B335" s="8">
        <v>30</v>
      </c>
      <c r="C335" s="5" t="s">
        <v>49</v>
      </c>
      <c r="D335" s="5" t="s">
        <v>71</v>
      </c>
      <c r="E335" s="5" t="s">
        <v>44</v>
      </c>
      <c r="F335" s="5" t="s">
        <v>71</v>
      </c>
      <c r="G335" s="8">
        <v>4</v>
      </c>
      <c r="H335" s="8">
        <v>6347</v>
      </c>
      <c r="I335" s="5" t="s">
        <v>40</v>
      </c>
      <c r="J335" s="8">
        <v>3</v>
      </c>
      <c r="K335" s="8">
        <v>2</v>
      </c>
      <c r="L335" s="8">
        <v>11</v>
      </c>
    </row>
    <row r="336" spans="1:12" x14ac:dyDescent="0.8">
      <c r="A336" s="5" t="s">
        <v>405</v>
      </c>
      <c r="B336" s="8">
        <v>30</v>
      </c>
      <c r="C336" s="5" t="s">
        <v>49</v>
      </c>
      <c r="D336" s="5" t="s">
        <v>42</v>
      </c>
      <c r="E336" s="5" t="s">
        <v>53</v>
      </c>
      <c r="F336" s="5" t="s">
        <v>60</v>
      </c>
      <c r="G336" s="8">
        <v>3</v>
      </c>
      <c r="H336" s="8">
        <v>2632</v>
      </c>
      <c r="I336" s="5" t="s">
        <v>49</v>
      </c>
      <c r="J336" s="8">
        <v>3</v>
      </c>
      <c r="K336" s="8">
        <v>4</v>
      </c>
      <c r="L336" s="8">
        <v>5</v>
      </c>
    </row>
    <row r="337" spans="1:12" x14ac:dyDescent="0.8">
      <c r="A337" s="5" t="s">
        <v>406</v>
      </c>
      <c r="B337" s="8">
        <v>30</v>
      </c>
      <c r="C337" s="5" t="s">
        <v>49</v>
      </c>
      <c r="D337" s="5" t="s">
        <v>42</v>
      </c>
      <c r="E337" s="5" t="s">
        <v>53</v>
      </c>
      <c r="F337" s="5" t="s">
        <v>60</v>
      </c>
      <c r="G337" s="8">
        <v>1</v>
      </c>
      <c r="H337" s="8">
        <v>3204</v>
      </c>
      <c r="I337" s="5" t="s">
        <v>49</v>
      </c>
      <c r="J337" s="8">
        <v>3</v>
      </c>
      <c r="K337" s="8">
        <v>3</v>
      </c>
      <c r="L337" s="8">
        <v>3</v>
      </c>
    </row>
    <row r="338" spans="1:12" x14ac:dyDescent="0.8">
      <c r="A338" s="5" t="s">
        <v>407</v>
      </c>
      <c r="B338" s="8">
        <v>30</v>
      </c>
      <c r="C338" s="5" t="s">
        <v>49</v>
      </c>
      <c r="D338" s="5" t="s">
        <v>42</v>
      </c>
      <c r="E338" s="5" t="s">
        <v>44</v>
      </c>
      <c r="F338" s="5" t="s">
        <v>45</v>
      </c>
      <c r="G338" s="8">
        <v>4</v>
      </c>
      <c r="H338" s="8">
        <v>2720</v>
      </c>
      <c r="I338" s="5" t="s">
        <v>49</v>
      </c>
      <c r="J338" s="8">
        <v>3</v>
      </c>
      <c r="K338" s="8">
        <v>3</v>
      </c>
      <c r="L338" s="8">
        <v>5</v>
      </c>
    </row>
    <row r="339" spans="1:12" x14ac:dyDescent="0.8">
      <c r="A339" s="5" t="s">
        <v>408</v>
      </c>
      <c r="B339" s="8">
        <v>30</v>
      </c>
      <c r="C339" s="5" t="s">
        <v>49</v>
      </c>
      <c r="D339" s="5" t="s">
        <v>51</v>
      </c>
      <c r="E339" s="5" t="s">
        <v>53</v>
      </c>
      <c r="F339" s="5" t="s">
        <v>137</v>
      </c>
      <c r="G339" s="8">
        <v>4</v>
      </c>
      <c r="H339" s="8">
        <v>9419</v>
      </c>
      <c r="I339" s="5" t="s">
        <v>49</v>
      </c>
      <c r="J339" s="8">
        <v>3</v>
      </c>
      <c r="K339" s="8">
        <v>2</v>
      </c>
      <c r="L339" s="8">
        <v>10</v>
      </c>
    </row>
    <row r="340" spans="1:12" x14ac:dyDescent="0.8">
      <c r="A340" s="5" t="s">
        <v>409</v>
      </c>
      <c r="B340" s="8">
        <v>30</v>
      </c>
      <c r="C340" s="5" t="s">
        <v>49</v>
      </c>
      <c r="D340" s="5" t="s">
        <v>42</v>
      </c>
      <c r="E340" s="5" t="s">
        <v>44</v>
      </c>
      <c r="F340" s="5" t="s">
        <v>45</v>
      </c>
      <c r="G340" s="8">
        <v>1</v>
      </c>
      <c r="H340" s="8">
        <v>3072</v>
      </c>
      <c r="I340" s="5" t="s">
        <v>49</v>
      </c>
      <c r="J340" s="8">
        <v>3</v>
      </c>
      <c r="K340" s="8">
        <v>4</v>
      </c>
      <c r="L340" s="8">
        <v>12</v>
      </c>
    </row>
    <row r="341" spans="1:12" x14ac:dyDescent="0.8">
      <c r="A341" s="5" t="s">
        <v>410</v>
      </c>
      <c r="B341" s="8">
        <v>30</v>
      </c>
      <c r="C341" s="5" t="s">
        <v>49</v>
      </c>
      <c r="D341" s="5" t="s">
        <v>42</v>
      </c>
      <c r="E341" s="5" t="s">
        <v>44</v>
      </c>
      <c r="F341" s="5" t="s">
        <v>112</v>
      </c>
      <c r="G341" s="8">
        <v>3</v>
      </c>
      <c r="H341" s="8">
        <v>8474</v>
      </c>
      <c r="I341" s="5" t="s">
        <v>49</v>
      </c>
      <c r="J341" s="8">
        <v>4</v>
      </c>
      <c r="K341" s="8">
        <v>2</v>
      </c>
      <c r="L341" s="8">
        <v>11</v>
      </c>
    </row>
    <row r="342" spans="1:12" x14ac:dyDescent="0.8">
      <c r="A342" s="5" t="s">
        <v>411</v>
      </c>
      <c r="B342" s="8">
        <v>30</v>
      </c>
      <c r="C342" s="5" t="s">
        <v>40</v>
      </c>
      <c r="D342" s="5" t="s">
        <v>42</v>
      </c>
      <c r="E342" s="5" t="s">
        <v>53</v>
      </c>
      <c r="F342" s="5" t="s">
        <v>60</v>
      </c>
      <c r="G342" s="8">
        <v>1</v>
      </c>
      <c r="H342" s="8">
        <v>2657</v>
      </c>
      <c r="I342" s="5" t="s">
        <v>40</v>
      </c>
      <c r="J342" s="8">
        <v>3</v>
      </c>
      <c r="K342" s="8">
        <v>5</v>
      </c>
      <c r="L342" s="8">
        <v>5</v>
      </c>
    </row>
    <row r="343" spans="1:12" x14ac:dyDescent="0.8">
      <c r="A343" s="5" t="s">
        <v>412</v>
      </c>
      <c r="B343" s="8">
        <v>30</v>
      </c>
      <c r="C343" s="5" t="s">
        <v>40</v>
      </c>
      <c r="D343" s="5" t="s">
        <v>51</v>
      </c>
      <c r="E343" s="5" t="s">
        <v>53</v>
      </c>
      <c r="F343" s="5" t="s">
        <v>137</v>
      </c>
      <c r="G343" s="8">
        <v>1</v>
      </c>
      <c r="H343" s="8">
        <v>6696</v>
      </c>
      <c r="I343" s="5" t="s">
        <v>49</v>
      </c>
      <c r="J343" s="8">
        <v>3</v>
      </c>
      <c r="K343" s="8">
        <v>5</v>
      </c>
      <c r="L343" s="8">
        <v>6</v>
      </c>
    </row>
    <row r="344" spans="1:12" x14ac:dyDescent="0.8">
      <c r="A344" s="5" t="s">
        <v>413</v>
      </c>
      <c r="B344" s="8">
        <v>30</v>
      </c>
      <c r="C344" s="5" t="s">
        <v>49</v>
      </c>
      <c r="D344" s="5" t="s">
        <v>42</v>
      </c>
      <c r="E344" s="5" t="s">
        <v>53</v>
      </c>
      <c r="F344" s="5" t="s">
        <v>60</v>
      </c>
      <c r="G344" s="8">
        <v>4</v>
      </c>
      <c r="H344" s="8">
        <v>5775</v>
      </c>
      <c r="I344" s="5" t="s">
        <v>49</v>
      </c>
      <c r="J344" s="8">
        <v>3</v>
      </c>
      <c r="K344" s="8">
        <v>2</v>
      </c>
      <c r="L344" s="8">
        <v>10</v>
      </c>
    </row>
    <row r="345" spans="1:12" x14ac:dyDescent="0.8">
      <c r="A345" s="5" t="s">
        <v>414</v>
      </c>
      <c r="B345" s="8">
        <v>30</v>
      </c>
      <c r="C345" s="5" t="s">
        <v>49</v>
      </c>
      <c r="D345" s="5" t="s">
        <v>51</v>
      </c>
      <c r="E345" s="5" t="s">
        <v>53</v>
      </c>
      <c r="F345" s="5" t="s">
        <v>137</v>
      </c>
      <c r="G345" s="8">
        <v>3</v>
      </c>
      <c r="H345" s="8">
        <v>6118</v>
      </c>
      <c r="I345" s="5" t="s">
        <v>49</v>
      </c>
      <c r="J345" s="8">
        <v>3</v>
      </c>
      <c r="K345" s="8">
        <v>2</v>
      </c>
      <c r="L345" s="8">
        <v>10</v>
      </c>
    </row>
    <row r="346" spans="1:12" x14ac:dyDescent="0.8">
      <c r="A346" s="5" t="s">
        <v>415</v>
      </c>
      <c r="B346" s="8">
        <v>30</v>
      </c>
      <c r="C346" s="5" t="s">
        <v>49</v>
      </c>
      <c r="D346" s="5" t="s">
        <v>51</v>
      </c>
      <c r="E346" s="5" t="s">
        <v>53</v>
      </c>
      <c r="F346" s="5" t="s">
        <v>137</v>
      </c>
      <c r="G346" s="8">
        <v>3</v>
      </c>
      <c r="H346" s="8">
        <v>4736</v>
      </c>
      <c r="I346" s="5" t="s">
        <v>40</v>
      </c>
      <c r="J346" s="8">
        <v>3</v>
      </c>
      <c r="K346" s="8">
        <v>2</v>
      </c>
      <c r="L346" s="8">
        <v>2</v>
      </c>
    </row>
    <row r="347" spans="1:12" x14ac:dyDescent="0.8">
      <c r="A347" s="5" t="s">
        <v>416</v>
      </c>
      <c r="B347" s="8">
        <v>30</v>
      </c>
      <c r="C347" s="5" t="s">
        <v>49</v>
      </c>
      <c r="D347" s="5" t="s">
        <v>51</v>
      </c>
      <c r="E347" s="5" t="s">
        <v>44</v>
      </c>
      <c r="F347" s="5" t="s">
        <v>54</v>
      </c>
      <c r="G347" s="8">
        <v>2</v>
      </c>
      <c r="H347" s="8">
        <v>2476</v>
      </c>
      <c r="I347" s="5" t="s">
        <v>49</v>
      </c>
      <c r="J347" s="8">
        <v>3</v>
      </c>
      <c r="K347" s="8">
        <v>3</v>
      </c>
      <c r="L347" s="8">
        <v>1</v>
      </c>
    </row>
    <row r="348" spans="1:12" x14ac:dyDescent="0.8">
      <c r="A348" s="5" t="s">
        <v>417</v>
      </c>
      <c r="B348" s="8">
        <v>30</v>
      </c>
      <c r="C348" s="5" t="s">
        <v>40</v>
      </c>
      <c r="D348" s="5" t="s">
        <v>42</v>
      </c>
      <c r="E348" s="5" t="s">
        <v>44</v>
      </c>
      <c r="F348" s="5" t="s">
        <v>60</v>
      </c>
      <c r="G348" s="8">
        <v>4</v>
      </c>
      <c r="H348" s="8">
        <v>2285</v>
      </c>
      <c r="I348" s="5" t="s">
        <v>40</v>
      </c>
      <c r="J348" s="8">
        <v>4</v>
      </c>
      <c r="K348" s="8">
        <v>4</v>
      </c>
      <c r="L348" s="8">
        <v>1</v>
      </c>
    </row>
    <row r="349" spans="1:12" x14ac:dyDescent="0.8">
      <c r="A349" s="5" t="s">
        <v>418</v>
      </c>
      <c r="B349" s="8">
        <v>30</v>
      </c>
      <c r="C349" s="5" t="s">
        <v>49</v>
      </c>
      <c r="D349" s="5" t="s">
        <v>51</v>
      </c>
      <c r="E349" s="5" t="s">
        <v>53</v>
      </c>
      <c r="F349" s="5" t="s">
        <v>137</v>
      </c>
      <c r="G349" s="8">
        <v>3</v>
      </c>
      <c r="H349" s="8">
        <v>6577</v>
      </c>
      <c r="I349" s="5" t="s">
        <v>49</v>
      </c>
      <c r="J349" s="8">
        <v>3</v>
      </c>
      <c r="K349" s="8">
        <v>6</v>
      </c>
      <c r="L349" s="8">
        <v>5</v>
      </c>
    </row>
    <row r="350" spans="1:12" x14ac:dyDescent="0.8">
      <c r="A350" s="5" t="s">
        <v>419</v>
      </c>
      <c r="B350" s="8">
        <v>30</v>
      </c>
      <c r="C350" s="5" t="s">
        <v>49</v>
      </c>
      <c r="D350" s="5" t="s">
        <v>42</v>
      </c>
      <c r="E350" s="5" t="s">
        <v>53</v>
      </c>
      <c r="F350" s="5" t="s">
        <v>112</v>
      </c>
      <c r="G350" s="8">
        <v>4</v>
      </c>
      <c r="H350" s="8">
        <v>6091</v>
      </c>
      <c r="I350" s="5" t="s">
        <v>49</v>
      </c>
      <c r="J350" s="8">
        <v>4</v>
      </c>
      <c r="K350" s="8">
        <v>2</v>
      </c>
      <c r="L350" s="8">
        <v>5</v>
      </c>
    </row>
    <row r="351" spans="1:12" x14ac:dyDescent="0.8">
      <c r="A351" s="5" t="s">
        <v>420</v>
      </c>
      <c r="B351" s="8">
        <v>30</v>
      </c>
      <c r="C351" s="5" t="s">
        <v>49</v>
      </c>
      <c r="D351" s="5" t="s">
        <v>42</v>
      </c>
      <c r="E351" s="5" t="s">
        <v>44</v>
      </c>
      <c r="F351" s="5" t="s">
        <v>45</v>
      </c>
      <c r="G351" s="8">
        <v>4</v>
      </c>
      <c r="H351" s="8">
        <v>2097</v>
      </c>
      <c r="I351" s="5" t="s">
        <v>49</v>
      </c>
      <c r="J351" s="8">
        <v>3</v>
      </c>
      <c r="K351" s="8">
        <v>3</v>
      </c>
      <c r="L351" s="8">
        <v>5</v>
      </c>
    </row>
    <row r="352" spans="1:12" x14ac:dyDescent="0.8">
      <c r="A352" s="5" t="s">
        <v>421</v>
      </c>
      <c r="B352" s="8">
        <v>30</v>
      </c>
      <c r="C352" s="5" t="s">
        <v>49</v>
      </c>
      <c r="D352" s="5" t="s">
        <v>51</v>
      </c>
      <c r="E352" s="5" t="s">
        <v>53</v>
      </c>
      <c r="F352" s="5" t="s">
        <v>137</v>
      </c>
      <c r="G352" s="8">
        <v>1</v>
      </c>
      <c r="H352" s="8">
        <v>8412</v>
      </c>
      <c r="I352" s="5" t="s">
        <v>49</v>
      </c>
      <c r="J352" s="8">
        <v>3</v>
      </c>
      <c r="K352" s="8">
        <v>3</v>
      </c>
      <c r="L352" s="8">
        <v>9</v>
      </c>
    </row>
    <row r="353" spans="1:12" x14ac:dyDescent="0.8">
      <c r="A353" s="5" t="s">
        <v>422</v>
      </c>
      <c r="B353" s="8">
        <v>30</v>
      </c>
      <c r="C353" s="5" t="s">
        <v>49</v>
      </c>
      <c r="D353" s="5" t="s">
        <v>42</v>
      </c>
      <c r="E353" s="5" t="s">
        <v>53</v>
      </c>
      <c r="F353" s="5" t="s">
        <v>45</v>
      </c>
      <c r="G353" s="8">
        <v>4</v>
      </c>
      <c r="H353" s="8">
        <v>2564</v>
      </c>
      <c r="I353" s="5" t="s">
        <v>49</v>
      </c>
      <c r="J353" s="8">
        <v>3</v>
      </c>
      <c r="K353" s="8">
        <v>2</v>
      </c>
      <c r="L353" s="8">
        <v>11</v>
      </c>
    </row>
    <row r="354" spans="1:12" x14ac:dyDescent="0.8">
      <c r="A354" s="5" t="s">
        <v>423</v>
      </c>
      <c r="B354" s="8">
        <v>30</v>
      </c>
      <c r="C354" s="5" t="s">
        <v>49</v>
      </c>
      <c r="D354" s="5" t="s">
        <v>51</v>
      </c>
      <c r="E354" s="5" t="s">
        <v>44</v>
      </c>
      <c r="F354" s="5" t="s">
        <v>54</v>
      </c>
      <c r="G354" s="8">
        <v>2</v>
      </c>
      <c r="H354" s="8">
        <v>2983</v>
      </c>
      <c r="I354" s="5" t="s">
        <v>49</v>
      </c>
      <c r="J354" s="8">
        <v>3</v>
      </c>
      <c r="K354" s="8">
        <v>3</v>
      </c>
      <c r="L354" s="8">
        <v>3</v>
      </c>
    </row>
    <row r="355" spans="1:12" x14ac:dyDescent="0.8">
      <c r="A355" s="5" t="s">
        <v>424</v>
      </c>
      <c r="B355" s="8">
        <v>30</v>
      </c>
      <c r="C355" s="5" t="s">
        <v>40</v>
      </c>
      <c r="D355" s="5" t="s">
        <v>51</v>
      </c>
      <c r="E355" s="5" t="s">
        <v>44</v>
      </c>
      <c r="F355" s="5" t="s">
        <v>54</v>
      </c>
      <c r="G355" s="8">
        <v>1</v>
      </c>
      <c r="H355" s="8">
        <v>2033</v>
      </c>
      <c r="I355" s="5" t="s">
        <v>49</v>
      </c>
      <c r="J355" s="8">
        <v>3</v>
      </c>
      <c r="K355" s="8">
        <v>2</v>
      </c>
      <c r="L355" s="8">
        <v>1</v>
      </c>
    </row>
    <row r="356" spans="1:12" x14ac:dyDescent="0.8">
      <c r="A356" s="5" t="s">
        <v>425</v>
      </c>
      <c r="B356" s="8">
        <v>30</v>
      </c>
      <c r="C356" s="5" t="s">
        <v>49</v>
      </c>
      <c r="D356" s="5" t="s">
        <v>42</v>
      </c>
      <c r="E356" s="5" t="s">
        <v>53</v>
      </c>
      <c r="F356" s="5" t="s">
        <v>60</v>
      </c>
      <c r="G356" s="8">
        <v>3</v>
      </c>
      <c r="H356" s="8">
        <v>2083</v>
      </c>
      <c r="I356" s="5" t="s">
        <v>49</v>
      </c>
      <c r="J356" s="8">
        <v>4</v>
      </c>
      <c r="K356" s="8">
        <v>2</v>
      </c>
      <c r="L356" s="8">
        <v>1</v>
      </c>
    </row>
    <row r="357" spans="1:12" x14ac:dyDescent="0.8">
      <c r="A357" s="5" t="s">
        <v>426</v>
      </c>
      <c r="B357" s="8">
        <v>30</v>
      </c>
      <c r="C357" s="5" t="s">
        <v>49</v>
      </c>
      <c r="D357" s="5" t="s">
        <v>51</v>
      </c>
      <c r="E357" s="5" t="s">
        <v>44</v>
      </c>
      <c r="F357" s="5" t="s">
        <v>137</v>
      </c>
      <c r="G357" s="8">
        <v>4</v>
      </c>
      <c r="H357" s="8">
        <v>5304</v>
      </c>
      <c r="I357" s="5" t="s">
        <v>49</v>
      </c>
      <c r="J357" s="8">
        <v>4</v>
      </c>
      <c r="K357" s="8">
        <v>2</v>
      </c>
      <c r="L357" s="8">
        <v>8</v>
      </c>
    </row>
    <row r="358" spans="1:12" x14ac:dyDescent="0.8">
      <c r="A358" s="5" t="s">
        <v>427</v>
      </c>
      <c r="B358" s="8">
        <v>30</v>
      </c>
      <c r="C358" s="5" t="s">
        <v>49</v>
      </c>
      <c r="D358" s="5" t="s">
        <v>42</v>
      </c>
      <c r="E358" s="5" t="s">
        <v>44</v>
      </c>
      <c r="F358" s="5" t="s">
        <v>45</v>
      </c>
      <c r="G358" s="8">
        <v>3</v>
      </c>
      <c r="H358" s="8">
        <v>3833</v>
      </c>
      <c r="I358" s="5" t="s">
        <v>49</v>
      </c>
      <c r="J358" s="8">
        <v>4</v>
      </c>
      <c r="K358" s="8">
        <v>2</v>
      </c>
      <c r="L358" s="8">
        <v>2</v>
      </c>
    </row>
    <row r="359" spans="1:12" x14ac:dyDescent="0.8">
      <c r="A359" s="5" t="s">
        <v>428</v>
      </c>
      <c r="B359" s="8">
        <v>30</v>
      </c>
      <c r="C359" s="5" t="s">
        <v>49</v>
      </c>
      <c r="D359" s="5" t="s">
        <v>42</v>
      </c>
      <c r="E359" s="5" t="s">
        <v>53</v>
      </c>
      <c r="F359" s="5" t="s">
        <v>112</v>
      </c>
      <c r="G359" s="8">
        <v>4</v>
      </c>
      <c r="H359" s="8">
        <v>6877</v>
      </c>
      <c r="I359" s="5" t="s">
        <v>40</v>
      </c>
      <c r="J359" s="8">
        <v>4</v>
      </c>
      <c r="K359" s="8">
        <v>4</v>
      </c>
      <c r="L359" s="8">
        <v>0</v>
      </c>
    </row>
    <row r="360" spans="1:12" x14ac:dyDescent="0.8">
      <c r="A360" s="5" t="s">
        <v>429</v>
      </c>
      <c r="B360" s="8">
        <v>30</v>
      </c>
      <c r="C360" s="5" t="s">
        <v>49</v>
      </c>
      <c r="D360" s="5" t="s">
        <v>42</v>
      </c>
      <c r="E360" s="5" t="s">
        <v>44</v>
      </c>
      <c r="F360" s="5" t="s">
        <v>60</v>
      </c>
      <c r="G360" s="8">
        <v>4</v>
      </c>
      <c r="H360" s="8">
        <v>3761</v>
      </c>
      <c r="I360" s="5" t="s">
        <v>49</v>
      </c>
      <c r="J360" s="8">
        <v>3</v>
      </c>
      <c r="K360" s="8">
        <v>3</v>
      </c>
      <c r="L360" s="8">
        <v>5</v>
      </c>
    </row>
    <row r="361" spans="1:12" x14ac:dyDescent="0.8">
      <c r="A361" s="5" t="s">
        <v>430</v>
      </c>
      <c r="B361" s="8">
        <v>30</v>
      </c>
      <c r="C361" s="5" t="s">
        <v>49</v>
      </c>
      <c r="D361" s="5" t="s">
        <v>51</v>
      </c>
      <c r="E361" s="5" t="s">
        <v>44</v>
      </c>
      <c r="F361" s="5" t="s">
        <v>137</v>
      </c>
      <c r="G361" s="8">
        <v>3</v>
      </c>
      <c r="H361" s="8">
        <v>7264</v>
      </c>
      <c r="I361" s="5" t="s">
        <v>49</v>
      </c>
      <c r="J361" s="8">
        <v>3</v>
      </c>
      <c r="K361" s="8">
        <v>2</v>
      </c>
      <c r="L361" s="8">
        <v>8</v>
      </c>
    </row>
    <row r="362" spans="1:12" x14ac:dyDescent="0.8">
      <c r="A362" s="5" t="s">
        <v>431</v>
      </c>
      <c r="B362" s="8">
        <v>30</v>
      </c>
      <c r="C362" s="5" t="s">
        <v>40</v>
      </c>
      <c r="D362" s="5" t="s">
        <v>42</v>
      </c>
      <c r="E362" s="5" t="s">
        <v>53</v>
      </c>
      <c r="F362" s="5" t="s">
        <v>60</v>
      </c>
      <c r="G362" s="8">
        <v>3</v>
      </c>
      <c r="H362" s="8">
        <v>2132</v>
      </c>
      <c r="I362" s="5" t="s">
        <v>40</v>
      </c>
      <c r="J362" s="8">
        <v>3</v>
      </c>
      <c r="K362" s="8">
        <v>2</v>
      </c>
      <c r="L362" s="8">
        <v>5</v>
      </c>
    </row>
    <row r="363" spans="1:12" x14ac:dyDescent="0.8">
      <c r="A363" s="5" t="s">
        <v>432</v>
      </c>
      <c r="B363" s="8">
        <v>30</v>
      </c>
      <c r="C363" s="5" t="s">
        <v>49</v>
      </c>
      <c r="D363" s="5" t="s">
        <v>42</v>
      </c>
      <c r="E363" s="5" t="s">
        <v>53</v>
      </c>
      <c r="F363" s="5" t="s">
        <v>252</v>
      </c>
      <c r="G363" s="8">
        <v>1</v>
      </c>
      <c r="H363" s="8">
        <v>11416</v>
      </c>
      <c r="I363" s="5" t="s">
        <v>40</v>
      </c>
      <c r="J363" s="8">
        <v>3</v>
      </c>
      <c r="K363" s="8">
        <v>4</v>
      </c>
      <c r="L363" s="8">
        <v>8</v>
      </c>
    </row>
    <row r="364" spans="1:12" x14ac:dyDescent="0.8">
      <c r="A364" s="5" t="s">
        <v>433</v>
      </c>
      <c r="B364" s="8">
        <v>30</v>
      </c>
      <c r="C364" s="5" t="s">
        <v>40</v>
      </c>
      <c r="D364" s="5" t="s">
        <v>42</v>
      </c>
      <c r="E364" s="5" t="s">
        <v>53</v>
      </c>
      <c r="F364" s="5" t="s">
        <v>45</v>
      </c>
      <c r="G364" s="8">
        <v>2</v>
      </c>
      <c r="H364" s="8">
        <v>2422</v>
      </c>
      <c r="I364" s="5" t="s">
        <v>49</v>
      </c>
      <c r="J364" s="8">
        <v>3</v>
      </c>
      <c r="K364" s="8">
        <v>3</v>
      </c>
      <c r="L364" s="8">
        <v>3</v>
      </c>
    </row>
    <row r="365" spans="1:12" x14ac:dyDescent="0.8">
      <c r="A365" s="5" t="s">
        <v>434</v>
      </c>
      <c r="B365" s="8">
        <v>30</v>
      </c>
      <c r="C365" s="5" t="s">
        <v>49</v>
      </c>
      <c r="D365" s="5" t="s">
        <v>42</v>
      </c>
      <c r="E365" s="5" t="s">
        <v>44</v>
      </c>
      <c r="F365" s="5" t="s">
        <v>112</v>
      </c>
      <c r="G365" s="8">
        <v>1</v>
      </c>
      <c r="H365" s="8">
        <v>9957</v>
      </c>
      <c r="I365" s="5" t="s">
        <v>49</v>
      </c>
      <c r="J365" s="8">
        <v>3</v>
      </c>
      <c r="K365" s="8">
        <v>1</v>
      </c>
      <c r="L365" s="8">
        <v>6</v>
      </c>
    </row>
    <row r="366" spans="1:12" x14ac:dyDescent="0.8">
      <c r="A366" s="5" t="s">
        <v>435</v>
      </c>
      <c r="B366" s="8">
        <v>30</v>
      </c>
      <c r="C366" s="5" t="s">
        <v>49</v>
      </c>
      <c r="D366" s="5" t="s">
        <v>51</v>
      </c>
      <c r="E366" s="5" t="s">
        <v>44</v>
      </c>
      <c r="F366" s="5" t="s">
        <v>137</v>
      </c>
      <c r="G366" s="8">
        <v>3</v>
      </c>
      <c r="H366" s="8">
        <v>6578</v>
      </c>
      <c r="I366" s="5" t="s">
        <v>49</v>
      </c>
      <c r="J366" s="8">
        <v>3</v>
      </c>
      <c r="K366" s="8">
        <v>3</v>
      </c>
      <c r="L366" s="8">
        <v>10</v>
      </c>
    </row>
    <row r="367" spans="1:12" x14ac:dyDescent="0.8">
      <c r="A367" s="5" t="s">
        <v>436</v>
      </c>
      <c r="B367" s="8">
        <v>30</v>
      </c>
      <c r="C367" s="5" t="s">
        <v>49</v>
      </c>
      <c r="D367" s="5" t="s">
        <v>51</v>
      </c>
      <c r="E367" s="5" t="s">
        <v>44</v>
      </c>
      <c r="F367" s="5" t="s">
        <v>137</v>
      </c>
      <c r="G367" s="8">
        <v>1</v>
      </c>
      <c r="H367" s="8">
        <v>4115</v>
      </c>
      <c r="I367" s="5" t="s">
        <v>49</v>
      </c>
      <c r="J367" s="8">
        <v>3</v>
      </c>
      <c r="K367" s="8">
        <v>3</v>
      </c>
      <c r="L367" s="8">
        <v>4</v>
      </c>
    </row>
    <row r="368" spans="1:12" x14ac:dyDescent="0.8">
      <c r="A368" s="5" t="s">
        <v>437</v>
      </c>
      <c r="B368" s="8">
        <v>30</v>
      </c>
      <c r="C368" s="5" t="s">
        <v>49</v>
      </c>
      <c r="D368" s="5" t="s">
        <v>42</v>
      </c>
      <c r="E368" s="5" t="s">
        <v>44</v>
      </c>
      <c r="F368" s="5" t="s">
        <v>45</v>
      </c>
      <c r="G368" s="8">
        <v>3</v>
      </c>
      <c r="H368" s="8">
        <v>3491</v>
      </c>
      <c r="I368" s="5" t="s">
        <v>49</v>
      </c>
      <c r="J368" s="8">
        <v>3</v>
      </c>
      <c r="K368" s="8">
        <v>4</v>
      </c>
      <c r="L368" s="8">
        <v>10</v>
      </c>
    </row>
    <row r="369" spans="1:12" x14ac:dyDescent="0.8">
      <c r="A369" s="5" t="s">
        <v>438</v>
      </c>
      <c r="B369" s="8">
        <v>30</v>
      </c>
      <c r="C369" s="5" t="s">
        <v>49</v>
      </c>
      <c r="D369" s="5" t="s">
        <v>42</v>
      </c>
      <c r="E369" s="5" t="s">
        <v>44</v>
      </c>
      <c r="F369" s="5" t="s">
        <v>60</v>
      </c>
      <c r="G369" s="8">
        <v>2</v>
      </c>
      <c r="H369" s="8">
        <v>3579</v>
      </c>
      <c r="I369" s="5" t="s">
        <v>40</v>
      </c>
      <c r="J369" s="8">
        <v>4</v>
      </c>
      <c r="K369" s="8">
        <v>2</v>
      </c>
      <c r="L369" s="8">
        <v>11</v>
      </c>
    </row>
    <row r="370" spans="1:12" x14ac:dyDescent="0.8">
      <c r="A370" s="5" t="s">
        <v>439</v>
      </c>
      <c r="B370" s="8">
        <v>30</v>
      </c>
      <c r="C370" s="5" t="s">
        <v>49</v>
      </c>
      <c r="D370" s="5" t="s">
        <v>42</v>
      </c>
      <c r="E370" s="5" t="s">
        <v>53</v>
      </c>
      <c r="F370" s="5" t="s">
        <v>112</v>
      </c>
      <c r="G370" s="8">
        <v>3</v>
      </c>
      <c r="H370" s="8">
        <v>4695</v>
      </c>
      <c r="I370" s="5" t="s">
        <v>40</v>
      </c>
      <c r="J370" s="8">
        <v>3</v>
      </c>
      <c r="K370" s="8">
        <v>3</v>
      </c>
      <c r="L370" s="8">
        <v>8</v>
      </c>
    </row>
    <row r="371" spans="1:12" x14ac:dyDescent="0.8">
      <c r="A371" s="5" t="s">
        <v>440</v>
      </c>
      <c r="B371" s="8">
        <v>30</v>
      </c>
      <c r="C371" s="5" t="s">
        <v>49</v>
      </c>
      <c r="D371" s="5" t="s">
        <v>42</v>
      </c>
      <c r="E371" s="5" t="s">
        <v>53</v>
      </c>
      <c r="F371" s="5" t="s">
        <v>45</v>
      </c>
      <c r="G371" s="8">
        <v>4</v>
      </c>
      <c r="H371" s="8">
        <v>4627</v>
      </c>
      <c r="I371" s="5" t="s">
        <v>49</v>
      </c>
      <c r="J371" s="8">
        <v>3</v>
      </c>
      <c r="K371" s="8">
        <v>6</v>
      </c>
      <c r="L371" s="8">
        <v>9</v>
      </c>
    </row>
    <row r="372" spans="1:12" x14ac:dyDescent="0.8">
      <c r="A372" s="5" t="s">
        <v>441</v>
      </c>
      <c r="B372" s="8">
        <v>30</v>
      </c>
      <c r="C372" s="5" t="s">
        <v>49</v>
      </c>
      <c r="D372" s="5" t="s">
        <v>42</v>
      </c>
      <c r="E372" s="5" t="s">
        <v>53</v>
      </c>
      <c r="F372" s="5" t="s">
        <v>442</v>
      </c>
      <c r="G372" s="8">
        <v>1</v>
      </c>
      <c r="H372" s="8">
        <v>11916</v>
      </c>
      <c r="I372" s="5" t="s">
        <v>40</v>
      </c>
      <c r="J372" s="8">
        <v>4</v>
      </c>
      <c r="K372" s="8">
        <v>2</v>
      </c>
      <c r="L372" s="8">
        <v>9</v>
      </c>
    </row>
    <row r="373" spans="1:12" x14ac:dyDescent="0.8">
      <c r="A373" s="5" t="s">
        <v>443</v>
      </c>
      <c r="B373" s="8">
        <v>30</v>
      </c>
      <c r="C373" s="5" t="s">
        <v>49</v>
      </c>
      <c r="D373" s="5" t="s">
        <v>51</v>
      </c>
      <c r="E373" s="5" t="s">
        <v>53</v>
      </c>
      <c r="F373" s="5" t="s">
        <v>137</v>
      </c>
      <c r="G373" s="8">
        <v>1</v>
      </c>
      <c r="H373" s="8">
        <v>4779</v>
      </c>
      <c r="I373" s="5" t="s">
        <v>49</v>
      </c>
      <c r="J373" s="8">
        <v>3</v>
      </c>
      <c r="K373" s="8">
        <v>3</v>
      </c>
      <c r="L373" s="8">
        <v>3</v>
      </c>
    </row>
    <row r="374" spans="1:12" x14ac:dyDescent="0.8">
      <c r="A374" s="5" t="s">
        <v>444</v>
      </c>
      <c r="B374" s="8">
        <v>30</v>
      </c>
      <c r="C374" s="5" t="s">
        <v>49</v>
      </c>
      <c r="D374" s="5" t="s">
        <v>51</v>
      </c>
      <c r="E374" s="5" t="s">
        <v>44</v>
      </c>
      <c r="F374" s="5" t="s">
        <v>137</v>
      </c>
      <c r="G374" s="8">
        <v>3</v>
      </c>
      <c r="H374" s="8">
        <v>5301</v>
      </c>
      <c r="I374" s="5" t="s">
        <v>49</v>
      </c>
      <c r="J374" s="8">
        <v>3</v>
      </c>
      <c r="K374" s="8">
        <v>2</v>
      </c>
      <c r="L374" s="8">
        <v>2</v>
      </c>
    </row>
    <row r="375" spans="1:12" x14ac:dyDescent="0.8">
      <c r="A375" s="5" t="s">
        <v>445</v>
      </c>
      <c r="B375" s="8">
        <v>30</v>
      </c>
      <c r="C375" s="5" t="s">
        <v>49</v>
      </c>
      <c r="D375" s="5" t="s">
        <v>42</v>
      </c>
      <c r="E375" s="5" t="s">
        <v>44</v>
      </c>
      <c r="F375" s="5" t="s">
        <v>60</v>
      </c>
      <c r="G375" s="8">
        <v>3</v>
      </c>
      <c r="H375" s="8">
        <v>1274</v>
      </c>
      <c r="I375" s="5" t="s">
        <v>49</v>
      </c>
      <c r="J375" s="8">
        <v>3</v>
      </c>
      <c r="K375" s="8">
        <v>2</v>
      </c>
      <c r="L375" s="8">
        <v>1</v>
      </c>
    </row>
    <row r="376" spans="1:12" x14ac:dyDescent="0.8">
      <c r="A376" s="5" t="s">
        <v>446</v>
      </c>
      <c r="B376" s="8">
        <v>30</v>
      </c>
      <c r="C376" s="5" t="s">
        <v>49</v>
      </c>
      <c r="D376" s="5" t="s">
        <v>71</v>
      </c>
      <c r="E376" s="5" t="s">
        <v>44</v>
      </c>
      <c r="F376" s="5" t="s">
        <v>71</v>
      </c>
      <c r="G376" s="8">
        <v>3</v>
      </c>
      <c r="H376" s="8">
        <v>2064</v>
      </c>
      <c r="I376" s="5" t="s">
        <v>49</v>
      </c>
      <c r="J376" s="8">
        <v>4</v>
      </c>
      <c r="K376" s="8">
        <v>3</v>
      </c>
      <c r="L376" s="8">
        <v>5</v>
      </c>
    </row>
    <row r="377" spans="1:12" x14ac:dyDescent="0.8">
      <c r="A377" s="5" t="s">
        <v>447</v>
      </c>
      <c r="B377" s="8">
        <v>30</v>
      </c>
      <c r="C377" s="5" t="s">
        <v>40</v>
      </c>
      <c r="D377" s="5" t="s">
        <v>51</v>
      </c>
      <c r="E377" s="5" t="s">
        <v>44</v>
      </c>
      <c r="F377" s="5" t="s">
        <v>137</v>
      </c>
      <c r="G377" s="8">
        <v>1</v>
      </c>
      <c r="H377" s="8">
        <v>9714</v>
      </c>
      <c r="I377" s="5" t="s">
        <v>49</v>
      </c>
      <c r="J377" s="8">
        <v>3</v>
      </c>
      <c r="K377" s="8">
        <v>4</v>
      </c>
      <c r="L377" s="8">
        <v>10</v>
      </c>
    </row>
    <row r="378" spans="1:12" x14ac:dyDescent="0.8">
      <c r="A378" s="5" t="s">
        <v>448</v>
      </c>
      <c r="B378" s="8">
        <v>30</v>
      </c>
      <c r="C378" s="5" t="s">
        <v>49</v>
      </c>
      <c r="D378" s="5" t="s">
        <v>51</v>
      </c>
      <c r="E378" s="5" t="s">
        <v>44</v>
      </c>
      <c r="F378" s="5" t="s">
        <v>137</v>
      </c>
      <c r="G378" s="8">
        <v>2</v>
      </c>
      <c r="H378" s="8">
        <v>9250</v>
      </c>
      <c r="I378" s="5" t="s">
        <v>49</v>
      </c>
      <c r="J378" s="8">
        <v>3</v>
      </c>
      <c r="K378" s="8">
        <v>3</v>
      </c>
      <c r="L378" s="8">
        <v>4</v>
      </c>
    </row>
    <row r="379" spans="1:12" x14ac:dyDescent="0.8">
      <c r="A379" s="5" t="s">
        <v>449</v>
      </c>
      <c r="B379" s="8">
        <v>30</v>
      </c>
      <c r="C379" s="5" t="s">
        <v>49</v>
      </c>
      <c r="D379" s="5" t="s">
        <v>42</v>
      </c>
      <c r="E379" s="5" t="s">
        <v>44</v>
      </c>
      <c r="F379" s="5" t="s">
        <v>60</v>
      </c>
      <c r="G379" s="8">
        <v>2</v>
      </c>
      <c r="H379" s="8">
        <v>2141</v>
      </c>
      <c r="I379" s="5" t="s">
        <v>49</v>
      </c>
      <c r="J379" s="8">
        <v>3</v>
      </c>
      <c r="K379" s="8">
        <v>3</v>
      </c>
      <c r="L379" s="8">
        <v>6</v>
      </c>
    </row>
    <row r="380" spans="1:12" x14ac:dyDescent="0.8">
      <c r="A380" s="5" t="s">
        <v>450</v>
      </c>
      <c r="B380" s="8">
        <v>30</v>
      </c>
      <c r="C380" s="5" t="s">
        <v>49</v>
      </c>
      <c r="D380" s="5" t="s">
        <v>42</v>
      </c>
      <c r="E380" s="5" t="s">
        <v>44</v>
      </c>
      <c r="F380" s="5" t="s">
        <v>60</v>
      </c>
      <c r="G380" s="8">
        <v>4</v>
      </c>
      <c r="H380" s="8">
        <v>2862</v>
      </c>
      <c r="I380" s="5" t="s">
        <v>49</v>
      </c>
      <c r="J380" s="8">
        <v>3</v>
      </c>
      <c r="K380" s="8">
        <v>2</v>
      </c>
      <c r="L380" s="8">
        <v>10</v>
      </c>
    </row>
    <row r="381" spans="1:12" x14ac:dyDescent="0.8">
      <c r="A381" s="5" t="s">
        <v>451</v>
      </c>
      <c r="B381" s="8">
        <v>30</v>
      </c>
      <c r="C381" s="5" t="s">
        <v>49</v>
      </c>
      <c r="D381" s="5" t="s">
        <v>42</v>
      </c>
      <c r="E381" s="5" t="s">
        <v>53</v>
      </c>
      <c r="F381" s="5" t="s">
        <v>60</v>
      </c>
      <c r="G381" s="8">
        <v>1</v>
      </c>
      <c r="H381" s="8">
        <v>4968</v>
      </c>
      <c r="I381" s="5" t="s">
        <v>49</v>
      </c>
      <c r="J381" s="8">
        <v>3</v>
      </c>
      <c r="K381" s="8">
        <v>2</v>
      </c>
      <c r="L381" s="8">
        <v>9</v>
      </c>
    </row>
    <row r="382" spans="1:12" x14ac:dyDescent="0.8">
      <c r="A382" s="5" t="s">
        <v>452</v>
      </c>
      <c r="B382" s="8">
        <v>30</v>
      </c>
      <c r="C382" s="5" t="s">
        <v>40</v>
      </c>
      <c r="D382" s="5" t="s">
        <v>71</v>
      </c>
      <c r="E382" s="5" t="s">
        <v>53</v>
      </c>
      <c r="F382" s="5" t="s">
        <v>71</v>
      </c>
      <c r="G382" s="8">
        <v>4</v>
      </c>
      <c r="H382" s="8">
        <v>2180</v>
      </c>
      <c r="I382" s="5" t="s">
        <v>49</v>
      </c>
      <c r="J382" s="8">
        <v>3</v>
      </c>
      <c r="K382" s="8">
        <v>0</v>
      </c>
      <c r="L382" s="8">
        <v>4</v>
      </c>
    </row>
    <row r="383" spans="1:12" x14ac:dyDescent="0.8">
      <c r="A383" s="5" t="s">
        <v>453</v>
      </c>
      <c r="B383" s="8">
        <v>30</v>
      </c>
      <c r="C383" s="5" t="s">
        <v>49</v>
      </c>
      <c r="D383" s="5" t="s">
        <v>51</v>
      </c>
      <c r="E383" s="5" t="s">
        <v>44</v>
      </c>
      <c r="F383" s="5" t="s">
        <v>137</v>
      </c>
      <c r="G383" s="8">
        <v>1</v>
      </c>
      <c r="H383" s="8">
        <v>7140</v>
      </c>
      <c r="I383" s="5" t="s">
        <v>49</v>
      </c>
      <c r="J383" s="8">
        <v>3</v>
      </c>
      <c r="K383" s="8">
        <v>2</v>
      </c>
      <c r="L383" s="8">
        <v>7</v>
      </c>
    </row>
    <row r="384" spans="1:12" x14ac:dyDescent="0.8">
      <c r="A384" s="5" t="s">
        <v>454</v>
      </c>
      <c r="B384" s="8">
        <v>30</v>
      </c>
      <c r="C384" s="5" t="s">
        <v>49</v>
      </c>
      <c r="D384" s="5" t="s">
        <v>42</v>
      </c>
      <c r="E384" s="5" t="s">
        <v>44</v>
      </c>
      <c r="F384" s="5" t="s">
        <v>161</v>
      </c>
      <c r="G384" s="8">
        <v>3</v>
      </c>
      <c r="H384" s="8">
        <v>5294</v>
      </c>
      <c r="I384" s="5" t="s">
        <v>49</v>
      </c>
      <c r="J384" s="8">
        <v>3</v>
      </c>
      <c r="K384" s="8">
        <v>3</v>
      </c>
      <c r="L384" s="8">
        <v>7</v>
      </c>
    </row>
    <row r="385" spans="1:12" x14ac:dyDescent="0.8">
      <c r="A385" s="5" t="s">
        <v>455</v>
      </c>
      <c r="B385" s="8">
        <v>30</v>
      </c>
      <c r="C385" s="5" t="s">
        <v>49</v>
      </c>
      <c r="D385" s="5" t="s">
        <v>42</v>
      </c>
      <c r="E385" s="5" t="s">
        <v>53</v>
      </c>
      <c r="F385" s="5" t="s">
        <v>112</v>
      </c>
      <c r="G385" s="8">
        <v>3</v>
      </c>
      <c r="H385" s="8">
        <v>9667</v>
      </c>
      <c r="I385" s="5" t="s">
        <v>49</v>
      </c>
      <c r="J385" s="8">
        <v>3</v>
      </c>
      <c r="K385" s="8">
        <v>3</v>
      </c>
      <c r="L385" s="8">
        <v>7</v>
      </c>
    </row>
    <row r="386" spans="1:12" x14ac:dyDescent="0.8">
      <c r="A386" s="5" t="s">
        <v>456</v>
      </c>
      <c r="B386" s="8">
        <v>30</v>
      </c>
      <c r="C386" s="5" t="s">
        <v>40</v>
      </c>
      <c r="D386" s="5" t="s">
        <v>51</v>
      </c>
      <c r="E386" s="5" t="s">
        <v>44</v>
      </c>
      <c r="F386" s="5" t="s">
        <v>54</v>
      </c>
      <c r="G386" s="8">
        <v>4</v>
      </c>
      <c r="H386" s="8">
        <v>1081</v>
      </c>
      <c r="I386" s="5" t="s">
        <v>49</v>
      </c>
      <c r="J386" s="8">
        <v>3</v>
      </c>
      <c r="K386" s="8">
        <v>3</v>
      </c>
      <c r="L386" s="8">
        <v>1</v>
      </c>
    </row>
    <row r="387" spans="1:12" x14ac:dyDescent="0.8">
      <c r="A387" s="5" t="s">
        <v>457</v>
      </c>
      <c r="B387" s="8">
        <v>30</v>
      </c>
      <c r="C387" s="5" t="s">
        <v>49</v>
      </c>
      <c r="D387" s="5" t="s">
        <v>42</v>
      </c>
      <c r="E387" s="5" t="s">
        <v>44</v>
      </c>
      <c r="F387" s="5" t="s">
        <v>45</v>
      </c>
      <c r="G387" s="8">
        <v>2</v>
      </c>
      <c r="H387" s="8">
        <v>3748</v>
      </c>
      <c r="I387" s="5" t="s">
        <v>49</v>
      </c>
      <c r="J387" s="8">
        <v>3</v>
      </c>
      <c r="K387" s="8">
        <v>6</v>
      </c>
      <c r="L387" s="8">
        <v>12</v>
      </c>
    </row>
    <row r="388" spans="1:12" x14ac:dyDescent="0.8">
      <c r="A388" s="5" t="s">
        <v>458</v>
      </c>
      <c r="B388" s="8">
        <v>31</v>
      </c>
      <c r="C388" s="5" t="s">
        <v>49</v>
      </c>
      <c r="D388" s="5" t="s">
        <v>42</v>
      </c>
      <c r="E388" s="5" t="s">
        <v>44</v>
      </c>
      <c r="F388" s="5" t="s">
        <v>60</v>
      </c>
      <c r="G388" s="8">
        <v>3</v>
      </c>
      <c r="H388" s="8">
        <v>2911</v>
      </c>
      <c r="I388" s="5" t="s">
        <v>49</v>
      </c>
      <c r="J388" s="8">
        <v>3</v>
      </c>
      <c r="K388" s="8">
        <v>1</v>
      </c>
      <c r="L388" s="8">
        <v>5</v>
      </c>
    </row>
    <row r="389" spans="1:12" x14ac:dyDescent="0.8">
      <c r="A389" s="5" t="s">
        <v>459</v>
      </c>
      <c r="B389" s="8">
        <v>31</v>
      </c>
      <c r="C389" s="5" t="s">
        <v>49</v>
      </c>
      <c r="D389" s="5" t="s">
        <v>42</v>
      </c>
      <c r="E389" s="5" t="s">
        <v>44</v>
      </c>
      <c r="F389" s="5" t="s">
        <v>45</v>
      </c>
      <c r="G389" s="8">
        <v>4</v>
      </c>
      <c r="H389" s="8">
        <v>5915</v>
      </c>
      <c r="I389" s="5" t="s">
        <v>49</v>
      </c>
      <c r="J389" s="8">
        <v>4</v>
      </c>
      <c r="K389" s="8">
        <v>3</v>
      </c>
      <c r="L389" s="8">
        <v>7</v>
      </c>
    </row>
    <row r="390" spans="1:12" x14ac:dyDescent="0.8">
      <c r="A390" s="5" t="s">
        <v>460</v>
      </c>
      <c r="B390" s="8">
        <v>31</v>
      </c>
      <c r="C390" s="5" t="s">
        <v>49</v>
      </c>
      <c r="D390" s="5" t="s">
        <v>42</v>
      </c>
      <c r="E390" s="5" t="s">
        <v>44</v>
      </c>
      <c r="F390" s="5" t="s">
        <v>60</v>
      </c>
      <c r="G390" s="8">
        <v>2</v>
      </c>
      <c r="H390" s="8">
        <v>2501</v>
      </c>
      <c r="I390" s="5" t="s">
        <v>49</v>
      </c>
      <c r="J390" s="8">
        <v>3</v>
      </c>
      <c r="K390" s="8">
        <v>4</v>
      </c>
      <c r="L390" s="8">
        <v>1</v>
      </c>
    </row>
    <row r="391" spans="1:12" x14ac:dyDescent="0.8">
      <c r="A391" s="5" t="s">
        <v>461</v>
      </c>
      <c r="B391" s="8">
        <v>31</v>
      </c>
      <c r="C391" s="5" t="s">
        <v>49</v>
      </c>
      <c r="D391" s="5" t="s">
        <v>42</v>
      </c>
      <c r="E391" s="5" t="s">
        <v>53</v>
      </c>
      <c r="F391" s="5" t="s">
        <v>112</v>
      </c>
      <c r="G391" s="8">
        <v>4</v>
      </c>
      <c r="H391" s="8">
        <v>4424</v>
      </c>
      <c r="I391" s="5" t="s">
        <v>49</v>
      </c>
      <c r="J391" s="8">
        <v>4</v>
      </c>
      <c r="K391" s="8">
        <v>2</v>
      </c>
      <c r="L391" s="8">
        <v>11</v>
      </c>
    </row>
    <row r="392" spans="1:12" x14ac:dyDescent="0.8">
      <c r="A392" s="5" t="s">
        <v>462</v>
      </c>
      <c r="B392" s="8">
        <v>31</v>
      </c>
      <c r="C392" s="5" t="s">
        <v>40</v>
      </c>
      <c r="D392" s="5" t="s">
        <v>51</v>
      </c>
      <c r="E392" s="5" t="s">
        <v>44</v>
      </c>
      <c r="F392" s="5" t="s">
        <v>137</v>
      </c>
      <c r="G392" s="8">
        <v>3</v>
      </c>
      <c r="H392" s="8">
        <v>6172</v>
      </c>
      <c r="I392" s="5" t="s">
        <v>40</v>
      </c>
      <c r="J392" s="8">
        <v>3</v>
      </c>
      <c r="K392" s="8">
        <v>3</v>
      </c>
      <c r="L392" s="8">
        <v>7</v>
      </c>
    </row>
    <row r="393" spans="1:12" x14ac:dyDescent="0.8">
      <c r="A393" s="5" t="s">
        <v>463</v>
      </c>
      <c r="B393" s="8">
        <v>31</v>
      </c>
      <c r="C393" s="5" t="s">
        <v>40</v>
      </c>
      <c r="D393" s="5" t="s">
        <v>51</v>
      </c>
      <c r="E393" s="5" t="s">
        <v>53</v>
      </c>
      <c r="F393" s="5" t="s">
        <v>137</v>
      </c>
      <c r="G393" s="8">
        <v>3</v>
      </c>
      <c r="H393" s="8">
        <v>4559</v>
      </c>
      <c r="I393" s="5" t="s">
        <v>40</v>
      </c>
      <c r="J393" s="8">
        <v>3</v>
      </c>
      <c r="K393" s="8">
        <v>2</v>
      </c>
      <c r="L393" s="8">
        <v>2</v>
      </c>
    </row>
    <row r="394" spans="1:12" x14ac:dyDescent="0.8">
      <c r="A394" s="5" t="s">
        <v>464</v>
      </c>
      <c r="B394" s="8">
        <v>31</v>
      </c>
      <c r="C394" s="5" t="s">
        <v>49</v>
      </c>
      <c r="D394" s="5" t="s">
        <v>42</v>
      </c>
      <c r="E394" s="5" t="s">
        <v>53</v>
      </c>
      <c r="F394" s="5" t="s">
        <v>60</v>
      </c>
      <c r="G394" s="8">
        <v>4</v>
      </c>
      <c r="H394" s="8">
        <v>3929</v>
      </c>
      <c r="I394" s="5" t="s">
        <v>40</v>
      </c>
      <c r="J394" s="8">
        <v>4</v>
      </c>
      <c r="K394" s="8">
        <v>0</v>
      </c>
      <c r="L394" s="8">
        <v>4</v>
      </c>
    </row>
    <row r="395" spans="1:12" x14ac:dyDescent="0.8">
      <c r="A395" s="5" t="s">
        <v>465</v>
      </c>
      <c r="B395" s="8">
        <v>31</v>
      </c>
      <c r="C395" s="5" t="s">
        <v>49</v>
      </c>
      <c r="D395" s="5" t="s">
        <v>42</v>
      </c>
      <c r="E395" s="5" t="s">
        <v>44</v>
      </c>
      <c r="F395" s="5" t="s">
        <v>112</v>
      </c>
      <c r="G395" s="8">
        <v>3</v>
      </c>
      <c r="H395" s="8">
        <v>4345</v>
      </c>
      <c r="I395" s="5" t="s">
        <v>49</v>
      </c>
      <c r="J395" s="8">
        <v>3</v>
      </c>
      <c r="K395" s="8">
        <v>2</v>
      </c>
      <c r="L395" s="8">
        <v>5</v>
      </c>
    </row>
    <row r="396" spans="1:12" x14ac:dyDescent="0.8">
      <c r="A396" s="5" t="s">
        <v>466</v>
      </c>
      <c r="B396" s="8">
        <v>31</v>
      </c>
      <c r="C396" s="5" t="s">
        <v>49</v>
      </c>
      <c r="D396" s="5" t="s">
        <v>42</v>
      </c>
      <c r="E396" s="5" t="s">
        <v>44</v>
      </c>
      <c r="F396" s="5" t="s">
        <v>252</v>
      </c>
      <c r="G396" s="8">
        <v>3</v>
      </c>
      <c r="H396" s="8">
        <v>13675</v>
      </c>
      <c r="I396" s="5" t="s">
        <v>49</v>
      </c>
      <c r="J396" s="8">
        <v>3</v>
      </c>
      <c r="K396" s="8">
        <v>3</v>
      </c>
      <c r="L396" s="8">
        <v>2</v>
      </c>
    </row>
    <row r="397" spans="1:12" x14ac:dyDescent="0.8">
      <c r="A397" s="5" t="s">
        <v>467</v>
      </c>
      <c r="B397" s="8">
        <v>31</v>
      </c>
      <c r="C397" s="5" t="s">
        <v>40</v>
      </c>
      <c r="D397" s="5" t="s">
        <v>42</v>
      </c>
      <c r="E397" s="5" t="s">
        <v>44</v>
      </c>
      <c r="F397" s="5" t="s">
        <v>45</v>
      </c>
      <c r="G397" s="8">
        <v>2</v>
      </c>
      <c r="H397" s="8">
        <v>3479</v>
      </c>
      <c r="I397" s="5" t="s">
        <v>49</v>
      </c>
      <c r="J397" s="8">
        <v>3</v>
      </c>
      <c r="K397" s="8">
        <v>2</v>
      </c>
      <c r="L397" s="8">
        <v>5</v>
      </c>
    </row>
    <row r="398" spans="1:12" x14ac:dyDescent="0.8">
      <c r="A398" s="5" t="s">
        <v>468</v>
      </c>
      <c r="B398" s="8">
        <v>31</v>
      </c>
      <c r="C398" s="5" t="s">
        <v>49</v>
      </c>
      <c r="D398" s="5" t="s">
        <v>42</v>
      </c>
      <c r="E398" s="5" t="s">
        <v>44</v>
      </c>
      <c r="F398" s="5" t="s">
        <v>161</v>
      </c>
      <c r="G398" s="8">
        <v>4</v>
      </c>
      <c r="H398" s="8">
        <v>5582</v>
      </c>
      <c r="I398" s="5" t="s">
        <v>49</v>
      </c>
      <c r="J398" s="8">
        <v>4</v>
      </c>
      <c r="K398" s="8">
        <v>2</v>
      </c>
      <c r="L398" s="8">
        <v>9</v>
      </c>
    </row>
    <row r="399" spans="1:12" x14ac:dyDescent="0.8">
      <c r="A399" s="5" t="s">
        <v>469</v>
      </c>
      <c r="B399" s="8">
        <v>31</v>
      </c>
      <c r="C399" s="5" t="s">
        <v>49</v>
      </c>
      <c r="D399" s="5" t="s">
        <v>51</v>
      </c>
      <c r="E399" s="5" t="s">
        <v>53</v>
      </c>
      <c r="F399" s="5" t="s">
        <v>54</v>
      </c>
      <c r="G399" s="8">
        <v>2</v>
      </c>
      <c r="H399" s="8">
        <v>2789</v>
      </c>
      <c r="I399" s="5" t="s">
        <v>49</v>
      </c>
      <c r="J399" s="8">
        <v>3</v>
      </c>
      <c r="K399" s="8">
        <v>5</v>
      </c>
      <c r="L399" s="8">
        <v>2</v>
      </c>
    </row>
    <row r="400" spans="1:12" x14ac:dyDescent="0.8">
      <c r="A400" s="5" t="s">
        <v>470</v>
      </c>
      <c r="B400" s="8">
        <v>31</v>
      </c>
      <c r="C400" s="5" t="s">
        <v>49</v>
      </c>
      <c r="D400" s="5" t="s">
        <v>51</v>
      </c>
      <c r="E400" s="5" t="s">
        <v>44</v>
      </c>
      <c r="F400" s="5" t="s">
        <v>137</v>
      </c>
      <c r="G400" s="8">
        <v>4</v>
      </c>
      <c r="H400" s="8">
        <v>6929</v>
      </c>
      <c r="I400" s="5" t="s">
        <v>49</v>
      </c>
      <c r="J400" s="8">
        <v>3</v>
      </c>
      <c r="K400" s="8">
        <v>3</v>
      </c>
      <c r="L400" s="8">
        <v>8</v>
      </c>
    </row>
    <row r="401" spans="1:12" x14ac:dyDescent="0.8">
      <c r="A401" s="5" t="s">
        <v>471</v>
      </c>
      <c r="B401" s="8">
        <v>31</v>
      </c>
      <c r="C401" s="5" t="s">
        <v>49</v>
      </c>
      <c r="D401" s="5" t="s">
        <v>42</v>
      </c>
      <c r="E401" s="5" t="s">
        <v>44</v>
      </c>
      <c r="F401" s="5" t="s">
        <v>60</v>
      </c>
      <c r="G401" s="8">
        <v>4</v>
      </c>
      <c r="H401" s="8">
        <v>4821</v>
      </c>
      <c r="I401" s="5" t="s">
        <v>40</v>
      </c>
      <c r="J401" s="8">
        <v>3</v>
      </c>
      <c r="K401" s="8">
        <v>4</v>
      </c>
      <c r="L401" s="8">
        <v>5</v>
      </c>
    </row>
    <row r="402" spans="1:12" x14ac:dyDescent="0.8">
      <c r="A402" s="5" t="s">
        <v>472</v>
      </c>
      <c r="B402" s="8">
        <v>31</v>
      </c>
      <c r="C402" s="5" t="s">
        <v>49</v>
      </c>
      <c r="D402" s="5" t="s">
        <v>71</v>
      </c>
      <c r="E402" s="5" t="s">
        <v>44</v>
      </c>
      <c r="F402" s="5" t="s">
        <v>71</v>
      </c>
      <c r="G402" s="8">
        <v>1</v>
      </c>
      <c r="H402" s="8">
        <v>6410</v>
      </c>
      <c r="I402" s="5" t="s">
        <v>49</v>
      </c>
      <c r="J402" s="8">
        <v>3</v>
      </c>
      <c r="K402" s="8">
        <v>1</v>
      </c>
      <c r="L402" s="8">
        <v>2</v>
      </c>
    </row>
    <row r="403" spans="1:12" x14ac:dyDescent="0.8">
      <c r="A403" s="5" t="s">
        <v>473</v>
      </c>
      <c r="B403" s="8">
        <v>31</v>
      </c>
      <c r="C403" s="5" t="s">
        <v>49</v>
      </c>
      <c r="D403" s="5" t="s">
        <v>42</v>
      </c>
      <c r="E403" s="5" t="s">
        <v>44</v>
      </c>
      <c r="F403" s="5" t="s">
        <v>60</v>
      </c>
      <c r="G403" s="8">
        <v>4</v>
      </c>
      <c r="H403" s="8">
        <v>2695</v>
      </c>
      <c r="I403" s="5" t="s">
        <v>40</v>
      </c>
      <c r="J403" s="8">
        <v>3</v>
      </c>
      <c r="K403" s="8">
        <v>2</v>
      </c>
      <c r="L403" s="8">
        <v>2</v>
      </c>
    </row>
    <row r="404" spans="1:12" x14ac:dyDescent="0.8">
      <c r="A404" s="5" t="s">
        <v>474</v>
      </c>
      <c r="B404" s="8">
        <v>31</v>
      </c>
      <c r="C404" s="5" t="s">
        <v>49</v>
      </c>
      <c r="D404" s="5" t="s">
        <v>51</v>
      </c>
      <c r="E404" s="5" t="s">
        <v>44</v>
      </c>
      <c r="F404" s="5" t="s">
        <v>137</v>
      </c>
      <c r="G404" s="8">
        <v>4</v>
      </c>
      <c r="H404" s="8">
        <v>7547</v>
      </c>
      <c r="I404" s="5" t="s">
        <v>49</v>
      </c>
      <c r="J404" s="8">
        <v>3</v>
      </c>
      <c r="K404" s="8">
        <v>3</v>
      </c>
      <c r="L404" s="8">
        <v>7</v>
      </c>
    </row>
    <row r="405" spans="1:12" x14ac:dyDescent="0.8">
      <c r="A405" s="5" t="s">
        <v>475</v>
      </c>
      <c r="B405" s="8">
        <v>31</v>
      </c>
      <c r="C405" s="5" t="s">
        <v>49</v>
      </c>
      <c r="D405" s="5" t="s">
        <v>42</v>
      </c>
      <c r="E405" s="5" t="s">
        <v>53</v>
      </c>
      <c r="F405" s="5" t="s">
        <v>112</v>
      </c>
      <c r="G405" s="8">
        <v>3</v>
      </c>
      <c r="H405" s="8">
        <v>8943</v>
      </c>
      <c r="I405" s="5" t="s">
        <v>49</v>
      </c>
      <c r="J405" s="8">
        <v>4</v>
      </c>
      <c r="K405" s="8">
        <v>2</v>
      </c>
      <c r="L405" s="8">
        <v>10</v>
      </c>
    </row>
    <row r="406" spans="1:12" x14ac:dyDescent="0.8">
      <c r="A406" s="5" t="s">
        <v>476</v>
      </c>
      <c r="B406" s="8">
        <v>31</v>
      </c>
      <c r="C406" s="5" t="s">
        <v>49</v>
      </c>
      <c r="D406" s="5" t="s">
        <v>42</v>
      </c>
      <c r="E406" s="5" t="s">
        <v>53</v>
      </c>
      <c r="F406" s="5" t="s">
        <v>112</v>
      </c>
      <c r="G406" s="8">
        <v>4</v>
      </c>
      <c r="H406" s="8">
        <v>7143</v>
      </c>
      <c r="I406" s="5" t="s">
        <v>40</v>
      </c>
      <c r="J406" s="8">
        <v>3</v>
      </c>
      <c r="K406" s="8">
        <v>2</v>
      </c>
      <c r="L406" s="8">
        <v>11</v>
      </c>
    </row>
    <row r="407" spans="1:12" x14ac:dyDescent="0.8">
      <c r="A407" s="5" t="s">
        <v>477</v>
      </c>
      <c r="B407" s="8">
        <v>31</v>
      </c>
      <c r="C407" s="5" t="s">
        <v>49</v>
      </c>
      <c r="D407" s="5" t="s">
        <v>42</v>
      </c>
      <c r="E407" s="5" t="s">
        <v>44</v>
      </c>
      <c r="F407" s="5" t="s">
        <v>60</v>
      </c>
      <c r="G407" s="8">
        <v>2</v>
      </c>
      <c r="H407" s="8">
        <v>2657</v>
      </c>
      <c r="I407" s="5" t="s">
        <v>40</v>
      </c>
      <c r="J407" s="8">
        <v>3</v>
      </c>
      <c r="K407" s="8">
        <v>5</v>
      </c>
      <c r="L407" s="8">
        <v>2</v>
      </c>
    </row>
    <row r="408" spans="1:12" x14ac:dyDescent="0.8">
      <c r="A408" s="5" t="s">
        <v>478</v>
      </c>
      <c r="B408" s="8">
        <v>31</v>
      </c>
      <c r="C408" s="5" t="s">
        <v>49</v>
      </c>
      <c r="D408" s="5" t="s">
        <v>42</v>
      </c>
      <c r="E408" s="5" t="s">
        <v>53</v>
      </c>
      <c r="F408" s="5" t="s">
        <v>112</v>
      </c>
      <c r="G408" s="8">
        <v>1</v>
      </c>
      <c r="H408" s="8">
        <v>4306</v>
      </c>
      <c r="I408" s="5" t="s">
        <v>49</v>
      </c>
      <c r="J408" s="8">
        <v>3</v>
      </c>
      <c r="K408" s="8">
        <v>5</v>
      </c>
      <c r="L408" s="8">
        <v>13</v>
      </c>
    </row>
    <row r="409" spans="1:12" x14ac:dyDescent="0.8">
      <c r="A409" s="5" t="s">
        <v>479</v>
      </c>
      <c r="B409" s="8">
        <v>31</v>
      </c>
      <c r="C409" s="5" t="s">
        <v>49</v>
      </c>
      <c r="D409" s="5" t="s">
        <v>42</v>
      </c>
      <c r="E409" s="5" t="s">
        <v>44</v>
      </c>
      <c r="F409" s="5" t="s">
        <v>45</v>
      </c>
      <c r="G409" s="8">
        <v>1</v>
      </c>
      <c r="H409" s="8">
        <v>2218</v>
      </c>
      <c r="I409" s="5" t="s">
        <v>49</v>
      </c>
      <c r="J409" s="8">
        <v>3</v>
      </c>
      <c r="K409" s="8">
        <v>3</v>
      </c>
      <c r="L409" s="8">
        <v>4</v>
      </c>
    </row>
    <row r="410" spans="1:12" x14ac:dyDescent="0.8">
      <c r="A410" s="5" t="s">
        <v>480</v>
      </c>
      <c r="B410" s="8">
        <v>31</v>
      </c>
      <c r="C410" s="5" t="s">
        <v>49</v>
      </c>
      <c r="D410" s="5" t="s">
        <v>42</v>
      </c>
      <c r="E410" s="5" t="s">
        <v>44</v>
      </c>
      <c r="F410" s="5" t="s">
        <v>112</v>
      </c>
      <c r="G410" s="8">
        <v>2</v>
      </c>
      <c r="H410" s="8">
        <v>10648</v>
      </c>
      <c r="I410" s="5" t="s">
        <v>49</v>
      </c>
      <c r="J410" s="8">
        <v>4</v>
      </c>
      <c r="K410" s="8">
        <v>6</v>
      </c>
      <c r="L410" s="8">
        <v>13</v>
      </c>
    </row>
    <row r="411" spans="1:12" x14ac:dyDescent="0.8">
      <c r="A411" s="5" t="s">
        <v>481</v>
      </c>
      <c r="B411" s="8">
        <v>31</v>
      </c>
      <c r="C411" s="5" t="s">
        <v>40</v>
      </c>
      <c r="D411" s="5" t="s">
        <v>42</v>
      </c>
      <c r="E411" s="5" t="s">
        <v>44</v>
      </c>
      <c r="F411" s="5" t="s">
        <v>161</v>
      </c>
      <c r="G411" s="8">
        <v>3</v>
      </c>
      <c r="H411" s="8">
        <v>9824</v>
      </c>
      <c r="I411" s="5" t="s">
        <v>49</v>
      </c>
      <c r="J411" s="8">
        <v>3</v>
      </c>
      <c r="K411" s="8">
        <v>2</v>
      </c>
      <c r="L411" s="8">
        <v>1</v>
      </c>
    </row>
    <row r="412" spans="1:12" x14ac:dyDescent="0.8">
      <c r="A412" s="5" t="s">
        <v>482</v>
      </c>
      <c r="B412" s="8">
        <v>31</v>
      </c>
      <c r="C412" s="5" t="s">
        <v>49</v>
      </c>
      <c r="D412" s="5" t="s">
        <v>51</v>
      </c>
      <c r="E412" s="5" t="s">
        <v>44</v>
      </c>
      <c r="F412" s="5" t="s">
        <v>137</v>
      </c>
      <c r="G412" s="8">
        <v>4</v>
      </c>
      <c r="H412" s="8">
        <v>6582</v>
      </c>
      <c r="I412" s="5" t="s">
        <v>40</v>
      </c>
      <c r="J412" s="8">
        <v>3</v>
      </c>
      <c r="K412" s="8">
        <v>2</v>
      </c>
      <c r="L412" s="8">
        <v>6</v>
      </c>
    </row>
    <row r="413" spans="1:12" x14ac:dyDescent="0.8">
      <c r="A413" s="5" t="s">
        <v>483</v>
      </c>
      <c r="B413" s="8">
        <v>31</v>
      </c>
      <c r="C413" s="5" t="s">
        <v>49</v>
      </c>
      <c r="D413" s="5" t="s">
        <v>51</v>
      </c>
      <c r="E413" s="5" t="s">
        <v>44</v>
      </c>
      <c r="F413" s="5" t="s">
        <v>442</v>
      </c>
      <c r="G413" s="8">
        <v>4</v>
      </c>
      <c r="H413" s="8">
        <v>11557</v>
      </c>
      <c r="I413" s="5" t="s">
        <v>49</v>
      </c>
      <c r="J413" s="8">
        <v>4</v>
      </c>
      <c r="K413" s="8">
        <v>3</v>
      </c>
      <c r="L413" s="8">
        <v>5</v>
      </c>
    </row>
    <row r="414" spans="1:12" x14ac:dyDescent="0.8">
      <c r="A414" s="5" t="s">
        <v>484</v>
      </c>
      <c r="B414" s="8">
        <v>31</v>
      </c>
      <c r="C414" s="5" t="s">
        <v>40</v>
      </c>
      <c r="D414" s="5" t="s">
        <v>51</v>
      </c>
      <c r="E414" s="5" t="s">
        <v>44</v>
      </c>
      <c r="F414" s="5" t="s">
        <v>137</v>
      </c>
      <c r="G414" s="8">
        <v>1</v>
      </c>
      <c r="H414" s="8">
        <v>4233</v>
      </c>
      <c r="I414" s="5" t="s">
        <v>49</v>
      </c>
      <c r="J414" s="8">
        <v>3</v>
      </c>
      <c r="K414" s="8">
        <v>2</v>
      </c>
      <c r="L414" s="8">
        <v>3</v>
      </c>
    </row>
    <row r="415" spans="1:12" x14ac:dyDescent="0.8">
      <c r="A415" s="5" t="s">
        <v>485</v>
      </c>
      <c r="B415" s="8">
        <v>31</v>
      </c>
      <c r="C415" s="5" t="s">
        <v>49</v>
      </c>
      <c r="D415" s="5" t="s">
        <v>51</v>
      </c>
      <c r="E415" s="5" t="s">
        <v>44</v>
      </c>
      <c r="F415" s="5" t="s">
        <v>137</v>
      </c>
      <c r="G415" s="8">
        <v>4</v>
      </c>
      <c r="H415" s="8">
        <v>5460</v>
      </c>
      <c r="I415" s="5" t="s">
        <v>49</v>
      </c>
      <c r="J415" s="8">
        <v>4</v>
      </c>
      <c r="K415" s="8">
        <v>4</v>
      </c>
      <c r="L415" s="8">
        <v>7</v>
      </c>
    </row>
    <row r="416" spans="1:12" x14ac:dyDescent="0.8">
      <c r="A416" s="5" t="s">
        <v>486</v>
      </c>
      <c r="B416" s="8">
        <v>31</v>
      </c>
      <c r="C416" s="5" t="s">
        <v>49</v>
      </c>
      <c r="D416" s="5" t="s">
        <v>42</v>
      </c>
      <c r="E416" s="5" t="s">
        <v>44</v>
      </c>
      <c r="F416" s="5" t="s">
        <v>60</v>
      </c>
      <c r="G416" s="8">
        <v>4</v>
      </c>
      <c r="H416" s="8">
        <v>2356</v>
      </c>
      <c r="I416" s="5" t="s">
        <v>40</v>
      </c>
      <c r="J416" s="8">
        <v>3</v>
      </c>
      <c r="K416" s="8">
        <v>2</v>
      </c>
      <c r="L416" s="8">
        <v>6</v>
      </c>
    </row>
    <row r="417" spans="1:12" x14ac:dyDescent="0.8">
      <c r="A417" s="5" t="s">
        <v>487</v>
      </c>
      <c r="B417" s="8">
        <v>31</v>
      </c>
      <c r="C417" s="5" t="s">
        <v>49</v>
      </c>
      <c r="D417" s="5" t="s">
        <v>51</v>
      </c>
      <c r="E417" s="5" t="s">
        <v>44</v>
      </c>
      <c r="F417" s="5" t="s">
        <v>54</v>
      </c>
      <c r="G417" s="8">
        <v>3</v>
      </c>
      <c r="H417" s="8">
        <v>2329</v>
      </c>
      <c r="I417" s="5" t="s">
        <v>49</v>
      </c>
      <c r="J417" s="8">
        <v>3</v>
      </c>
      <c r="K417" s="8">
        <v>2</v>
      </c>
      <c r="L417" s="8">
        <v>7</v>
      </c>
    </row>
    <row r="418" spans="1:12" x14ac:dyDescent="0.8">
      <c r="A418" s="5" t="s">
        <v>488</v>
      </c>
      <c r="B418" s="8">
        <v>31</v>
      </c>
      <c r="C418" s="5" t="s">
        <v>49</v>
      </c>
      <c r="D418" s="5" t="s">
        <v>51</v>
      </c>
      <c r="E418" s="5" t="s">
        <v>53</v>
      </c>
      <c r="F418" s="5" t="s">
        <v>137</v>
      </c>
      <c r="G418" s="8">
        <v>3</v>
      </c>
      <c r="H418" s="8">
        <v>6932</v>
      </c>
      <c r="I418" s="5" t="s">
        <v>49</v>
      </c>
      <c r="J418" s="8">
        <v>3</v>
      </c>
      <c r="K418" s="8">
        <v>2</v>
      </c>
      <c r="L418" s="8">
        <v>9</v>
      </c>
    </row>
    <row r="419" spans="1:12" x14ac:dyDescent="0.8">
      <c r="A419" s="5" t="s">
        <v>489</v>
      </c>
      <c r="B419" s="8">
        <v>31</v>
      </c>
      <c r="C419" s="5" t="s">
        <v>49</v>
      </c>
      <c r="D419" s="5" t="s">
        <v>42</v>
      </c>
      <c r="E419" s="5" t="s">
        <v>53</v>
      </c>
      <c r="F419" s="5" t="s">
        <v>161</v>
      </c>
      <c r="G419" s="8">
        <v>4</v>
      </c>
      <c r="H419" s="8">
        <v>5855</v>
      </c>
      <c r="I419" s="5" t="s">
        <v>40</v>
      </c>
      <c r="J419" s="8">
        <v>3</v>
      </c>
      <c r="K419" s="8">
        <v>2</v>
      </c>
      <c r="L419" s="8">
        <v>9</v>
      </c>
    </row>
    <row r="420" spans="1:12" x14ac:dyDescent="0.8">
      <c r="A420" s="5" t="s">
        <v>490</v>
      </c>
      <c r="B420" s="8">
        <v>31</v>
      </c>
      <c r="C420" s="5" t="s">
        <v>40</v>
      </c>
      <c r="D420" s="5" t="s">
        <v>42</v>
      </c>
      <c r="E420" s="5" t="s">
        <v>44</v>
      </c>
      <c r="F420" s="5" t="s">
        <v>60</v>
      </c>
      <c r="G420" s="8">
        <v>1</v>
      </c>
      <c r="H420" s="8">
        <v>2321</v>
      </c>
      <c r="I420" s="5" t="s">
        <v>40</v>
      </c>
      <c r="J420" s="8">
        <v>4</v>
      </c>
      <c r="K420" s="8">
        <v>0</v>
      </c>
      <c r="L420" s="8">
        <v>3</v>
      </c>
    </row>
    <row r="421" spans="1:12" x14ac:dyDescent="0.8">
      <c r="A421" s="5" t="s">
        <v>491</v>
      </c>
      <c r="B421" s="8">
        <v>31</v>
      </c>
      <c r="C421" s="5" t="s">
        <v>49</v>
      </c>
      <c r="D421" s="5" t="s">
        <v>42</v>
      </c>
      <c r="E421" s="5" t="s">
        <v>53</v>
      </c>
      <c r="F421" s="5" t="s">
        <v>112</v>
      </c>
      <c r="G421" s="8">
        <v>1</v>
      </c>
      <c r="H421" s="8">
        <v>4148</v>
      </c>
      <c r="I421" s="5" t="s">
        <v>49</v>
      </c>
      <c r="J421" s="8">
        <v>3</v>
      </c>
      <c r="K421" s="8">
        <v>1</v>
      </c>
      <c r="L421" s="8">
        <v>4</v>
      </c>
    </row>
    <row r="422" spans="1:12" x14ac:dyDescent="0.8">
      <c r="A422" s="5" t="s">
        <v>492</v>
      </c>
      <c r="B422" s="8">
        <v>31</v>
      </c>
      <c r="C422" s="5" t="s">
        <v>49</v>
      </c>
      <c r="D422" s="5" t="s">
        <v>51</v>
      </c>
      <c r="E422" s="5" t="s">
        <v>44</v>
      </c>
      <c r="F422" s="5" t="s">
        <v>54</v>
      </c>
      <c r="G422" s="8">
        <v>4</v>
      </c>
      <c r="H422" s="8">
        <v>2791</v>
      </c>
      <c r="I422" s="5" t="s">
        <v>49</v>
      </c>
      <c r="J422" s="8">
        <v>3</v>
      </c>
      <c r="K422" s="8">
        <v>4</v>
      </c>
      <c r="L422" s="8">
        <v>2</v>
      </c>
    </row>
    <row r="423" spans="1:12" x14ac:dyDescent="0.8">
      <c r="A423" s="5" t="s">
        <v>493</v>
      </c>
      <c r="B423" s="8">
        <v>31</v>
      </c>
      <c r="C423" s="5" t="s">
        <v>40</v>
      </c>
      <c r="D423" s="5" t="s">
        <v>42</v>
      </c>
      <c r="E423" s="5" t="s">
        <v>44</v>
      </c>
      <c r="F423" s="5" t="s">
        <v>45</v>
      </c>
      <c r="G423" s="8">
        <v>3</v>
      </c>
      <c r="H423" s="8">
        <v>2610</v>
      </c>
      <c r="I423" s="5" t="s">
        <v>49</v>
      </c>
      <c r="J423" s="8">
        <v>3</v>
      </c>
      <c r="K423" s="8">
        <v>5</v>
      </c>
      <c r="L423" s="8">
        <v>2</v>
      </c>
    </row>
    <row r="424" spans="1:12" x14ac:dyDescent="0.8">
      <c r="A424" s="5" t="s">
        <v>494</v>
      </c>
      <c r="B424" s="8">
        <v>31</v>
      </c>
      <c r="C424" s="5" t="s">
        <v>49</v>
      </c>
      <c r="D424" s="5" t="s">
        <v>42</v>
      </c>
      <c r="E424" s="5" t="s">
        <v>44</v>
      </c>
      <c r="F424" s="5" t="s">
        <v>161</v>
      </c>
      <c r="G424" s="8">
        <v>1</v>
      </c>
      <c r="H424" s="8">
        <v>6833</v>
      </c>
      <c r="I424" s="5" t="s">
        <v>40</v>
      </c>
      <c r="J424" s="8">
        <v>3</v>
      </c>
      <c r="K424" s="8">
        <v>2</v>
      </c>
      <c r="L424" s="8">
        <v>6</v>
      </c>
    </row>
    <row r="425" spans="1:12" x14ac:dyDescent="0.8">
      <c r="A425" s="5" t="s">
        <v>495</v>
      </c>
      <c r="B425" s="8">
        <v>31</v>
      </c>
      <c r="C425" s="5" t="s">
        <v>49</v>
      </c>
      <c r="D425" s="5" t="s">
        <v>42</v>
      </c>
      <c r="E425" s="5" t="s">
        <v>53</v>
      </c>
      <c r="F425" s="5" t="s">
        <v>161</v>
      </c>
      <c r="G425" s="8">
        <v>1</v>
      </c>
      <c r="H425" s="8">
        <v>6812</v>
      </c>
      <c r="I425" s="5" t="s">
        <v>49</v>
      </c>
      <c r="J425" s="8">
        <v>3</v>
      </c>
      <c r="K425" s="8">
        <v>2</v>
      </c>
      <c r="L425" s="8">
        <v>10</v>
      </c>
    </row>
    <row r="426" spans="1:12" x14ac:dyDescent="0.8">
      <c r="A426" s="5" t="s">
        <v>496</v>
      </c>
      <c r="B426" s="8">
        <v>31</v>
      </c>
      <c r="C426" s="5" t="s">
        <v>49</v>
      </c>
      <c r="D426" s="5" t="s">
        <v>51</v>
      </c>
      <c r="E426" s="5" t="s">
        <v>53</v>
      </c>
      <c r="F426" s="5" t="s">
        <v>137</v>
      </c>
      <c r="G426" s="8">
        <v>3</v>
      </c>
      <c r="H426" s="8">
        <v>9852</v>
      </c>
      <c r="I426" s="5" t="s">
        <v>40</v>
      </c>
      <c r="J426" s="8">
        <v>3</v>
      </c>
      <c r="K426" s="8">
        <v>5</v>
      </c>
      <c r="L426" s="8">
        <v>10</v>
      </c>
    </row>
    <row r="427" spans="1:12" x14ac:dyDescent="0.8">
      <c r="A427" s="5" t="s">
        <v>497</v>
      </c>
      <c r="B427" s="8">
        <v>31</v>
      </c>
      <c r="C427" s="5" t="s">
        <v>40</v>
      </c>
      <c r="D427" s="5" t="s">
        <v>51</v>
      </c>
      <c r="E427" s="5" t="s">
        <v>53</v>
      </c>
      <c r="F427" s="5" t="s">
        <v>54</v>
      </c>
      <c r="G427" s="8">
        <v>2</v>
      </c>
      <c r="H427" s="8">
        <v>2302</v>
      </c>
      <c r="I427" s="5" t="s">
        <v>40</v>
      </c>
      <c r="J427" s="8">
        <v>3</v>
      </c>
      <c r="K427" s="8">
        <v>2</v>
      </c>
      <c r="L427" s="8">
        <v>3</v>
      </c>
    </row>
    <row r="428" spans="1:12" x14ac:dyDescent="0.8">
      <c r="A428" s="5" t="s">
        <v>498</v>
      </c>
      <c r="B428" s="8">
        <v>31</v>
      </c>
      <c r="C428" s="5" t="s">
        <v>40</v>
      </c>
      <c r="D428" s="5" t="s">
        <v>51</v>
      </c>
      <c r="E428" s="5" t="s">
        <v>53</v>
      </c>
      <c r="F428" s="5" t="s">
        <v>54</v>
      </c>
      <c r="G428" s="8">
        <v>4</v>
      </c>
      <c r="H428" s="8">
        <v>2785</v>
      </c>
      <c r="I428" s="5" t="s">
        <v>49</v>
      </c>
      <c r="J428" s="8">
        <v>3</v>
      </c>
      <c r="K428" s="8">
        <v>3</v>
      </c>
      <c r="L428" s="8">
        <v>1</v>
      </c>
    </row>
    <row r="429" spans="1:12" x14ac:dyDescent="0.8">
      <c r="A429" s="5" t="s">
        <v>499</v>
      </c>
      <c r="B429" s="8">
        <v>31</v>
      </c>
      <c r="C429" s="5" t="s">
        <v>40</v>
      </c>
      <c r="D429" s="5" t="s">
        <v>42</v>
      </c>
      <c r="E429" s="5" t="s">
        <v>44</v>
      </c>
      <c r="F429" s="5" t="s">
        <v>112</v>
      </c>
      <c r="G429" s="8">
        <v>3</v>
      </c>
      <c r="H429" s="8">
        <v>6179</v>
      </c>
      <c r="I429" s="5" t="s">
        <v>40</v>
      </c>
      <c r="J429" s="8">
        <v>3</v>
      </c>
      <c r="K429" s="8">
        <v>3</v>
      </c>
      <c r="L429" s="8">
        <v>10</v>
      </c>
    </row>
    <row r="430" spans="1:12" x14ac:dyDescent="0.8">
      <c r="A430" s="5" t="s">
        <v>500</v>
      </c>
      <c r="B430" s="8">
        <v>31</v>
      </c>
      <c r="C430" s="5" t="s">
        <v>40</v>
      </c>
      <c r="D430" s="5" t="s">
        <v>51</v>
      </c>
      <c r="E430" s="5" t="s">
        <v>53</v>
      </c>
      <c r="F430" s="5" t="s">
        <v>54</v>
      </c>
      <c r="G430" s="8">
        <v>3</v>
      </c>
      <c r="H430" s="8">
        <v>1359</v>
      </c>
      <c r="I430" s="5" t="s">
        <v>49</v>
      </c>
      <c r="J430" s="8">
        <v>3</v>
      </c>
      <c r="K430" s="8">
        <v>3</v>
      </c>
      <c r="L430" s="8">
        <v>1</v>
      </c>
    </row>
    <row r="431" spans="1:12" x14ac:dyDescent="0.8">
      <c r="A431" s="5" t="s">
        <v>501</v>
      </c>
      <c r="B431" s="8">
        <v>31</v>
      </c>
      <c r="C431" s="5" t="s">
        <v>49</v>
      </c>
      <c r="D431" s="5" t="s">
        <v>42</v>
      </c>
      <c r="E431" s="5" t="s">
        <v>53</v>
      </c>
      <c r="F431" s="5" t="s">
        <v>252</v>
      </c>
      <c r="G431" s="8">
        <v>2</v>
      </c>
      <c r="H431" s="8">
        <v>16422</v>
      </c>
      <c r="I431" s="5" t="s">
        <v>49</v>
      </c>
      <c r="J431" s="8">
        <v>3</v>
      </c>
      <c r="K431" s="8">
        <v>3</v>
      </c>
      <c r="L431" s="8">
        <v>3</v>
      </c>
    </row>
    <row r="432" spans="1:12" x14ac:dyDescent="0.8">
      <c r="A432" s="5" t="s">
        <v>502</v>
      </c>
      <c r="B432" s="8">
        <v>31</v>
      </c>
      <c r="C432" s="5" t="s">
        <v>40</v>
      </c>
      <c r="D432" s="5" t="s">
        <v>42</v>
      </c>
      <c r="E432" s="5" t="s">
        <v>53</v>
      </c>
      <c r="F432" s="5" t="s">
        <v>60</v>
      </c>
      <c r="G432" s="8">
        <v>2</v>
      </c>
      <c r="H432" s="8">
        <v>1261</v>
      </c>
      <c r="I432" s="5" t="s">
        <v>49</v>
      </c>
      <c r="J432" s="8">
        <v>3</v>
      </c>
      <c r="K432" s="8">
        <v>3</v>
      </c>
      <c r="L432" s="8">
        <v>1</v>
      </c>
    </row>
    <row r="433" spans="1:12" x14ac:dyDescent="0.8">
      <c r="A433" s="5" t="s">
        <v>503</v>
      </c>
      <c r="B433" s="8">
        <v>31</v>
      </c>
      <c r="C433" s="5" t="s">
        <v>49</v>
      </c>
      <c r="D433" s="5" t="s">
        <v>51</v>
      </c>
      <c r="E433" s="5" t="s">
        <v>44</v>
      </c>
      <c r="F433" s="5" t="s">
        <v>137</v>
      </c>
      <c r="G433" s="8">
        <v>4</v>
      </c>
      <c r="H433" s="8">
        <v>10793</v>
      </c>
      <c r="I433" s="5" t="s">
        <v>49</v>
      </c>
      <c r="J433" s="8">
        <v>3</v>
      </c>
      <c r="K433" s="8">
        <v>5</v>
      </c>
      <c r="L433" s="8">
        <v>13</v>
      </c>
    </row>
    <row r="434" spans="1:12" x14ac:dyDescent="0.8">
      <c r="A434" s="5" t="s">
        <v>504</v>
      </c>
      <c r="B434" s="8">
        <v>31</v>
      </c>
      <c r="C434" s="5" t="s">
        <v>40</v>
      </c>
      <c r="D434" s="5" t="s">
        <v>42</v>
      </c>
      <c r="E434" s="5" t="s">
        <v>53</v>
      </c>
      <c r="F434" s="5" t="s">
        <v>112</v>
      </c>
      <c r="G434" s="8">
        <v>2</v>
      </c>
      <c r="H434" s="8">
        <v>7446</v>
      </c>
      <c r="I434" s="5" t="s">
        <v>49</v>
      </c>
      <c r="J434" s="8">
        <v>3</v>
      </c>
      <c r="K434" s="8">
        <v>2</v>
      </c>
      <c r="L434" s="8">
        <v>10</v>
      </c>
    </row>
    <row r="435" spans="1:12" x14ac:dyDescent="0.8">
      <c r="A435" s="5" t="s">
        <v>505</v>
      </c>
      <c r="B435" s="8">
        <v>31</v>
      </c>
      <c r="C435" s="5" t="s">
        <v>49</v>
      </c>
      <c r="D435" s="5" t="s">
        <v>71</v>
      </c>
      <c r="E435" s="5" t="s">
        <v>53</v>
      </c>
      <c r="F435" s="5" t="s">
        <v>71</v>
      </c>
      <c r="G435" s="8">
        <v>2</v>
      </c>
      <c r="H435" s="8">
        <v>2109</v>
      </c>
      <c r="I435" s="5" t="s">
        <v>49</v>
      </c>
      <c r="J435" s="8">
        <v>3</v>
      </c>
      <c r="K435" s="8">
        <v>3</v>
      </c>
      <c r="L435" s="8">
        <v>3</v>
      </c>
    </row>
    <row r="436" spans="1:12" x14ac:dyDescent="0.8">
      <c r="A436" s="5" t="s">
        <v>506</v>
      </c>
      <c r="B436" s="8">
        <v>31</v>
      </c>
      <c r="C436" s="5" t="s">
        <v>40</v>
      </c>
      <c r="D436" s="5" t="s">
        <v>42</v>
      </c>
      <c r="E436" s="5" t="s">
        <v>44</v>
      </c>
      <c r="F436" s="5" t="s">
        <v>45</v>
      </c>
      <c r="G436" s="8">
        <v>4</v>
      </c>
      <c r="H436" s="8">
        <v>3722</v>
      </c>
      <c r="I436" s="5" t="s">
        <v>40</v>
      </c>
      <c r="J436" s="8">
        <v>3</v>
      </c>
      <c r="K436" s="8">
        <v>2</v>
      </c>
      <c r="L436" s="8">
        <v>2</v>
      </c>
    </row>
    <row r="437" spans="1:12" x14ac:dyDescent="0.8">
      <c r="A437" s="5" t="s">
        <v>507</v>
      </c>
      <c r="B437" s="8">
        <v>31</v>
      </c>
      <c r="C437" s="5" t="s">
        <v>40</v>
      </c>
      <c r="D437" s="5" t="s">
        <v>42</v>
      </c>
      <c r="E437" s="5" t="s">
        <v>53</v>
      </c>
      <c r="F437" s="5" t="s">
        <v>60</v>
      </c>
      <c r="G437" s="8">
        <v>3</v>
      </c>
      <c r="H437" s="8">
        <v>4084</v>
      </c>
      <c r="I437" s="5" t="s">
        <v>49</v>
      </c>
      <c r="J437" s="8">
        <v>3</v>
      </c>
      <c r="K437" s="8">
        <v>2</v>
      </c>
      <c r="L437" s="8">
        <v>7</v>
      </c>
    </row>
    <row r="438" spans="1:12" x14ac:dyDescent="0.8">
      <c r="A438" s="5" t="s">
        <v>508</v>
      </c>
      <c r="B438" s="8">
        <v>31</v>
      </c>
      <c r="C438" s="5" t="s">
        <v>49</v>
      </c>
      <c r="D438" s="5" t="s">
        <v>51</v>
      </c>
      <c r="E438" s="5" t="s">
        <v>44</v>
      </c>
      <c r="F438" s="5" t="s">
        <v>137</v>
      </c>
      <c r="G438" s="8">
        <v>1</v>
      </c>
      <c r="H438" s="8">
        <v>5332</v>
      </c>
      <c r="I438" s="5" t="s">
        <v>49</v>
      </c>
      <c r="J438" s="8">
        <v>3</v>
      </c>
      <c r="K438" s="8">
        <v>3</v>
      </c>
      <c r="L438" s="8">
        <v>5</v>
      </c>
    </row>
    <row r="439" spans="1:12" x14ac:dyDescent="0.8">
      <c r="A439" s="5" t="s">
        <v>509</v>
      </c>
      <c r="B439" s="8">
        <v>31</v>
      </c>
      <c r="C439" s="5" t="s">
        <v>49</v>
      </c>
      <c r="D439" s="5" t="s">
        <v>51</v>
      </c>
      <c r="E439" s="5" t="s">
        <v>53</v>
      </c>
      <c r="F439" s="5" t="s">
        <v>137</v>
      </c>
      <c r="G439" s="8">
        <v>4</v>
      </c>
      <c r="H439" s="8">
        <v>5476</v>
      </c>
      <c r="I439" s="5" t="s">
        <v>49</v>
      </c>
      <c r="J439" s="8">
        <v>3</v>
      </c>
      <c r="K439" s="8">
        <v>2</v>
      </c>
      <c r="L439" s="8">
        <v>10</v>
      </c>
    </row>
    <row r="440" spans="1:12" x14ac:dyDescent="0.8">
      <c r="A440" s="5" t="s">
        <v>510</v>
      </c>
      <c r="B440" s="8">
        <v>31</v>
      </c>
      <c r="C440" s="5" t="s">
        <v>49</v>
      </c>
      <c r="D440" s="5" t="s">
        <v>42</v>
      </c>
      <c r="E440" s="5" t="s">
        <v>44</v>
      </c>
      <c r="F440" s="5" t="s">
        <v>45</v>
      </c>
      <c r="G440" s="8">
        <v>3</v>
      </c>
      <c r="H440" s="8">
        <v>3477</v>
      </c>
      <c r="I440" s="5" t="s">
        <v>49</v>
      </c>
      <c r="J440" s="8">
        <v>3</v>
      </c>
      <c r="K440" s="8">
        <v>2</v>
      </c>
      <c r="L440" s="8">
        <v>5</v>
      </c>
    </row>
    <row r="441" spans="1:12" x14ac:dyDescent="0.8">
      <c r="A441" s="5" t="s">
        <v>511</v>
      </c>
      <c r="B441" s="8">
        <v>31</v>
      </c>
      <c r="C441" s="5" t="s">
        <v>49</v>
      </c>
      <c r="D441" s="5" t="s">
        <v>42</v>
      </c>
      <c r="E441" s="5" t="s">
        <v>53</v>
      </c>
      <c r="F441" s="5" t="s">
        <v>112</v>
      </c>
      <c r="G441" s="8">
        <v>4</v>
      </c>
      <c r="H441" s="8">
        <v>5238</v>
      </c>
      <c r="I441" s="5" t="s">
        <v>49</v>
      </c>
      <c r="J441" s="8">
        <v>4</v>
      </c>
      <c r="K441" s="8">
        <v>3</v>
      </c>
      <c r="L441" s="8">
        <v>5</v>
      </c>
    </row>
    <row r="442" spans="1:12" x14ac:dyDescent="0.8">
      <c r="A442" s="5" t="s">
        <v>512</v>
      </c>
      <c r="B442" s="8">
        <v>31</v>
      </c>
      <c r="C442" s="5" t="s">
        <v>49</v>
      </c>
      <c r="D442" s="5" t="s">
        <v>51</v>
      </c>
      <c r="E442" s="5" t="s">
        <v>44</v>
      </c>
      <c r="F442" s="5" t="s">
        <v>137</v>
      </c>
      <c r="G442" s="8">
        <v>3</v>
      </c>
      <c r="H442" s="8">
        <v>8346</v>
      </c>
      <c r="I442" s="5" t="s">
        <v>49</v>
      </c>
      <c r="J442" s="8">
        <v>3</v>
      </c>
      <c r="K442" s="8">
        <v>3</v>
      </c>
      <c r="L442" s="8">
        <v>5</v>
      </c>
    </row>
    <row r="443" spans="1:12" x14ac:dyDescent="0.8">
      <c r="A443" s="5" t="s">
        <v>513</v>
      </c>
      <c r="B443" s="8">
        <v>31</v>
      </c>
      <c r="C443" s="5" t="s">
        <v>40</v>
      </c>
      <c r="D443" s="5" t="s">
        <v>51</v>
      </c>
      <c r="E443" s="5" t="s">
        <v>44</v>
      </c>
      <c r="F443" s="5" t="s">
        <v>137</v>
      </c>
      <c r="G443" s="8">
        <v>3</v>
      </c>
      <c r="H443" s="8">
        <v>8161</v>
      </c>
      <c r="I443" s="5" t="s">
        <v>49</v>
      </c>
      <c r="J443" s="8">
        <v>3</v>
      </c>
      <c r="K443" s="8">
        <v>2</v>
      </c>
      <c r="L443" s="8">
        <v>1</v>
      </c>
    </row>
    <row r="444" spans="1:12" x14ac:dyDescent="0.8">
      <c r="A444" s="5" t="s">
        <v>514</v>
      </c>
      <c r="B444" s="8">
        <v>31</v>
      </c>
      <c r="C444" s="5" t="s">
        <v>49</v>
      </c>
      <c r="D444" s="5" t="s">
        <v>51</v>
      </c>
      <c r="E444" s="5" t="s">
        <v>53</v>
      </c>
      <c r="F444" s="5" t="s">
        <v>137</v>
      </c>
      <c r="G444" s="8">
        <v>4</v>
      </c>
      <c r="H444" s="8">
        <v>5468</v>
      </c>
      <c r="I444" s="5" t="s">
        <v>49</v>
      </c>
      <c r="J444" s="8">
        <v>3</v>
      </c>
      <c r="K444" s="8">
        <v>3</v>
      </c>
      <c r="L444" s="8">
        <v>12</v>
      </c>
    </row>
    <row r="445" spans="1:12" x14ac:dyDescent="0.8">
      <c r="A445" s="5" t="s">
        <v>515</v>
      </c>
      <c r="B445" s="8">
        <v>31</v>
      </c>
      <c r="C445" s="5" t="s">
        <v>49</v>
      </c>
      <c r="D445" s="5" t="s">
        <v>51</v>
      </c>
      <c r="E445" s="5" t="s">
        <v>53</v>
      </c>
      <c r="F445" s="5" t="s">
        <v>137</v>
      </c>
      <c r="G445" s="8">
        <v>1</v>
      </c>
      <c r="H445" s="8">
        <v>9637</v>
      </c>
      <c r="I445" s="5" t="s">
        <v>49</v>
      </c>
      <c r="J445" s="8">
        <v>3</v>
      </c>
      <c r="K445" s="8">
        <v>3</v>
      </c>
      <c r="L445" s="8">
        <v>3</v>
      </c>
    </row>
    <row r="446" spans="1:12" x14ac:dyDescent="0.8">
      <c r="A446" s="5" t="s">
        <v>516</v>
      </c>
      <c r="B446" s="8">
        <v>31</v>
      </c>
      <c r="C446" s="5" t="s">
        <v>40</v>
      </c>
      <c r="D446" s="5" t="s">
        <v>71</v>
      </c>
      <c r="E446" s="5" t="s">
        <v>44</v>
      </c>
      <c r="F446" s="5" t="s">
        <v>71</v>
      </c>
      <c r="G446" s="8">
        <v>1</v>
      </c>
      <c r="H446" s="8">
        <v>2956</v>
      </c>
      <c r="I446" s="5" t="s">
        <v>49</v>
      </c>
      <c r="J446" s="8">
        <v>3</v>
      </c>
      <c r="K446" s="8">
        <v>4</v>
      </c>
      <c r="L446" s="8">
        <v>1</v>
      </c>
    </row>
    <row r="447" spans="1:12" x14ac:dyDescent="0.8">
      <c r="A447" s="5" t="s">
        <v>517</v>
      </c>
      <c r="B447" s="8">
        <v>31</v>
      </c>
      <c r="C447" s="5" t="s">
        <v>49</v>
      </c>
      <c r="D447" s="5" t="s">
        <v>42</v>
      </c>
      <c r="E447" s="5" t="s">
        <v>44</v>
      </c>
      <c r="F447" s="5" t="s">
        <v>45</v>
      </c>
      <c r="G447" s="8">
        <v>3</v>
      </c>
      <c r="H447" s="8">
        <v>4197</v>
      </c>
      <c r="I447" s="5" t="s">
        <v>49</v>
      </c>
      <c r="J447" s="8">
        <v>3</v>
      </c>
      <c r="K447" s="8">
        <v>2</v>
      </c>
      <c r="L447" s="8">
        <v>10</v>
      </c>
    </row>
    <row r="448" spans="1:12" x14ac:dyDescent="0.8">
      <c r="A448" s="5" t="s">
        <v>518</v>
      </c>
      <c r="B448" s="8">
        <v>31</v>
      </c>
      <c r="C448" s="5" t="s">
        <v>49</v>
      </c>
      <c r="D448" s="5" t="s">
        <v>51</v>
      </c>
      <c r="E448" s="5" t="s">
        <v>53</v>
      </c>
      <c r="F448" s="5" t="s">
        <v>137</v>
      </c>
      <c r="G448" s="8">
        <v>4</v>
      </c>
      <c r="H448" s="8">
        <v>6583</v>
      </c>
      <c r="I448" s="5" t="s">
        <v>40</v>
      </c>
      <c r="J448" s="8">
        <v>3</v>
      </c>
      <c r="K448" s="8">
        <v>2</v>
      </c>
      <c r="L448" s="8">
        <v>5</v>
      </c>
    </row>
    <row r="449" spans="1:12" x14ac:dyDescent="0.8">
      <c r="A449" s="5" t="s">
        <v>519</v>
      </c>
      <c r="B449" s="8">
        <v>31</v>
      </c>
      <c r="C449" s="5" t="s">
        <v>49</v>
      </c>
      <c r="D449" s="5" t="s">
        <v>42</v>
      </c>
      <c r="E449" s="5" t="s">
        <v>53</v>
      </c>
      <c r="F449" s="5" t="s">
        <v>45</v>
      </c>
      <c r="G449" s="8">
        <v>3</v>
      </c>
      <c r="H449" s="8">
        <v>3978</v>
      </c>
      <c r="I449" s="5" t="s">
        <v>49</v>
      </c>
      <c r="J449" s="8">
        <v>3</v>
      </c>
      <c r="K449" s="8">
        <v>0</v>
      </c>
      <c r="L449" s="8">
        <v>2</v>
      </c>
    </row>
    <row r="450" spans="1:12" x14ac:dyDescent="0.8">
      <c r="A450" s="5" t="s">
        <v>520</v>
      </c>
      <c r="B450" s="8">
        <v>31</v>
      </c>
      <c r="C450" s="5" t="s">
        <v>49</v>
      </c>
      <c r="D450" s="5" t="s">
        <v>42</v>
      </c>
      <c r="E450" s="5" t="s">
        <v>44</v>
      </c>
      <c r="F450" s="5" t="s">
        <v>60</v>
      </c>
      <c r="G450" s="8">
        <v>1</v>
      </c>
      <c r="H450" s="8">
        <v>3065</v>
      </c>
      <c r="I450" s="5" t="s">
        <v>40</v>
      </c>
      <c r="J450" s="8">
        <v>3</v>
      </c>
      <c r="K450" s="8">
        <v>3</v>
      </c>
      <c r="L450" s="8">
        <v>4</v>
      </c>
    </row>
    <row r="451" spans="1:12" x14ac:dyDescent="0.8">
      <c r="A451" s="5" t="s">
        <v>521</v>
      </c>
      <c r="B451" s="8">
        <v>31</v>
      </c>
      <c r="C451" s="5" t="s">
        <v>49</v>
      </c>
      <c r="D451" s="5" t="s">
        <v>42</v>
      </c>
      <c r="E451" s="5" t="s">
        <v>44</v>
      </c>
      <c r="F451" s="5" t="s">
        <v>60</v>
      </c>
      <c r="G451" s="8">
        <v>1</v>
      </c>
      <c r="H451" s="8">
        <v>5003</v>
      </c>
      <c r="I451" s="5" t="s">
        <v>49</v>
      </c>
      <c r="J451" s="8">
        <v>4</v>
      </c>
      <c r="K451" s="8">
        <v>6</v>
      </c>
      <c r="L451" s="8">
        <v>10</v>
      </c>
    </row>
    <row r="452" spans="1:12" x14ac:dyDescent="0.8">
      <c r="A452" s="5" t="s">
        <v>522</v>
      </c>
      <c r="B452" s="8">
        <v>31</v>
      </c>
      <c r="C452" s="5" t="s">
        <v>40</v>
      </c>
      <c r="D452" s="5" t="s">
        <v>51</v>
      </c>
      <c r="E452" s="5" t="s">
        <v>44</v>
      </c>
      <c r="F452" s="5" t="s">
        <v>137</v>
      </c>
      <c r="G452" s="8">
        <v>4</v>
      </c>
      <c r="H452" s="8">
        <v>5617</v>
      </c>
      <c r="I452" s="5" t="s">
        <v>40</v>
      </c>
      <c r="J452" s="8">
        <v>3</v>
      </c>
      <c r="K452" s="8">
        <v>4</v>
      </c>
      <c r="L452" s="8">
        <v>10</v>
      </c>
    </row>
    <row r="453" spans="1:12" x14ac:dyDescent="0.8">
      <c r="A453" s="5" t="s">
        <v>523</v>
      </c>
      <c r="B453" s="8">
        <v>31</v>
      </c>
      <c r="C453" s="5" t="s">
        <v>49</v>
      </c>
      <c r="D453" s="5" t="s">
        <v>42</v>
      </c>
      <c r="E453" s="5" t="s">
        <v>53</v>
      </c>
      <c r="F453" s="5" t="s">
        <v>45</v>
      </c>
      <c r="G453" s="8">
        <v>4</v>
      </c>
      <c r="H453" s="8">
        <v>1129</v>
      </c>
      <c r="I453" s="5" t="s">
        <v>40</v>
      </c>
      <c r="J453" s="8">
        <v>3</v>
      </c>
      <c r="K453" s="8">
        <v>4</v>
      </c>
      <c r="L453" s="8">
        <v>1</v>
      </c>
    </row>
    <row r="454" spans="1:12" x14ac:dyDescent="0.8">
      <c r="A454" s="5" t="s">
        <v>524</v>
      </c>
      <c r="B454" s="8">
        <v>31</v>
      </c>
      <c r="C454" s="5" t="s">
        <v>49</v>
      </c>
      <c r="D454" s="5" t="s">
        <v>42</v>
      </c>
      <c r="E454" s="5" t="s">
        <v>53</v>
      </c>
      <c r="F454" s="5" t="s">
        <v>252</v>
      </c>
      <c r="G454" s="8">
        <v>3</v>
      </c>
      <c r="H454" s="8">
        <v>11031</v>
      </c>
      <c r="I454" s="5" t="s">
        <v>49</v>
      </c>
      <c r="J454" s="8">
        <v>4</v>
      </c>
      <c r="K454" s="8">
        <v>2</v>
      </c>
      <c r="L454" s="8">
        <v>11</v>
      </c>
    </row>
    <row r="455" spans="1:12" x14ac:dyDescent="0.8">
      <c r="A455" s="5" t="s">
        <v>525</v>
      </c>
      <c r="B455" s="8">
        <v>31</v>
      </c>
      <c r="C455" s="5" t="s">
        <v>49</v>
      </c>
      <c r="D455" s="5" t="s">
        <v>51</v>
      </c>
      <c r="E455" s="5" t="s">
        <v>44</v>
      </c>
      <c r="F455" s="5" t="s">
        <v>54</v>
      </c>
      <c r="G455" s="8">
        <v>3</v>
      </c>
      <c r="H455" s="8">
        <v>3067</v>
      </c>
      <c r="I455" s="5" t="s">
        <v>49</v>
      </c>
      <c r="J455" s="8">
        <v>3</v>
      </c>
      <c r="K455" s="8">
        <v>1</v>
      </c>
      <c r="L455" s="8">
        <v>2</v>
      </c>
    </row>
    <row r="456" spans="1:12" x14ac:dyDescent="0.8">
      <c r="A456" s="5" t="s">
        <v>526</v>
      </c>
      <c r="B456" s="8">
        <v>31</v>
      </c>
      <c r="C456" s="5" t="s">
        <v>49</v>
      </c>
      <c r="D456" s="5" t="s">
        <v>42</v>
      </c>
      <c r="E456" s="5" t="s">
        <v>44</v>
      </c>
      <c r="F456" s="5" t="s">
        <v>112</v>
      </c>
      <c r="G456" s="8">
        <v>1</v>
      </c>
      <c r="H456" s="8">
        <v>9936</v>
      </c>
      <c r="I456" s="5" t="s">
        <v>49</v>
      </c>
      <c r="J456" s="8">
        <v>3</v>
      </c>
      <c r="K456" s="8">
        <v>2</v>
      </c>
      <c r="L456" s="8">
        <v>9</v>
      </c>
    </row>
    <row r="457" spans="1:12" x14ac:dyDescent="0.8">
      <c r="A457" s="5" t="s">
        <v>527</v>
      </c>
      <c r="B457" s="8">
        <v>32</v>
      </c>
      <c r="C457" s="5" t="s">
        <v>49</v>
      </c>
      <c r="D457" s="5" t="s">
        <v>42</v>
      </c>
      <c r="E457" s="5" t="s">
        <v>44</v>
      </c>
      <c r="F457" s="5" t="s">
        <v>45</v>
      </c>
      <c r="G457" s="8">
        <v>4</v>
      </c>
      <c r="H457" s="8">
        <v>3068</v>
      </c>
      <c r="I457" s="5" t="s">
        <v>49</v>
      </c>
      <c r="J457" s="8">
        <v>3</v>
      </c>
      <c r="K457" s="8">
        <v>2</v>
      </c>
      <c r="L457" s="8">
        <v>7</v>
      </c>
    </row>
    <row r="458" spans="1:12" x14ac:dyDescent="0.8">
      <c r="A458" s="5" t="s">
        <v>528</v>
      </c>
      <c r="B458" s="8">
        <v>32</v>
      </c>
      <c r="C458" s="5" t="s">
        <v>49</v>
      </c>
      <c r="D458" s="5" t="s">
        <v>42</v>
      </c>
      <c r="E458" s="5" t="s">
        <v>44</v>
      </c>
      <c r="F458" s="5" t="s">
        <v>60</v>
      </c>
      <c r="G458" s="8">
        <v>2</v>
      </c>
      <c r="H458" s="8">
        <v>3298</v>
      </c>
      <c r="I458" s="5" t="s">
        <v>40</v>
      </c>
      <c r="J458" s="8">
        <v>3</v>
      </c>
      <c r="K458" s="8">
        <v>5</v>
      </c>
      <c r="L458" s="8">
        <v>6</v>
      </c>
    </row>
    <row r="459" spans="1:12" x14ac:dyDescent="0.8">
      <c r="A459" s="5" t="s">
        <v>529</v>
      </c>
      <c r="B459" s="8">
        <v>32</v>
      </c>
      <c r="C459" s="5" t="s">
        <v>40</v>
      </c>
      <c r="D459" s="5" t="s">
        <v>42</v>
      </c>
      <c r="E459" s="5" t="s">
        <v>53</v>
      </c>
      <c r="F459" s="5" t="s">
        <v>60</v>
      </c>
      <c r="G459" s="8">
        <v>1</v>
      </c>
      <c r="H459" s="8">
        <v>3919</v>
      </c>
      <c r="I459" s="5" t="s">
        <v>40</v>
      </c>
      <c r="J459" s="8">
        <v>4</v>
      </c>
      <c r="K459" s="8">
        <v>5</v>
      </c>
      <c r="L459" s="8">
        <v>10</v>
      </c>
    </row>
    <row r="460" spans="1:12" x14ac:dyDescent="0.8">
      <c r="A460" s="5" t="s">
        <v>530</v>
      </c>
      <c r="B460" s="8">
        <v>32</v>
      </c>
      <c r="C460" s="5" t="s">
        <v>49</v>
      </c>
      <c r="D460" s="5" t="s">
        <v>42</v>
      </c>
      <c r="E460" s="5" t="s">
        <v>44</v>
      </c>
      <c r="F460" s="5" t="s">
        <v>112</v>
      </c>
      <c r="G460" s="8">
        <v>4</v>
      </c>
      <c r="H460" s="8">
        <v>6162</v>
      </c>
      <c r="I460" s="5" t="s">
        <v>40</v>
      </c>
      <c r="J460" s="8">
        <v>4</v>
      </c>
      <c r="K460" s="8">
        <v>3</v>
      </c>
      <c r="L460" s="8">
        <v>9</v>
      </c>
    </row>
    <row r="461" spans="1:12" x14ac:dyDescent="0.8">
      <c r="A461" s="5" t="s">
        <v>531</v>
      </c>
      <c r="B461" s="8">
        <v>32</v>
      </c>
      <c r="C461" s="5" t="s">
        <v>49</v>
      </c>
      <c r="D461" s="5" t="s">
        <v>42</v>
      </c>
      <c r="E461" s="5" t="s">
        <v>44</v>
      </c>
      <c r="F461" s="5" t="s">
        <v>60</v>
      </c>
      <c r="G461" s="8">
        <v>2</v>
      </c>
      <c r="H461" s="8">
        <v>6220</v>
      </c>
      <c r="I461" s="5" t="s">
        <v>49</v>
      </c>
      <c r="J461" s="8">
        <v>3</v>
      </c>
      <c r="K461" s="8">
        <v>3</v>
      </c>
      <c r="L461" s="8">
        <v>10</v>
      </c>
    </row>
    <row r="462" spans="1:12" x14ac:dyDescent="0.8">
      <c r="A462" s="5" t="s">
        <v>532</v>
      </c>
      <c r="B462" s="8">
        <v>32</v>
      </c>
      <c r="C462" s="5" t="s">
        <v>49</v>
      </c>
      <c r="D462" s="5" t="s">
        <v>51</v>
      </c>
      <c r="E462" s="5" t="s">
        <v>44</v>
      </c>
      <c r="F462" s="5" t="s">
        <v>137</v>
      </c>
      <c r="G462" s="8">
        <v>3</v>
      </c>
      <c r="H462" s="8">
        <v>5010</v>
      </c>
      <c r="I462" s="5" t="s">
        <v>49</v>
      </c>
      <c r="J462" s="8">
        <v>3</v>
      </c>
      <c r="K462" s="8">
        <v>0</v>
      </c>
      <c r="L462" s="8">
        <v>11</v>
      </c>
    </row>
    <row r="463" spans="1:12" x14ac:dyDescent="0.8">
      <c r="A463" s="5" t="s">
        <v>533</v>
      </c>
      <c r="B463" s="8">
        <v>32</v>
      </c>
      <c r="C463" s="5" t="s">
        <v>49</v>
      </c>
      <c r="D463" s="5" t="s">
        <v>42</v>
      </c>
      <c r="E463" s="5" t="s">
        <v>44</v>
      </c>
      <c r="F463" s="5" t="s">
        <v>60</v>
      </c>
      <c r="G463" s="8">
        <v>1</v>
      </c>
      <c r="H463" s="8">
        <v>2956</v>
      </c>
      <c r="I463" s="5" t="s">
        <v>49</v>
      </c>
      <c r="J463" s="8">
        <v>3</v>
      </c>
      <c r="K463" s="8">
        <v>2</v>
      </c>
      <c r="L463" s="8">
        <v>1</v>
      </c>
    </row>
    <row r="464" spans="1:12" x14ac:dyDescent="0.8">
      <c r="A464" s="5" t="s">
        <v>534</v>
      </c>
      <c r="B464" s="8">
        <v>32</v>
      </c>
      <c r="C464" s="5" t="s">
        <v>40</v>
      </c>
      <c r="D464" s="5" t="s">
        <v>42</v>
      </c>
      <c r="E464" s="5" t="s">
        <v>53</v>
      </c>
      <c r="F464" s="5" t="s">
        <v>45</v>
      </c>
      <c r="G464" s="8">
        <v>1</v>
      </c>
      <c r="H464" s="8">
        <v>4200</v>
      </c>
      <c r="I464" s="5" t="s">
        <v>49</v>
      </c>
      <c r="J464" s="8">
        <v>4</v>
      </c>
      <c r="K464" s="8">
        <v>2</v>
      </c>
      <c r="L464" s="8">
        <v>5</v>
      </c>
    </row>
    <row r="465" spans="1:12" x14ac:dyDescent="0.8">
      <c r="A465" s="5" t="s">
        <v>535</v>
      </c>
      <c r="B465" s="8">
        <v>32</v>
      </c>
      <c r="C465" s="5" t="s">
        <v>49</v>
      </c>
      <c r="D465" s="5" t="s">
        <v>51</v>
      </c>
      <c r="E465" s="5" t="s">
        <v>44</v>
      </c>
      <c r="F465" s="5" t="s">
        <v>137</v>
      </c>
      <c r="G465" s="8">
        <v>4</v>
      </c>
      <c r="H465" s="8">
        <v>4668</v>
      </c>
      <c r="I465" s="5" t="s">
        <v>49</v>
      </c>
      <c r="J465" s="8">
        <v>3</v>
      </c>
      <c r="K465" s="8">
        <v>2</v>
      </c>
      <c r="L465" s="8">
        <v>8</v>
      </c>
    </row>
    <row r="466" spans="1:12" x14ac:dyDescent="0.8">
      <c r="A466" s="5" t="s">
        <v>536</v>
      </c>
      <c r="B466" s="8">
        <v>32</v>
      </c>
      <c r="C466" s="5" t="s">
        <v>49</v>
      </c>
      <c r="D466" s="5" t="s">
        <v>51</v>
      </c>
      <c r="E466" s="5" t="s">
        <v>53</v>
      </c>
      <c r="F466" s="5" t="s">
        <v>137</v>
      </c>
      <c r="G466" s="8">
        <v>4</v>
      </c>
      <c r="H466" s="8">
        <v>8998</v>
      </c>
      <c r="I466" s="5" t="s">
        <v>49</v>
      </c>
      <c r="J466" s="8">
        <v>3</v>
      </c>
      <c r="K466" s="8">
        <v>2</v>
      </c>
      <c r="L466" s="8">
        <v>9</v>
      </c>
    </row>
    <row r="467" spans="1:12" x14ac:dyDescent="0.8">
      <c r="A467" s="5" t="s">
        <v>537</v>
      </c>
      <c r="B467" s="8">
        <v>32</v>
      </c>
      <c r="C467" s="5" t="s">
        <v>49</v>
      </c>
      <c r="D467" s="5" t="s">
        <v>42</v>
      </c>
      <c r="E467" s="5" t="s">
        <v>44</v>
      </c>
      <c r="F467" s="5" t="s">
        <v>60</v>
      </c>
      <c r="G467" s="8">
        <v>3</v>
      </c>
      <c r="H467" s="8">
        <v>3038</v>
      </c>
      <c r="I467" s="5" t="s">
        <v>49</v>
      </c>
      <c r="J467" s="8">
        <v>4</v>
      </c>
      <c r="K467" s="8">
        <v>2</v>
      </c>
      <c r="L467" s="8">
        <v>5</v>
      </c>
    </row>
    <row r="468" spans="1:12" x14ac:dyDescent="0.8">
      <c r="A468" s="5" t="s">
        <v>538</v>
      </c>
      <c r="B468" s="8">
        <v>32</v>
      </c>
      <c r="C468" s="5" t="s">
        <v>40</v>
      </c>
      <c r="D468" s="5" t="s">
        <v>51</v>
      </c>
      <c r="E468" s="5" t="s">
        <v>44</v>
      </c>
      <c r="F468" s="5" t="s">
        <v>137</v>
      </c>
      <c r="G468" s="8">
        <v>4</v>
      </c>
      <c r="H468" s="8">
        <v>10400</v>
      </c>
      <c r="I468" s="5" t="s">
        <v>49</v>
      </c>
      <c r="J468" s="8">
        <v>3</v>
      </c>
      <c r="K468" s="8">
        <v>2</v>
      </c>
      <c r="L468" s="8">
        <v>14</v>
      </c>
    </row>
    <row r="469" spans="1:12" x14ac:dyDescent="0.8">
      <c r="A469" s="5" t="s">
        <v>539</v>
      </c>
      <c r="B469" s="8">
        <v>32</v>
      </c>
      <c r="C469" s="5" t="s">
        <v>49</v>
      </c>
      <c r="D469" s="5" t="s">
        <v>51</v>
      </c>
      <c r="E469" s="5" t="s">
        <v>53</v>
      </c>
      <c r="F469" s="5" t="s">
        <v>54</v>
      </c>
      <c r="G469" s="8">
        <v>2</v>
      </c>
      <c r="H469" s="8">
        <v>3931</v>
      </c>
      <c r="I469" s="5" t="s">
        <v>49</v>
      </c>
      <c r="J469" s="8">
        <v>3</v>
      </c>
      <c r="K469" s="8">
        <v>5</v>
      </c>
      <c r="L469" s="8">
        <v>4</v>
      </c>
    </row>
    <row r="470" spans="1:12" x14ac:dyDescent="0.8">
      <c r="A470" s="5" t="s">
        <v>540</v>
      </c>
      <c r="B470" s="8">
        <v>32</v>
      </c>
      <c r="C470" s="5" t="s">
        <v>40</v>
      </c>
      <c r="D470" s="5" t="s">
        <v>42</v>
      </c>
      <c r="E470" s="5" t="s">
        <v>44</v>
      </c>
      <c r="F470" s="5" t="s">
        <v>45</v>
      </c>
      <c r="G470" s="8">
        <v>3</v>
      </c>
      <c r="H470" s="8">
        <v>3730</v>
      </c>
      <c r="I470" s="5" t="s">
        <v>40</v>
      </c>
      <c r="J470" s="8">
        <v>3</v>
      </c>
      <c r="K470" s="8">
        <v>2</v>
      </c>
      <c r="L470" s="8">
        <v>3</v>
      </c>
    </row>
    <row r="471" spans="1:12" x14ac:dyDescent="0.8">
      <c r="A471" s="5" t="s">
        <v>541</v>
      </c>
      <c r="B471" s="8">
        <v>32</v>
      </c>
      <c r="C471" s="5" t="s">
        <v>49</v>
      </c>
      <c r="D471" s="5" t="s">
        <v>51</v>
      </c>
      <c r="E471" s="5" t="s">
        <v>44</v>
      </c>
      <c r="F471" s="5" t="s">
        <v>137</v>
      </c>
      <c r="G471" s="8">
        <v>4</v>
      </c>
      <c r="H471" s="8">
        <v>4465</v>
      </c>
      <c r="I471" s="5" t="s">
        <v>49</v>
      </c>
      <c r="J471" s="8">
        <v>3</v>
      </c>
      <c r="K471" s="8">
        <v>2</v>
      </c>
      <c r="L471" s="8">
        <v>3</v>
      </c>
    </row>
    <row r="472" spans="1:12" x14ac:dyDescent="0.8">
      <c r="A472" s="5" t="s">
        <v>542</v>
      </c>
      <c r="B472" s="8">
        <v>32</v>
      </c>
      <c r="C472" s="5" t="s">
        <v>49</v>
      </c>
      <c r="D472" s="5" t="s">
        <v>42</v>
      </c>
      <c r="E472" s="5" t="s">
        <v>44</v>
      </c>
      <c r="F472" s="5" t="s">
        <v>45</v>
      </c>
      <c r="G472" s="8">
        <v>2</v>
      </c>
      <c r="H472" s="8">
        <v>2794</v>
      </c>
      <c r="I472" s="5" t="s">
        <v>49</v>
      </c>
      <c r="J472" s="8">
        <v>4</v>
      </c>
      <c r="K472" s="8">
        <v>3</v>
      </c>
      <c r="L472" s="8">
        <v>5</v>
      </c>
    </row>
    <row r="473" spans="1:12" x14ac:dyDescent="0.8">
      <c r="A473" s="5" t="s">
        <v>543</v>
      </c>
      <c r="B473" s="8">
        <v>32</v>
      </c>
      <c r="C473" s="5" t="s">
        <v>49</v>
      </c>
      <c r="D473" s="5" t="s">
        <v>42</v>
      </c>
      <c r="E473" s="5" t="s">
        <v>44</v>
      </c>
      <c r="F473" s="5" t="s">
        <v>45</v>
      </c>
      <c r="G473" s="8">
        <v>1</v>
      </c>
      <c r="H473" s="8">
        <v>2176</v>
      </c>
      <c r="I473" s="5" t="s">
        <v>49</v>
      </c>
      <c r="J473" s="8">
        <v>3</v>
      </c>
      <c r="K473" s="8">
        <v>5</v>
      </c>
      <c r="L473" s="8">
        <v>6</v>
      </c>
    </row>
    <row r="474" spans="1:12" x14ac:dyDescent="0.8">
      <c r="A474" s="5" t="s">
        <v>544</v>
      </c>
      <c r="B474" s="8">
        <v>32</v>
      </c>
      <c r="C474" s="5" t="s">
        <v>49</v>
      </c>
      <c r="D474" s="5" t="s">
        <v>51</v>
      </c>
      <c r="E474" s="5" t="s">
        <v>44</v>
      </c>
      <c r="F474" s="5" t="s">
        <v>137</v>
      </c>
      <c r="G474" s="8">
        <v>3</v>
      </c>
      <c r="H474" s="8">
        <v>5484</v>
      </c>
      <c r="I474" s="5" t="s">
        <v>49</v>
      </c>
      <c r="J474" s="8">
        <v>3</v>
      </c>
      <c r="K474" s="8">
        <v>3</v>
      </c>
      <c r="L474" s="8">
        <v>13</v>
      </c>
    </row>
    <row r="475" spans="1:12" x14ac:dyDescent="0.8">
      <c r="A475" s="5" t="s">
        <v>545</v>
      </c>
      <c r="B475" s="8">
        <v>32</v>
      </c>
      <c r="C475" s="5" t="s">
        <v>49</v>
      </c>
      <c r="D475" s="5" t="s">
        <v>51</v>
      </c>
      <c r="E475" s="5" t="s">
        <v>53</v>
      </c>
      <c r="F475" s="5" t="s">
        <v>137</v>
      </c>
      <c r="G475" s="8">
        <v>2</v>
      </c>
      <c r="H475" s="8">
        <v>5228</v>
      </c>
      <c r="I475" s="5" t="s">
        <v>40</v>
      </c>
      <c r="J475" s="8">
        <v>3</v>
      </c>
      <c r="K475" s="8">
        <v>2</v>
      </c>
      <c r="L475" s="8">
        <v>13</v>
      </c>
    </row>
    <row r="476" spans="1:12" x14ac:dyDescent="0.8">
      <c r="A476" s="5" t="s">
        <v>546</v>
      </c>
      <c r="B476" s="8">
        <v>32</v>
      </c>
      <c r="C476" s="5" t="s">
        <v>49</v>
      </c>
      <c r="D476" s="5" t="s">
        <v>42</v>
      </c>
      <c r="E476" s="5" t="s">
        <v>53</v>
      </c>
      <c r="F476" s="5" t="s">
        <v>60</v>
      </c>
      <c r="G476" s="8">
        <v>4</v>
      </c>
      <c r="H476" s="8">
        <v>5055</v>
      </c>
      <c r="I476" s="5" t="s">
        <v>49</v>
      </c>
      <c r="J476" s="8">
        <v>3</v>
      </c>
      <c r="K476" s="8">
        <v>0</v>
      </c>
      <c r="L476" s="8">
        <v>7</v>
      </c>
    </row>
    <row r="477" spans="1:12" x14ac:dyDescent="0.8">
      <c r="A477" s="5" t="s">
        <v>547</v>
      </c>
      <c r="B477" s="8">
        <v>32</v>
      </c>
      <c r="C477" s="5" t="s">
        <v>49</v>
      </c>
      <c r="D477" s="5" t="s">
        <v>42</v>
      </c>
      <c r="E477" s="5" t="s">
        <v>53</v>
      </c>
      <c r="F477" s="5" t="s">
        <v>45</v>
      </c>
      <c r="G477" s="8">
        <v>2</v>
      </c>
      <c r="H477" s="8">
        <v>2370</v>
      </c>
      <c r="I477" s="5" t="s">
        <v>49</v>
      </c>
      <c r="J477" s="8">
        <v>3</v>
      </c>
      <c r="K477" s="8">
        <v>4</v>
      </c>
      <c r="L477" s="8">
        <v>8</v>
      </c>
    </row>
    <row r="478" spans="1:12" x14ac:dyDescent="0.8">
      <c r="A478" s="5" t="s">
        <v>548</v>
      </c>
      <c r="B478" s="8">
        <v>32</v>
      </c>
      <c r="C478" s="5" t="s">
        <v>40</v>
      </c>
      <c r="D478" s="5" t="s">
        <v>51</v>
      </c>
      <c r="E478" s="5" t="s">
        <v>44</v>
      </c>
      <c r="F478" s="5" t="s">
        <v>137</v>
      </c>
      <c r="G478" s="8">
        <v>3</v>
      </c>
      <c r="H478" s="8">
        <v>4707</v>
      </c>
      <c r="I478" s="5" t="s">
        <v>49</v>
      </c>
      <c r="J478" s="8">
        <v>3</v>
      </c>
      <c r="K478" s="8">
        <v>2</v>
      </c>
      <c r="L478" s="8">
        <v>4</v>
      </c>
    </row>
    <row r="479" spans="1:12" x14ac:dyDescent="0.8">
      <c r="A479" s="5" t="s">
        <v>549</v>
      </c>
      <c r="B479" s="8">
        <v>32</v>
      </c>
      <c r="C479" s="5" t="s">
        <v>49</v>
      </c>
      <c r="D479" s="5" t="s">
        <v>42</v>
      </c>
      <c r="E479" s="5" t="s">
        <v>53</v>
      </c>
      <c r="F479" s="5" t="s">
        <v>60</v>
      </c>
      <c r="G479" s="8">
        <v>4</v>
      </c>
      <c r="H479" s="8">
        <v>6322</v>
      </c>
      <c r="I479" s="5" t="s">
        <v>40</v>
      </c>
      <c r="J479" s="8">
        <v>3</v>
      </c>
      <c r="K479" s="8">
        <v>2</v>
      </c>
      <c r="L479" s="8">
        <v>6</v>
      </c>
    </row>
    <row r="480" spans="1:12" x14ac:dyDescent="0.8">
      <c r="A480" s="5" t="s">
        <v>550</v>
      </c>
      <c r="B480" s="8">
        <v>32</v>
      </c>
      <c r="C480" s="5" t="s">
        <v>49</v>
      </c>
      <c r="D480" s="5" t="s">
        <v>51</v>
      </c>
      <c r="E480" s="5" t="s">
        <v>44</v>
      </c>
      <c r="F480" s="5" t="s">
        <v>137</v>
      </c>
      <c r="G480" s="8">
        <v>4</v>
      </c>
      <c r="H480" s="8">
        <v>5396</v>
      </c>
      <c r="I480" s="5" t="s">
        <v>49</v>
      </c>
      <c r="J480" s="8">
        <v>3</v>
      </c>
      <c r="K480" s="8">
        <v>2</v>
      </c>
      <c r="L480" s="8">
        <v>10</v>
      </c>
    </row>
    <row r="481" spans="1:12" x14ac:dyDescent="0.8">
      <c r="A481" s="5" t="s">
        <v>551</v>
      </c>
      <c r="B481" s="8">
        <v>32</v>
      </c>
      <c r="C481" s="5" t="s">
        <v>49</v>
      </c>
      <c r="D481" s="5" t="s">
        <v>42</v>
      </c>
      <c r="E481" s="5" t="s">
        <v>53</v>
      </c>
      <c r="F481" s="5" t="s">
        <v>252</v>
      </c>
      <c r="G481" s="8">
        <v>4</v>
      </c>
      <c r="H481" s="8">
        <v>11159</v>
      </c>
      <c r="I481" s="5" t="s">
        <v>49</v>
      </c>
      <c r="J481" s="8">
        <v>3</v>
      </c>
      <c r="K481" s="8">
        <v>6</v>
      </c>
      <c r="L481" s="8">
        <v>7</v>
      </c>
    </row>
    <row r="482" spans="1:12" x14ac:dyDescent="0.8">
      <c r="A482" s="5" t="s">
        <v>552</v>
      </c>
      <c r="B482" s="8">
        <v>32</v>
      </c>
      <c r="C482" s="5" t="s">
        <v>49</v>
      </c>
      <c r="D482" s="5" t="s">
        <v>42</v>
      </c>
      <c r="E482" s="5" t="s">
        <v>44</v>
      </c>
      <c r="F482" s="5" t="s">
        <v>45</v>
      </c>
      <c r="G482" s="8">
        <v>4</v>
      </c>
      <c r="H482" s="8">
        <v>5309</v>
      </c>
      <c r="I482" s="5" t="s">
        <v>49</v>
      </c>
      <c r="J482" s="8">
        <v>3</v>
      </c>
      <c r="K482" s="8">
        <v>2</v>
      </c>
      <c r="L482" s="8">
        <v>10</v>
      </c>
    </row>
    <row r="483" spans="1:12" x14ac:dyDescent="0.8">
      <c r="A483" s="5" t="s">
        <v>553</v>
      </c>
      <c r="B483" s="8">
        <v>32</v>
      </c>
      <c r="C483" s="5" t="s">
        <v>49</v>
      </c>
      <c r="D483" s="5" t="s">
        <v>42</v>
      </c>
      <c r="E483" s="5" t="s">
        <v>53</v>
      </c>
      <c r="F483" s="5" t="s">
        <v>112</v>
      </c>
      <c r="G483" s="8">
        <v>3</v>
      </c>
      <c r="H483" s="8">
        <v>6162</v>
      </c>
      <c r="I483" s="5" t="s">
        <v>49</v>
      </c>
      <c r="J483" s="8">
        <v>3</v>
      </c>
      <c r="K483" s="8">
        <v>3</v>
      </c>
      <c r="L483" s="8">
        <v>14</v>
      </c>
    </row>
    <row r="484" spans="1:12" x14ac:dyDescent="0.8">
      <c r="A484" s="5" t="s">
        <v>554</v>
      </c>
      <c r="B484" s="8">
        <v>32</v>
      </c>
      <c r="C484" s="5" t="s">
        <v>49</v>
      </c>
      <c r="D484" s="5" t="s">
        <v>51</v>
      </c>
      <c r="E484" s="5" t="s">
        <v>44</v>
      </c>
      <c r="F484" s="5" t="s">
        <v>137</v>
      </c>
      <c r="G484" s="8">
        <v>4</v>
      </c>
      <c r="H484" s="8">
        <v>4403</v>
      </c>
      <c r="I484" s="5" t="s">
        <v>49</v>
      </c>
      <c r="J484" s="8">
        <v>3</v>
      </c>
      <c r="K484" s="8">
        <v>3</v>
      </c>
      <c r="L484" s="8">
        <v>5</v>
      </c>
    </row>
    <row r="485" spans="1:12" x14ac:dyDescent="0.8">
      <c r="A485" s="5" t="s">
        <v>555</v>
      </c>
      <c r="B485" s="8">
        <v>32</v>
      </c>
      <c r="C485" s="5" t="s">
        <v>49</v>
      </c>
      <c r="D485" s="5" t="s">
        <v>42</v>
      </c>
      <c r="E485" s="5" t="s">
        <v>53</v>
      </c>
      <c r="F485" s="5" t="s">
        <v>60</v>
      </c>
      <c r="G485" s="8">
        <v>3</v>
      </c>
      <c r="H485" s="8">
        <v>5175</v>
      </c>
      <c r="I485" s="5" t="s">
        <v>49</v>
      </c>
      <c r="J485" s="8">
        <v>3</v>
      </c>
      <c r="K485" s="8">
        <v>3</v>
      </c>
      <c r="L485" s="8">
        <v>5</v>
      </c>
    </row>
    <row r="486" spans="1:12" x14ac:dyDescent="0.8">
      <c r="A486" s="5" t="s">
        <v>556</v>
      </c>
      <c r="B486" s="8">
        <v>32</v>
      </c>
      <c r="C486" s="5" t="s">
        <v>49</v>
      </c>
      <c r="D486" s="5" t="s">
        <v>42</v>
      </c>
      <c r="E486" s="5" t="s">
        <v>44</v>
      </c>
      <c r="F486" s="5" t="s">
        <v>45</v>
      </c>
      <c r="G486" s="8">
        <v>4</v>
      </c>
      <c r="H486" s="8">
        <v>2314</v>
      </c>
      <c r="I486" s="5" t="s">
        <v>49</v>
      </c>
      <c r="J486" s="8">
        <v>3</v>
      </c>
      <c r="K486" s="8">
        <v>2</v>
      </c>
      <c r="L486" s="8">
        <v>3</v>
      </c>
    </row>
    <row r="487" spans="1:12" x14ac:dyDescent="0.8">
      <c r="A487" s="5" t="s">
        <v>557</v>
      </c>
      <c r="B487" s="8">
        <v>32</v>
      </c>
      <c r="C487" s="5" t="s">
        <v>49</v>
      </c>
      <c r="D487" s="5" t="s">
        <v>51</v>
      </c>
      <c r="E487" s="5" t="s">
        <v>44</v>
      </c>
      <c r="F487" s="5" t="s">
        <v>137</v>
      </c>
      <c r="G487" s="8">
        <v>2</v>
      </c>
      <c r="H487" s="8">
        <v>6524</v>
      </c>
      <c r="I487" s="5" t="s">
        <v>49</v>
      </c>
      <c r="J487" s="8">
        <v>3</v>
      </c>
      <c r="K487" s="8">
        <v>3</v>
      </c>
      <c r="L487" s="8">
        <v>10</v>
      </c>
    </row>
    <row r="488" spans="1:12" x14ac:dyDescent="0.8">
      <c r="A488" s="5" t="s">
        <v>558</v>
      </c>
      <c r="B488" s="8">
        <v>32</v>
      </c>
      <c r="C488" s="5" t="s">
        <v>40</v>
      </c>
      <c r="D488" s="5" t="s">
        <v>42</v>
      </c>
      <c r="E488" s="5" t="s">
        <v>44</v>
      </c>
      <c r="F488" s="5" t="s">
        <v>45</v>
      </c>
      <c r="G488" s="8">
        <v>4</v>
      </c>
      <c r="H488" s="8">
        <v>2795</v>
      </c>
      <c r="I488" s="5" t="s">
        <v>40</v>
      </c>
      <c r="J488" s="8">
        <v>4</v>
      </c>
      <c r="K488" s="8">
        <v>2</v>
      </c>
      <c r="L488" s="8">
        <v>1</v>
      </c>
    </row>
    <row r="489" spans="1:12" x14ac:dyDescent="0.8">
      <c r="A489" s="5" t="s">
        <v>559</v>
      </c>
      <c r="B489" s="8">
        <v>32</v>
      </c>
      <c r="C489" s="5" t="s">
        <v>49</v>
      </c>
      <c r="D489" s="5" t="s">
        <v>42</v>
      </c>
      <c r="E489" s="5" t="s">
        <v>53</v>
      </c>
      <c r="F489" s="5" t="s">
        <v>45</v>
      </c>
      <c r="G489" s="8">
        <v>2</v>
      </c>
      <c r="H489" s="8">
        <v>2332</v>
      </c>
      <c r="I489" s="5" t="s">
        <v>49</v>
      </c>
      <c r="J489" s="8">
        <v>4</v>
      </c>
      <c r="K489" s="8">
        <v>3</v>
      </c>
      <c r="L489" s="8">
        <v>3</v>
      </c>
    </row>
    <row r="490" spans="1:12" x14ac:dyDescent="0.8">
      <c r="A490" s="5" t="s">
        <v>560</v>
      </c>
      <c r="B490" s="8">
        <v>32</v>
      </c>
      <c r="C490" s="5" t="s">
        <v>49</v>
      </c>
      <c r="D490" s="5" t="s">
        <v>42</v>
      </c>
      <c r="E490" s="5" t="s">
        <v>53</v>
      </c>
      <c r="F490" s="5" t="s">
        <v>112</v>
      </c>
      <c r="G490" s="8">
        <v>1</v>
      </c>
      <c r="H490" s="8">
        <v>6725</v>
      </c>
      <c r="I490" s="5" t="s">
        <v>49</v>
      </c>
      <c r="J490" s="8">
        <v>3</v>
      </c>
      <c r="K490" s="8">
        <v>2</v>
      </c>
      <c r="L490" s="8">
        <v>8</v>
      </c>
    </row>
    <row r="491" spans="1:12" x14ac:dyDescent="0.8">
      <c r="A491" s="5" t="s">
        <v>561</v>
      </c>
      <c r="B491" s="8">
        <v>32</v>
      </c>
      <c r="C491" s="5" t="s">
        <v>49</v>
      </c>
      <c r="D491" s="5" t="s">
        <v>42</v>
      </c>
      <c r="E491" s="5" t="s">
        <v>53</v>
      </c>
      <c r="F491" s="5" t="s">
        <v>45</v>
      </c>
      <c r="G491" s="8">
        <v>3</v>
      </c>
      <c r="H491" s="8">
        <v>4025</v>
      </c>
      <c r="I491" s="5" t="s">
        <v>49</v>
      </c>
      <c r="J491" s="8">
        <v>3</v>
      </c>
      <c r="K491" s="8">
        <v>2</v>
      </c>
      <c r="L491" s="8">
        <v>8</v>
      </c>
    </row>
    <row r="492" spans="1:12" x14ac:dyDescent="0.8">
      <c r="A492" s="5" t="s">
        <v>562</v>
      </c>
      <c r="B492" s="8">
        <v>32</v>
      </c>
      <c r="C492" s="5" t="s">
        <v>49</v>
      </c>
      <c r="D492" s="5" t="s">
        <v>51</v>
      </c>
      <c r="E492" s="5" t="s">
        <v>53</v>
      </c>
      <c r="F492" s="5" t="s">
        <v>54</v>
      </c>
      <c r="G492" s="8">
        <v>1</v>
      </c>
      <c r="H492" s="8">
        <v>2827</v>
      </c>
      <c r="I492" s="5" t="s">
        <v>49</v>
      </c>
      <c r="J492" s="8">
        <v>3</v>
      </c>
      <c r="K492" s="8">
        <v>3</v>
      </c>
      <c r="L492" s="8">
        <v>1</v>
      </c>
    </row>
    <row r="493" spans="1:12" x14ac:dyDescent="0.8">
      <c r="A493" s="5" t="s">
        <v>563</v>
      </c>
      <c r="B493" s="8">
        <v>32</v>
      </c>
      <c r="C493" s="5" t="s">
        <v>49</v>
      </c>
      <c r="D493" s="5" t="s">
        <v>42</v>
      </c>
      <c r="E493" s="5" t="s">
        <v>53</v>
      </c>
      <c r="F493" s="5" t="s">
        <v>45</v>
      </c>
      <c r="G493" s="8">
        <v>2</v>
      </c>
      <c r="H493" s="8">
        <v>2743</v>
      </c>
      <c r="I493" s="5" t="s">
        <v>49</v>
      </c>
      <c r="J493" s="8">
        <v>4</v>
      </c>
      <c r="K493" s="8">
        <v>2</v>
      </c>
      <c r="L493" s="8">
        <v>2</v>
      </c>
    </row>
    <row r="494" spans="1:12" x14ac:dyDescent="0.8">
      <c r="A494" s="5" t="s">
        <v>564</v>
      </c>
      <c r="B494" s="8">
        <v>32</v>
      </c>
      <c r="C494" s="5" t="s">
        <v>49</v>
      </c>
      <c r="D494" s="5" t="s">
        <v>42</v>
      </c>
      <c r="E494" s="5" t="s">
        <v>53</v>
      </c>
      <c r="F494" s="5" t="s">
        <v>60</v>
      </c>
      <c r="G494" s="8">
        <v>3</v>
      </c>
      <c r="H494" s="8">
        <v>4998</v>
      </c>
      <c r="I494" s="5" t="s">
        <v>40</v>
      </c>
      <c r="J494" s="8">
        <v>3</v>
      </c>
      <c r="K494" s="8">
        <v>2</v>
      </c>
      <c r="L494" s="8">
        <v>8</v>
      </c>
    </row>
    <row r="495" spans="1:12" x14ac:dyDescent="0.8">
      <c r="A495" s="5" t="s">
        <v>565</v>
      </c>
      <c r="B495" s="8">
        <v>32</v>
      </c>
      <c r="C495" s="5" t="s">
        <v>49</v>
      </c>
      <c r="D495" s="5" t="s">
        <v>51</v>
      </c>
      <c r="E495" s="5" t="s">
        <v>44</v>
      </c>
      <c r="F495" s="5" t="s">
        <v>137</v>
      </c>
      <c r="G495" s="8">
        <v>4</v>
      </c>
      <c r="H495" s="8">
        <v>6209</v>
      </c>
      <c r="I495" s="5" t="s">
        <v>49</v>
      </c>
      <c r="J495" s="8">
        <v>3</v>
      </c>
      <c r="K495" s="8">
        <v>4</v>
      </c>
      <c r="L495" s="8">
        <v>10</v>
      </c>
    </row>
    <row r="496" spans="1:12" x14ac:dyDescent="0.8">
      <c r="A496" s="5" t="s">
        <v>566</v>
      </c>
      <c r="B496" s="8">
        <v>32</v>
      </c>
      <c r="C496" s="5" t="s">
        <v>40</v>
      </c>
      <c r="D496" s="5" t="s">
        <v>42</v>
      </c>
      <c r="E496" s="5" t="s">
        <v>44</v>
      </c>
      <c r="F496" s="5" t="s">
        <v>45</v>
      </c>
      <c r="G496" s="8">
        <v>3</v>
      </c>
      <c r="H496" s="8">
        <v>4883</v>
      </c>
      <c r="I496" s="5" t="s">
        <v>49</v>
      </c>
      <c r="J496" s="8">
        <v>3</v>
      </c>
      <c r="K496" s="8">
        <v>3</v>
      </c>
      <c r="L496" s="8">
        <v>10</v>
      </c>
    </row>
    <row r="497" spans="1:12" x14ac:dyDescent="0.8">
      <c r="A497" s="5" t="s">
        <v>567</v>
      </c>
      <c r="B497" s="8">
        <v>32</v>
      </c>
      <c r="C497" s="5" t="s">
        <v>49</v>
      </c>
      <c r="D497" s="5" t="s">
        <v>51</v>
      </c>
      <c r="E497" s="5" t="s">
        <v>44</v>
      </c>
      <c r="F497" s="5" t="s">
        <v>137</v>
      </c>
      <c r="G497" s="8">
        <v>2</v>
      </c>
      <c r="H497" s="8">
        <v>4078</v>
      </c>
      <c r="I497" s="5" t="s">
        <v>40</v>
      </c>
      <c r="J497" s="8">
        <v>3</v>
      </c>
      <c r="K497" s="8">
        <v>3</v>
      </c>
      <c r="L497" s="8">
        <v>3</v>
      </c>
    </row>
    <row r="498" spans="1:12" x14ac:dyDescent="0.8">
      <c r="A498" s="5" t="s">
        <v>568</v>
      </c>
      <c r="B498" s="8">
        <v>32</v>
      </c>
      <c r="C498" s="5" t="s">
        <v>49</v>
      </c>
      <c r="D498" s="5" t="s">
        <v>51</v>
      </c>
      <c r="E498" s="5" t="s">
        <v>44</v>
      </c>
      <c r="F498" s="5" t="s">
        <v>137</v>
      </c>
      <c r="G498" s="8">
        <v>4</v>
      </c>
      <c r="H498" s="8">
        <v>9204</v>
      </c>
      <c r="I498" s="5" t="s">
        <v>49</v>
      </c>
      <c r="J498" s="8">
        <v>3</v>
      </c>
      <c r="K498" s="8">
        <v>3</v>
      </c>
      <c r="L498" s="8">
        <v>4</v>
      </c>
    </row>
    <row r="499" spans="1:12" x14ac:dyDescent="0.8">
      <c r="A499" s="5" t="s">
        <v>569</v>
      </c>
      <c r="B499" s="8">
        <v>32</v>
      </c>
      <c r="C499" s="5" t="s">
        <v>49</v>
      </c>
      <c r="D499" s="5" t="s">
        <v>42</v>
      </c>
      <c r="E499" s="5" t="s">
        <v>44</v>
      </c>
      <c r="F499" s="5" t="s">
        <v>442</v>
      </c>
      <c r="G499" s="8">
        <v>4</v>
      </c>
      <c r="H499" s="8">
        <v>11244</v>
      </c>
      <c r="I499" s="5" t="s">
        <v>49</v>
      </c>
      <c r="J499" s="8">
        <v>4</v>
      </c>
      <c r="K499" s="8">
        <v>5</v>
      </c>
      <c r="L499" s="8">
        <v>5</v>
      </c>
    </row>
    <row r="500" spans="1:12" x14ac:dyDescent="0.8">
      <c r="A500" s="5" t="s">
        <v>570</v>
      </c>
      <c r="B500" s="8">
        <v>32</v>
      </c>
      <c r="C500" s="5" t="s">
        <v>49</v>
      </c>
      <c r="D500" s="5" t="s">
        <v>42</v>
      </c>
      <c r="E500" s="5" t="s">
        <v>53</v>
      </c>
      <c r="F500" s="5" t="s">
        <v>60</v>
      </c>
      <c r="G500" s="8">
        <v>2</v>
      </c>
      <c r="H500" s="8">
        <v>5878</v>
      </c>
      <c r="I500" s="5" t="s">
        <v>49</v>
      </c>
      <c r="J500" s="8">
        <v>3</v>
      </c>
      <c r="K500" s="8">
        <v>2</v>
      </c>
      <c r="L500" s="8">
        <v>7</v>
      </c>
    </row>
    <row r="501" spans="1:12" x14ac:dyDescent="0.8">
      <c r="A501" s="5" t="s">
        <v>571</v>
      </c>
      <c r="B501" s="8">
        <v>32</v>
      </c>
      <c r="C501" s="5" t="s">
        <v>49</v>
      </c>
      <c r="D501" s="5" t="s">
        <v>42</v>
      </c>
      <c r="E501" s="5" t="s">
        <v>44</v>
      </c>
      <c r="F501" s="5" t="s">
        <v>60</v>
      </c>
      <c r="G501" s="8">
        <v>1</v>
      </c>
      <c r="H501" s="8">
        <v>4087</v>
      </c>
      <c r="I501" s="5" t="s">
        <v>49</v>
      </c>
      <c r="J501" s="8">
        <v>3</v>
      </c>
      <c r="K501" s="8">
        <v>3</v>
      </c>
      <c r="L501" s="8">
        <v>6</v>
      </c>
    </row>
    <row r="502" spans="1:12" x14ac:dyDescent="0.8">
      <c r="A502" s="5" t="s">
        <v>572</v>
      </c>
      <c r="B502" s="8">
        <v>32</v>
      </c>
      <c r="C502" s="5" t="s">
        <v>49</v>
      </c>
      <c r="D502" s="5" t="s">
        <v>42</v>
      </c>
      <c r="E502" s="5" t="s">
        <v>53</v>
      </c>
      <c r="F502" s="5" t="s">
        <v>60</v>
      </c>
      <c r="G502" s="8">
        <v>4</v>
      </c>
      <c r="H502" s="8">
        <v>3312</v>
      </c>
      <c r="I502" s="5" t="s">
        <v>49</v>
      </c>
      <c r="J502" s="8">
        <v>3</v>
      </c>
      <c r="K502" s="8">
        <v>3</v>
      </c>
      <c r="L502" s="8">
        <v>3</v>
      </c>
    </row>
    <row r="503" spans="1:12" x14ac:dyDescent="0.8">
      <c r="A503" s="5" t="s">
        <v>573</v>
      </c>
      <c r="B503" s="8">
        <v>32</v>
      </c>
      <c r="C503" s="5" t="s">
        <v>49</v>
      </c>
      <c r="D503" s="5" t="s">
        <v>42</v>
      </c>
      <c r="E503" s="5" t="s">
        <v>44</v>
      </c>
      <c r="F503" s="5" t="s">
        <v>60</v>
      </c>
      <c r="G503" s="8">
        <v>2</v>
      </c>
      <c r="H503" s="8">
        <v>5470</v>
      </c>
      <c r="I503" s="5" t="s">
        <v>49</v>
      </c>
      <c r="J503" s="8">
        <v>3</v>
      </c>
      <c r="K503" s="8">
        <v>4</v>
      </c>
      <c r="L503" s="8">
        <v>9</v>
      </c>
    </row>
    <row r="504" spans="1:12" x14ac:dyDescent="0.8">
      <c r="A504" s="5" t="s">
        <v>574</v>
      </c>
      <c r="B504" s="8">
        <v>32</v>
      </c>
      <c r="C504" s="5" t="s">
        <v>40</v>
      </c>
      <c r="D504" s="5" t="s">
        <v>42</v>
      </c>
      <c r="E504" s="5" t="s">
        <v>44</v>
      </c>
      <c r="F504" s="5" t="s">
        <v>45</v>
      </c>
      <c r="G504" s="8">
        <v>2</v>
      </c>
      <c r="H504" s="8">
        <v>1393</v>
      </c>
      <c r="I504" s="5" t="s">
        <v>49</v>
      </c>
      <c r="J504" s="8">
        <v>3</v>
      </c>
      <c r="K504" s="8">
        <v>2</v>
      </c>
      <c r="L504" s="8">
        <v>1</v>
      </c>
    </row>
    <row r="505" spans="1:12" x14ac:dyDescent="0.8">
      <c r="A505" s="5" t="s">
        <v>575</v>
      </c>
      <c r="B505" s="8">
        <v>32</v>
      </c>
      <c r="C505" s="5" t="s">
        <v>49</v>
      </c>
      <c r="D505" s="5" t="s">
        <v>42</v>
      </c>
      <c r="E505" s="5" t="s">
        <v>44</v>
      </c>
      <c r="F505" s="5" t="s">
        <v>60</v>
      </c>
      <c r="G505" s="8">
        <v>3</v>
      </c>
      <c r="H505" s="8">
        <v>3433</v>
      </c>
      <c r="I505" s="5" t="s">
        <v>49</v>
      </c>
      <c r="J505" s="8">
        <v>3</v>
      </c>
      <c r="K505" s="8">
        <v>3</v>
      </c>
      <c r="L505" s="8">
        <v>5</v>
      </c>
    </row>
    <row r="506" spans="1:12" x14ac:dyDescent="0.8">
      <c r="A506" s="5" t="s">
        <v>576</v>
      </c>
      <c r="B506" s="8">
        <v>32</v>
      </c>
      <c r="C506" s="5" t="s">
        <v>40</v>
      </c>
      <c r="D506" s="5" t="s">
        <v>51</v>
      </c>
      <c r="E506" s="5" t="s">
        <v>44</v>
      </c>
      <c r="F506" s="5" t="s">
        <v>137</v>
      </c>
      <c r="G506" s="8">
        <v>2</v>
      </c>
      <c r="H506" s="8">
        <v>6735</v>
      </c>
      <c r="I506" s="5" t="s">
        <v>49</v>
      </c>
      <c r="J506" s="8">
        <v>3</v>
      </c>
      <c r="K506" s="8">
        <v>2</v>
      </c>
      <c r="L506" s="8">
        <v>0</v>
      </c>
    </row>
    <row r="507" spans="1:12" x14ac:dyDescent="0.8">
      <c r="A507" s="5" t="s">
        <v>577</v>
      </c>
      <c r="B507" s="8">
        <v>32</v>
      </c>
      <c r="C507" s="5" t="s">
        <v>49</v>
      </c>
      <c r="D507" s="5" t="s">
        <v>51</v>
      </c>
      <c r="E507" s="5" t="s">
        <v>44</v>
      </c>
      <c r="F507" s="5" t="s">
        <v>137</v>
      </c>
      <c r="G507" s="8">
        <v>3</v>
      </c>
      <c r="H507" s="8">
        <v>9610</v>
      </c>
      <c r="I507" s="5" t="s">
        <v>49</v>
      </c>
      <c r="J507" s="8">
        <v>3</v>
      </c>
      <c r="K507" s="8">
        <v>2</v>
      </c>
      <c r="L507" s="8">
        <v>4</v>
      </c>
    </row>
    <row r="508" spans="1:12" x14ac:dyDescent="0.8">
      <c r="A508" s="5" t="s">
        <v>578</v>
      </c>
      <c r="B508" s="8">
        <v>32</v>
      </c>
      <c r="C508" s="5" t="s">
        <v>49</v>
      </c>
      <c r="D508" s="5" t="s">
        <v>42</v>
      </c>
      <c r="E508" s="5" t="s">
        <v>44</v>
      </c>
      <c r="F508" s="5" t="s">
        <v>60</v>
      </c>
      <c r="G508" s="8">
        <v>2</v>
      </c>
      <c r="H508" s="8">
        <v>2718</v>
      </c>
      <c r="I508" s="5" t="s">
        <v>49</v>
      </c>
      <c r="J508" s="8">
        <v>3</v>
      </c>
      <c r="K508" s="8">
        <v>3</v>
      </c>
      <c r="L508" s="8">
        <v>7</v>
      </c>
    </row>
    <row r="509" spans="1:12" x14ac:dyDescent="0.8">
      <c r="A509" s="5" t="s">
        <v>579</v>
      </c>
      <c r="B509" s="8">
        <v>32</v>
      </c>
      <c r="C509" s="5" t="s">
        <v>49</v>
      </c>
      <c r="D509" s="5" t="s">
        <v>51</v>
      </c>
      <c r="E509" s="5" t="s">
        <v>44</v>
      </c>
      <c r="F509" s="5" t="s">
        <v>137</v>
      </c>
      <c r="G509" s="8">
        <v>4</v>
      </c>
      <c r="H509" s="8">
        <v>4648</v>
      </c>
      <c r="I509" s="5" t="s">
        <v>49</v>
      </c>
      <c r="J509" s="8">
        <v>3</v>
      </c>
      <c r="K509" s="8">
        <v>2</v>
      </c>
      <c r="L509" s="8">
        <v>0</v>
      </c>
    </row>
    <row r="510" spans="1:12" x14ac:dyDescent="0.8">
      <c r="A510" s="5" t="s">
        <v>580</v>
      </c>
      <c r="B510" s="8">
        <v>32</v>
      </c>
      <c r="C510" s="5" t="s">
        <v>40</v>
      </c>
      <c r="D510" s="5" t="s">
        <v>51</v>
      </c>
      <c r="E510" s="5" t="s">
        <v>44</v>
      </c>
      <c r="F510" s="5" t="s">
        <v>137</v>
      </c>
      <c r="G510" s="8">
        <v>2</v>
      </c>
      <c r="H510" s="8">
        <v>9907</v>
      </c>
      <c r="I510" s="5" t="s">
        <v>40</v>
      </c>
      <c r="J510" s="8">
        <v>3</v>
      </c>
      <c r="K510" s="8">
        <v>3</v>
      </c>
      <c r="L510" s="8">
        <v>2</v>
      </c>
    </row>
    <row r="511" spans="1:12" x14ac:dyDescent="0.8">
      <c r="A511" s="5" t="s">
        <v>581</v>
      </c>
      <c r="B511" s="8">
        <v>32</v>
      </c>
      <c r="C511" s="5" t="s">
        <v>40</v>
      </c>
      <c r="D511" s="5" t="s">
        <v>42</v>
      </c>
      <c r="E511" s="5" t="s">
        <v>53</v>
      </c>
      <c r="F511" s="5" t="s">
        <v>60</v>
      </c>
      <c r="G511" s="8">
        <v>3</v>
      </c>
      <c r="H511" s="8">
        <v>2432</v>
      </c>
      <c r="I511" s="5" t="s">
        <v>40</v>
      </c>
      <c r="J511" s="8">
        <v>3</v>
      </c>
      <c r="K511" s="8">
        <v>2</v>
      </c>
      <c r="L511" s="8">
        <v>4</v>
      </c>
    </row>
    <row r="512" spans="1:12" x14ac:dyDescent="0.8">
      <c r="A512" s="5" t="s">
        <v>582</v>
      </c>
      <c r="B512" s="8">
        <v>32</v>
      </c>
      <c r="C512" s="5" t="s">
        <v>49</v>
      </c>
      <c r="D512" s="5" t="s">
        <v>42</v>
      </c>
      <c r="E512" s="5" t="s">
        <v>53</v>
      </c>
      <c r="F512" s="5" t="s">
        <v>161</v>
      </c>
      <c r="G512" s="8">
        <v>4</v>
      </c>
      <c r="H512" s="8">
        <v>6667</v>
      </c>
      <c r="I512" s="5" t="s">
        <v>49</v>
      </c>
      <c r="J512" s="8">
        <v>3</v>
      </c>
      <c r="K512" s="8">
        <v>6</v>
      </c>
      <c r="L512" s="8">
        <v>5</v>
      </c>
    </row>
    <row r="513" spans="1:12" x14ac:dyDescent="0.8">
      <c r="A513" s="5" t="s">
        <v>583</v>
      </c>
      <c r="B513" s="8">
        <v>32</v>
      </c>
      <c r="C513" s="5" t="s">
        <v>49</v>
      </c>
      <c r="D513" s="5" t="s">
        <v>42</v>
      </c>
      <c r="E513" s="5" t="s">
        <v>44</v>
      </c>
      <c r="F513" s="5" t="s">
        <v>112</v>
      </c>
      <c r="G513" s="8">
        <v>4</v>
      </c>
      <c r="H513" s="8">
        <v>9679</v>
      </c>
      <c r="I513" s="5" t="s">
        <v>49</v>
      </c>
      <c r="J513" s="8">
        <v>4</v>
      </c>
      <c r="K513" s="8">
        <v>1</v>
      </c>
      <c r="L513" s="8">
        <v>1</v>
      </c>
    </row>
    <row r="514" spans="1:12" x14ac:dyDescent="0.8">
      <c r="A514" s="5" t="s">
        <v>584</v>
      </c>
      <c r="B514" s="8">
        <v>32</v>
      </c>
      <c r="C514" s="5" t="s">
        <v>49</v>
      </c>
      <c r="D514" s="5" t="s">
        <v>42</v>
      </c>
      <c r="E514" s="5" t="s">
        <v>53</v>
      </c>
      <c r="F514" s="5" t="s">
        <v>45</v>
      </c>
      <c r="G514" s="8">
        <v>2</v>
      </c>
      <c r="H514" s="8">
        <v>2837</v>
      </c>
      <c r="I514" s="5" t="s">
        <v>49</v>
      </c>
      <c r="J514" s="8">
        <v>3</v>
      </c>
      <c r="K514" s="8">
        <v>3</v>
      </c>
      <c r="L514" s="8">
        <v>6</v>
      </c>
    </row>
    <row r="515" spans="1:12" x14ac:dyDescent="0.8">
      <c r="A515" s="5" t="s">
        <v>585</v>
      </c>
      <c r="B515" s="8">
        <v>32</v>
      </c>
      <c r="C515" s="5" t="s">
        <v>49</v>
      </c>
      <c r="D515" s="5" t="s">
        <v>51</v>
      </c>
      <c r="E515" s="5" t="s">
        <v>44</v>
      </c>
      <c r="F515" s="5" t="s">
        <v>54</v>
      </c>
      <c r="G515" s="8">
        <v>2</v>
      </c>
      <c r="H515" s="8">
        <v>2269</v>
      </c>
      <c r="I515" s="5" t="s">
        <v>49</v>
      </c>
      <c r="J515" s="8">
        <v>3</v>
      </c>
      <c r="K515" s="8">
        <v>2</v>
      </c>
      <c r="L515" s="8">
        <v>2</v>
      </c>
    </row>
    <row r="516" spans="1:12" x14ac:dyDescent="0.8">
      <c r="A516" s="5" t="s">
        <v>586</v>
      </c>
      <c r="B516" s="8">
        <v>32</v>
      </c>
      <c r="C516" s="5" t="s">
        <v>49</v>
      </c>
      <c r="D516" s="5" t="s">
        <v>51</v>
      </c>
      <c r="E516" s="5" t="s">
        <v>53</v>
      </c>
      <c r="F516" s="5" t="s">
        <v>137</v>
      </c>
      <c r="G516" s="8">
        <v>4</v>
      </c>
      <c r="H516" s="8">
        <v>10422</v>
      </c>
      <c r="I516" s="5" t="s">
        <v>49</v>
      </c>
      <c r="J516" s="8">
        <v>3</v>
      </c>
      <c r="K516" s="8">
        <v>3</v>
      </c>
      <c r="L516" s="8">
        <v>14</v>
      </c>
    </row>
    <row r="517" spans="1:12" x14ac:dyDescent="0.8">
      <c r="A517" s="5" t="s">
        <v>587</v>
      </c>
      <c r="B517" s="8">
        <v>32</v>
      </c>
      <c r="C517" s="5" t="s">
        <v>49</v>
      </c>
      <c r="D517" s="5" t="s">
        <v>42</v>
      </c>
      <c r="E517" s="5" t="s">
        <v>44</v>
      </c>
      <c r="F517" s="5" t="s">
        <v>60</v>
      </c>
      <c r="G517" s="8">
        <v>1</v>
      </c>
      <c r="H517" s="8">
        <v>2439</v>
      </c>
      <c r="I517" s="5" t="s">
        <v>49</v>
      </c>
      <c r="J517" s="8">
        <v>3</v>
      </c>
      <c r="K517" s="8">
        <v>4</v>
      </c>
      <c r="L517" s="8">
        <v>4</v>
      </c>
    </row>
    <row r="518" spans="1:12" x14ac:dyDescent="0.8">
      <c r="A518" s="5" t="s">
        <v>588</v>
      </c>
      <c r="B518" s="8">
        <v>33</v>
      </c>
      <c r="C518" s="5" t="s">
        <v>49</v>
      </c>
      <c r="D518" s="5" t="s">
        <v>42</v>
      </c>
      <c r="E518" s="5" t="s">
        <v>53</v>
      </c>
      <c r="F518" s="5" t="s">
        <v>60</v>
      </c>
      <c r="G518" s="8">
        <v>3</v>
      </c>
      <c r="H518" s="8">
        <v>2909</v>
      </c>
      <c r="I518" s="5" t="s">
        <v>40</v>
      </c>
      <c r="J518" s="8">
        <v>3</v>
      </c>
      <c r="K518" s="8">
        <v>3</v>
      </c>
      <c r="L518" s="8">
        <v>8</v>
      </c>
    </row>
    <row r="519" spans="1:12" x14ac:dyDescent="0.8">
      <c r="A519" s="5" t="s">
        <v>589</v>
      </c>
      <c r="B519" s="8">
        <v>33</v>
      </c>
      <c r="C519" s="5" t="s">
        <v>49</v>
      </c>
      <c r="D519" s="5" t="s">
        <v>42</v>
      </c>
      <c r="E519" s="5" t="s">
        <v>44</v>
      </c>
      <c r="F519" s="5" t="s">
        <v>45</v>
      </c>
      <c r="G519" s="8">
        <v>4</v>
      </c>
      <c r="H519" s="8">
        <v>2496</v>
      </c>
      <c r="I519" s="5" t="s">
        <v>49</v>
      </c>
      <c r="J519" s="8">
        <v>3</v>
      </c>
      <c r="K519" s="8">
        <v>3</v>
      </c>
      <c r="L519" s="8">
        <v>1</v>
      </c>
    </row>
    <row r="520" spans="1:12" x14ac:dyDescent="0.8">
      <c r="A520" s="5" t="s">
        <v>590</v>
      </c>
      <c r="B520" s="8">
        <v>33</v>
      </c>
      <c r="C520" s="5" t="s">
        <v>49</v>
      </c>
      <c r="D520" s="5" t="s">
        <v>51</v>
      </c>
      <c r="E520" s="5" t="s">
        <v>53</v>
      </c>
      <c r="F520" s="5" t="s">
        <v>137</v>
      </c>
      <c r="G520" s="8">
        <v>1</v>
      </c>
      <c r="H520" s="8">
        <v>5376</v>
      </c>
      <c r="I520" s="5" t="s">
        <v>49</v>
      </c>
      <c r="J520" s="8">
        <v>3</v>
      </c>
      <c r="K520" s="8">
        <v>3</v>
      </c>
      <c r="L520" s="8">
        <v>5</v>
      </c>
    </row>
    <row r="521" spans="1:12" x14ac:dyDescent="0.8">
      <c r="A521" s="5" t="s">
        <v>591</v>
      </c>
      <c r="B521" s="8">
        <v>33</v>
      </c>
      <c r="C521" s="5" t="s">
        <v>49</v>
      </c>
      <c r="D521" s="5" t="s">
        <v>42</v>
      </c>
      <c r="E521" s="5" t="s">
        <v>53</v>
      </c>
      <c r="F521" s="5" t="s">
        <v>252</v>
      </c>
      <c r="G521" s="8">
        <v>4</v>
      </c>
      <c r="H521" s="8">
        <v>13458</v>
      </c>
      <c r="I521" s="5" t="s">
        <v>40</v>
      </c>
      <c r="J521" s="8">
        <v>3</v>
      </c>
      <c r="K521" s="8">
        <v>1</v>
      </c>
      <c r="L521" s="8">
        <v>15</v>
      </c>
    </row>
    <row r="522" spans="1:12" x14ac:dyDescent="0.8">
      <c r="A522" s="5" t="s">
        <v>592</v>
      </c>
      <c r="B522" s="8">
        <v>33</v>
      </c>
      <c r="C522" s="5" t="s">
        <v>49</v>
      </c>
      <c r="D522" s="5" t="s">
        <v>51</v>
      </c>
      <c r="E522" s="5" t="s">
        <v>44</v>
      </c>
      <c r="F522" s="5" t="s">
        <v>137</v>
      </c>
      <c r="G522" s="8">
        <v>2</v>
      </c>
      <c r="H522" s="8">
        <v>6146</v>
      </c>
      <c r="I522" s="5" t="s">
        <v>49</v>
      </c>
      <c r="J522" s="8">
        <v>3</v>
      </c>
      <c r="K522" s="8">
        <v>2</v>
      </c>
      <c r="L522" s="8">
        <v>7</v>
      </c>
    </row>
    <row r="523" spans="1:12" x14ac:dyDescent="0.8">
      <c r="A523" s="5" t="s">
        <v>593</v>
      </c>
      <c r="B523" s="8">
        <v>33</v>
      </c>
      <c r="C523" s="5" t="s">
        <v>49</v>
      </c>
      <c r="D523" s="5" t="s">
        <v>42</v>
      </c>
      <c r="E523" s="5" t="s">
        <v>44</v>
      </c>
      <c r="F523" s="5" t="s">
        <v>60</v>
      </c>
      <c r="G523" s="8">
        <v>4</v>
      </c>
      <c r="H523" s="8">
        <v>2500</v>
      </c>
      <c r="I523" s="5" t="s">
        <v>49</v>
      </c>
      <c r="J523" s="8">
        <v>3</v>
      </c>
      <c r="K523" s="8">
        <v>2</v>
      </c>
      <c r="L523" s="8">
        <v>3</v>
      </c>
    </row>
    <row r="524" spans="1:12" x14ac:dyDescent="0.8">
      <c r="A524" s="5" t="s">
        <v>594</v>
      </c>
      <c r="B524" s="8">
        <v>33</v>
      </c>
      <c r="C524" s="5" t="s">
        <v>49</v>
      </c>
      <c r="D524" s="5" t="s">
        <v>42</v>
      </c>
      <c r="E524" s="5" t="s">
        <v>53</v>
      </c>
      <c r="F524" s="5" t="s">
        <v>60</v>
      </c>
      <c r="G524" s="8">
        <v>2</v>
      </c>
      <c r="H524" s="8">
        <v>2756</v>
      </c>
      <c r="I524" s="5" t="s">
        <v>49</v>
      </c>
      <c r="J524" s="8">
        <v>3</v>
      </c>
      <c r="K524" s="8">
        <v>5</v>
      </c>
      <c r="L524" s="8">
        <v>8</v>
      </c>
    </row>
    <row r="525" spans="1:12" x14ac:dyDescent="0.8">
      <c r="A525" s="5" t="s">
        <v>595</v>
      </c>
      <c r="B525" s="8">
        <v>33</v>
      </c>
      <c r="C525" s="5" t="s">
        <v>49</v>
      </c>
      <c r="D525" s="5" t="s">
        <v>42</v>
      </c>
      <c r="E525" s="5" t="s">
        <v>53</v>
      </c>
      <c r="F525" s="5" t="s">
        <v>60</v>
      </c>
      <c r="G525" s="8">
        <v>2</v>
      </c>
      <c r="H525" s="8">
        <v>2622</v>
      </c>
      <c r="I525" s="5" t="s">
        <v>49</v>
      </c>
      <c r="J525" s="8">
        <v>4</v>
      </c>
      <c r="K525" s="8">
        <v>3</v>
      </c>
      <c r="L525" s="8">
        <v>3</v>
      </c>
    </row>
    <row r="526" spans="1:12" x14ac:dyDescent="0.8">
      <c r="A526" s="5" t="s">
        <v>596</v>
      </c>
      <c r="B526" s="8">
        <v>33</v>
      </c>
      <c r="C526" s="5" t="s">
        <v>40</v>
      </c>
      <c r="D526" s="5" t="s">
        <v>42</v>
      </c>
      <c r="E526" s="5" t="s">
        <v>44</v>
      </c>
      <c r="F526" s="5" t="s">
        <v>45</v>
      </c>
      <c r="G526" s="8">
        <v>4</v>
      </c>
      <c r="H526" s="8">
        <v>2436</v>
      </c>
      <c r="I526" s="5" t="s">
        <v>40</v>
      </c>
      <c r="J526" s="8">
        <v>3</v>
      </c>
      <c r="K526" s="8">
        <v>2</v>
      </c>
      <c r="L526" s="8">
        <v>5</v>
      </c>
    </row>
    <row r="527" spans="1:12" x14ac:dyDescent="0.8">
      <c r="A527" s="5" t="s">
        <v>597</v>
      </c>
      <c r="B527" s="8">
        <v>33</v>
      </c>
      <c r="C527" s="5" t="s">
        <v>40</v>
      </c>
      <c r="D527" s="5" t="s">
        <v>42</v>
      </c>
      <c r="E527" s="5" t="s">
        <v>53</v>
      </c>
      <c r="F527" s="5" t="s">
        <v>45</v>
      </c>
      <c r="G527" s="8">
        <v>1</v>
      </c>
      <c r="H527" s="8">
        <v>2707</v>
      </c>
      <c r="I527" s="5" t="s">
        <v>49</v>
      </c>
      <c r="J527" s="8">
        <v>4</v>
      </c>
      <c r="K527" s="8">
        <v>3</v>
      </c>
      <c r="L527" s="8">
        <v>9</v>
      </c>
    </row>
    <row r="528" spans="1:12" x14ac:dyDescent="0.8">
      <c r="A528" s="5" t="s">
        <v>598</v>
      </c>
      <c r="B528" s="8">
        <v>33</v>
      </c>
      <c r="C528" s="5" t="s">
        <v>49</v>
      </c>
      <c r="D528" s="5" t="s">
        <v>42</v>
      </c>
      <c r="E528" s="5" t="s">
        <v>53</v>
      </c>
      <c r="F528" s="5" t="s">
        <v>60</v>
      </c>
      <c r="G528" s="8">
        <v>4</v>
      </c>
      <c r="H528" s="8">
        <v>2911</v>
      </c>
      <c r="I528" s="5" t="s">
        <v>49</v>
      </c>
      <c r="J528" s="8">
        <v>3</v>
      </c>
      <c r="K528" s="8">
        <v>2</v>
      </c>
      <c r="L528" s="8">
        <v>2</v>
      </c>
    </row>
    <row r="529" spans="1:12" x14ac:dyDescent="0.8">
      <c r="A529" s="5" t="s">
        <v>599</v>
      </c>
      <c r="B529" s="8">
        <v>33</v>
      </c>
      <c r="C529" s="5" t="s">
        <v>49</v>
      </c>
      <c r="D529" s="5" t="s">
        <v>42</v>
      </c>
      <c r="E529" s="5" t="s">
        <v>53</v>
      </c>
      <c r="F529" s="5" t="s">
        <v>442</v>
      </c>
      <c r="G529" s="8">
        <v>2</v>
      </c>
      <c r="H529" s="8">
        <v>11878</v>
      </c>
      <c r="I529" s="5" t="s">
        <v>49</v>
      </c>
      <c r="J529" s="8">
        <v>3</v>
      </c>
      <c r="K529" s="8">
        <v>2</v>
      </c>
      <c r="L529" s="8">
        <v>10</v>
      </c>
    </row>
    <row r="530" spans="1:12" x14ac:dyDescent="0.8">
      <c r="A530" s="5" t="s">
        <v>600</v>
      </c>
      <c r="B530" s="8">
        <v>33</v>
      </c>
      <c r="C530" s="5" t="s">
        <v>49</v>
      </c>
      <c r="D530" s="5" t="s">
        <v>51</v>
      </c>
      <c r="E530" s="5" t="s">
        <v>44</v>
      </c>
      <c r="F530" s="5" t="s">
        <v>137</v>
      </c>
      <c r="G530" s="8">
        <v>4</v>
      </c>
      <c r="H530" s="8">
        <v>4682</v>
      </c>
      <c r="I530" s="5" t="s">
        <v>49</v>
      </c>
      <c r="J530" s="8">
        <v>3</v>
      </c>
      <c r="K530" s="8">
        <v>6</v>
      </c>
      <c r="L530" s="8">
        <v>7</v>
      </c>
    </row>
    <row r="531" spans="1:12" x14ac:dyDescent="0.8">
      <c r="A531" s="5" t="s">
        <v>601</v>
      </c>
      <c r="B531" s="8">
        <v>33</v>
      </c>
      <c r="C531" s="5" t="s">
        <v>40</v>
      </c>
      <c r="D531" s="5" t="s">
        <v>51</v>
      </c>
      <c r="E531" s="5" t="s">
        <v>53</v>
      </c>
      <c r="F531" s="5" t="s">
        <v>54</v>
      </c>
      <c r="G531" s="8">
        <v>3</v>
      </c>
      <c r="H531" s="8">
        <v>2851</v>
      </c>
      <c r="I531" s="5" t="s">
        <v>40</v>
      </c>
      <c r="J531" s="8">
        <v>3</v>
      </c>
      <c r="K531" s="8">
        <v>2</v>
      </c>
      <c r="L531" s="8">
        <v>1</v>
      </c>
    </row>
    <row r="532" spans="1:12" x14ac:dyDescent="0.8">
      <c r="A532" s="5" t="s">
        <v>602</v>
      </c>
      <c r="B532" s="8">
        <v>33</v>
      </c>
      <c r="C532" s="5" t="s">
        <v>40</v>
      </c>
      <c r="D532" s="5" t="s">
        <v>42</v>
      </c>
      <c r="E532" s="5" t="s">
        <v>44</v>
      </c>
      <c r="F532" s="5" t="s">
        <v>442</v>
      </c>
      <c r="G532" s="8">
        <v>3</v>
      </c>
      <c r="H532" s="8">
        <v>13610</v>
      </c>
      <c r="I532" s="5" t="s">
        <v>40</v>
      </c>
      <c r="J532" s="8">
        <v>3</v>
      </c>
      <c r="K532" s="8">
        <v>2</v>
      </c>
      <c r="L532" s="8">
        <v>7</v>
      </c>
    </row>
    <row r="533" spans="1:12" x14ac:dyDescent="0.8">
      <c r="A533" s="5" t="s">
        <v>603</v>
      </c>
      <c r="B533" s="8">
        <v>33</v>
      </c>
      <c r="C533" s="5" t="s">
        <v>40</v>
      </c>
      <c r="D533" s="5" t="s">
        <v>42</v>
      </c>
      <c r="E533" s="5" t="s">
        <v>44</v>
      </c>
      <c r="F533" s="5" t="s">
        <v>45</v>
      </c>
      <c r="G533" s="8">
        <v>4</v>
      </c>
      <c r="H533" s="8">
        <v>3408</v>
      </c>
      <c r="I533" s="5" t="s">
        <v>49</v>
      </c>
      <c r="J533" s="8">
        <v>3</v>
      </c>
      <c r="K533" s="8">
        <v>2</v>
      </c>
      <c r="L533" s="8">
        <v>4</v>
      </c>
    </row>
    <row r="534" spans="1:12" x14ac:dyDescent="0.8">
      <c r="A534" s="5" t="s">
        <v>604</v>
      </c>
      <c r="B534" s="8">
        <v>33</v>
      </c>
      <c r="C534" s="5" t="s">
        <v>49</v>
      </c>
      <c r="D534" s="5" t="s">
        <v>42</v>
      </c>
      <c r="E534" s="5" t="s">
        <v>53</v>
      </c>
      <c r="F534" s="5" t="s">
        <v>252</v>
      </c>
      <c r="G534" s="8">
        <v>3</v>
      </c>
      <c r="H534" s="8">
        <v>16184</v>
      </c>
      <c r="I534" s="5" t="s">
        <v>49</v>
      </c>
      <c r="J534" s="8">
        <v>3</v>
      </c>
      <c r="K534" s="8">
        <v>2</v>
      </c>
      <c r="L534" s="8">
        <v>6</v>
      </c>
    </row>
    <row r="535" spans="1:12" x14ac:dyDescent="0.8">
      <c r="A535" s="5" t="s">
        <v>605</v>
      </c>
      <c r="B535" s="8">
        <v>33</v>
      </c>
      <c r="C535" s="5" t="s">
        <v>49</v>
      </c>
      <c r="D535" s="5" t="s">
        <v>51</v>
      </c>
      <c r="E535" s="5" t="s">
        <v>44</v>
      </c>
      <c r="F535" s="5" t="s">
        <v>137</v>
      </c>
      <c r="G535" s="8">
        <v>3</v>
      </c>
      <c r="H535" s="8">
        <v>7104</v>
      </c>
      <c r="I535" s="5" t="s">
        <v>49</v>
      </c>
      <c r="J535" s="8">
        <v>3</v>
      </c>
      <c r="K535" s="8">
        <v>3</v>
      </c>
      <c r="L535" s="8">
        <v>5</v>
      </c>
    </row>
    <row r="536" spans="1:12" x14ac:dyDescent="0.8">
      <c r="A536" s="5" t="s">
        <v>606</v>
      </c>
      <c r="B536" s="8">
        <v>33</v>
      </c>
      <c r="C536" s="5" t="s">
        <v>49</v>
      </c>
      <c r="D536" s="5" t="s">
        <v>42</v>
      </c>
      <c r="E536" s="5" t="s">
        <v>44</v>
      </c>
      <c r="F536" s="5" t="s">
        <v>161</v>
      </c>
      <c r="G536" s="8">
        <v>4</v>
      </c>
      <c r="H536" s="8">
        <v>7725</v>
      </c>
      <c r="I536" s="5" t="s">
        <v>49</v>
      </c>
      <c r="J536" s="8">
        <v>4</v>
      </c>
      <c r="K536" s="8">
        <v>2</v>
      </c>
      <c r="L536" s="8">
        <v>13</v>
      </c>
    </row>
    <row r="537" spans="1:12" x14ac:dyDescent="0.8">
      <c r="A537" s="5" t="s">
        <v>607</v>
      </c>
      <c r="B537" s="8">
        <v>33</v>
      </c>
      <c r="C537" s="5" t="s">
        <v>40</v>
      </c>
      <c r="D537" s="5" t="s">
        <v>42</v>
      </c>
      <c r="E537" s="5" t="s">
        <v>44</v>
      </c>
      <c r="F537" s="5" t="s">
        <v>60</v>
      </c>
      <c r="G537" s="8">
        <v>1</v>
      </c>
      <c r="H537" s="8">
        <v>3348</v>
      </c>
      <c r="I537" s="5" t="s">
        <v>40</v>
      </c>
      <c r="J537" s="8">
        <v>3</v>
      </c>
      <c r="K537" s="8">
        <v>3</v>
      </c>
      <c r="L537" s="8">
        <v>10</v>
      </c>
    </row>
    <row r="538" spans="1:12" x14ac:dyDescent="0.8">
      <c r="A538" s="5" t="s">
        <v>608</v>
      </c>
      <c r="B538" s="8">
        <v>33</v>
      </c>
      <c r="C538" s="5" t="s">
        <v>40</v>
      </c>
      <c r="D538" s="5" t="s">
        <v>42</v>
      </c>
      <c r="E538" s="5" t="s">
        <v>44</v>
      </c>
      <c r="F538" s="5" t="s">
        <v>60</v>
      </c>
      <c r="G538" s="8">
        <v>4</v>
      </c>
      <c r="H538" s="8">
        <v>2686</v>
      </c>
      <c r="I538" s="5" t="s">
        <v>40</v>
      </c>
      <c r="J538" s="8">
        <v>3</v>
      </c>
      <c r="K538" s="8">
        <v>2</v>
      </c>
      <c r="L538" s="8">
        <v>10</v>
      </c>
    </row>
    <row r="539" spans="1:12" x14ac:dyDescent="0.8">
      <c r="A539" s="5" t="s">
        <v>609</v>
      </c>
      <c r="B539" s="8">
        <v>33</v>
      </c>
      <c r="C539" s="5" t="s">
        <v>49</v>
      </c>
      <c r="D539" s="5" t="s">
        <v>42</v>
      </c>
      <c r="E539" s="5" t="s">
        <v>44</v>
      </c>
      <c r="F539" s="5" t="s">
        <v>252</v>
      </c>
      <c r="G539" s="8">
        <v>3</v>
      </c>
      <c r="H539" s="8">
        <v>11691</v>
      </c>
      <c r="I539" s="5" t="s">
        <v>49</v>
      </c>
      <c r="J539" s="8">
        <v>3</v>
      </c>
      <c r="K539" s="8">
        <v>3</v>
      </c>
      <c r="L539" s="8">
        <v>13</v>
      </c>
    </row>
    <row r="540" spans="1:12" x14ac:dyDescent="0.8">
      <c r="A540" s="5" t="s">
        <v>610</v>
      </c>
      <c r="B540" s="8">
        <v>33</v>
      </c>
      <c r="C540" s="5" t="s">
        <v>40</v>
      </c>
      <c r="D540" s="5" t="s">
        <v>51</v>
      </c>
      <c r="E540" s="5" t="s">
        <v>53</v>
      </c>
      <c r="F540" s="5" t="s">
        <v>137</v>
      </c>
      <c r="G540" s="8">
        <v>1</v>
      </c>
      <c r="H540" s="8">
        <v>5324</v>
      </c>
      <c r="I540" s="5" t="s">
        <v>49</v>
      </c>
      <c r="J540" s="8">
        <v>3</v>
      </c>
      <c r="K540" s="8">
        <v>3</v>
      </c>
      <c r="L540" s="8">
        <v>3</v>
      </c>
    </row>
    <row r="541" spans="1:12" x14ac:dyDescent="0.8">
      <c r="A541" s="5" t="s">
        <v>611</v>
      </c>
      <c r="B541" s="8">
        <v>33</v>
      </c>
      <c r="C541" s="5" t="s">
        <v>49</v>
      </c>
      <c r="D541" s="5" t="s">
        <v>51</v>
      </c>
      <c r="E541" s="5" t="s">
        <v>44</v>
      </c>
      <c r="F541" s="5" t="s">
        <v>137</v>
      </c>
      <c r="G541" s="8">
        <v>1</v>
      </c>
      <c r="H541" s="8">
        <v>4037</v>
      </c>
      <c r="I541" s="5" t="s">
        <v>49</v>
      </c>
      <c r="J541" s="8">
        <v>4</v>
      </c>
      <c r="K541" s="8">
        <v>5</v>
      </c>
      <c r="L541" s="8">
        <v>9</v>
      </c>
    </row>
    <row r="542" spans="1:12" x14ac:dyDescent="0.8">
      <c r="A542" s="5" t="s">
        <v>612</v>
      </c>
      <c r="B542" s="8">
        <v>33</v>
      </c>
      <c r="C542" s="5" t="s">
        <v>49</v>
      </c>
      <c r="D542" s="5" t="s">
        <v>71</v>
      </c>
      <c r="E542" s="5" t="s">
        <v>44</v>
      </c>
      <c r="F542" s="5" t="s">
        <v>71</v>
      </c>
      <c r="G542" s="8">
        <v>2</v>
      </c>
      <c r="H542" s="8">
        <v>2277</v>
      </c>
      <c r="I542" s="5" t="s">
        <v>40</v>
      </c>
      <c r="J542" s="8">
        <v>3</v>
      </c>
      <c r="K542" s="8">
        <v>4</v>
      </c>
      <c r="L542" s="8">
        <v>4</v>
      </c>
    </row>
    <row r="543" spans="1:12" x14ac:dyDescent="0.8">
      <c r="A543" s="5" t="s">
        <v>613</v>
      </c>
      <c r="B543" s="8">
        <v>33</v>
      </c>
      <c r="C543" s="5" t="s">
        <v>49</v>
      </c>
      <c r="D543" s="5" t="s">
        <v>42</v>
      </c>
      <c r="E543" s="5" t="s">
        <v>44</v>
      </c>
      <c r="F543" s="5" t="s">
        <v>60</v>
      </c>
      <c r="G543" s="8">
        <v>1</v>
      </c>
      <c r="H543" s="8">
        <v>2799</v>
      </c>
      <c r="I543" s="5" t="s">
        <v>40</v>
      </c>
      <c r="J543" s="8">
        <v>3</v>
      </c>
      <c r="K543" s="8">
        <v>1</v>
      </c>
      <c r="L543" s="8">
        <v>3</v>
      </c>
    </row>
    <row r="544" spans="1:12" x14ac:dyDescent="0.8">
      <c r="A544" s="5" t="s">
        <v>614</v>
      </c>
      <c r="B544" s="8">
        <v>33</v>
      </c>
      <c r="C544" s="5" t="s">
        <v>49</v>
      </c>
      <c r="D544" s="5" t="s">
        <v>42</v>
      </c>
      <c r="E544" s="5" t="s">
        <v>53</v>
      </c>
      <c r="F544" s="5" t="s">
        <v>161</v>
      </c>
      <c r="G544" s="8">
        <v>4</v>
      </c>
      <c r="H544" s="8">
        <v>6949</v>
      </c>
      <c r="I544" s="5" t="s">
        <v>49</v>
      </c>
      <c r="J544" s="8">
        <v>3</v>
      </c>
      <c r="K544" s="8">
        <v>3</v>
      </c>
      <c r="L544" s="8">
        <v>5</v>
      </c>
    </row>
    <row r="545" spans="1:12" x14ac:dyDescent="0.8">
      <c r="A545" s="5" t="s">
        <v>615</v>
      </c>
      <c r="B545" s="8">
        <v>33</v>
      </c>
      <c r="C545" s="5" t="s">
        <v>49</v>
      </c>
      <c r="D545" s="5" t="s">
        <v>51</v>
      </c>
      <c r="E545" s="5" t="s">
        <v>44</v>
      </c>
      <c r="F545" s="5" t="s">
        <v>442</v>
      </c>
      <c r="G545" s="8">
        <v>3</v>
      </c>
      <c r="H545" s="8">
        <v>17444</v>
      </c>
      <c r="I545" s="5" t="s">
        <v>49</v>
      </c>
      <c r="J545" s="8">
        <v>3</v>
      </c>
      <c r="K545" s="8">
        <v>2</v>
      </c>
      <c r="L545" s="8">
        <v>10</v>
      </c>
    </row>
    <row r="546" spans="1:12" x14ac:dyDescent="0.8">
      <c r="A546" s="5" t="s">
        <v>616</v>
      </c>
      <c r="B546" s="8">
        <v>33</v>
      </c>
      <c r="C546" s="5" t="s">
        <v>49</v>
      </c>
      <c r="D546" s="5" t="s">
        <v>42</v>
      </c>
      <c r="E546" s="5" t="s">
        <v>53</v>
      </c>
      <c r="F546" s="5" t="s">
        <v>60</v>
      </c>
      <c r="G546" s="8">
        <v>4</v>
      </c>
      <c r="H546" s="8">
        <v>3452</v>
      </c>
      <c r="I546" s="5" t="s">
        <v>49</v>
      </c>
      <c r="J546" s="8">
        <v>3</v>
      </c>
      <c r="K546" s="8">
        <v>4</v>
      </c>
      <c r="L546" s="8">
        <v>3</v>
      </c>
    </row>
    <row r="547" spans="1:12" x14ac:dyDescent="0.8">
      <c r="A547" s="5" t="s">
        <v>617</v>
      </c>
      <c r="B547" s="8">
        <v>33</v>
      </c>
      <c r="C547" s="5" t="s">
        <v>49</v>
      </c>
      <c r="D547" s="5" t="s">
        <v>42</v>
      </c>
      <c r="E547" s="5" t="s">
        <v>53</v>
      </c>
      <c r="F547" s="5" t="s">
        <v>161</v>
      </c>
      <c r="G547" s="8">
        <v>2</v>
      </c>
      <c r="H547" s="8">
        <v>5488</v>
      </c>
      <c r="I547" s="5" t="s">
        <v>40</v>
      </c>
      <c r="J547" s="8">
        <v>3</v>
      </c>
      <c r="K547" s="8">
        <v>2</v>
      </c>
      <c r="L547" s="8">
        <v>6</v>
      </c>
    </row>
    <row r="548" spans="1:12" x14ac:dyDescent="0.8">
      <c r="A548" s="5" t="s">
        <v>618</v>
      </c>
      <c r="B548" s="8">
        <v>33</v>
      </c>
      <c r="C548" s="5" t="s">
        <v>49</v>
      </c>
      <c r="D548" s="5" t="s">
        <v>51</v>
      </c>
      <c r="E548" s="5" t="s">
        <v>53</v>
      </c>
      <c r="F548" s="5" t="s">
        <v>54</v>
      </c>
      <c r="G548" s="8">
        <v>4</v>
      </c>
      <c r="H548" s="8">
        <v>2342</v>
      </c>
      <c r="I548" s="5" t="s">
        <v>49</v>
      </c>
      <c r="J548" s="8">
        <v>3</v>
      </c>
      <c r="K548" s="8">
        <v>2</v>
      </c>
      <c r="L548" s="8">
        <v>2</v>
      </c>
    </row>
    <row r="549" spans="1:12" x14ac:dyDescent="0.8">
      <c r="A549" s="5" t="s">
        <v>619</v>
      </c>
      <c r="B549" s="8">
        <v>33</v>
      </c>
      <c r="C549" s="5" t="s">
        <v>49</v>
      </c>
      <c r="D549" s="5" t="s">
        <v>42</v>
      </c>
      <c r="E549" s="5" t="s">
        <v>44</v>
      </c>
      <c r="F549" s="5" t="s">
        <v>161</v>
      </c>
      <c r="G549" s="8">
        <v>4</v>
      </c>
      <c r="H549" s="8">
        <v>7119</v>
      </c>
      <c r="I549" s="5" t="s">
        <v>49</v>
      </c>
      <c r="J549" s="8">
        <v>3</v>
      </c>
      <c r="K549" s="8">
        <v>2</v>
      </c>
      <c r="L549" s="8">
        <v>3</v>
      </c>
    </row>
    <row r="550" spans="1:12" x14ac:dyDescent="0.8">
      <c r="A550" s="5" t="s">
        <v>620</v>
      </c>
      <c r="B550" s="8">
        <v>33</v>
      </c>
      <c r="C550" s="5" t="s">
        <v>40</v>
      </c>
      <c r="D550" s="5" t="s">
        <v>42</v>
      </c>
      <c r="E550" s="5" t="s">
        <v>53</v>
      </c>
      <c r="F550" s="5" t="s">
        <v>60</v>
      </c>
      <c r="G550" s="8">
        <v>3</v>
      </c>
      <c r="H550" s="8">
        <v>4508</v>
      </c>
      <c r="I550" s="5" t="s">
        <v>49</v>
      </c>
      <c r="J550" s="8">
        <v>4</v>
      </c>
      <c r="K550" s="8">
        <v>4</v>
      </c>
      <c r="L550" s="8">
        <v>13</v>
      </c>
    </row>
    <row r="551" spans="1:12" x14ac:dyDescent="0.8">
      <c r="A551" s="5" t="s">
        <v>621</v>
      </c>
      <c r="B551" s="8">
        <v>33</v>
      </c>
      <c r="C551" s="5" t="s">
        <v>40</v>
      </c>
      <c r="D551" s="5" t="s">
        <v>42</v>
      </c>
      <c r="E551" s="5" t="s">
        <v>44</v>
      </c>
      <c r="F551" s="5" t="s">
        <v>60</v>
      </c>
      <c r="G551" s="8">
        <v>2</v>
      </c>
      <c r="H551" s="8">
        <v>2313</v>
      </c>
      <c r="I551" s="5" t="s">
        <v>40</v>
      </c>
      <c r="J551" s="8">
        <v>4</v>
      </c>
      <c r="K551" s="8">
        <v>0</v>
      </c>
      <c r="L551" s="8">
        <v>2</v>
      </c>
    </row>
    <row r="552" spans="1:12" x14ac:dyDescent="0.8">
      <c r="A552" s="5" t="s">
        <v>622</v>
      </c>
      <c r="B552" s="8">
        <v>33</v>
      </c>
      <c r="C552" s="5" t="s">
        <v>49</v>
      </c>
      <c r="D552" s="5" t="s">
        <v>51</v>
      </c>
      <c r="E552" s="5" t="s">
        <v>53</v>
      </c>
      <c r="F552" s="5" t="s">
        <v>137</v>
      </c>
      <c r="G552" s="8">
        <v>2</v>
      </c>
      <c r="H552" s="8">
        <v>4302</v>
      </c>
      <c r="I552" s="5" t="s">
        <v>49</v>
      </c>
      <c r="J552" s="8">
        <v>3</v>
      </c>
      <c r="K552" s="8">
        <v>3</v>
      </c>
      <c r="L552" s="8">
        <v>3</v>
      </c>
    </row>
    <row r="553" spans="1:12" x14ac:dyDescent="0.8">
      <c r="A553" s="5" t="s">
        <v>623</v>
      </c>
      <c r="B553" s="8">
        <v>33</v>
      </c>
      <c r="C553" s="5" t="s">
        <v>40</v>
      </c>
      <c r="D553" s="5" t="s">
        <v>51</v>
      </c>
      <c r="E553" s="5" t="s">
        <v>53</v>
      </c>
      <c r="F553" s="5" t="s">
        <v>137</v>
      </c>
      <c r="G553" s="8">
        <v>1</v>
      </c>
      <c r="H553" s="8">
        <v>8224</v>
      </c>
      <c r="I553" s="5" t="s">
        <v>40</v>
      </c>
      <c r="J553" s="8">
        <v>3</v>
      </c>
      <c r="K553" s="8">
        <v>3</v>
      </c>
      <c r="L553" s="8">
        <v>5</v>
      </c>
    </row>
    <row r="554" spans="1:12" x14ac:dyDescent="0.8">
      <c r="A554" s="5" t="s">
        <v>624</v>
      </c>
      <c r="B554" s="8">
        <v>33</v>
      </c>
      <c r="C554" s="5" t="s">
        <v>49</v>
      </c>
      <c r="D554" s="5" t="s">
        <v>71</v>
      </c>
      <c r="E554" s="5" t="s">
        <v>44</v>
      </c>
      <c r="F554" s="5" t="s">
        <v>71</v>
      </c>
      <c r="G554" s="8">
        <v>3</v>
      </c>
      <c r="H554" s="8">
        <v>3600</v>
      </c>
      <c r="I554" s="5" t="s">
        <v>49</v>
      </c>
      <c r="J554" s="8">
        <v>3</v>
      </c>
      <c r="K554" s="8">
        <v>2</v>
      </c>
      <c r="L554" s="8">
        <v>5</v>
      </c>
    </row>
    <row r="555" spans="1:12" x14ac:dyDescent="0.8">
      <c r="A555" s="5" t="s">
        <v>625</v>
      </c>
      <c r="B555" s="8">
        <v>33</v>
      </c>
      <c r="C555" s="5" t="s">
        <v>49</v>
      </c>
      <c r="D555" s="5" t="s">
        <v>51</v>
      </c>
      <c r="E555" s="5" t="s">
        <v>53</v>
      </c>
      <c r="F555" s="5" t="s">
        <v>137</v>
      </c>
      <c r="G555" s="8">
        <v>3</v>
      </c>
      <c r="H555" s="8">
        <v>4539</v>
      </c>
      <c r="I555" s="5" t="s">
        <v>49</v>
      </c>
      <c r="J555" s="8">
        <v>3</v>
      </c>
      <c r="K555" s="8">
        <v>3</v>
      </c>
      <c r="L555" s="8">
        <v>10</v>
      </c>
    </row>
    <row r="556" spans="1:12" x14ac:dyDescent="0.8">
      <c r="A556" s="5" t="s">
        <v>626</v>
      </c>
      <c r="B556" s="8">
        <v>33</v>
      </c>
      <c r="C556" s="5" t="s">
        <v>49</v>
      </c>
      <c r="D556" s="5" t="s">
        <v>42</v>
      </c>
      <c r="E556" s="5" t="s">
        <v>44</v>
      </c>
      <c r="F556" s="5" t="s">
        <v>60</v>
      </c>
      <c r="G556" s="8">
        <v>4</v>
      </c>
      <c r="H556" s="8">
        <v>2781</v>
      </c>
      <c r="I556" s="5" t="s">
        <v>49</v>
      </c>
      <c r="J556" s="8">
        <v>3</v>
      </c>
      <c r="K556" s="8">
        <v>5</v>
      </c>
      <c r="L556" s="8">
        <v>14</v>
      </c>
    </row>
    <row r="557" spans="1:12" x14ac:dyDescent="0.8">
      <c r="A557" s="5" t="s">
        <v>627</v>
      </c>
      <c r="B557" s="8">
        <v>33</v>
      </c>
      <c r="C557" s="5" t="s">
        <v>49</v>
      </c>
      <c r="D557" s="5" t="s">
        <v>51</v>
      </c>
      <c r="E557" s="5" t="s">
        <v>44</v>
      </c>
      <c r="F557" s="5" t="s">
        <v>137</v>
      </c>
      <c r="G557" s="8">
        <v>3</v>
      </c>
      <c r="H557" s="8">
        <v>8380</v>
      </c>
      <c r="I557" s="5" t="s">
        <v>40</v>
      </c>
      <c r="J557" s="8">
        <v>3</v>
      </c>
      <c r="K557" s="8">
        <v>3</v>
      </c>
      <c r="L557" s="8">
        <v>9</v>
      </c>
    </row>
    <row r="558" spans="1:12" x14ac:dyDescent="0.8">
      <c r="A558" s="5" t="s">
        <v>628</v>
      </c>
      <c r="B558" s="8">
        <v>33</v>
      </c>
      <c r="C558" s="5" t="s">
        <v>49</v>
      </c>
      <c r="D558" s="5" t="s">
        <v>51</v>
      </c>
      <c r="E558" s="5" t="s">
        <v>44</v>
      </c>
      <c r="F558" s="5" t="s">
        <v>137</v>
      </c>
      <c r="G558" s="8">
        <v>4</v>
      </c>
      <c r="H558" s="8">
        <v>9998</v>
      </c>
      <c r="I558" s="5" t="s">
        <v>49</v>
      </c>
      <c r="J558" s="8">
        <v>3</v>
      </c>
      <c r="K558" s="8">
        <v>2</v>
      </c>
      <c r="L558" s="8">
        <v>5</v>
      </c>
    </row>
    <row r="559" spans="1:12" x14ac:dyDescent="0.8">
      <c r="A559" s="5" t="s">
        <v>629</v>
      </c>
      <c r="B559" s="8">
        <v>33</v>
      </c>
      <c r="C559" s="5" t="s">
        <v>49</v>
      </c>
      <c r="D559" s="5" t="s">
        <v>51</v>
      </c>
      <c r="E559" s="5" t="s">
        <v>44</v>
      </c>
      <c r="F559" s="5" t="s">
        <v>137</v>
      </c>
      <c r="G559" s="8">
        <v>1</v>
      </c>
      <c r="H559" s="8">
        <v>4373</v>
      </c>
      <c r="I559" s="5" t="s">
        <v>49</v>
      </c>
      <c r="J559" s="8">
        <v>3</v>
      </c>
      <c r="K559" s="8">
        <v>2</v>
      </c>
      <c r="L559" s="8">
        <v>4</v>
      </c>
    </row>
    <row r="560" spans="1:12" x14ac:dyDescent="0.8">
      <c r="A560" s="5" t="s">
        <v>630</v>
      </c>
      <c r="B560" s="8">
        <v>33</v>
      </c>
      <c r="C560" s="5" t="s">
        <v>49</v>
      </c>
      <c r="D560" s="5" t="s">
        <v>42</v>
      </c>
      <c r="E560" s="5" t="s">
        <v>53</v>
      </c>
      <c r="F560" s="5" t="s">
        <v>45</v>
      </c>
      <c r="G560" s="8">
        <v>2</v>
      </c>
      <c r="H560" s="8">
        <v>3838</v>
      </c>
      <c r="I560" s="5" t="s">
        <v>49</v>
      </c>
      <c r="J560" s="8">
        <v>3</v>
      </c>
      <c r="K560" s="8">
        <v>5</v>
      </c>
      <c r="L560" s="8">
        <v>5</v>
      </c>
    </row>
    <row r="561" spans="1:12" x14ac:dyDescent="0.8">
      <c r="A561" s="5" t="s">
        <v>631</v>
      </c>
      <c r="B561" s="8">
        <v>33</v>
      </c>
      <c r="C561" s="5" t="s">
        <v>49</v>
      </c>
      <c r="D561" s="5" t="s">
        <v>42</v>
      </c>
      <c r="E561" s="5" t="s">
        <v>44</v>
      </c>
      <c r="F561" s="5" t="s">
        <v>161</v>
      </c>
      <c r="G561" s="8">
        <v>3</v>
      </c>
      <c r="H561" s="8">
        <v>6388</v>
      </c>
      <c r="I561" s="5" t="s">
        <v>40</v>
      </c>
      <c r="J561" s="8">
        <v>3</v>
      </c>
      <c r="K561" s="8">
        <v>6</v>
      </c>
      <c r="L561" s="8">
        <v>0</v>
      </c>
    </row>
    <row r="562" spans="1:12" x14ac:dyDescent="0.8">
      <c r="A562" s="5" t="s">
        <v>632</v>
      </c>
      <c r="B562" s="8">
        <v>33</v>
      </c>
      <c r="C562" s="5" t="s">
        <v>49</v>
      </c>
      <c r="D562" s="5" t="s">
        <v>42</v>
      </c>
      <c r="E562" s="5" t="s">
        <v>44</v>
      </c>
      <c r="F562" s="5" t="s">
        <v>112</v>
      </c>
      <c r="G562" s="8">
        <v>2</v>
      </c>
      <c r="H562" s="8">
        <v>4320</v>
      </c>
      <c r="I562" s="5" t="s">
        <v>49</v>
      </c>
      <c r="J562" s="8">
        <v>3</v>
      </c>
      <c r="K562" s="8">
        <v>2</v>
      </c>
      <c r="L562" s="8">
        <v>5</v>
      </c>
    </row>
    <row r="563" spans="1:12" x14ac:dyDescent="0.8">
      <c r="A563" s="5" t="s">
        <v>633</v>
      </c>
      <c r="B563" s="8">
        <v>33</v>
      </c>
      <c r="C563" s="5" t="s">
        <v>49</v>
      </c>
      <c r="D563" s="5" t="s">
        <v>42</v>
      </c>
      <c r="E563" s="5" t="s">
        <v>44</v>
      </c>
      <c r="F563" s="5" t="s">
        <v>45</v>
      </c>
      <c r="G563" s="8">
        <v>3</v>
      </c>
      <c r="H563" s="8">
        <v>5207</v>
      </c>
      <c r="I563" s="5" t="s">
        <v>40</v>
      </c>
      <c r="J563" s="8">
        <v>3</v>
      </c>
      <c r="K563" s="8">
        <v>3</v>
      </c>
      <c r="L563" s="8">
        <v>15</v>
      </c>
    </row>
    <row r="564" spans="1:12" x14ac:dyDescent="0.8">
      <c r="A564" s="5" t="s">
        <v>634</v>
      </c>
      <c r="B564" s="8">
        <v>33</v>
      </c>
      <c r="C564" s="5" t="s">
        <v>49</v>
      </c>
      <c r="D564" s="5" t="s">
        <v>51</v>
      </c>
      <c r="E564" s="5" t="s">
        <v>44</v>
      </c>
      <c r="F564" s="5" t="s">
        <v>137</v>
      </c>
      <c r="G564" s="8">
        <v>1</v>
      </c>
      <c r="H564" s="8">
        <v>6392</v>
      </c>
      <c r="I564" s="5" t="s">
        <v>49</v>
      </c>
      <c r="J564" s="8">
        <v>3</v>
      </c>
      <c r="K564" s="8">
        <v>6</v>
      </c>
      <c r="L564" s="8">
        <v>2</v>
      </c>
    </row>
    <row r="565" spans="1:12" x14ac:dyDescent="0.8">
      <c r="A565" s="5" t="s">
        <v>635</v>
      </c>
      <c r="B565" s="8">
        <v>33</v>
      </c>
      <c r="C565" s="5" t="s">
        <v>49</v>
      </c>
      <c r="D565" s="5" t="s">
        <v>51</v>
      </c>
      <c r="E565" s="5" t="s">
        <v>44</v>
      </c>
      <c r="F565" s="5" t="s">
        <v>137</v>
      </c>
      <c r="G565" s="8">
        <v>4</v>
      </c>
      <c r="H565" s="8">
        <v>5505</v>
      </c>
      <c r="I565" s="5" t="s">
        <v>49</v>
      </c>
      <c r="J565" s="8">
        <v>3</v>
      </c>
      <c r="K565" s="8">
        <v>5</v>
      </c>
      <c r="L565" s="8">
        <v>6</v>
      </c>
    </row>
    <row r="566" spans="1:12" x14ac:dyDescent="0.8">
      <c r="A566" s="5" t="s">
        <v>636</v>
      </c>
      <c r="B566" s="8">
        <v>33</v>
      </c>
      <c r="C566" s="5" t="s">
        <v>49</v>
      </c>
      <c r="D566" s="5" t="s">
        <v>51</v>
      </c>
      <c r="E566" s="5" t="s">
        <v>53</v>
      </c>
      <c r="F566" s="5" t="s">
        <v>137</v>
      </c>
      <c r="G566" s="8">
        <v>4</v>
      </c>
      <c r="H566" s="8">
        <v>5368</v>
      </c>
      <c r="I566" s="5" t="s">
        <v>40</v>
      </c>
      <c r="J566" s="8">
        <v>4</v>
      </c>
      <c r="K566" s="8">
        <v>2</v>
      </c>
      <c r="L566" s="8">
        <v>6</v>
      </c>
    </row>
    <row r="567" spans="1:12" x14ac:dyDescent="0.8">
      <c r="A567" s="5" t="s">
        <v>637</v>
      </c>
      <c r="B567" s="8">
        <v>33</v>
      </c>
      <c r="C567" s="5" t="s">
        <v>49</v>
      </c>
      <c r="D567" s="5" t="s">
        <v>42</v>
      </c>
      <c r="E567" s="5" t="s">
        <v>44</v>
      </c>
      <c r="F567" s="5" t="s">
        <v>45</v>
      </c>
      <c r="G567" s="8">
        <v>2</v>
      </c>
      <c r="H567" s="8">
        <v>2028</v>
      </c>
      <c r="I567" s="5" t="s">
        <v>49</v>
      </c>
      <c r="J567" s="8">
        <v>3</v>
      </c>
      <c r="K567" s="8">
        <v>6</v>
      </c>
      <c r="L567" s="8">
        <v>14</v>
      </c>
    </row>
    <row r="568" spans="1:12" x14ac:dyDescent="0.8">
      <c r="A568" s="5" t="s">
        <v>638</v>
      </c>
      <c r="B568" s="8">
        <v>33</v>
      </c>
      <c r="C568" s="5" t="s">
        <v>49</v>
      </c>
      <c r="D568" s="5" t="s">
        <v>51</v>
      </c>
      <c r="E568" s="5" t="s">
        <v>53</v>
      </c>
      <c r="F568" s="5" t="s">
        <v>137</v>
      </c>
      <c r="G568" s="8">
        <v>2</v>
      </c>
      <c r="H568" s="8">
        <v>5147</v>
      </c>
      <c r="I568" s="5" t="s">
        <v>49</v>
      </c>
      <c r="J568" s="8">
        <v>3</v>
      </c>
      <c r="K568" s="8">
        <v>2</v>
      </c>
      <c r="L568" s="8">
        <v>11</v>
      </c>
    </row>
    <row r="569" spans="1:12" x14ac:dyDescent="0.8">
      <c r="A569" s="5" t="s">
        <v>639</v>
      </c>
      <c r="B569" s="8">
        <v>33</v>
      </c>
      <c r="C569" s="5" t="s">
        <v>40</v>
      </c>
      <c r="D569" s="5" t="s">
        <v>51</v>
      </c>
      <c r="E569" s="5" t="s">
        <v>53</v>
      </c>
      <c r="F569" s="5" t="s">
        <v>137</v>
      </c>
      <c r="G569" s="8">
        <v>1</v>
      </c>
      <c r="H569" s="8">
        <v>8564</v>
      </c>
      <c r="I569" s="5" t="s">
        <v>40</v>
      </c>
      <c r="J569" s="8">
        <v>4</v>
      </c>
      <c r="K569" s="8">
        <v>2</v>
      </c>
      <c r="L569" s="8">
        <v>0</v>
      </c>
    </row>
    <row r="570" spans="1:12" x14ac:dyDescent="0.8">
      <c r="A570" s="5" t="s">
        <v>640</v>
      </c>
      <c r="B570" s="8">
        <v>33</v>
      </c>
      <c r="C570" s="5" t="s">
        <v>49</v>
      </c>
      <c r="D570" s="5" t="s">
        <v>42</v>
      </c>
      <c r="E570" s="5" t="s">
        <v>44</v>
      </c>
      <c r="F570" s="5" t="s">
        <v>60</v>
      </c>
      <c r="G570" s="8">
        <v>2</v>
      </c>
      <c r="H570" s="8">
        <v>3055</v>
      </c>
      <c r="I570" s="5" t="s">
        <v>49</v>
      </c>
      <c r="J570" s="8">
        <v>3</v>
      </c>
      <c r="K570" s="8">
        <v>2</v>
      </c>
      <c r="L570" s="8">
        <v>9</v>
      </c>
    </row>
    <row r="571" spans="1:12" x14ac:dyDescent="0.8">
      <c r="A571" s="5" t="s">
        <v>641</v>
      </c>
      <c r="B571" s="8">
        <v>33</v>
      </c>
      <c r="C571" s="5" t="s">
        <v>49</v>
      </c>
      <c r="D571" s="5" t="s">
        <v>42</v>
      </c>
      <c r="E571" s="5" t="s">
        <v>44</v>
      </c>
      <c r="F571" s="5" t="s">
        <v>60</v>
      </c>
      <c r="G571" s="8">
        <v>1</v>
      </c>
      <c r="H571" s="8">
        <v>3143</v>
      </c>
      <c r="I571" s="5" t="s">
        <v>49</v>
      </c>
      <c r="J571" s="8">
        <v>3</v>
      </c>
      <c r="K571" s="8">
        <v>1</v>
      </c>
      <c r="L571" s="8">
        <v>10</v>
      </c>
    </row>
    <row r="572" spans="1:12" x14ac:dyDescent="0.8">
      <c r="A572" s="5" t="s">
        <v>642</v>
      </c>
      <c r="B572" s="8">
        <v>33</v>
      </c>
      <c r="C572" s="5" t="s">
        <v>49</v>
      </c>
      <c r="D572" s="5" t="s">
        <v>51</v>
      </c>
      <c r="E572" s="5" t="s">
        <v>44</v>
      </c>
      <c r="F572" s="5" t="s">
        <v>137</v>
      </c>
      <c r="G572" s="8">
        <v>3</v>
      </c>
      <c r="H572" s="8">
        <v>5487</v>
      </c>
      <c r="I572" s="5" t="s">
        <v>49</v>
      </c>
      <c r="J572" s="8">
        <v>3</v>
      </c>
      <c r="K572" s="8">
        <v>2</v>
      </c>
      <c r="L572" s="8">
        <v>10</v>
      </c>
    </row>
    <row r="573" spans="1:12" x14ac:dyDescent="0.8">
      <c r="A573" s="5" t="s">
        <v>643</v>
      </c>
      <c r="B573" s="8">
        <v>33</v>
      </c>
      <c r="C573" s="5" t="s">
        <v>49</v>
      </c>
      <c r="D573" s="5" t="s">
        <v>42</v>
      </c>
      <c r="E573" s="5" t="s">
        <v>44</v>
      </c>
      <c r="F573" s="5" t="s">
        <v>161</v>
      </c>
      <c r="G573" s="8">
        <v>3</v>
      </c>
      <c r="H573" s="8">
        <v>5968</v>
      </c>
      <c r="I573" s="5" t="s">
        <v>49</v>
      </c>
      <c r="J573" s="8">
        <v>4</v>
      </c>
      <c r="K573" s="8">
        <v>2</v>
      </c>
      <c r="L573" s="8">
        <v>9</v>
      </c>
    </row>
    <row r="574" spans="1:12" x14ac:dyDescent="0.8">
      <c r="A574" s="5" t="s">
        <v>644</v>
      </c>
      <c r="B574" s="8">
        <v>33</v>
      </c>
      <c r="C574" s="5" t="s">
        <v>49</v>
      </c>
      <c r="D574" s="5" t="s">
        <v>42</v>
      </c>
      <c r="E574" s="5" t="s">
        <v>44</v>
      </c>
      <c r="F574" s="5" t="s">
        <v>45</v>
      </c>
      <c r="G574" s="8">
        <v>3</v>
      </c>
      <c r="H574" s="8">
        <v>2008</v>
      </c>
      <c r="I574" s="5" t="s">
        <v>49</v>
      </c>
      <c r="J574" s="8">
        <v>3</v>
      </c>
      <c r="K574" s="8">
        <v>2</v>
      </c>
      <c r="L574" s="8">
        <v>1</v>
      </c>
    </row>
    <row r="575" spans="1:12" x14ac:dyDescent="0.8">
      <c r="A575" s="5" t="s">
        <v>645</v>
      </c>
      <c r="B575" s="8">
        <v>33</v>
      </c>
      <c r="C575" s="5" t="s">
        <v>49</v>
      </c>
      <c r="D575" s="5" t="s">
        <v>42</v>
      </c>
      <c r="E575" s="5" t="s">
        <v>53</v>
      </c>
      <c r="F575" s="5" t="s">
        <v>161</v>
      </c>
      <c r="G575" s="8">
        <v>4</v>
      </c>
      <c r="H575" s="8">
        <v>4878</v>
      </c>
      <c r="I575" s="5" t="s">
        <v>40</v>
      </c>
      <c r="J575" s="8">
        <v>3</v>
      </c>
      <c r="K575" s="8">
        <v>6</v>
      </c>
      <c r="L575" s="8">
        <v>9</v>
      </c>
    </row>
    <row r="576" spans="1:12" x14ac:dyDescent="0.8">
      <c r="A576" s="5" t="s">
        <v>646</v>
      </c>
      <c r="B576" s="8">
        <v>34</v>
      </c>
      <c r="C576" s="5" t="s">
        <v>49</v>
      </c>
      <c r="D576" s="5" t="s">
        <v>42</v>
      </c>
      <c r="E576" s="5" t="s">
        <v>44</v>
      </c>
      <c r="F576" s="5" t="s">
        <v>45</v>
      </c>
      <c r="G576" s="8">
        <v>4</v>
      </c>
      <c r="H576" s="8">
        <v>2661</v>
      </c>
      <c r="I576" s="5" t="s">
        <v>49</v>
      </c>
      <c r="J576" s="8">
        <v>3</v>
      </c>
      <c r="K576" s="8">
        <v>2</v>
      </c>
      <c r="L576" s="8">
        <v>2</v>
      </c>
    </row>
    <row r="577" spans="1:12" x14ac:dyDescent="0.8">
      <c r="A577" s="5" t="s">
        <v>647</v>
      </c>
      <c r="B577" s="8">
        <v>34</v>
      </c>
      <c r="C577" s="5" t="s">
        <v>49</v>
      </c>
      <c r="D577" s="5" t="s">
        <v>42</v>
      </c>
      <c r="E577" s="5" t="s">
        <v>53</v>
      </c>
      <c r="F577" s="5" t="s">
        <v>252</v>
      </c>
      <c r="G577" s="8">
        <v>2</v>
      </c>
      <c r="H577" s="8">
        <v>11994</v>
      </c>
      <c r="I577" s="5" t="s">
        <v>49</v>
      </c>
      <c r="J577" s="8">
        <v>3</v>
      </c>
      <c r="K577" s="8">
        <v>4</v>
      </c>
      <c r="L577" s="8">
        <v>12</v>
      </c>
    </row>
    <row r="578" spans="1:12" x14ac:dyDescent="0.8">
      <c r="A578" s="5" t="s">
        <v>648</v>
      </c>
      <c r="B578" s="8">
        <v>34</v>
      </c>
      <c r="C578" s="5" t="s">
        <v>40</v>
      </c>
      <c r="D578" s="5" t="s">
        <v>42</v>
      </c>
      <c r="E578" s="5" t="s">
        <v>44</v>
      </c>
      <c r="F578" s="5" t="s">
        <v>60</v>
      </c>
      <c r="G578" s="8">
        <v>1</v>
      </c>
      <c r="H578" s="8">
        <v>2960</v>
      </c>
      <c r="I578" s="5" t="s">
        <v>49</v>
      </c>
      <c r="J578" s="8">
        <v>3</v>
      </c>
      <c r="K578" s="8">
        <v>2</v>
      </c>
      <c r="L578" s="8">
        <v>4</v>
      </c>
    </row>
    <row r="579" spans="1:12" x14ac:dyDescent="0.8">
      <c r="A579" s="5" t="s">
        <v>649</v>
      </c>
      <c r="B579" s="8">
        <v>34</v>
      </c>
      <c r="C579" s="5" t="s">
        <v>49</v>
      </c>
      <c r="D579" s="5" t="s">
        <v>51</v>
      </c>
      <c r="E579" s="5" t="s">
        <v>44</v>
      </c>
      <c r="F579" s="5" t="s">
        <v>137</v>
      </c>
      <c r="G579" s="8">
        <v>3</v>
      </c>
      <c r="H579" s="8">
        <v>4568</v>
      </c>
      <c r="I579" s="5" t="s">
        <v>49</v>
      </c>
      <c r="J579" s="8">
        <v>4</v>
      </c>
      <c r="K579" s="8">
        <v>2</v>
      </c>
      <c r="L579" s="8">
        <v>9</v>
      </c>
    </row>
    <row r="580" spans="1:12" x14ac:dyDescent="0.8">
      <c r="A580" s="5" t="s">
        <v>650</v>
      </c>
      <c r="B580" s="8">
        <v>34</v>
      </c>
      <c r="C580" s="5" t="s">
        <v>49</v>
      </c>
      <c r="D580" s="5" t="s">
        <v>42</v>
      </c>
      <c r="E580" s="5" t="s">
        <v>44</v>
      </c>
      <c r="F580" s="5" t="s">
        <v>112</v>
      </c>
      <c r="G580" s="8">
        <v>2</v>
      </c>
      <c r="H580" s="8">
        <v>4325</v>
      </c>
      <c r="I580" s="5" t="s">
        <v>49</v>
      </c>
      <c r="J580" s="8">
        <v>3</v>
      </c>
      <c r="K580" s="8">
        <v>2</v>
      </c>
      <c r="L580" s="8">
        <v>5</v>
      </c>
    </row>
    <row r="581" spans="1:12" x14ac:dyDescent="0.8">
      <c r="A581" s="5" t="s">
        <v>651</v>
      </c>
      <c r="B581" s="8">
        <v>34</v>
      </c>
      <c r="C581" s="5" t="s">
        <v>49</v>
      </c>
      <c r="D581" s="5" t="s">
        <v>42</v>
      </c>
      <c r="E581" s="5" t="s">
        <v>53</v>
      </c>
      <c r="F581" s="5" t="s">
        <v>60</v>
      </c>
      <c r="G581" s="8">
        <v>3</v>
      </c>
      <c r="H581" s="8">
        <v>4809</v>
      </c>
      <c r="I581" s="5" t="s">
        <v>49</v>
      </c>
      <c r="J581" s="8">
        <v>3</v>
      </c>
      <c r="K581" s="8">
        <v>3</v>
      </c>
      <c r="L581" s="8">
        <v>16</v>
      </c>
    </row>
    <row r="582" spans="1:12" x14ac:dyDescent="0.8">
      <c r="A582" s="5" t="s">
        <v>652</v>
      </c>
      <c r="B582" s="8">
        <v>34</v>
      </c>
      <c r="C582" s="5" t="s">
        <v>40</v>
      </c>
      <c r="D582" s="5" t="s">
        <v>42</v>
      </c>
      <c r="E582" s="5" t="s">
        <v>44</v>
      </c>
      <c r="F582" s="5" t="s">
        <v>45</v>
      </c>
      <c r="G582" s="8">
        <v>3</v>
      </c>
      <c r="H582" s="8">
        <v>6074</v>
      </c>
      <c r="I582" s="5" t="s">
        <v>40</v>
      </c>
      <c r="J582" s="8">
        <v>4</v>
      </c>
      <c r="K582" s="8">
        <v>3</v>
      </c>
      <c r="L582" s="8">
        <v>9</v>
      </c>
    </row>
    <row r="583" spans="1:12" x14ac:dyDescent="0.8">
      <c r="A583" s="5" t="s">
        <v>653</v>
      </c>
      <c r="B583" s="8">
        <v>34</v>
      </c>
      <c r="C583" s="5" t="s">
        <v>49</v>
      </c>
      <c r="D583" s="5" t="s">
        <v>42</v>
      </c>
      <c r="E583" s="5" t="s">
        <v>53</v>
      </c>
      <c r="F583" s="5" t="s">
        <v>60</v>
      </c>
      <c r="G583" s="8">
        <v>2</v>
      </c>
      <c r="H583" s="8">
        <v>4505</v>
      </c>
      <c r="I583" s="5" t="s">
        <v>49</v>
      </c>
      <c r="J583" s="8">
        <v>3</v>
      </c>
      <c r="K583" s="8">
        <v>3</v>
      </c>
      <c r="L583" s="8">
        <v>1</v>
      </c>
    </row>
    <row r="584" spans="1:12" x14ac:dyDescent="0.8">
      <c r="A584" s="5" t="s">
        <v>654</v>
      </c>
      <c r="B584" s="8">
        <v>34</v>
      </c>
      <c r="C584" s="5" t="s">
        <v>49</v>
      </c>
      <c r="D584" s="5" t="s">
        <v>42</v>
      </c>
      <c r="E584" s="5" t="s">
        <v>53</v>
      </c>
      <c r="F584" s="5" t="s">
        <v>442</v>
      </c>
      <c r="G584" s="8">
        <v>1</v>
      </c>
      <c r="H584" s="8">
        <v>11631</v>
      </c>
      <c r="I584" s="5" t="s">
        <v>49</v>
      </c>
      <c r="J584" s="8">
        <v>3</v>
      </c>
      <c r="K584" s="8">
        <v>6</v>
      </c>
      <c r="L584" s="8">
        <v>11</v>
      </c>
    </row>
    <row r="585" spans="1:12" x14ac:dyDescent="0.8">
      <c r="A585" s="5" t="s">
        <v>655</v>
      </c>
      <c r="B585" s="8">
        <v>34</v>
      </c>
      <c r="C585" s="5" t="s">
        <v>49</v>
      </c>
      <c r="D585" s="5" t="s">
        <v>51</v>
      </c>
      <c r="E585" s="5" t="s">
        <v>53</v>
      </c>
      <c r="F585" s="5" t="s">
        <v>54</v>
      </c>
      <c r="G585" s="8">
        <v>3</v>
      </c>
      <c r="H585" s="8">
        <v>2231</v>
      </c>
      <c r="I585" s="5" t="s">
        <v>49</v>
      </c>
      <c r="J585" s="8">
        <v>3</v>
      </c>
      <c r="K585" s="8">
        <v>3</v>
      </c>
      <c r="L585" s="8">
        <v>4</v>
      </c>
    </row>
    <row r="586" spans="1:12" x14ac:dyDescent="0.8">
      <c r="A586" s="5" t="s">
        <v>656</v>
      </c>
      <c r="B586" s="8">
        <v>34</v>
      </c>
      <c r="C586" s="5" t="s">
        <v>49</v>
      </c>
      <c r="D586" s="5" t="s">
        <v>42</v>
      </c>
      <c r="E586" s="5" t="s">
        <v>53</v>
      </c>
      <c r="F586" s="5" t="s">
        <v>60</v>
      </c>
      <c r="G586" s="8">
        <v>2</v>
      </c>
      <c r="H586" s="8">
        <v>2311</v>
      </c>
      <c r="I586" s="5" t="s">
        <v>49</v>
      </c>
      <c r="J586" s="8">
        <v>3</v>
      </c>
      <c r="K586" s="8">
        <v>3</v>
      </c>
      <c r="L586" s="8">
        <v>3</v>
      </c>
    </row>
    <row r="587" spans="1:12" x14ac:dyDescent="0.8">
      <c r="A587" s="5" t="s">
        <v>657</v>
      </c>
      <c r="B587" s="8">
        <v>34</v>
      </c>
      <c r="C587" s="5" t="s">
        <v>49</v>
      </c>
      <c r="D587" s="5" t="s">
        <v>42</v>
      </c>
      <c r="E587" s="5" t="s">
        <v>44</v>
      </c>
      <c r="F587" s="5" t="s">
        <v>112</v>
      </c>
      <c r="G587" s="8">
        <v>3</v>
      </c>
      <c r="H587" s="8">
        <v>9547</v>
      </c>
      <c r="I587" s="5" t="s">
        <v>49</v>
      </c>
      <c r="J587" s="8">
        <v>3</v>
      </c>
      <c r="K587" s="8">
        <v>2</v>
      </c>
      <c r="L587" s="8">
        <v>10</v>
      </c>
    </row>
    <row r="588" spans="1:12" x14ac:dyDescent="0.8">
      <c r="A588" s="5" t="s">
        <v>658</v>
      </c>
      <c r="B588" s="8">
        <v>34</v>
      </c>
      <c r="C588" s="5" t="s">
        <v>49</v>
      </c>
      <c r="D588" s="5" t="s">
        <v>42</v>
      </c>
      <c r="E588" s="5" t="s">
        <v>44</v>
      </c>
      <c r="F588" s="5" t="s">
        <v>60</v>
      </c>
      <c r="G588" s="8">
        <v>3</v>
      </c>
      <c r="H588" s="8">
        <v>3815</v>
      </c>
      <c r="I588" s="5" t="s">
        <v>40</v>
      </c>
      <c r="J588" s="8">
        <v>3</v>
      </c>
      <c r="K588" s="8">
        <v>4</v>
      </c>
      <c r="L588" s="8">
        <v>5</v>
      </c>
    </row>
    <row r="589" spans="1:12" x14ac:dyDescent="0.8">
      <c r="A589" s="5" t="s">
        <v>659</v>
      </c>
      <c r="B589" s="8">
        <v>34</v>
      </c>
      <c r="C589" s="5" t="s">
        <v>49</v>
      </c>
      <c r="D589" s="5" t="s">
        <v>42</v>
      </c>
      <c r="E589" s="5" t="s">
        <v>44</v>
      </c>
      <c r="F589" s="5" t="s">
        <v>112</v>
      </c>
      <c r="G589" s="8">
        <v>1</v>
      </c>
      <c r="H589" s="8">
        <v>5957</v>
      </c>
      <c r="I589" s="5" t="s">
        <v>49</v>
      </c>
      <c r="J589" s="8">
        <v>3</v>
      </c>
      <c r="K589" s="8">
        <v>3</v>
      </c>
      <c r="L589" s="8">
        <v>11</v>
      </c>
    </row>
    <row r="590" spans="1:12" x14ac:dyDescent="0.8">
      <c r="A590" s="5" t="s">
        <v>660</v>
      </c>
      <c r="B590" s="8">
        <v>34</v>
      </c>
      <c r="C590" s="5" t="s">
        <v>40</v>
      </c>
      <c r="D590" s="5" t="s">
        <v>51</v>
      </c>
      <c r="E590" s="5" t="s">
        <v>44</v>
      </c>
      <c r="F590" s="5" t="s">
        <v>137</v>
      </c>
      <c r="G590" s="8">
        <v>4</v>
      </c>
      <c r="H590" s="8">
        <v>5304</v>
      </c>
      <c r="I590" s="5" t="s">
        <v>40</v>
      </c>
      <c r="J590" s="8">
        <v>3</v>
      </c>
      <c r="K590" s="8">
        <v>3</v>
      </c>
      <c r="L590" s="8">
        <v>5</v>
      </c>
    </row>
    <row r="591" spans="1:12" x14ac:dyDescent="0.8">
      <c r="A591" s="5" t="s">
        <v>661</v>
      </c>
      <c r="B591" s="8">
        <v>34</v>
      </c>
      <c r="C591" s="5" t="s">
        <v>49</v>
      </c>
      <c r="D591" s="5" t="s">
        <v>51</v>
      </c>
      <c r="E591" s="5" t="s">
        <v>53</v>
      </c>
      <c r="F591" s="5" t="s">
        <v>137</v>
      </c>
      <c r="G591" s="8">
        <v>3</v>
      </c>
      <c r="H591" s="8">
        <v>6538</v>
      </c>
      <c r="I591" s="5" t="s">
        <v>49</v>
      </c>
      <c r="J591" s="8">
        <v>3</v>
      </c>
      <c r="K591" s="8">
        <v>3</v>
      </c>
      <c r="L591" s="8">
        <v>3</v>
      </c>
    </row>
    <row r="592" spans="1:12" x14ac:dyDescent="0.8">
      <c r="A592" s="5" t="s">
        <v>662</v>
      </c>
      <c r="B592" s="8">
        <v>34</v>
      </c>
      <c r="C592" s="5" t="s">
        <v>40</v>
      </c>
      <c r="D592" s="5" t="s">
        <v>51</v>
      </c>
      <c r="E592" s="5" t="s">
        <v>53</v>
      </c>
      <c r="F592" s="5" t="s">
        <v>54</v>
      </c>
      <c r="G592" s="8">
        <v>3</v>
      </c>
      <c r="H592" s="8">
        <v>2351</v>
      </c>
      <c r="I592" s="5" t="s">
        <v>49</v>
      </c>
      <c r="J592" s="8">
        <v>3</v>
      </c>
      <c r="K592" s="8">
        <v>3</v>
      </c>
      <c r="L592" s="8">
        <v>2</v>
      </c>
    </row>
    <row r="593" spans="1:12" x14ac:dyDescent="0.8">
      <c r="A593" s="5" t="s">
        <v>663</v>
      </c>
      <c r="B593" s="8">
        <v>34</v>
      </c>
      <c r="C593" s="5" t="s">
        <v>49</v>
      </c>
      <c r="D593" s="5" t="s">
        <v>42</v>
      </c>
      <c r="E593" s="5" t="s">
        <v>44</v>
      </c>
      <c r="F593" s="5" t="s">
        <v>60</v>
      </c>
      <c r="G593" s="8">
        <v>3</v>
      </c>
      <c r="H593" s="8">
        <v>2768</v>
      </c>
      <c r="I593" s="5" t="s">
        <v>49</v>
      </c>
      <c r="J593" s="8">
        <v>3</v>
      </c>
      <c r="K593" s="8">
        <v>3</v>
      </c>
      <c r="L593" s="8">
        <v>7</v>
      </c>
    </row>
    <row r="594" spans="1:12" x14ac:dyDescent="0.8">
      <c r="A594" s="5" t="s">
        <v>664</v>
      </c>
      <c r="B594" s="8">
        <v>34</v>
      </c>
      <c r="C594" s="5" t="s">
        <v>40</v>
      </c>
      <c r="D594" s="5" t="s">
        <v>71</v>
      </c>
      <c r="E594" s="5" t="s">
        <v>53</v>
      </c>
      <c r="F594" s="5" t="s">
        <v>71</v>
      </c>
      <c r="G594" s="8">
        <v>1</v>
      </c>
      <c r="H594" s="8">
        <v>9950</v>
      </c>
      <c r="I594" s="5" t="s">
        <v>40</v>
      </c>
      <c r="J594" s="8">
        <v>3</v>
      </c>
      <c r="K594" s="8">
        <v>2</v>
      </c>
      <c r="L594" s="8">
        <v>3</v>
      </c>
    </row>
    <row r="595" spans="1:12" x14ac:dyDescent="0.8">
      <c r="A595" s="5" t="s">
        <v>665</v>
      </c>
      <c r="B595" s="8">
        <v>34</v>
      </c>
      <c r="C595" s="5" t="s">
        <v>49</v>
      </c>
      <c r="D595" s="5" t="s">
        <v>51</v>
      </c>
      <c r="E595" s="5" t="s">
        <v>44</v>
      </c>
      <c r="F595" s="5" t="s">
        <v>137</v>
      </c>
      <c r="G595" s="8">
        <v>4</v>
      </c>
      <c r="H595" s="8">
        <v>5337</v>
      </c>
      <c r="I595" s="5" t="s">
        <v>49</v>
      </c>
      <c r="J595" s="8">
        <v>3</v>
      </c>
      <c r="K595" s="8">
        <v>3</v>
      </c>
      <c r="L595" s="8">
        <v>10</v>
      </c>
    </row>
    <row r="596" spans="1:12" x14ac:dyDescent="0.8">
      <c r="A596" s="5" t="s">
        <v>666</v>
      </c>
      <c r="B596" s="8">
        <v>34</v>
      </c>
      <c r="C596" s="5" t="s">
        <v>49</v>
      </c>
      <c r="D596" s="5" t="s">
        <v>42</v>
      </c>
      <c r="E596" s="5" t="s">
        <v>44</v>
      </c>
      <c r="F596" s="5" t="s">
        <v>60</v>
      </c>
      <c r="G596" s="8">
        <v>4</v>
      </c>
      <c r="H596" s="8">
        <v>3622</v>
      </c>
      <c r="I596" s="5" t="s">
        <v>40</v>
      </c>
      <c r="J596" s="8">
        <v>3</v>
      </c>
      <c r="K596" s="8">
        <v>3</v>
      </c>
      <c r="L596" s="8">
        <v>6</v>
      </c>
    </row>
    <row r="597" spans="1:12" x14ac:dyDescent="0.8">
      <c r="A597" s="5" t="s">
        <v>667</v>
      </c>
      <c r="B597" s="8">
        <v>34</v>
      </c>
      <c r="C597" s="5" t="s">
        <v>49</v>
      </c>
      <c r="D597" s="5" t="s">
        <v>51</v>
      </c>
      <c r="E597" s="5" t="s">
        <v>53</v>
      </c>
      <c r="F597" s="5" t="s">
        <v>54</v>
      </c>
      <c r="G597" s="8">
        <v>3</v>
      </c>
      <c r="H597" s="8">
        <v>2579</v>
      </c>
      <c r="I597" s="5" t="s">
        <v>40</v>
      </c>
      <c r="J597" s="8">
        <v>3</v>
      </c>
      <c r="K597" s="8">
        <v>3</v>
      </c>
      <c r="L597" s="8">
        <v>8</v>
      </c>
    </row>
    <row r="598" spans="1:12" x14ac:dyDescent="0.8">
      <c r="A598" s="5" t="s">
        <v>668</v>
      </c>
      <c r="B598" s="8">
        <v>34</v>
      </c>
      <c r="C598" s="5" t="s">
        <v>49</v>
      </c>
      <c r="D598" s="5" t="s">
        <v>42</v>
      </c>
      <c r="E598" s="5" t="s">
        <v>44</v>
      </c>
      <c r="F598" s="5" t="s">
        <v>60</v>
      </c>
      <c r="G598" s="8">
        <v>4</v>
      </c>
      <c r="H598" s="8">
        <v>2691</v>
      </c>
      <c r="I598" s="5" t="s">
        <v>49</v>
      </c>
      <c r="J598" s="8">
        <v>3</v>
      </c>
      <c r="K598" s="8">
        <v>4</v>
      </c>
      <c r="L598" s="8">
        <v>10</v>
      </c>
    </row>
    <row r="599" spans="1:12" x14ac:dyDescent="0.8">
      <c r="A599" s="5" t="s">
        <v>669</v>
      </c>
      <c r="B599" s="8">
        <v>34</v>
      </c>
      <c r="C599" s="5" t="s">
        <v>49</v>
      </c>
      <c r="D599" s="5" t="s">
        <v>42</v>
      </c>
      <c r="E599" s="5" t="s">
        <v>53</v>
      </c>
      <c r="F599" s="5" t="s">
        <v>161</v>
      </c>
      <c r="G599" s="8">
        <v>2</v>
      </c>
      <c r="H599" s="8">
        <v>8621</v>
      </c>
      <c r="I599" s="5" t="s">
        <v>49</v>
      </c>
      <c r="J599" s="8">
        <v>3</v>
      </c>
      <c r="K599" s="8">
        <v>3</v>
      </c>
      <c r="L599" s="8">
        <v>8</v>
      </c>
    </row>
    <row r="600" spans="1:12" x14ac:dyDescent="0.8">
      <c r="A600" s="5" t="s">
        <v>670</v>
      </c>
      <c r="B600" s="8">
        <v>34</v>
      </c>
      <c r="C600" s="5" t="s">
        <v>49</v>
      </c>
      <c r="D600" s="5" t="s">
        <v>42</v>
      </c>
      <c r="E600" s="5" t="s">
        <v>53</v>
      </c>
      <c r="F600" s="5" t="s">
        <v>161</v>
      </c>
      <c r="G600" s="8">
        <v>3</v>
      </c>
      <c r="H600" s="8">
        <v>6142</v>
      </c>
      <c r="I600" s="5" t="s">
        <v>49</v>
      </c>
      <c r="J600" s="8">
        <v>3</v>
      </c>
      <c r="K600" s="8">
        <v>2</v>
      </c>
      <c r="L600" s="8">
        <v>5</v>
      </c>
    </row>
    <row r="601" spans="1:12" x14ac:dyDescent="0.8">
      <c r="A601" s="5" t="s">
        <v>671</v>
      </c>
      <c r="B601" s="8">
        <v>34</v>
      </c>
      <c r="C601" s="5" t="s">
        <v>49</v>
      </c>
      <c r="D601" s="5" t="s">
        <v>42</v>
      </c>
      <c r="E601" s="5" t="s">
        <v>53</v>
      </c>
      <c r="F601" s="5" t="s">
        <v>112</v>
      </c>
      <c r="G601" s="8">
        <v>1</v>
      </c>
      <c r="H601" s="8">
        <v>5121</v>
      </c>
      <c r="I601" s="5" t="s">
        <v>49</v>
      </c>
      <c r="J601" s="8">
        <v>3</v>
      </c>
      <c r="K601" s="8">
        <v>3</v>
      </c>
      <c r="L601" s="8">
        <v>0</v>
      </c>
    </row>
    <row r="602" spans="1:12" x14ac:dyDescent="0.8">
      <c r="A602" s="5" t="s">
        <v>672</v>
      </c>
      <c r="B602" s="8">
        <v>34</v>
      </c>
      <c r="C602" s="5" t="s">
        <v>49</v>
      </c>
      <c r="D602" s="5" t="s">
        <v>51</v>
      </c>
      <c r="E602" s="5" t="s">
        <v>44</v>
      </c>
      <c r="F602" s="5" t="s">
        <v>137</v>
      </c>
      <c r="G602" s="8">
        <v>4</v>
      </c>
      <c r="H602" s="8">
        <v>6274</v>
      </c>
      <c r="I602" s="5" t="s">
        <v>49</v>
      </c>
      <c r="J602" s="8">
        <v>4</v>
      </c>
      <c r="K602" s="8">
        <v>5</v>
      </c>
      <c r="L602" s="8">
        <v>6</v>
      </c>
    </row>
    <row r="603" spans="1:12" x14ac:dyDescent="0.8">
      <c r="A603" s="5" t="s">
        <v>673</v>
      </c>
      <c r="B603" s="8">
        <v>34</v>
      </c>
      <c r="C603" s="5" t="s">
        <v>49</v>
      </c>
      <c r="D603" s="5" t="s">
        <v>42</v>
      </c>
      <c r="E603" s="5" t="s">
        <v>53</v>
      </c>
      <c r="F603" s="5" t="s">
        <v>60</v>
      </c>
      <c r="G603" s="8">
        <v>4</v>
      </c>
      <c r="H603" s="8">
        <v>3280</v>
      </c>
      <c r="I603" s="5" t="s">
        <v>49</v>
      </c>
      <c r="J603" s="8">
        <v>3</v>
      </c>
      <c r="K603" s="8">
        <v>2</v>
      </c>
      <c r="L603" s="8">
        <v>4</v>
      </c>
    </row>
    <row r="604" spans="1:12" x14ac:dyDescent="0.8">
      <c r="A604" s="5" t="s">
        <v>674</v>
      </c>
      <c r="B604" s="8">
        <v>34</v>
      </c>
      <c r="C604" s="5" t="s">
        <v>49</v>
      </c>
      <c r="D604" s="5" t="s">
        <v>42</v>
      </c>
      <c r="E604" s="5" t="s">
        <v>53</v>
      </c>
      <c r="F604" s="5" t="s">
        <v>60</v>
      </c>
      <c r="G604" s="8">
        <v>1</v>
      </c>
      <c r="H604" s="8">
        <v>4381</v>
      </c>
      <c r="I604" s="5" t="s">
        <v>49</v>
      </c>
      <c r="J604" s="8">
        <v>3</v>
      </c>
      <c r="K604" s="8">
        <v>3</v>
      </c>
      <c r="L604" s="8">
        <v>6</v>
      </c>
    </row>
    <row r="605" spans="1:12" x14ac:dyDescent="0.8">
      <c r="A605" s="5" t="s">
        <v>675</v>
      </c>
      <c r="B605" s="8">
        <v>34</v>
      </c>
      <c r="C605" s="5" t="s">
        <v>49</v>
      </c>
      <c r="D605" s="5" t="s">
        <v>51</v>
      </c>
      <c r="E605" s="5" t="s">
        <v>53</v>
      </c>
      <c r="F605" s="5" t="s">
        <v>137</v>
      </c>
      <c r="G605" s="8">
        <v>1</v>
      </c>
      <c r="H605" s="8">
        <v>6500</v>
      </c>
      <c r="I605" s="5" t="s">
        <v>49</v>
      </c>
      <c r="J605" s="8">
        <v>3</v>
      </c>
      <c r="K605" s="8">
        <v>1</v>
      </c>
      <c r="L605" s="8">
        <v>3</v>
      </c>
    </row>
    <row r="606" spans="1:12" x14ac:dyDescent="0.8">
      <c r="A606" s="5" t="s">
        <v>676</v>
      </c>
      <c r="B606" s="8">
        <v>34</v>
      </c>
      <c r="C606" s="5" t="s">
        <v>49</v>
      </c>
      <c r="D606" s="5" t="s">
        <v>42</v>
      </c>
      <c r="E606" s="5" t="s">
        <v>53</v>
      </c>
      <c r="F606" s="5" t="s">
        <v>60</v>
      </c>
      <c r="G606" s="8">
        <v>4</v>
      </c>
      <c r="H606" s="8">
        <v>2553</v>
      </c>
      <c r="I606" s="5" t="s">
        <v>49</v>
      </c>
      <c r="J606" s="8">
        <v>3</v>
      </c>
      <c r="K606" s="8">
        <v>3</v>
      </c>
      <c r="L606" s="8">
        <v>5</v>
      </c>
    </row>
    <row r="607" spans="1:12" x14ac:dyDescent="0.8">
      <c r="A607" s="5" t="s">
        <v>677</v>
      </c>
      <c r="B607" s="8">
        <v>34</v>
      </c>
      <c r="C607" s="5" t="s">
        <v>49</v>
      </c>
      <c r="D607" s="5" t="s">
        <v>71</v>
      </c>
      <c r="E607" s="5" t="s">
        <v>44</v>
      </c>
      <c r="F607" s="5" t="s">
        <v>71</v>
      </c>
      <c r="G607" s="8">
        <v>4</v>
      </c>
      <c r="H607" s="8">
        <v>3737</v>
      </c>
      <c r="I607" s="5" t="s">
        <v>49</v>
      </c>
      <c r="J607" s="8">
        <v>3</v>
      </c>
      <c r="K607" s="8">
        <v>1</v>
      </c>
      <c r="L607" s="8">
        <v>3</v>
      </c>
    </row>
    <row r="608" spans="1:12" x14ac:dyDescent="0.8">
      <c r="A608" s="5" t="s">
        <v>678</v>
      </c>
      <c r="B608" s="8">
        <v>34</v>
      </c>
      <c r="C608" s="5" t="s">
        <v>49</v>
      </c>
      <c r="D608" s="5" t="s">
        <v>42</v>
      </c>
      <c r="E608" s="5" t="s">
        <v>44</v>
      </c>
      <c r="F608" s="5" t="s">
        <v>45</v>
      </c>
      <c r="G608" s="8">
        <v>2</v>
      </c>
      <c r="H608" s="8">
        <v>2008</v>
      </c>
      <c r="I608" s="5" t="s">
        <v>49</v>
      </c>
      <c r="J608" s="8">
        <v>3</v>
      </c>
      <c r="K608" s="8">
        <v>3</v>
      </c>
      <c r="L608" s="8">
        <v>1</v>
      </c>
    </row>
    <row r="609" spans="1:12" x14ac:dyDescent="0.8">
      <c r="A609" s="5" t="s">
        <v>679</v>
      </c>
      <c r="B609" s="8">
        <v>34</v>
      </c>
      <c r="C609" s="5" t="s">
        <v>49</v>
      </c>
      <c r="D609" s="5" t="s">
        <v>51</v>
      </c>
      <c r="E609" s="5" t="s">
        <v>44</v>
      </c>
      <c r="F609" s="5" t="s">
        <v>137</v>
      </c>
      <c r="G609" s="8">
        <v>4</v>
      </c>
      <c r="H609" s="8">
        <v>9725</v>
      </c>
      <c r="I609" s="5" t="s">
        <v>49</v>
      </c>
      <c r="J609" s="8">
        <v>3</v>
      </c>
      <c r="K609" s="8">
        <v>2</v>
      </c>
      <c r="L609" s="8">
        <v>15</v>
      </c>
    </row>
    <row r="610" spans="1:12" x14ac:dyDescent="0.8">
      <c r="A610" s="5" t="s">
        <v>680</v>
      </c>
      <c r="B610" s="8">
        <v>34</v>
      </c>
      <c r="C610" s="5" t="s">
        <v>49</v>
      </c>
      <c r="D610" s="5" t="s">
        <v>51</v>
      </c>
      <c r="E610" s="5" t="s">
        <v>53</v>
      </c>
      <c r="F610" s="5" t="s">
        <v>54</v>
      </c>
      <c r="G610" s="8">
        <v>3</v>
      </c>
      <c r="H610" s="8">
        <v>2220</v>
      </c>
      <c r="I610" s="5" t="s">
        <v>40</v>
      </c>
      <c r="J610" s="8">
        <v>3</v>
      </c>
      <c r="K610" s="8">
        <v>2</v>
      </c>
      <c r="L610" s="8">
        <v>1</v>
      </c>
    </row>
    <row r="611" spans="1:12" x14ac:dyDescent="0.8">
      <c r="A611" s="5" t="s">
        <v>681</v>
      </c>
      <c r="B611" s="8">
        <v>34</v>
      </c>
      <c r="C611" s="5" t="s">
        <v>49</v>
      </c>
      <c r="D611" s="5" t="s">
        <v>42</v>
      </c>
      <c r="E611" s="5" t="s">
        <v>44</v>
      </c>
      <c r="F611" s="5" t="s">
        <v>161</v>
      </c>
      <c r="G611" s="8">
        <v>4</v>
      </c>
      <c r="H611" s="8">
        <v>7756</v>
      </c>
      <c r="I611" s="5" t="s">
        <v>49</v>
      </c>
      <c r="J611" s="8">
        <v>3</v>
      </c>
      <c r="K611" s="8">
        <v>1</v>
      </c>
      <c r="L611" s="8">
        <v>6</v>
      </c>
    </row>
    <row r="612" spans="1:12" x14ac:dyDescent="0.8">
      <c r="A612" s="5" t="s">
        <v>682</v>
      </c>
      <c r="B612" s="8">
        <v>34</v>
      </c>
      <c r="C612" s="5" t="s">
        <v>49</v>
      </c>
      <c r="D612" s="5" t="s">
        <v>42</v>
      </c>
      <c r="E612" s="5" t="s">
        <v>44</v>
      </c>
      <c r="F612" s="5" t="s">
        <v>60</v>
      </c>
      <c r="G612" s="8">
        <v>4</v>
      </c>
      <c r="H612" s="8">
        <v>2979</v>
      </c>
      <c r="I612" s="5" t="s">
        <v>49</v>
      </c>
      <c r="J612" s="8">
        <v>3</v>
      </c>
      <c r="K612" s="8">
        <v>2</v>
      </c>
      <c r="L612" s="8">
        <v>0</v>
      </c>
    </row>
    <row r="613" spans="1:12" x14ac:dyDescent="0.8">
      <c r="A613" s="5" t="s">
        <v>683</v>
      </c>
      <c r="B613" s="8">
        <v>34</v>
      </c>
      <c r="C613" s="5" t="s">
        <v>49</v>
      </c>
      <c r="D613" s="5" t="s">
        <v>42</v>
      </c>
      <c r="E613" s="5" t="s">
        <v>44</v>
      </c>
      <c r="F613" s="5" t="s">
        <v>112</v>
      </c>
      <c r="G613" s="8">
        <v>3</v>
      </c>
      <c r="H613" s="8">
        <v>4033</v>
      </c>
      <c r="I613" s="5" t="s">
        <v>49</v>
      </c>
      <c r="J613" s="8">
        <v>3</v>
      </c>
      <c r="K613" s="8">
        <v>3</v>
      </c>
      <c r="L613" s="8">
        <v>3</v>
      </c>
    </row>
    <row r="614" spans="1:12" x14ac:dyDescent="0.8">
      <c r="A614" s="5" t="s">
        <v>684</v>
      </c>
      <c r="B614" s="8">
        <v>34</v>
      </c>
      <c r="C614" s="5" t="s">
        <v>49</v>
      </c>
      <c r="D614" s="5" t="s">
        <v>51</v>
      </c>
      <c r="E614" s="5" t="s">
        <v>53</v>
      </c>
      <c r="F614" s="5" t="s">
        <v>137</v>
      </c>
      <c r="G614" s="8">
        <v>3</v>
      </c>
      <c r="H614" s="8">
        <v>5714</v>
      </c>
      <c r="I614" s="5" t="s">
        <v>49</v>
      </c>
      <c r="J614" s="8">
        <v>4</v>
      </c>
      <c r="K614" s="8">
        <v>3</v>
      </c>
      <c r="L614" s="8">
        <v>6</v>
      </c>
    </row>
    <row r="615" spans="1:12" x14ac:dyDescent="0.8">
      <c r="A615" s="5" t="s">
        <v>685</v>
      </c>
      <c r="B615" s="8">
        <v>34</v>
      </c>
      <c r="C615" s="5" t="s">
        <v>49</v>
      </c>
      <c r="D615" s="5" t="s">
        <v>42</v>
      </c>
      <c r="E615" s="5" t="s">
        <v>44</v>
      </c>
      <c r="F615" s="5" t="s">
        <v>161</v>
      </c>
      <c r="G615" s="8">
        <v>1</v>
      </c>
      <c r="H615" s="8">
        <v>5343</v>
      </c>
      <c r="I615" s="5" t="s">
        <v>49</v>
      </c>
      <c r="J615" s="8">
        <v>4</v>
      </c>
      <c r="K615" s="8">
        <v>3</v>
      </c>
      <c r="L615" s="8">
        <v>13</v>
      </c>
    </row>
    <row r="616" spans="1:12" x14ac:dyDescent="0.8">
      <c r="A616" s="5" t="s">
        <v>686</v>
      </c>
      <c r="B616" s="8">
        <v>34</v>
      </c>
      <c r="C616" s="5" t="s">
        <v>49</v>
      </c>
      <c r="D616" s="5" t="s">
        <v>42</v>
      </c>
      <c r="E616" s="5" t="s">
        <v>53</v>
      </c>
      <c r="F616" s="5" t="s">
        <v>60</v>
      </c>
      <c r="G616" s="8">
        <v>3</v>
      </c>
      <c r="H616" s="8">
        <v>2585</v>
      </c>
      <c r="I616" s="5" t="s">
        <v>49</v>
      </c>
      <c r="J616" s="8">
        <v>3</v>
      </c>
      <c r="K616" s="8">
        <v>5</v>
      </c>
      <c r="L616" s="8">
        <v>1</v>
      </c>
    </row>
    <row r="617" spans="1:12" x14ac:dyDescent="0.8">
      <c r="A617" s="5" t="s">
        <v>687</v>
      </c>
      <c r="B617" s="8">
        <v>34</v>
      </c>
      <c r="C617" s="5" t="s">
        <v>49</v>
      </c>
      <c r="D617" s="5" t="s">
        <v>51</v>
      </c>
      <c r="E617" s="5" t="s">
        <v>53</v>
      </c>
      <c r="F617" s="5" t="s">
        <v>137</v>
      </c>
      <c r="G617" s="8">
        <v>1</v>
      </c>
      <c r="H617" s="8">
        <v>4538</v>
      </c>
      <c r="I617" s="5" t="s">
        <v>40</v>
      </c>
      <c r="J617" s="8">
        <v>3</v>
      </c>
      <c r="K617" s="8">
        <v>3</v>
      </c>
      <c r="L617" s="8">
        <v>3</v>
      </c>
    </row>
    <row r="618" spans="1:12" x14ac:dyDescent="0.8">
      <c r="A618" s="5" t="s">
        <v>688</v>
      </c>
      <c r="B618" s="8">
        <v>34</v>
      </c>
      <c r="C618" s="5" t="s">
        <v>49</v>
      </c>
      <c r="D618" s="5" t="s">
        <v>42</v>
      </c>
      <c r="E618" s="5" t="s">
        <v>53</v>
      </c>
      <c r="F618" s="5" t="s">
        <v>45</v>
      </c>
      <c r="G618" s="8">
        <v>2</v>
      </c>
      <c r="H618" s="8">
        <v>4444</v>
      </c>
      <c r="I618" s="5" t="s">
        <v>49</v>
      </c>
      <c r="J618" s="8">
        <v>3</v>
      </c>
      <c r="K618" s="8">
        <v>2</v>
      </c>
      <c r="L618" s="8">
        <v>11</v>
      </c>
    </row>
    <row r="619" spans="1:12" x14ac:dyDescent="0.8">
      <c r="A619" s="5" t="s">
        <v>689</v>
      </c>
      <c r="B619" s="8">
        <v>34</v>
      </c>
      <c r="C619" s="5" t="s">
        <v>49</v>
      </c>
      <c r="D619" s="5" t="s">
        <v>71</v>
      </c>
      <c r="E619" s="5" t="s">
        <v>44</v>
      </c>
      <c r="F619" s="5" t="s">
        <v>71</v>
      </c>
      <c r="G619" s="8">
        <v>2</v>
      </c>
      <c r="H619" s="8">
        <v>4490</v>
      </c>
      <c r="I619" s="5" t="s">
        <v>49</v>
      </c>
      <c r="J619" s="8">
        <v>3</v>
      </c>
      <c r="K619" s="8">
        <v>5</v>
      </c>
      <c r="L619" s="8">
        <v>10</v>
      </c>
    </row>
    <row r="620" spans="1:12" x14ac:dyDescent="0.8">
      <c r="A620" s="5" t="s">
        <v>690</v>
      </c>
      <c r="B620" s="8">
        <v>34</v>
      </c>
      <c r="C620" s="5" t="s">
        <v>49</v>
      </c>
      <c r="D620" s="5" t="s">
        <v>42</v>
      </c>
      <c r="E620" s="5" t="s">
        <v>44</v>
      </c>
      <c r="F620" s="5" t="s">
        <v>161</v>
      </c>
      <c r="G620" s="8">
        <v>4</v>
      </c>
      <c r="H620" s="8">
        <v>8500</v>
      </c>
      <c r="I620" s="5" t="s">
        <v>49</v>
      </c>
      <c r="J620" s="8">
        <v>3</v>
      </c>
      <c r="K620" s="8">
        <v>0</v>
      </c>
      <c r="L620" s="8">
        <v>9</v>
      </c>
    </row>
    <row r="621" spans="1:12" x14ac:dyDescent="0.8">
      <c r="A621" s="5" t="s">
        <v>691</v>
      </c>
      <c r="B621" s="8">
        <v>34</v>
      </c>
      <c r="C621" s="5" t="s">
        <v>49</v>
      </c>
      <c r="D621" s="5" t="s">
        <v>51</v>
      </c>
      <c r="E621" s="5" t="s">
        <v>53</v>
      </c>
      <c r="F621" s="5" t="s">
        <v>137</v>
      </c>
      <c r="G621" s="8">
        <v>1</v>
      </c>
      <c r="H621" s="8">
        <v>6125</v>
      </c>
      <c r="I621" s="5" t="s">
        <v>49</v>
      </c>
      <c r="J621" s="8">
        <v>3</v>
      </c>
      <c r="K621" s="8">
        <v>6</v>
      </c>
      <c r="L621" s="8">
        <v>10</v>
      </c>
    </row>
    <row r="622" spans="1:12" x14ac:dyDescent="0.8">
      <c r="A622" s="5" t="s">
        <v>692</v>
      </c>
      <c r="B622" s="8">
        <v>34</v>
      </c>
      <c r="C622" s="5" t="s">
        <v>49</v>
      </c>
      <c r="D622" s="5" t="s">
        <v>42</v>
      </c>
      <c r="E622" s="5" t="s">
        <v>53</v>
      </c>
      <c r="F622" s="5" t="s">
        <v>60</v>
      </c>
      <c r="G622" s="8">
        <v>3</v>
      </c>
      <c r="H622" s="8">
        <v>2029</v>
      </c>
      <c r="I622" s="5" t="s">
        <v>49</v>
      </c>
      <c r="J622" s="8">
        <v>4</v>
      </c>
      <c r="K622" s="8">
        <v>2</v>
      </c>
      <c r="L622" s="8">
        <v>5</v>
      </c>
    </row>
    <row r="623" spans="1:12" x14ac:dyDescent="0.8">
      <c r="A623" s="5" t="s">
        <v>693</v>
      </c>
      <c r="B623" s="8">
        <v>34</v>
      </c>
      <c r="C623" s="5" t="s">
        <v>49</v>
      </c>
      <c r="D623" s="5" t="s">
        <v>42</v>
      </c>
      <c r="E623" s="5" t="s">
        <v>44</v>
      </c>
      <c r="F623" s="5" t="s">
        <v>45</v>
      </c>
      <c r="G623" s="8">
        <v>3</v>
      </c>
      <c r="H623" s="8">
        <v>5429</v>
      </c>
      <c r="I623" s="5" t="s">
        <v>49</v>
      </c>
      <c r="J623" s="8">
        <v>3</v>
      </c>
      <c r="K623" s="8">
        <v>1</v>
      </c>
      <c r="L623" s="8">
        <v>8</v>
      </c>
    </row>
    <row r="624" spans="1:12" x14ac:dyDescent="0.8">
      <c r="A624" s="5" t="s">
        <v>694</v>
      </c>
      <c r="B624" s="8">
        <v>34</v>
      </c>
      <c r="C624" s="5" t="s">
        <v>49</v>
      </c>
      <c r="D624" s="5" t="s">
        <v>42</v>
      </c>
      <c r="E624" s="5" t="s">
        <v>53</v>
      </c>
      <c r="F624" s="5" t="s">
        <v>161</v>
      </c>
      <c r="G624" s="8">
        <v>4</v>
      </c>
      <c r="H624" s="8">
        <v>6687</v>
      </c>
      <c r="I624" s="5" t="s">
        <v>49</v>
      </c>
      <c r="J624" s="8">
        <v>3</v>
      </c>
      <c r="K624" s="8">
        <v>2</v>
      </c>
      <c r="L624" s="8">
        <v>14</v>
      </c>
    </row>
    <row r="625" spans="1:12" x14ac:dyDescent="0.8">
      <c r="A625" s="5" t="s">
        <v>695</v>
      </c>
      <c r="B625" s="8">
        <v>34</v>
      </c>
      <c r="C625" s="5" t="s">
        <v>49</v>
      </c>
      <c r="D625" s="5" t="s">
        <v>42</v>
      </c>
      <c r="E625" s="5" t="s">
        <v>44</v>
      </c>
      <c r="F625" s="5" t="s">
        <v>60</v>
      </c>
      <c r="G625" s="8">
        <v>1</v>
      </c>
      <c r="H625" s="8">
        <v>2996</v>
      </c>
      <c r="I625" s="5" t="s">
        <v>49</v>
      </c>
      <c r="J625" s="8">
        <v>3</v>
      </c>
      <c r="K625" s="8">
        <v>2</v>
      </c>
      <c r="L625" s="8">
        <v>4</v>
      </c>
    </row>
    <row r="626" spans="1:12" x14ac:dyDescent="0.8">
      <c r="A626" s="5" t="s">
        <v>696</v>
      </c>
      <c r="B626" s="8">
        <v>34</v>
      </c>
      <c r="C626" s="5" t="s">
        <v>49</v>
      </c>
      <c r="D626" s="5" t="s">
        <v>42</v>
      </c>
      <c r="E626" s="5" t="s">
        <v>53</v>
      </c>
      <c r="F626" s="5" t="s">
        <v>45</v>
      </c>
      <c r="G626" s="8">
        <v>2</v>
      </c>
      <c r="H626" s="8">
        <v>3294</v>
      </c>
      <c r="I626" s="5" t="s">
        <v>49</v>
      </c>
      <c r="J626" s="8">
        <v>3</v>
      </c>
      <c r="K626" s="8">
        <v>2</v>
      </c>
      <c r="L626" s="8">
        <v>5</v>
      </c>
    </row>
    <row r="627" spans="1:12" x14ac:dyDescent="0.8">
      <c r="A627" s="5" t="s">
        <v>697</v>
      </c>
      <c r="B627" s="8">
        <v>34</v>
      </c>
      <c r="C627" s="5" t="s">
        <v>40</v>
      </c>
      <c r="D627" s="5" t="s">
        <v>71</v>
      </c>
      <c r="E627" s="5" t="s">
        <v>53</v>
      </c>
      <c r="F627" s="5" t="s">
        <v>71</v>
      </c>
      <c r="G627" s="8">
        <v>3</v>
      </c>
      <c r="H627" s="8">
        <v>2742</v>
      </c>
      <c r="I627" s="5" t="s">
        <v>49</v>
      </c>
      <c r="J627" s="8">
        <v>3</v>
      </c>
      <c r="K627" s="8">
        <v>0</v>
      </c>
      <c r="L627" s="8">
        <v>2</v>
      </c>
    </row>
    <row r="628" spans="1:12" x14ac:dyDescent="0.8">
      <c r="A628" s="5" t="s">
        <v>698</v>
      </c>
      <c r="B628" s="8">
        <v>34</v>
      </c>
      <c r="C628" s="5" t="s">
        <v>49</v>
      </c>
      <c r="D628" s="5" t="s">
        <v>51</v>
      </c>
      <c r="E628" s="5" t="s">
        <v>44</v>
      </c>
      <c r="F628" s="5" t="s">
        <v>137</v>
      </c>
      <c r="G628" s="8">
        <v>1</v>
      </c>
      <c r="H628" s="8">
        <v>4759</v>
      </c>
      <c r="I628" s="5" t="s">
        <v>49</v>
      </c>
      <c r="J628" s="8">
        <v>3</v>
      </c>
      <c r="K628" s="8">
        <v>2</v>
      </c>
      <c r="L628" s="8">
        <v>13</v>
      </c>
    </row>
    <row r="629" spans="1:12" x14ac:dyDescent="0.8">
      <c r="A629" s="5" t="s">
        <v>699</v>
      </c>
      <c r="B629" s="8">
        <v>34</v>
      </c>
      <c r="C629" s="5" t="s">
        <v>49</v>
      </c>
      <c r="D629" s="5" t="s">
        <v>42</v>
      </c>
      <c r="E629" s="5" t="s">
        <v>44</v>
      </c>
      <c r="F629" s="5" t="s">
        <v>252</v>
      </c>
      <c r="G629" s="8">
        <v>1</v>
      </c>
      <c r="H629" s="8">
        <v>17007</v>
      </c>
      <c r="I629" s="5" t="s">
        <v>49</v>
      </c>
      <c r="J629" s="8">
        <v>3</v>
      </c>
      <c r="K629" s="8">
        <v>3</v>
      </c>
      <c r="L629" s="8">
        <v>14</v>
      </c>
    </row>
    <row r="630" spans="1:12" x14ac:dyDescent="0.8">
      <c r="A630" s="5" t="s">
        <v>700</v>
      </c>
      <c r="B630" s="8">
        <v>34</v>
      </c>
      <c r="C630" s="5" t="s">
        <v>40</v>
      </c>
      <c r="D630" s="5" t="s">
        <v>51</v>
      </c>
      <c r="E630" s="5" t="s">
        <v>53</v>
      </c>
      <c r="F630" s="5" t="s">
        <v>137</v>
      </c>
      <c r="G630" s="8">
        <v>2</v>
      </c>
      <c r="H630" s="8">
        <v>4599</v>
      </c>
      <c r="I630" s="5" t="s">
        <v>40</v>
      </c>
      <c r="J630" s="8">
        <v>4</v>
      </c>
      <c r="K630" s="8">
        <v>2</v>
      </c>
      <c r="L630" s="8">
        <v>15</v>
      </c>
    </row>
    <row r="631" spans="1:12" x14ac:dyDescent="0.8">
      <c r="A631" s="5" t="s">
        <v>701</v>
      </c>
      <c r="B631" s="8">
        <v>34</v>
      </c>
      <c r="C631" s="5" t="s">
        <v>49</v>
      </c>
      <c r="D631" s="5" t="s">
        <v>51</v>
      </c>
      <c r="E631" s="5" t="s">
        <v>44</v>
      </c>
      <c r="F631" s="5" t="s">
        <v>137</v>
      </c>
      <c r="G631" s="8">
        <v>3</v>
      </c>
      <c r="H631" s="8">
        <v>7083</v>
      </c>
      <c r="I631" s="5" t="s">
        <v>40</v>
      </c>
      <c r="J631" s="8">
        <v>3</v>
      </c>
      <c r="K631" s="8">
        <v>3</v>
      </c>
      <c r="L631" s="8">
        <v>10</v>
      </c>
    </row>
    <row r="632" spans="1:12" x14ac:dyDescent="0.8">
      <c r="A632" s="5" t="s">
        <v>702</v>
      </c>
      <c r="B632" s="8">
        <v>34</v>
      </c>
      <c r="C632" s="5" t="s">
        <v>49</v>
      </c>
      <c r="D632" s="5" t="s">
        <v>51</v>
      </c>
      <c r="E632" s="5" t="s">
        <v>44</v>
      </c>
      <c r="F632" s="5" t="s">
        <v>54</v>
      </c>
      <c r="G632" s="8">
        <v>3</v>
      </c>
      <c r="H632" s="8">
        <v>2308</v>
      </c>
      <c r="I632" s="5" t="s">
        <v>40</v>
      </c>
      <c r="J632" s="8">
        <v>4</v>
      </c>
      <c r="K632" s="8">
        <v>4</v>
      </c>
      <c r="L632" s="8">
        <v>11</v>
      </c>
    </row>
    <row r="633" spans="1:12" x14ac:dyDescent="0.8">
      <c r="A633" s="5" t="s">
        <v>703</v>
      </c>
      <c r="B633" s="8">
        <v>34</v>
      </c>
      <c r="C633" s="5" t="s">
        <v>49</v>
      </c>
      <c r="D633" s="5" t="s">
        <v>42</v>
      </c>
      <c r="E633" s="5" t="s">
        <v>44</v>
      </c>
      <c r="F633" s="5" t="s">
        <v>60</v>
      </c>
      <c r="G633" s="8">
        <v>4</v>
      </c>
      <c r="H633" s="8">
        <v>2972</v>
      </c>
      <c r="I633" s="5" t="s">
        <v>49</v>
      </c>
      <c r="J633" s="8">
        <v>3</v>
      </c>
      <c r="K633" s="8">
        <v>4</v>
      </c>
      <c r="L633" s="8">
        <v>1</v>
      </c>
    </row>
    <row r="634" spans="1:12" x14ac:dyDescent="0.8">
      <c r="A634" s="5" t="s">
        <v>704</v>
      </c>
      <c r="B634" s="8">
        <v>34</v>
      </c>
      <c r="C634" s="5" t="s">
        <v>49</v>
      </c>
      <c r="D634" s="5" t="s">
        <v>42</v>
      </c>
      <c r="E634" s="5" t="s">
        <v>44</v>
      </c>
      <c r="F634" s="5" t="s">
        <v>60</v>
      </c>
      <c r="G634" s="8">
        <v>4</v>
      </c>
      <c r="H634" s="8">
        <v>5484</v>
      </c>
      <c r="I634" s="5" t="s">
        <v>49</v>
      </c>
      <c r="J634" s="8">
        <v>3</v>
      </c>
      <c r="K634" s="8">
        <v>3</v>
      </c>
      <c r="L634" s="8">
        <v>2</v>
      </c>
    </row>
    <row r="635" spans="1:12" x14ac:dyDescent="0.8">
      <c r="A635" s="5" t="s">
        <v>705</v>
      </c>
      <c r="B635" s="8">
        <v>34</v>
      </c>
      <c r="C635" s="5" t="s">
        <v>49</v>
      </c>
      <c r="D635" s="5" t="s">
        <v>42</v>
      </c>
      <c r="E635" s="5" t="s">
        <v>44</v>
      </c>
      <c r="F635" s="5" t="s">
        <v>161</v>
      </c>
      <c r="G635" s="8">
        <v>3</v>
      </c>
      <c r="H635" s="8">
        <v>5063</v>
      </c>
      <c r="I635" s="5" t="s">
        <v>49</v>
      </c>
      <c r="J635" s="8">
        <v>3</v>
      </c>
      <c r="K635" s="8">
        <v>3</v>
      </c>
      <c r="L635" s="8">
        <v>8</v>
      </c>
    </row>
    <row r="636" spans="1:12" x14ac:dyDescent="0.8">
      <c r="A636" s="5" t="s">
        <v>706</v>
      </c>
      <c r="B636" s="8">
        <v>34</v>
      </c>
      <c r="C636" s="5" t="s">
        <v>49</v>
      </c>
      <c r="D636" s="5" t="s">
        <v>42</v>
      </c>
      <c r="E636" s="5" t="s">
        <v>44</v>
      </c>
      <c r="F636" s="5" t="s">
        <v>112</v>
      </c>
      <c r="G636" s="8">
        <v>4</v>
      </c>
      <c r="H636" s="8">
        <v>4724</v>
      </c>
      <c r="I636" s="5" t="s">
        <v>49</v>
      </c>
      <c r="J636" s="8">
        <v>3</v>
      </c>
      <c r="K636" s="8">
        <v>3</v>
      </c>
      <c r="L636" s="8">
        <v>9</v>
      </c>
    </row>
    <row r="637" spans="1:12" x14ac:dyDescent="0.8">
      <c r="A637" s="5" t="s">
        <v>707</v>
      </c>
      <c r="B637" s="8">
        <v>34</v>
      </c>
      <c r="C637" s="5" t="s">
        <v>49</v>
      </c>
      <c r="D637" s="5" t="s">
        <v>42</v>
      </c>
      <c r="E637" s="5" t="s">
        <v>53</v>
      </c>
      <c r="F637" s="5" t="s">
        <v>60</v>
      </c>
      <c r="G637" s="8">
        <v>2</v>
      </c>
      <c r="H637" s="8">
        <v>5433</v>
      </c>
      <c r="I637" s="5" t="s">
        <v>49</v>
      </c>
      <c r="J637" s="8">
        <v>3</v>
      </c>
      <c r="K637" s="8">
        <v>2</v>
      </c>
      <c r="L637" s="8">
        <v>11</v>
      </c>
    </row>
    <row r="638" spans="1:12" x14ac:dyDescent="0.8">
      <c r="A638" s="5" t="s">
        <v>708</v>
      </c>
      <c r="B638" s="8">
        <v>34</v>
      </c>
      <c r="C638" s="5" t="s">
        <v>49</v>
      </c>
      <c r="D638" s="5" t="s">
        <v>42</v>
      </c>
      <c r="E638" s="5" t="s">
        <v>44</v>
      </c>
      <c r="F638" s="5" t="s">
        <v>45</v>
      </c>
      <c r="G638" s="8">
        <v>4</v>
      </c>
      <c r="H638" s="8">
        <v>3986</v>
      </c>
      <c r="I638" s="5" t="s">
        <v>49</v>
      </c>
      <c r="J638" s="8">
        <v>3</v>
      </c>
      <c r="K638" s="8">
        <v>3</v>
      </c>
      <c r="L638" s="8">
        <v>15</v>
      </c>
    </row>
    <row r="639" spans="1:12" x14ac:dyDescent="0.8">
      <c r="A639" s="5" t="s">
        <v>709</v>
      </c>
      <c r="B639" s="8">
        <v>34</v>
      </c>
      <c r="C639" s="5" t="s">
        <v>49</v>
      </c>
      <c r="D639" s="5" t="s">
        <v>42</v>
      </c>
      <c r="E639" s="5" t="s">
        <v>53</v>
      </c>
      <c r="F639" s="5" t="s">
        <v>60</v>
      </c>
      <c r="G639" s="8">
        <v>4</v>
      </c>
      <c r="H639" s="8">
        <v>2929</v>
      </c>
      <c r="I639" s="5" t="s">
        <v>49</v>
      </c>
      <c r="J639" s="8">
        <v>3</v>
      </c>
      <c r="K639" s="8">
        <v>3</v>
      </c>
      <c r="L639" s="8">
        <v>10</v>
      </c>
    </row>
    <row r="640" spans="1:12" x14ac:dyDescent="0.8">
      <c r="A640" s="5" t="s">
        <v>710</v>
      </c>
      <c r="B640" s="8">
        <v>34</v>
      </c>
      <c r="C640" s="5" t="s">
        <v>49</v>
      </c>
      <c r="D640" s="5" t="s">
        <v>42</v>
      </c>
      <c r="E640" s="5" t="s">
        <v>44</v>
      </c>
      <c r="F640" s="5" t="s">
        <v>60</v>
      </c>
      <c r="G640" s="8">
        <v>4</v>
      </c>
      <c r="H640" s="8">
        <v>2932</v>
      </c>
      <c r="I640" s="5" t="s">
        <v>40</v>
      </c>
      <c r="J640" s="8">
        <v>3</v>
      </c>
      <c r="K640" s="8">
        <v>3</v>
      </c>
      <c r="L640" s="8">
        <v>5</v>
      </c>
    </row>
    <row r="641" spans="1:12" x14ac:dyDescent="0.8">
      <c r="A641" s="5" t="s">
        <v>711</v>
      </c>
      <c r="B641" s="8">
        <v>34</v>
      </c>
      <c r="C641" s="5" t="s">
        <v>49</v>
      </c>
      <c r="D641" s="5" t="s">
        <v>51</v>
      </c>
      <c r="E641" s="5" t="s">
        <v>44</v>
      </c>
      <c r="F641" s="5" t="s">
        <v>137</v>
      </c>
      <c r="G641" s="8">
        <v>3</v>
      </c>
      <c r="H641" s="8">
        <v>4001</v>
      </c>
      <c r="I641" s="5" t="s">
        <v>40</v>
      </c>
      <c r="J641" s="8">
        <v>3</v>
      </c>
      <c r="K641" s="8">
        <v>3</v>
      </c>
      <c r="L641" s="8">
        <v>15</v>
      </c>
    </row>
    <row r="642" spans="1:12" x14ac:dyDescent="0.8">
      <c r="A642" s="5" t="s">
        <v>712</v>
      </c>
      <c r="B642" s="8">
        <v>34</v>
      </c>
      <c r="C642" s="5" t="s">
        <v>49</v>
      </c>
      <c r="D642" s="5" t="s">
        <v>51</v>
      </c>
      <c r="E642" s="5" t="s">
        <v>53</v>
      </c>
      <c r="F642" s="5" t="s">
        <v>137</v>
      </c>
      <c r="G642" s="8">
        <v>4</v>
      </c>
      <c r="H642" s="8">
        <v>6029</v>
      </c>
      <c r="I642" s="5" t="s">
        <v>49</v>
      </c>
      <c r="J642" s="8">
        <v>3</v>
      </c>
      <c r="K642" s="8">
        <v>3</v>
      </c>
      <c r="L642" s="8">
        <v>2</v>
      </c>
    </row>
    <row r="643" spans="1:12" x14ac:dyDescent="0.8">
      <c r="A643" s="5" t="s">
        <v>713</v>
      </c>
      <c r="B643" s="8">
        <v>34</v>
      </c>
      <c r="C643" s="5" t="s">
        <v>40</v>
      </c>
      <c r="D643" s="5" t="s">
        <v>42</v>
      </c>
      <c r="E643" s="5" t="s">
        <v>44</v>
      </c>
      <c r="F643" s="5" t="s">
        <v>45</v>
      </c>
      <c r="G643" s="8">
        <v>1</v>
      </c>
      <c r="H643" s="8">
        <v>5346</v>
      </c>
      <c r="I643" s="5" t="s">
        <v>49</v>
      </c>
      <c r="J643" s="8">
        <v>3</v>
      </c>
      <c r="K643" s="8">
        <v>3</v>
      </c>
      <c r="L643" s="8">
        <v>7</v>
      </c>
    </row>
    <row r="644" spans="1:12" x14ac:dyDescent="0.8">
      <c r="A644" s="5" t="s">
        <v>714</v>
      </c>
      <c r="B644" s="8">
        <v>34</v>
      </c>
      <c r="C644" s="5" t="s">
        <v>49</v>
      </c>
      <c r="D644" s="5" t="s">
        <v>51</v>
      </c>
      <c r="E644" s="5" t="s">
        <v>44</v>
      </c>
      <c r="F644" s="5" t="s">
        <v>137</v>
      </c>
      <c r="G644" s="8">
        <v>3</v>
      </c>
      <c r="H644" s="8">
        <v>6799</v>
      </c>
      <c r="I644" s="5" t="s">
        <v>49</v>
      </c>
      <c r="J644" s="8">
        <v>4</v>
      </c>
      <c r="K644" s="8">
        <v>5</v>
      </c>
      <c r="L644" s="8">
        <v>10</v>
      </c>
    </row>
    <row r="645" spans="1:12" x14ac:dyDescent="0.8">
      <c r="A645" s="5" t="s">
        <v>715</v>
      </c>
      <c r="B645" s="8">
        <v>34</v>
      </c>
      <c r="C645" s="5" t="s">
        <v>49</v>
      </c>
      <c r="D645" s="5" t="s">
        <v>51</v>
      </c>
      <c r="E645" s="5" t="s">
        <v>44</v>
      </c>
      <c r="F645" s="5" t="s">
        <v>137</v>
      </c>
      <c r="G645" s="8">
        <v>4</v>
      </c>
      <c r="H645" s="8">
        <v>9713</v>
      </c>
      <c r="I645" s="5" t="s">
        <v>40</v>
      </c>
      <c r="J645" s="8">
        <v>3</v>
      </c>
      <c r="K645" s="8">
        <v>3</v>
      </c>
      <c r="L645" s="8">
        <v>5</v>
      </c>
    </row>
    <row r="646" spans="1:12" x14ac:dyDescent="0.8">
      <c r="A646" s="5" t="s">
        <v>716</v>
      </c>
      <c r="B646" s="8">
        <v>34</v>
      </c>
      <c r="C646" s="5" t="s">
        <v>40</v>
      </c>
      <c r="D646" s="5" t="s">
        <v>42</v>
      </c>
      <c r="E646" s="5" t="s">
        <v>44</v>
      </c>
      <c r="F646" s="5" t="s">
        <v>60</v>
      </c>
      <c r="G646" s="8">
        <v>1</v>
      </c>
      <c r="H646" s="8">
        <v>2307</v>
      </c>
      <c r="I646" s="5" t="s">
        <v>40</v>
      </c>
      <c r="J646" s="8">
        <v>4</v>
      </c>
      <c r="K646" s="8">
        <v>2</v>
      </c>
      <c r="L646" s="8">
        <v>5</v>
      </c>
    </row>
    <row r="647" spans="1:12" x14ac:dyDescent="0.8">
      <c r="A647" s="5" t="s">
        <v>717</v>
      </c>
      <c r="B647" s="8">
        <v>34</v>
      </c>
      <c r="C647" s="5" t="s">
        <v>49</v>
      </c>
      <c r="D647" s="5" t="s">
        <v>51</v>
      </c>
      <c r="E647" s="5" t="s">
        <v>53</v>
      </c>
      <c r="F647" s="5" t="s">
        <v>137</v>
      </c>
      <c r="G647" s="8">
        <v>4</v>
      </c>
      <c r="H647" s="8">
        <v>8103</v>
      </c>
      <c r="I647" s="5" t="s">
        <v>40</v>
      </c>
      <c r="J647" s="8">
        <v>3</v>
      </c>
      <c r="K647" s="8">
        <v>3</v>
      </c>
      <c r="L647" s="8">
        <v>4</v>
      </c>
    </row>
    <row r="648" spans="1:12" x14ac:dyDescent="0.8">
      <c r="A648" s="5" t="s">
        <v>718</v>
      </c>
      <c r="B648" s="8">
        <v>34</v>
      </c>
      <c r="C648" s="5" t="s">
        <v>49</v>
      </c>
      <c r="D648" s="5" t="s">
        <v>42</v>
      </c>
      <c r="E648" s="5" t="s">
        <v>44</v>
      </c>
      <c r="F648" s="5" t="s">
        <v>60</v>
      </c>
      <c r="G648" s="8">
        <v>4</v>
      </c>
      <c r="H648" s="8">
        <v>5747</v>
      </c>
      <c r="I648" s="5" t="s">
        <v>40</v>
      </c>
      <c r="J648" s="8">
        <v>3</v>
      </c>
      <c r="K648" s="8">
        <v>3</v>
      </c>
      <c r="L648" s="8">
        <v>15</v>
      </c>
    </row>
    <row r="649" spans="1:12" x14ac:dyDescent="0.8">
      <c r="A649" s="5" t="s">
        <v>719</v>
      </c>
      <c r="B649" s="8">
        <v>34</v>
      </c>
      <c r="C649" s="5" t="s">
        <v>49</v>
      </c>
      <c r="D649" s="5" t="s">
        <v>51</v>
      </c>
      <c r="E649" s="5" t="s">
        <v>44</v>
      </c>
      <c r="F649" s="5" t="s">
        <v>137</v>
      </c>
      <c r="G649" s="8">
        <v>4</v>
      </c>
      <c r="H649" s="8">
        <v>9888</v>
      </c>
      <c r="I649" s="5" t="s">
        <v>49</v>
      </c>
      <c r="J649" s="8">
        <v>4</v>
      </c>
      <c r="K649" s="8">
        <v>3</v>
      </c>
      <c r="L649" s="8">
        <v>14</v>
      </c>
    </row>
    <row r="650" spans="1:12" x14ac:dyDescent="0.8">
      <c r="A650" s="5" t="s">
        <v>720</v>
      </c>
      <c r="B650" s="8">
        <v>34</v>
      </c>
      <c r="C650" s="5" t="s">
        <v>49</v>
      </c>
      <c r="D650" s="5" t="s">
        <v>51</v>
      </c>
      <c r="E650" s="5" t="s">
        <v>44</v>
      </c>
      <c r="F650" s="5" t="s">
        <v>137</v>
      </c>
      <c r="G650" s="8">
        <v>3</v>
      </c>
      <c r="H650" s="8">
        <v>8628</v>
      </c>
      <c r="I650" s="5" t="s">
        <v>49</v>
      </c>
      <c r="J650" s="8">
        <v>3</v>
      </c>
      <c r="K650" s="8">
        <v>2</v>
      </c>
      <c r="L650" s="8">
        <v>8</v>
      </c>
    </row>
    <row r="651" spans="1:12" x14ac:dyDescent="0.8">
      <c r="A651" s="5" t="s">
        <v>721</v>
      </c>
      <c r="B651" s="8">
        <v>34</v>
      </c>
      <c r="C651" s="5" t="s">
        <v>49</v>
      </c>
      <c r="D651" s="5" t="s">
        <v>51</v>
      </c>
      <c r="E651" s="5" t="s">
        <v>53</v>
      </c>
      <c r="F651" s="5" t="s">
        <v>137</v>
      </c>
      <c r="G651" s="8">
        <v>3</v>
      </c>
      <c r="H651" s="8">
        <v>6712</v>
      </c>
      <c r="I651" s="5" t="s">
        <v>49</v>
      </c>
      <c r="J651" s="8">
        <v>4</v>
      </c>
      <c r="K651" s="8">
        <v>2</v>
      </c>
      <c r="L651" s="8">
        <v>8</v>
      </c>
    </row>
    <row r="652" spans="1:12" x14ac:dyDescent="0.8">
      <c r="A652" s="5" t="s">
        <v>722</v>
      </c>
      <c r="B652" s="8">
        <v>34</v>
      </c>
      <c r="C652" s="5" t="s">
        <v>49</v>
      </c>
      <c r="D652" s="5" t="s">
        <v>42</v>
      </c>
      <c r="E652" s="5" t="s">
        <v>44</v>
      </c>
      <c r="F652" s="5" t="s">
        <v>45</v>
      </c>
      <c r="G652" s="8">
        <v>3</v>
      </c>
      <c r="H652" s="8">
        <v>4404</v>
      </c>
      <c r="I652" s="5" t="s">
        <v>49</v>
      </c>
      <c r="J652" s="8">
        <v>3</v>
      </c>
      <c r="K652" s="8">
        <v>3</v>
      </c>
      <c r="L652" s="8">
        <v>4</v>
      </c>
    </row>
    <row r="653" spans="1:12" x14ac:dyDescent="0.8">
      <c r="A653" s="5" t="s">
        <v>723</v>
      </c>
      <c r="B653" s="8">
        <v>35</v>
      </c>
      <c r="C653" s="5" t="s">
        <v>49</v>
      </c>
      <c r="D653" s="5" t="s">
        <v>42</v>
      </c>
      <c r="E653" s="5" t="s">
        <v>44</v>
      </c>
      <c r="F653" s="5" t="s">
        <v>45</v>
      </c>
      <c r="G653" s="8">
        <v>2</v>
      </c>
      <c r="H653" s="8">
        <v>2426</v>
      </c>
      <c r="I653" s="5" t="s">
        <v>49</v>
      </c>
      <c r="J653" s="8">
        <v>3</v>
      </c>
      <c r="K653" s="8">
        <v>5</v>
      </c>
      <c r="L653" s="8">
        <v>5</v>
      </c>
    </row>
    <row r="654" spans="1:12" x14ac:dyDescent="0.8">
      <c r="A654" s="5" t="s">
        <v>724</v>
      </c>
      <c r="B654" s="8">
        <v>35</v>
      </c>
      <c r="C654" s="5" t="s">
        <v>49</v>
      </c>
      <c r="D654" s="5" t="s">
        <v>51</v>
      </c>
      <c r="E654" s="5" t="s">
        <v>53</v>
      </c>
      <c r="F654" s="5" t="s">
        <v>54</v>
      </c>
      <c r="G654" s="8">
        <v>4</v>
      </c>
      <c r="H654" s="8">
        <v>2014</v>
      </c>
      <c r="I654" s="5" t="s">
        <v>49</v>
      </c>
      <c r="J654" s="8">
        <v>3</v>
      </c>
      <c r="K654" s="8">
        <v>3</v>
      </c>
      <c r="L654" s="8">
        <v>2</v>
      </c>
    </row>
    <row r="655" spans="1:12" x14ac:dyDescent="0.8">
      <c r="A655" s="5" t="s">
        <v>725</v>
      </c>
      <c r="B655" s="8">
        <v>35</v>
      </c>
      <c r="C655" s="5" t="s">
        <v>49</v>
      </c>
      <c r="D655" s="5" t="s">
        <v>42</v>
      </c>
      <c r="E655" s="5" t="s">
        <v>44</v>
      </c>
      <c r="F655" s="5" t="s">
        <v>45</v>
      </c>
      <c r="G655" s="8">
        <v>4</v>
      </c>
      <c r="H655" s="8">
        <v>1951</v>
      </c>
      <c r="I655" s="5" t="s">
        <v>49</v>
      </c>
      <c r="J655" s="8">
        <v>3</v>
      </c>
      <c r="K655" s="8">
        <v>3</v>
      </c>
      <c r="L655" s="8">
        <v>1</v>
      </c>
    </row>
    <row r="656" spans="1:12" x14ac:dyDescent="0.8">
      <c r="A656" s="5" t="s">
        <v>726</v>
      </c>
      <c r="B656" s="8">
        <v>35</v>
      </c>
      <c r="C656" s="5" t="s">
        <v>49</v>
      </c>
      <c r="D656" s="5" t="s">
        <v>42</v>
      </c>
      <c r="E656" s="5" t="s">
        <v>44</v>
      </c>
      <c r="F656" s="5" t="s">
        <v>45</v>
      </c>
      <c r="G656" s="8">
        <v>4</v>
      </c>
      <c r="H656" s="8">
        <v>2269</v>
      </c>
      <c r="I656" s="5" t="s">
        <v>49</v>
      </c>
      <c r="J656" s="8">
        <v>3</v>
      </c>
      <c r="K656" s="8">
        <v>2</v>
      </c>
      <c r="L656" s="8">
        <v>1</v>
      </c>
    </row>
    <row r="657" spans="1:12" x14ac:dyDescent="0.8">
      <c r="A657" s="5" t="s">
        <v>727</v>
      </c>
      <c r="B657" s="8">
        <v>35</v>
      </c>
      <c r="C657" s="5" t="s">
        <v>49</v>
      </c>
      <c r="D657" s="5" t="s">
        <v>42</v>
      </c>
      <c r="E657" s="5" t="s">
        <v>44</v>
      </c>
      <c r="F657" s="5" t="s">
        <v>161</v>
      </c>
      <c r="G657" s="8">
        <v>1</v>
      </c>
      <c r="H657" s="8">
        <v>9884</v>
      </c>
      <c r="I657" s="5" t="s">
        <v>40</v>
      </c>
      <c r="J657" s="8">
        <v>3</v>
      </c>
      <c r="K657" s="8">
        <v>3</v>
      </c>
      <c r="L657" s="8">
        <v>4</v>
      </c>
    </row>
    <row r="658" spans="1:12" x14ac:dyDescent="0.8">
      <c r="A658" s="5" t="s">
        <v>728</v>
      </c>
      <c r="B658" s="8">
        <v>35</v>
      </c>
      <c r="C658" s="5" t="s">
        <v>49</v>
      </c>
      <c r="D658" s="5" t="s">
        <v>51</v>
      </c>
      <c r="E658" s="5" t="s">
        <v>44</v>
      </c>
      <c r="F658" s="5" t="s">
        <v>137</v>
      </c>
      <c r="G658" s="8">
        <v>1</v>
      </c>
      <c r="H658" s="8">
        <v>9069</v>
      </c>
      <c r="I658" s="5" t="s">
        <v>49</v>
      </c>
      <c r="J658" s="8">
        <v>4</v>
      </c>
      <c r="K658" s="8">
        <v>3</v>
      </c>
      <c r="L658" s="8">
        <v>9</v>
      </c>
    </row>
    <row r="659" spans="1:12" x14ac:dyDescent="0.8">
      <c r="A659" s="5" t="s">
        <v>729</v>
      </c>
      <c r="B659" s="8">
        <v>35</v>
      </c>
      <c r="C659" s="5" t="s">
        <v>49</v>
      </c>
      <c r="D659" s="5" t="s">
        <v>42</v>
      </c>
      <c r="E659" s="5" t="s">
        <v>53</v>
      </c>
      <c r="F659" s="5" t="s">
        <v>45</v>
      </c>
      <c r="G659" s="8">
        <v>1</v>
      </c>
      <c r="H659" s="8">
        <v>4014</v>
      </c>
      <c r="I659" s="5" t="s">
        <v>40</v>
      </c>
      <c r="J659" s="8">
        <v>3</v>
      </c>
      <c r="K659" s="8">
        <v>3</v>
      </c>
      <c r="L659" s="8">
        <v>2</v>
      </c>
    </row>
    <row r="660" spans="1:12" x14ac:dyDescent="0.8">
      <c r="A660" s="5" t="s">
        <v>730</v>
      </c>
      <c r="B660" s="8">
        <v>35</v>
      </c>
      <c r="C660" s="5" t="s">
        <v>49</v>
      </c>
      <c r="D660" s="5" t="s">
        <v>42</v>
      </c>
      <c r="E660" s="5" t="s">
        <v>44</v>
      </c>
      <c r="F660" s="5" t="s">
        <v>60</v>
      </c>
      <c r="G660" s="8">
        <v>1</v>
      </c>
      <c r="H660" s="8">
        <v>2194</v>
      </c>
      <c r="I660" s="5" t="s">
        <v>49</v>
      </c>
      <c r="J660" s="8">
        <v>3</v>
      </c>
      <c r="K660" s="8">
        <v>2</v>
      </c>
      <c r="L660" s="8">
        <v>3</v>
      </c>
    </row>
    <row r="661" spans="1:12" x14ac:dyDescent="0.8">
      <c r="A661" s="5" t="s">
        <v>731</v>
      </c>
      <c r="B661" s="8">
        <v>35</v>
      </c>
      <c r="C661" s="5" t="s">
        <v>49</v>
      </c>
      <c r="D661" s="5" t="s">
        <v>51</v>
      </c>
      <c r="E661" s="5" t="s">
        <v>44</v>
      </c>
      <c r="F661" s="5" t="s">
        <v>137</v>
      </c>
      <c r="G661" s="8">
        <v>1</v>
      </c>
      <c r="H661" s="8">
        <v>4312</v>
      </c>
      <c r="I661" s="5" t="s">
        <v>49</v>
      </c>
      <c r="J661" s="8">
        <v>3</v>
      </c>
      <c r="K661" s="8">
        <v>2</v>
      </c>
      <c r="L661" s="8">
        <v>15</v>
      </c>
    </row>
    <row r="662" spans="1:12" x14ac:dyDescent="0.8">
      <c r="A662" s="5" t="s">
        <v>732</v>
      </c>
      <c r="B662" s="8">
        <v>35</v>
      </c>
      <c r="C662" s="5" t="s">
        <v>49</v>
      </c>
      <c r="D662" s="5" t="s">
        <v>42</v>
      </c>
      <c r="E662" s="5" t="s">
        <v>44</v>
      </c>
      <c r="F662" s="5" t="s">
        <v>60</v>
      </c>
      <c r="G662" s="8">
        <v>3</v>
      </c>
      <c r="H662" s="8">
        <v>2859</v>
      </c>
      <c r="I662" s="5" t="s">
        <v>49</v>
      </c>
      <c r="J662" s="8">
        <v>3</v>
      </c>
      <c r="K662" s="8">
        <v>3</v>
      </c>
      <c r="L662" s="8">
        <v>6</v>
      </c>
    </row>
    <row r="663" spans="1:12" x14ac:dyDescent="0.8">
      <c r="A663" s="5" t="s">
        <v>733</v>
      </c>
      <c r="B663" s="8">
        <v>35</v>
      </c>
      <c r="C663" s="5" t="s">
        <v>49</v>
      </c>
      <c r="D663" s="5" t="s">
        <v>51</v>
      </c>
      <c r="E663" s="5" t="s">
        <v>44</v>
      </c>
      <c r="F663" s="5" t="s">
        <v>137</v>
      </c>
      <c r="G663" s="8">
        <v>2</v>
      </c>
      <c r="H663" s="8">
        <v>7295</v>
      </c>
      <c r="I663" s="5" t="s">
        <v>49</v>
      </c>
      <c r="J663" s="8">
        <v>3</v>
      </c>
      <c r="K663" s="8">
        <v>3</v>
      </c>
      <c r="L663" s="8">
        <v>10</v>
      </c>
    </row>
    <row r="664" spans="1:12" x14ac:dyDescent="0.8">
      <c r="A664" s="5" t="s">
        <v>734</v>
      </c>
      <c r="B664" s="8">
        <v>35</v>
      </c>
      <c r="C664" s="5" t="s">
        <v>40</v>
      </c>
      <c r="D664" s="5" t="s">
        <v>42</v>
      </c>
      <c r="E664" s="5" t="s">
        <v>44</v>
      </c>
      <c r="F664" s="5" t="s">
        <v>112</v>
      </c>
      <c r="G664" s="8">
        <v>3</v>
      </c>
      <c r="H664" s="8">
        <v>5916</v>
      </c>
      <c r="I664" s="5" t="s">
        <v>40</v>
      </c>
      <c r="J664" s="8">
        <v>3</v>
      </c>
      <c r="K664" s="8">
        <v>1</v>
      </c>
      <c r="L664" s="8">
        <v>1</v>
      </c>
    </row>
    <row r="665" spans="1:12" x14ac:dyDescent="0.8">
      <c r="A665" s="5" t="s">
        <v>735</v>
      </c>
      <c r="B665" s="8">
        <v>35</v>
      </c>
      <c r="C665" s="5" t="s">
        <v>49</v>
      </c>
      <c r="D665" s="5" t="s">
        <v>42</v>
      </c>
      <c r="E665" s="5" t="s">
        <v>53</v>
      </c>
      <c r="F665" s="5" t="s">
        <v>45</v>
      </c>
      <c r="G665" s="8">
        <v>2</v>
      </c>
      <c r="H665" s="8">
        <v>4425</v>
      </c>
      <c r="I665" s="5" t="s">
        <v>49</v>
      </c>
      <c r="J665" s="8">
        <v>3</v>
      </c>
      <c r="K665" s="8">
        <v>5</v>
      </c>
      <c r="L665" s="8">
        <v>6</v>
      </c>
    </row>
    <row r="666" spans="1:12" x14ac:dyDescent="0.8">
      <c r="A666" s="5" t="s">
        <v>736</v>
      </c>
      <c r="B666" s="8">
        <v>35</v>
      </c>
      <c r="C666" s="5" t="s">
        <v>49</v>
      </c>
      <c r="D666" s="5" t="s">
        <v>51</v>
      </c>
      <c r="E666" s="5" t="s">
        <v>53</v>
      </c>
      <c r="F666" s="5" t="s">
        <v>137</v>
      </c>
      <c r="G666" s="8">
        <v>3</v>
      </c>
      <c r="H666" s="8">
        <v>8789</v>
      </c>
      <c r="I666" s="5" t="s">
        <v>49</v>
      </c>
      <c r="J666" s="8">
        <v>3</v>
      </c>
      <c r="K666" s="8">
        <v>3</v>
      </c>
      <c r="L666" s="8">
        <v>10</v>
      </c>
    </row>
    <row r="667" spans="1:12" x14ac:dyDescent="0.8">
      <c r="A667" s="5" t="s">
        <v>737</v>
      </c>
      <c r="B667" s="8">
        <v>35</v>
      </c>
      <c r="C667" s="5" t="s">
        <v>49</v>
      </c>
      <c r="D667" s="5" t="s">
        <v>42</v>
      </c>
      <c r="E667" s="5" t="s">
        <v>53</v>
      </c>
      <c r="F667" s="5" t="s">
        <v>442</v>
      </c>
      <c r="G667" s="8">
        <v>2</v>
      </c>
      <c r="H667" s="8">
        <v>11996</v>
      </c>
      <c r="I667" s="5" t="s">
        <v>49</v>
      </c>
      <c r="J667" s="8">
        <v>3</v>
      </c>
      <c r="K667" s="8">
        <v>6</v>
      </c>
      <c r="L667" s="8">
        <v>7</v>
      </c>
    </row>
    <row r="668" spans="1:12" x14ac:dyDescent="0.8">
      <c r="A668" s="5" t="s">
        <v>738</v>
      </c>
      <c r="B668" s="8">
        <v>35</v>
      </c>
      <c r="C668" s="5" t="s">
        <v>49</v>
      </c>
      <c r="D668" s="5" t="s">
        <v>51</v>
      </c>
      <c r="E668" s="5" t="s">
        <v>44</v>
      </c>
      <c r="F668" s="5" t="s">
        <v>137</v>
      </c>
      <c r="G668" s="8">
        <v>2</v>
      </c>
      <c r="H668" s="8">
        <v>8020</v>
      </c>
      <c r="I668" s="5" t="s">
        <v>49</v>
      </c>
      <c r="J668" s="8">
        <v>3</v>
      </c>
      <c r="K668" s="8">
        <v>3</v>
      </c>
      <c r="L668" s="8">
        <v>11</v>
      </c>
    </row>
    <row r="669" spans="1:12" x14ac:dyDescent="0.8">
      <c r="A669" s="5" t="s">
        <v>739</v>
      </c>
      <c r="B669" s="8">
        <v>35</v>
      </c>
      <c r="C669" s="5" t="s">
        <v>49</v>
      </c>
      <c r="D669" s="5" t="s">
        <v>42</v>
      </c>
      <c r="E669" s="5" t="s">
        <v>44</v>
      </c>
      <c r="F669" s="5" t="s">
        <v>112</v>
      </c>
      <c r="G669" s="8">
        <v>2</v>
      </c>
      <c r="H669" s="8">
        <v>8095</v>
      </c>
      <c r="I669" s="5" t="s">
        <v>49</v>
      </c>
      <c r="J669" s="8">
        <v>3</v>
      </c>
      <c r="K669" s="8">
        <v>5</v>
      </c>
      <c r="L669" s="8">
        <v>16</v>
      </c>
    </row>
    <row r="670" spans="1:12" x14ac:dyDescent="0.8">
      <c r="A670" s="5" t="s">
        <v>740</v>
      </c>
      <c r="B670" s="8">
        <v>35</v>
      </c>
      <c r="C670" s="5" t="s">
        <v>49</v>
      </c>
      <c r="D670" s="5" t="s">
        <v>42</v>
      </c>
      <c r="E670" s="5" t="s">
        <v>44</v>
      </c>
      <c r="F670" s="5" t="s">
        <v>161</v>
      </c>
      <c r="G670" s="8">
        <v>2</v>
      </c>
      <c r="H670" s="8">
        <v>6540</v>
      </c>
      <c r="I670" s="5" t="s">
        <v>49</v>
      </c>
      <c r="J670" s="8">
        <v>3</v>
      </c>
      <c r="K670" s="8">
        <v>5</v>
      </c>
      <c r="L670" s="8">
        <v>1</v>
      </c>
    </row>
    <row r="671" spans="1:12" x14ac:dyDescent="0.8">
      <c r="A671" s="5" t="s">
        <v>741</v>
      </c>
      <c r="B671" s="8">
        <v>35</v>
      </c>
      <c r="C671" s="5" t="s">
        <v>49</v>
      </c>
      <c r="D671" s="5" t="s">
        <v>42</v>
      </c>
      <c r="E671" s="5" t="s">
        <v>44</v>
      </c>
      <c r="F671" s="5" t="s">
        <v>45</v>
      </c>
      <c r="G671" s="8">
        <v>3</v>
      </c>
      <c r="H671" s="8">
        <v>4230</v>
      </c>
      <c r="I671" s="5" t="s">
        <v>49</v>
      </c>
      <c r="J671" s="8">
        <v>3</v>
      </c>
      <c r="K671" s="8">
        <v>2</v>
      </c>
      <c r="L671" s="8">
        <v>5</v>
      </c>
    </row>
    <row r="672" spans="1:12" x14ac:dyDescent="0.8">
      <c r="A672" s="5" t="s">
        <v>742</v>
      </c>
      <c r="B672" s="8">
        <v>35</v>
      </c>
      <c r="C672" s="5" t="s">
        <v>49</v>
      </c>
      <c r="D672" s="5" t="s">
        <v>42</v>
      </c>
      <c r="E672" s="5" t="s">
        <v>44</v>
      </c>
      <c r="F672" s="5" t="s">
        <v>161</v>
      </c>
      <c r="G672" s="8">
        <v>3</v>
      </c>
      <c r="H672" s="8">
        <v>7632</v>
      </c>
      <c r="I672" s="5" t="s">
        <v>40</v>
      </c>
      <c r="J672" s="8">
        <v>3</v>
      </c>
      <c r="K672" s="8">
        <v>2</v>
      </c>
      <c r="L672" s="8">
        <v>8</v>
      </c>
    </row>
    <row r="673" spans="1:12" x14ac:dyDescent="0.8">
      <c r="A673" s="5" t="s">
        <v>743</v>
      </c>
      <c r="B673" s="8">
        <v>35</v>
      </c>
      <c r="C673" s="5" t="s">
        <v>49</v>
      </c>
      <c r="D673" s="5" t="s">
        <v>51</v>
      </c>
      <c r="E673" s="5" t="s">
        <v>44</v>
      </c>
      <c r="F673" s="5" t="s">
        <v>137</v>
      </c>
      <c r="G673" s="8">
        <v>3</v>
      </c>
      <c r="H673" s="8">
        <v>4717</v>
      </c>
      <c r="I673" s="5" t="s">
        <v>49</v>
      </c>
      <c r="J673" s="8">
        <v>3</v>
      </c>
      <c r="K673" s="8">
        <v>2</v>
      </c>
      <c r="L673" s="8">
        <v>11</v>
      </c>
    </row>
    <row r="674" spans="1:12" x14ac:dyDescent="0.8">
      <c r="A674" s="5" t="s">
        <v>744</v>
      </c>
      <c r="B674" s="8">
        <v>35</v>
      </c>
      <c r="C674" s="5" t="s">
        <v>49</v>
      </c>
      <c r="D674" s="5" t="s">
        <v>51</v>
      </c>
      <c r="E674" s="5" t="s">
        <v>53</v>
      </c>
      <c r="F674" s="5" t="s">
        <v>137</v>
      </c>
      <c r="G674" s="8">
        <v>3</v>
      </c>
      <c r="H674" s="8">
        <v>4859</v>
      </c>
      <c r="I674" s="5" t="s">
        <v>49</v>
      </c>
      <c r="J674" s="8">
        <v>3</v>
      </c>
      <c r="K674" s="8">
        <v>3</v>
      </c>
      <c r="L674" s="8">
        <v>5</v>
      </c>
    </row>
    <row r="675" spans="1:12" x14ac:dyDescent="0.8">
      <c r="A675" s="5" t="s">
        <v>745</v>
      </c>
      <c r="B675" s="8">
        <v>35</v>
      </c>
      <c r="C675" s="5" t="s">
        <v>49</v>
      </c>
      <c r="D675" s="5" t="s">
        <v>42</v>
      </c>
      <c r="E675" s="5" t="s">
        <v>44</v>
      </c>
      <c r="F675" s="5" t="s">
        <v>45</v>
      </c>
      <c r="G675" s="8">
        <v>4</v>
      </c>
      <c r="H675" s="8">
        <v>3681</v>
      </c>
      <c r="I675" s="5" t="s">
        <v>49</v>
      </c>
      <c r="J675" s="8">
        <v>3</v>
      </c>
      <c r="K675" s="8">
        <v>3</v>
      </c>
      <c r="L675" s="8">
        <v>3</v>
      </c>
    </row>
    <row r="676" spans="1:12" x14ac:dyDescent="0.8">
      <c r="A676" s="5" t="s">
        <v>746</v>
      </c>
      <c r="B676" s="8">
        <v>35</v>
      </c>
      <c r="C676" s="5" t="s">
        <v>49</v>
      </c>
      <c r="D676" s="5" t="s">
        <v>42</v>
      </c>
      <c r="E676" s="5" t="s">
        <v>44</v>
      </c>
      <c r="F676" s="5" t="s">
        <v>60</v>
      </c>
      <c r="G676" s="8">
        <v>4</v>
      </c>
      <c r="H676" s="8">
        <v>6646</v>
      </c>
      <c r="I676" s="5" t="s">
        <v>49</v>
      </c>
      <c r="J676" s="8">
        <v>3</v>
      </c>
      <c r="K676" s="8">
        <v>3</v>
      </c>
      <c r="L676" s="8">
        <v>17</v>
      </c>
    </row>
    <row r="677" spans="1:12" x14ac:dyDescent="0.8">
      <c r="A677" s="5" t="s">
        <v>747</v>
      </c>
      <c r="B677" s="8">
        <v>35</v>
      </c>
      <c r="C677" s="5" t="s">
        <v>49</v>
      </c>
      <c r="D677" s="5" t="s">
        <v>42</v>
      </c>
      <c r="E677" s="5" t="s">
        <v>44</v>
      </c>
      <c r="F677" s="5" t="s">
        <v>45</v>
      </c>
      <c r="G677" s="8">
        <v>3</v>
      </c>
      <c r="H677" s="8">
        <v>1281</v>
      </c>
      <c r="I677" s="5" t="s">
        <v>49</v>
      </c>
      <c r="J677" s="8">
        <v>3</v>
      </c>
      <c r="K677" s="8">
        <v>3</v>
      </c>
      <c r="L677" s="8">
        <v>1</v>
      </c>
    </row>
    <row r="678" spans="1:12" x14ac:dyDescent="0.8">
      <c r="A678" s="5" t="s">
        <v>748</v>
      </c>
      <c r="B678" s="8">
        <v>35</v>
      </c>
      <c r="C678" s="5" t="s">
        <v>49</v>
      </c>
      <c r="D678" s="5" t="s">
        <v>42</v>
      </c>
      <c r="E678" s="5" t="s">
        <v>53</v>
      </c>
      <c r="F678" s="5" t="s">
        <v>161</v>
      </c>
      <c r="G678" s="8">
        <v>1</v>
      </c>
      <c r="H678" s="8">
        <v>5093</v>
      </c>
      <c r="I678" s="5" t="s">
        <v>49</v>
      </c>
      <c r="J678" s="8">
        <v>3</v>
      </c>
      <c r="K678" s="8">
        <v>2</v>
      </c>
      <c r="L678" s="8">
        <v>1</v>
      </c>
    </row>
    <row r="679" spans="1:12" x14ac:dyDescent="0.8">
      <c r="A679" s="5" t="s">
        <v>749</v>
      </c>
      <c r="B679" s="8">
        <v>35</v>
      </c>
      <c r="C679" s="5" t="s">
        <v>49</v>
      </c>
      <c r="D679" s="5" t="s">
        <v>51</v>
      </c>
      <c r="E679" s="5" t="s">
        <v>53</v>
      </c>
      <c r="F679" s="5" t="s">
        <v>54</v>
      </c>
      <c r="G679" s="8">
        <v>4</v>
      </c>
      <c r="H679" s="8">
        <v>2572</v>
      </c>
      <c r="I679" s="5" t="s">
        <v>49</v>
      </c>
      <c r="J679" s="8">
        <v>3</v>
      </c>
      <c r="K679" s="8">
        <v>1</v>
      </c>
      <c r="L679" s="8">
        <v>3</v>
      </c>
    </row>
    <row r="680" spans="1:12" x14ac:dyDescent="0.8">
      <c r="A680" s="5" t="s">
        <v>750</v>
      </c>
      <c r="B680" s="8">
        <v>35</v>
      </c>
      <c r="C680" s="5" t="s">
        <v>49</v>
      </c>
      <c r="D680" s="5" t="s">
        <v>42</v>
      </c>
      <c r="E680" s="5" t="s">
        <v>53</v>
      </c>
      <c r="F680" s="5" t="s">
        <v>60</v>
      </c>
      <c r="G680" s="8">
        <v>3</v>
      </c>
      <c r="H680" s="8">
        <v>2506</v>
      </c>
      <c r="I680" s="5" t="s">
        <v>49</v>
      </c>
      <c r="J680" s="8">
        <v>3</v>
      </c>
      <c r="K680" s="8">
        <v>0</v>
      </c>
      <c r="L680" s="8">
        <v>2</v>
      </c>
    </row>
    <row r="681" spans="1:12" x14ac:dyDescent="0.8">
      <c r="A681" s="5" t="s">
        <v>751</v>
      </c>
      <c r="B681" s="8">
        <v>35</v>
      </c>
      <c r="C681" s="5" t="s">
        <v>49</v>
      </c>
      <c r="D681" s="5" t="s">
        <v>42</v>
      </c>
      <c r="E681" s="5" t="s">
        <v>44</v>
      </c>
      <c r="F681" s="5" t="s">
        <v>112</v>
      </c>
      <c r="G681" s="8">
        <v>3</v>
      </c>
      <c r="H681" s="8">
        <v>10221</v>
      </c>
      <c r="I681" s="5" t="s">
        <v>49</v>
      </c>
      <c r="J681" s="8">
        <v>4</v>
      </c>
      <c r="K681" s="8">
        <v>3</v>
      </c>
      <c r="L681" s="8">
        <v>8</v>
      </c>
    </row>
    <row r="682" spans="1:12" x14ac:dyDescent="0.8">
      <c r="A682" s="5" t="s">
        <v>752</v>
      </c>
      <c r="B682" s="8">
        <v>35</v>
      </c>
      <c r="C682" s="5" t="s">
        <v>49</v>
      </c>
      <c r="D682" s="5" t="s">
        <v>42</v>
      </c>
      <c r="E682" s="5" t="s">
        <v>53</v>
      </c>
      <c r="F682" s="5" t="s">
        <v>60</v>
      </c>
      <c r="G682" s="8">
        <v>1</v>
      </c>
      <c r="H682" s="8">
        <v>2559</v>
      </c>
      <c r="I682" s="5" t="s">
        <v>49</v>
      </c>
      <c r="J682" s="8">
        <v>3</v>
      </c>
      <c r="K682" s="8">
        <v>3</v>
      </c>
      <c r="L682" s="8">
        <v>6</v>
      </c>
    </row>
    <row r="683" spans="1:12" x14ac:dyDescent="0.8">
      <c r="A683" s="5" t="s">
        <v>753</v>
      </c>
      <c r="B683" s="8">
        <v>35</v>
      </c>
      <c r="C683" s="5" t="s">
        <v>49</v>
      </c>
      <c r="D683" s="5" t="s">
        <v>42</v>
      </c>
      <c r="E683" s="5" t="s">
        <v>53</v>
      </c>
      <c r="F683" s="5" t="s">
        <v>112</v>
      </c>
      <c r="G683" s="8">
        <v>3</v>
      </c>
      <c r="H683" s="8">
        <v>10685</v>
      </c>
      <c r="I683" s="5" t="s">
        <v>40</v>
      </c>
      <c r="J683" s="8">
        <v>4</v>
      </c>
      <c r="K683" s="8">
        <v>2</v>
      </c>
      <c r="L683" s="8">
        <v>17</v>
      </c>
    </row>
    <row r="684" spans="1:12" x14ac:dyDescent="0.8">
      <c r="A684" s="5" t="s">
        <v>754</v>
      </c>
      <c r="B684" s="8">
        <v>35</v>
      </c>
      <c r="C684" s="5" t="s">
        <v>40</v>
      </c>
      <c r="D684" s="5" t="s">
        <v>42</v>
      </c>
      <c r="E684" s="5" t="s">
        <v>53</v>
      </c>
      <c r="F684" s="5" t="s">
        <v>60</v>
      </c>
      <c r="G684" s="8">
        <v>2</v>
      </c>
      <c r="H684" s="8">
        <v>2022</v>
      </c>
      <c r="I684" s="5" t="s">
        <v>40</v>
      </c>
      <c r="J684" s="8">
        <v>3</v>
      </c>
      <c r="K684" s="8">
        <v>3</v>
      </c>
      <c r="L684" s="8">
        <v>10</v>
      </c>
    </row>
    <row r="685" spans="1:12" x14ac:dyDescent="0.8">
      <c r="A685" s="5" t="s">
        <v>755</v>
      </c>
      <c r="B685" s="8">
        <v>35</v>
      </c>
      <c r="C685" s="5" t="s">
        <v>49</v>
      </c>
      <c r="D685" s="5" t="s">
        <v>42</v>
      </c>
      <c r="E685" s="5" t="s">
        <v>44</v>
      </c>
      <c r="F685" s="5" t="s">
        <v>112</v>
      </c>
      <c r="G685" s="8">
        <v>2</v>
      </c>
      <c r="H685" s="8">
        <v>10903</v>
      </c>
      <c r="I685" s="5" t="s">
        <v>49</v>
      </c>
      <c r="J685" s="8">
        <v>3</v>
      </c>
      <c r="K685" s="8">
        <v>2</v>
      </c>
      <c r="L685" s="8">
        <v>13</v>
      </c>
    </row>
    <row r="686" spans="1:12" x14ac:dyDescent="0.8">
      <c r="A686" s="5" t="s">
        <v>756</v>
      </c>
      <c r="B686" s="8">
        <v>35</v>
      </c>
      <c r="C686" s="5" t="s">
        <v>49</v>
      </c>
      <c r="D686" s="5" t="s">
        <v>42</v>
      </c>
      <c r="E686" s="5" t="s">
        <v>53</v>
      </c>
      <c r="F686" s="5" t="s">
        <v>161</v>
      </c>
      <c r="G686" s="8">
        <v>4</v>
      </c>
      <c r="H686" s="8">
        <v>4014</v>
      </c>
      <c r="I686" s="5" t="s">
        <v>40</v>
      </c>
      <c r="J686" s="8">
        <v>4</v>
      </c>
      <c r="K686" s="8">
        <v>2</v>
      </c>
      <c r="L686" s="8">
        <v>10</v>
      </c>
    </row>
    <row r="687" spans="1:12" x14ac:dyDescent="0.8">
      <c r="A687" s="5" t="s">
        <v>757</v>
      </c>
      <c r="B687" s="8">
        <v>35</v>
      </c>
      <c r="C687" s="5" t="s">
        <v>49</v>
      </c>
      <c r="D687" s="5" t="s">
        <v>51</v>
      </c>
      <c r="E687" s="5" t="s">
        <v>53</v>
      </c>
      <c r="F687" s="5" t="s">
        <v>137</v>
      </c>
      <c r="G687" s="8">
        <v>3</v>
      </c>
      <c r="H687" s="8">
        <v>4601</v>
      </c>
      <c r="I687" s="5" t="s">
        <v>49</v>
      </c>
      <c r="J687" s="8">
        <v>3</v>
      </c>
      <c r="K687" s="8">
        <v>3</v>
      </c>
      <c r="L687" s="8">
        <v>5</v>
      </c>
    </row>
    <row r="688" spans="1:12" x14ac:dyDescent="0.8">
      <c r="A688" s="5" t="s">
        <v>758</v>
      </c>
      <c r="B688" s="8">
        <v>35</v>
      </c>
      <c r="C688" s="5" t="s">
        <v>49</v>
      </c>
      <c r="D688" s="5" t="s">
        <v>51</v>
      </c>
      <c r="E688" s="5" t="s">
        <v>44</v>
      </c>
      <c r="F688" s="5" t="s">
        <v>137</v>
      </c>
      <c r="G688" s="8">
        <v>4</v>
      </c>
      <c r="H688" s="8">
        <v>7823</v>
      </c>
      <c r="I688" s="5" t="s">
        <v>49</v>
      </c>
      <c r="J688" s="8">
        <v>3</v>
      </c>
      <c r="K688" s="8">
        <v>2</v>
      </c>
      <c r="L688" s="8">
        <v>10</v>
      </c>
    </row>
    <row r="689" spans="1:12" x14ac:dyDescent="0.8">
      <c r="A689" s="5" t="s">
        <v>759</v>
      </c>
      <c r="B689" s="8">
        <v>35</v>
      </c>
      <c r="C689" s="5" t="s">
        <v>40</v>
      </c>
      <c r="D689" s="5" t="s">
        <v>42</v>
      </c>
      <c r="E689" s="5" t="s">
        <v>44</v>
      </c>
      <c r="F689" s="5" t="s">
        <v>45</v>
      </c>
      <c r="G689" s="8">
        <v>2</v>
      </c>
      <c r="H689" s="8">
        <v>3743</v>
      </c>
      <c r="I689" s="5" t="s">
        <v>40</v>
      </c>
      <c r="J689" s="8">
        <v>4</v>
      </c>
      <c r="K689" s="8">
        <v>2</v>
      </c>
      <c r="L689" s="8">
        <v>4</v>
      </c>
    </row>
    <row r="690" spans="1:12" x14ac:dyDescent="0.8">
      <c r="A690" s="5" t="s">
        <v>760</v>
      </c>
      <c r="B690" s="8">
        <v>35</v>
      </c>
      <c r="C690" s="5" t="s">
        <v>49</v>
      </c>
      <c r="D690" s="5" t="s">
        <v>42</v>
      </c>
      <c r="E690" s="5" t="s">
        <v>53</v>
      </c>
      <c r="F690" s="5" t="s">
        <v>161</v>
      </c>
      <c r="G690" s="8">
        <v>3</v>
      </c>
      <c r="H690" s="8">
        <v>10388</v>
      </c>
      <c r="I690" s="5" t="s">
        <v>40</v>
      </c>
      <c r="J690" s="8">
        <v>3</v>
      </c>
      <c r="K690" s="8">
        <v>3</v>
      </c>
      <c r="L690" s="8">
        <v>16</v>
      </c>
    </row>
    <row r="691" spans="1:12" x14ac:dyDescent="0.8">
      <c r="A691" s="5" t="s">
        <v>761</v>
      </c>
      <c r="B691" s="8">
        <v>35</v>
      </c>
      <c r="C691" s="5" t="s">
        <v>49</v>
      </c>
      <c r="D691" s="5" t="s">
        <v>42</v>
      </c>
      <c r="E691" s="5" t="s">
        <v>44</v>
      </c>
      <c r="F691" s="5" t="s">
        <v>45</v>
      </c>
      <c r="G691" s="8">
        <v>4</v>
      </c>
      <c r="H691" s="8">
        <v>3917</v>
      </c>
      <c r="I691" s="5" t="s">
        <v>49</v>
      </c>
      <c r="J691" s="8">
        <v>4</v>
      </c>
      <c r="K691" s="8">
        <v>4</v>
      </c>
      <c r="L691" s="8">
        <v>3</v>
      </c>
    </row>
    <row r="692" spans="1:12" x14ac:dyDescent="0.8">
      <c r="A692" s="5" t="s">
        <v>762</v>
      </c>
      <c r="B692" s="8">
        <v>35</v>
      </c>
      <c r="C692" s="5" t="s">
        <v>40</v>
      </c>
      <c r="D692" s="5" t="s">
        <v>51</v>
      </c>
      <c r="E692" s="5" t="s">
        <v>44</v>
      </c>
      <c r="F692" s="5" t="s">
        <v>137</v>
      </c>
      <c r="G692" s="8">
        <v>1</v>
      </c>
      <c r="H692" s="8">
        <v>9582</v>
      </c>
      <c r="I692" s="5" t="s">
        <v>40</v>
      </c>
      <c r="J692" s="8">
        <v>4</v>
      </c>
      <c r="K692" s="8">
        <v>2</v>
      </c>
      <c r="L692" s="8">
        <v>8</v>
      </c>
    </row>
    <row r="693" spans="1:12" x14ac:dyDescent="0.8">
      <c r="A693" s="5" t="s">
        <v>763</v>
      </c>
      <c r="B693" s="8">
        <v>35</v>
      </c>
      <c r="C693" s="5" t="s">
        <v>49</v>
      </c>
      <c r="D693" s="5" t="s">
        <v>51</v>
      </c>
      <c r="E693" s="5" t="s">
        <v>44</v>
      </c>
      <c r="F693" s="5" t="s">
        <v>137</v>
      </c>
      <c r="G693" s="8">
        <v>4</v>
      </c>
      <c r="H693" s="8">
        <v>4968</v>
      </c>
      <c r="I693" s="5" t="s">
        <v>49</v>
      </c>
      <c r="J693" s="8">
        <v>3</v>
      </c>
      <c r="K693" s="8">
        <v>3</v>
      </c>
      <c r="L693" s="8">
        <v>5</v>
      </c>
    </row>
    <row r="694" spans="1:12" x14ac:dyDescent="0.8">
      <c r="A694" s="5" t="s">
        <v>764</v>
      </c>
      <c r="B694" s="8">
        <v>35</v>
      </c>
      <c r="C694" s="5" t="s">
        <v>49</v>
      </c>
      <c r="D694" s="5" t="s">
        <v>71</v>
      </c>
      <c r="E694" s="5" t="s">
        <v>44</v>
      </c>
      <c r="F694" s="5" t="s">
        <v>71</v>
      </c>
      <c r="G694" s="8">
        <v>3</v>
      </c>
      <c r="H694" s="8">
        <v>4323</v>
      </c>
      <c r="I694" s="5" t="s">
        <v>49</v>
      </c>
      <c r="J694" s="8">
        <v>3</v>
      </c>
      <c r="K694" s="8">
        <v>2</v>
      </c>
      <c r="L694" s="8">
        <v>5</v>
      </c>
    </row>
    <row r="695" spans="1:12" x14ac:dyDescent="0.8">
      <c r="A695" s="5" t="s">
        <v>765</v>
      </c>
      <c r="B695" s="8">
        <v>35</v>
      </c>
      <c r="C695" s="5" t="s">
        <v>49</v>
      </c>
      <c r="D695" s="5" t="s">
        <v>42</v>
      </c>
      <c r="E695" s="5" t="s">
        <v>44</v>
      </c>
      <c r="F695" s="5" t="s">
        <v>45</v>
      </c>
      <c r="G695" s="8">
        <v>3</v>
      </c>
      <c r="H695" s="8">
        <v>2258</v>
      </c>
      <c r="I695" s="5" t="s">
        <v>49</v>
      </c>
      <c r="J695" s="8">
        <v>3</v>
      </c>
      <c r="K695" s="8">
        <v>2</v>
      </c>
      <c r="L695" s="8">
        <v>8</v>
      </c>
    </row>
    <row r="696" spans="1:12" x14ac:dyDescent="0.8">
      <c r="A696" s="5" t="s">
        <v>766</v>
      </c>
      <c r="B696" s="8">
        <v>35</v>
      </c>
      <c r="C696" s="5" t="s">
        <v>49</v>
      </c>
      <c r="D696" s="5" t="s">
        <v>42</v>
      </c>
      <c r="E696" s="5" t="s">
        <v>44</v>
      </c>
      <c r="F696" s="5" t="s">
        <v>112</v>
      </c>
      <c r="G696" s="8">
        <v>2</v>
      </c>
      <c r="H696" s="8">
        <v>10274</v>
      </c>
      <c r="I696" s="5" t="s">
        <v>49</v>
      </c>
      <c r="J696" s="8">
        <v>3</v>
      </c>
      <c r="K696" s="8">
        <v>2</v>
      </c>
      <c r="L696" s="8">
        <v>7</v>
      </c>
    </row>
    <row r="697" spans="1:12" x14ac:dyDescent="0.8">
      <c r="A697" s="5" t="s">
        <v>767</v>
      </c>
      <c r="B697" s="8">
        <v>35</v>
      </c>
      <c r="C697" s="5" t="s">
        <v>49</v>
      </c>
      <c r="D697" s="5" t="s">
        <v>42</v>
      </c>
      <c r="E697" s="5" t="s">
        <v>44</v>
      </c>
      <c r="F697" s="5" t="s">
        <v>45</v>
      </c>
      <c r="G697" s="8">
        <v>4</v>
      </c>
      <c r="H697" s="8">
        <v>2376</v>
      </c>
      <c r="I697" s="5" t="s">
        <v>49</v>
      </c>
      <c r="J697" s="8">
        <v>3</v>
      </c>
      <c r="K697" s="8">
        <v>2</v>
      </c>
      <c r="L697" s="8">
        <v>2</v>
      </c>
    </row>
    <row r="698" spans="1:12" x14ac:dyDescent="0.8">
      <c r="A698" s="5" t="s">
        <v>768</v>
      </c>
      <c r="B698" s="8">
        <v>35</v>
      </c>
      <c r="C698" s="5" t="s">
        <v>49</v>
      </c>
      <c r="D698" s="5" t="s">
        <v>51</v>
      </c>
      <c r="E698" s="5" t="s">
        <v>44</v>
      </c>
      <c r="F698" s="5" t="s">
        <v>137</v>
      </c>
      <c r="G698" s="8">
        <v>1</v>
      </c>
      <c r="H698" s="8">
        <v>8966</v>
      </c>
      <c r="I698" s="5" t="s">
        <v>40</v>
      </c>
      <c r="J698" s="8">
        <v>3</v>
      </c>
      <c r="K698" s="8">
        <v>2</v>
      </c>
      <c r="L698" s="8">
        <v>7</v>
      </c>
    </row>
    <row r="699" spans="1:12" x14ac:dyDescent="0.8">
      <c r="A699" s="5" t="s">
        <v>769</v>
      </c>
      <c r="B699" s="8">
        <v>35</v>
      </c>
      <c r="C699" s="5" t="s">
        <v>49</v>
      </c>
      <c r="D699" s="5" t="s">
        <v>51</v>
      </c>
      <c r="E699" s="5" t="s">
        <v>53</v>
      </c>
      <c r="F699" s="5" t="s">
        <v>137</v>
      </c>
      <c r="G699" s="8">
        <v>4</v>
      </c>
      <c r="H699" s="8">
        <v>10377</v>
      </c>
      <c r="I699" s="5" t="s">
        <v>40</v>
      </c>
      <c r="J699" s="8">
        <v>3</v>
      </c>
      <c r="K699" s="8">
        <v>6</v>
      </c>
      <c r="L699" s="8">
        <v>13</v>
      </c>
    </row>
    <row r="700" spans="1:12" x14ac:dyDescent="0.8">
      <c r="A700" s="5" t="s">
        <v>770</v>
      </c>
      <c r="B700" s="8">
        <v>35</v>
      </c>
      <c r="C700" s="5" t="s">
        <v>49</v>
      </c>
      <c r="D700" s="5" t="s">
        <v>42</v>
      </c>
      <c r="E700" s="5" t="s">
        <v>44</v>
      </c>
      <c r="F700" s="5" t="s">
        <v>60</v>
      </c>
      <c r="G700" s="8">
        <v>3</v>
      </c>
      <c r="H700" s="8">
        <v>3506</v>
      </c>
      <c r="I700" s="5" t="s">
        <v>40</v>
      </c>
      <c r="J700" s="8">
        <v>3</v>
      </c>
      <c r="K700" s="8">
        <v>3</v>
      </c>
      <c r="L700" s="8">
        <v>3</v>
      </c>
    </row>
    <row r="701" spans="1:12" x14ac:dyDescent="0.8">
      <c r="A701" s="5" t="s">
        <v>771</v>
      </c>
      <c r="B701" s="8">
        <v>35</v>
      </c>
      <c r="C701" s="5" t="s">
        <v>49</v>
      </c>
      <c r="D701" s="5" t="s">
        <v>42</v>
      </c>
      <c r="E701" s="5" t="s">
        <v>44</v>
      </c>
      <c r="F701" s="5" t="s">
        <v>60</v>
      </c>
      <c r="G701" s="8">
        <v>3</v>
      </c>
      <c r="H701" s="8">
        <v>4249</v>
      </c>
      <c r="I701" s="5" t="s">
        <v>40</v>
      </c>
      <c r="J701" s="8">
        <v>3</v>
      </c>
      <c r="K701" s="8">
        <v>3</v>
      </c>
      <c r="L701" s="8">
        <v>9</v>
      </c>
    </row>
    <row r="702" spans="1:12" x14ac:dyDescent="0.8">
      <c r="A702" s="5" t="s">
        <v>772</v>
      </c>
      <c r="B702" s="8">
        <v>35</v>
      </c>
      <c r="C702" s="5" t="s">
        <v>49</v>
      </c>
      <c r="D702" s="5" t="s">
        <v>42</v>
      </c>
      <c r="E702" s="5" t="s">
        <v>53</v>
      </c>
      <c r="F702" s="5" t="s">
        <v>45</v>
      </c>
      <c r="G702" s="8">
        <v>4</v>
      </c>
      <c r="H702" s="8">
        <v>5363</v>
      </c>
      <c r="I702" s="5" t="s">
        <v>49</v>
      </c>
      <c r="J702" s="8">
        <v>3</v>
      </c>
      <c r="K702" s="8">
        <v>0</v>
      </c>
      <c r="L702" s="8">
        <v>9</v>
      </c>
    </row>
    <row r="703" spans="1:12" x14ac:dyDescent="0.8">
      <c r="A703" s="5" t="s">
        <v>773</v>
      </c>
      <c r="B703" s="8">
        <v>35</v>
      </c>
      <c r="C703" s="5" t="s">
        <v>40</v>
      </c>
      <c r="D703" s="5" t="s">
        <v>51</v>
      </c>
      <c r="E703" s="5" t="s">
        <v>53</v>
      </c>
      <c r="F703" s="5" t="s">
        <v>137</v>
      </c>
      <c r="G703" s="8">
        <v>3</v>
      </c>
      <c r="H703" s="8">
        <v>4614</v>
      </c>
      <c r="I703" s="5" t="s">
        <v>40</v>
      </c>
      <c r="J703" s="8">
        <v>3</v>
      </c>
      <c r="K703" s="8">
        <v>0</v>
      </c>
      <c r="L703" s="8">
        <v>4</v>
      </c>
    </row>
    <row r="704" spans="1:12" x14ac:dyDescent="0.8">
      <c r="A704" s="5" t="s">
        <v>774</v>
      </c>
      <c r="B704" s="8">
        <v>35</v>
      </c>
      <c r="C704" s="5" t="s">
        <v>49</v>
      </c>
      <c r="D704" s="5" t="s">
        <v>42</v>
      </c>
      <c r="E704" s="5" t="s">
        <v>44</v>
      </c>
      <c r="F704" s="5" t="s">
        <v>112</v>
      </c>
      <c r="G704" s="8">
        <v>4</v>
      </c>
      <c r="H704" s="8">
        <v>9362</v>
      </c>
      <c r="I704" s="5" t="s">
        <v>49</v>
      </c>
      <c r="J704" s="8">
        <v>3</v>
      </c>
      <c r="K704" s="8">
        <v>2</v>
      </c>
      <c r="L704" s="8">
        <v>2</v>
      </c>
    </row>
    <row r="705" spans="1:12" x14ac:dyDescent="0.8">
      <c r="A705" s="5" t="s">
        <v>775</v>
      </c>
      <c r="B705" s="8">
        <v>35</v>
      </c>
      <c r="C705" s="5" t="s">
        <v>49</v>
      </c>
      <c r="D705" s="5" t="s">
        <v>51</v>
      </c>
      <c r="E705" s="5" t="s">
        <v>44</v>
      </c>
      <c r="F705" s="5" t="s">
        <v>54</v>
      </c>
      <c r="G705" s="8">
        <v>3</v>
      </c>
      <c r="H705" s="8">
        <v>2404</v>
      </c>
      <c r="I705" s="5" t="s">
        <v>49</v>
      </c>
      <c r="J705" s="8">
        <v>3</v>
      </c>
      <c r="K705" s="8">
        <v>3</v>
      </c>
      <c r="L705" s="8">
        <v>1</v>
      </c>
    </row>
    <row r="706" spans="1:12" x14ac:dyDescent="0.8">
      <c r="A706" s="5" t="s">
        <v>776</v>
      </c>
      <c r="B706" s="8">
        <v>35</v>
      </c>
      <c r="C706" s="5" t="s">
        <v>49</v>
      </c>
      <c r="D706" s="5" t="s">
        <v>42</v>
      </c>
      <c r="E706" s="5" t="s">
        <v>53</v>
      </c>
      <c r="F706" s="5" t="s">
        <v>161</v>
      </c>
      <c r="G706" s="8">
        <v>2</v>
      </c>
      <c r="H706" s="8">
        <v>8606</v>
      </c>
      <c r="I706" s="5" t="s">
        <v>49</v>
      </c>
      <c r="J706" s="8">
        <v>3</v>
      </c>
      <c r="K706" s="8">
        <v>3</v>
      </c>
      <c r="L706" s="8">
        <v>11</v>
      </c>
    </row>
    <row r="707" spans="1:12" x14ac:dyDescent="0.8">
      <c r="A707" s="5" t="s">
        <v>777</v>
      </c>
      <c r="B707" s="8">
        <v>35</v>
      </c>
      <c r="C707" s="5" t="s">
        <v>49</v>
      </c>
      <c r="D707" s="5" t="s">
        <v>51</v>
      </c>
      <c r="E707" s="5" t="s">
        <v>53</v>
      </c>
      <c r="F707" s="5" t="s">
        <v>54</v>
      </c>
      <c r="G707" s="8">
        <v>3</v>
      </c>
      <c r="H707" s="8">
        <v>2430</v>
      </c>
      <c r="I707" s="5" t="s">
        <v>49</v>
      </c>
      <c r="J707" s="8">
        <v>4</v>
      </c>
      <c r="K707" s="8">
        <v>5</v>
      </c>
      <c r="L707" s="8">
        <v>5</v>
      </c>
    </row>
    <row r="708" spans="1:12" x14ac:dyDescent="0.8">
      <c r="A708" s="5" t="s">
        <v>778</v>
      </c>
      <c r="B708" s="8">
        <v>35</v>
      </c>
      <c r="C708" s="5" t="s">
        <v>49</v>
      </c>
      <c r="D708" s="5" t="s">
        <v>42</v>
      </c>
      <c r="E708" s="5" t="s">
        <v>44</v>
      </c>
      <c r="F708" s="5" t="s">
        <v>45</v>
      </c>
      <c r="G708" s="8">
        <v>1</v>
      </c>
      <c r="H708" s="8">
        <v>2450</v>
      </c>
      <c r="I708" s="5" t="s">
        <v>49</v>
      </c>
      <c r="J708" s="8">
        <v>3</v>
      </c>
      <c r="K708" s="8">
        <v>3</v>
      </c>
      <c r="L708" s="8">
        <v>3</v>
      </c>
    </row>
    <row r="709" spans="1:12" x14ac:dyDescent="0.8">
      <c r="A709" s="5" t="s">
        <v>779</v>
      </c>
      <c r="B709" s="8">
        <v>35</v>
      </c>
      <c r="C709" s="5" t="s">
        <v>40</v>
      </c>
      <c r="D709" s="5" t="s">
        <v>42</v>
      </c>
      <c r="E709" s="5" t="s">
        <v>53</v>
      </c>
      <c r="F709" s="5" t="s">
        <v>45</v>
      </c>
      <c r="G709" s="8">
        <v>1</v>
      </c>
      <c r="H709" s="8">
        <v>2074</v>
      </c>
      <c r="I709" s="5" t="s">
        <v>40</v>
      </c>
      <c r="J709" s="8">
        <v>3</v>
      </c>
      <c r="K709" s="8">
        <v>2</v>
      </c>
      <c r="L709" s="8">
        <v>1</v>
      </c>
    </row>
    <row r="710" spans="1:12" x14ac:dyDescent="0.8">
      <c r="A710" s="5" t="s">
        <v>780</v>
      </c>
      <c r="B710" s="8">
        <v>35</v>
      </c>
      <c r="C710" s="5" t="s">
        <v>49</v>
      </c>
      <c r="D710" s="5" t="s">
        <v>42</v>
      </c>
      <c r="E710" s="5" t="s">
        <v>53</v>
      </c>
      <c r="F710" s="5" t="s">
        <v>161</v>
      </c>
      <c r="G710" s="8">
        <v>3</v>
      </c>
      <c r="H710" s="8">
        <v>6142</v>
      </c>
      <c r="I710" s="5" t="s">
        <v>40</v>
      </c>
      <c r="J710" s="8">
        <v>3</v>
      </c>
      <c r="K710" s="8">
        <v>4</v>
      </c>
      <c r="L710" s="8">
        <v>5</v>
      </c>
    </row>
    <row r="711" spans="1:12" x14ac:dyDescent="0.8">
      <c r="A711" s="5" t="s">
        <v>781</v>
      </c>
      <c r="B711" s="8">
        <v>35</v>
      </c>
      <c r="C711" s="5" t="s">
        <v>49</v>
      </c>
      <c r="D711" s="5" t="s">
        <v>42</v>
      </c>
      <c r="E711" s="5" t="s">
        <v>44</v>
      </c>
      <c r="F711" s="5" t="s">
        <v>45</v>
      </c>
      <c r="G711" s="8">
        <v>3</v>
      </c>
      <c r="H711" s="8">
        <v>3407</v>
      </c>
      <c r="I711" s="5" t="s">
        <v>49</v>
      </c>
      <c r="J711" s="8">
        <v>3</v>
      </c>
      <c r="K711" s="8">
        <v>3</v>
      </c>
      <c r="L711" s="8">
        <v>10</v>
      </c>
    </row>
    <row r="712" spans="1:12" x14ac:dyDescent="0.8">
      <c r="A712" s="5" t="s">
        <v>782</v>
      </c>
      <c r="B712" s="8">
        <v>35</v>
      </c>
      <c r="C712" s="5" t="s">
        <v>49</v>
      </c>
      <c r="D712" s="5" t="s">
        <v>42</v>
      </c>
      <c r="E712" s="5" t="s">
        <v>44</v>
      </c>
      <c r="F712" s="5" t="s">
        <v>45</v>
      </c>
      <c r="G712" s="8">
        <v>4</v>
      </c>
      <c r="H712" s="8">
        <v>2690</v>
      </c>
      <c r="I712" s="5" t="s">
        <v>49</v>
      </c>
      <c r="J712" s="8">
        <v>3</v>
      </c>
      <c r="K712" s="8">
        <v>5</v>
      </c>
      <c r="L712" s="8">
        <v>1</v>
      </c>
    </row>
    <row r="713" spans="1:12" x14ac:dyDescent="0.8">
      <c r="A713" s="5" t="s">
        <v>783</v>
      </c>
      <c r="B713" s="8">
        <v>35</v>
      </c>
      <c r="C713" s="5" t="s">
        <v>49</v>
      </c>
      <c r="D713" s="5" t="s">
        <v>42</v>
      </c>
      <c r="E713" s="5" t="s">
        <v>44</v>
      </c>
      <c r="F713" s="5" t="s">
        <v>60</v>
      </c>
      <c r="G713" s="8">
        <v>1</v>
      </c>
      <c r="H713" s="8">
        <v>5208</v>
      </c>
      <c r="I713" s="5" t="s">
        <v>49</v>
      </c>
      <c r="J713" s="8">
        <v>3</v>
      </c>
      <c r="K713" s="8">
        <v>2</v>
      </c>
      <c r="L713" s="8">
        <v>16</v>
      </c>
    </row>
    <row r="714" spans="1:12" x14ac:dyDescent="0.8">
      <c r="A714" s="5" t="s">
        <v>784</v>
      </c>
      <c r="B714" s="8">
        <v>35</v>
      </c>
      <c r="C714" s="5" t="s">
        <v>49</v>
      </c>
      <c r="D714" s="5" t="s">
        <v>42</v>
      </c>
      <c r="E714" s="5" t="s">
        <v>53</v>
      </c>
      <c r="F714" s="5" t="s">
        <v>161</v>
      </c>
      <c r="G714" s="8">
        <v>3</v>
      </c>
      <c r="H714" s="8">
        <v>4148</v>
      </c>
      <c r="I714" s="5" t="s">
        <v>49</v>
      </c>
      <c r="J714" s="8">
        <v>3</v>
      </c>
      <c r="K714" s="8">
        <v>5</v>
      </c>
      <c r="L714" s="8">
        <v>14</v>
      </c>
    </row>
    <row r="715" spans="1:12" x14ac:dyDescent="0.8">
      <c r="A715" s="5" t="s">
        <v>785</v>
      </c>
      <c r="B715" s="8">
        <v>35</v>
      </c>
      <c r="C715" s="5" t="s">
        <v>40</v>
      </c>
      <c r="D715" s="5" t="s">
        <v>51</v>
      </c>
      <c r="E715" s="5" t="s">
        <v>44</v>
      </c>
      <c r="F715" s="5" t="s">
        <v>137</v>
      </c>
      <c r="G715" s="8">
        <v>1</v>
      </c>
      <c r="H715" s="8">
        <v>10306</v>
      </c>
      <c r="I715" s="5" t="s">
        <v>49</v>
      </c>
      <c r="J715" s="8">
        <v>3</v>
      </c>
      <c r="K715" s="8">
        <v>3</v>
      </c>
      <c r="L715" s="8">
        <v>13</v>
      </c>
    </row>
    <row r="716" spans="1:12" x14ac:dyDescent="0.8">
      <c r="A716" s="5" t="s">
        <v>786</v>
      </c>
      <c r="B716" s="8">
        <v>35</v>
      </c>
      <c r="C716" s="5" t="s">
        <v>40</v>
      </c>
      <c r="D716" s="5" t="s">
        <v>51</v>
      </c>
      <c r="E716" s="5" t="s">
        <v>44</v>
      </c>
      <c r="F716" s="5" t="s">
        <v>137</v>
      </c>
      <c r="G716" s="8">
        <v>4</v>
      </c>
      <c r="H716" s="8">
        <v>5440</v>
      </c>
      <c r="I716" s="5" t="s">
        <v>40</v>
      </c>
      <c r="J716" s="8">
        <v>3</v>
      </c>
      <c r="K716" s="8">
        <v>2</v>
      </c>
      <c r="L716" s="8">
        <v>2</v>
      </c>
    </row>
    <row r="717" spans="1:12" x14ac:dyDescent="0.8">
      <c r="A717" s="5" t="s">
        <v>787</v>
      </c>
      <c r="B717" s="8">
        <v>35</v>
      </c>
      <c r="C717" s="5" t="s">
        <v>40</v>
      </c>
      <c r="D717" s="5" t="s">
        <v>51</v>
      </c>
      <c r="E717" s="5" t="s">
        <v>44</v>
      </c>
      <c r="F717" s="5" t="s">
        <v>137</v>
      </c>
      <c r="G717" s="8">
        <v>4</v>
      </c>
      <c r="H717" s="8">
        <v>4581</v>
      </c>
      <c r="I717" s="5" t="s">
        <v>40</v>
      </c>
      <c r="J717" s="8">
        <v>4</v>
      </c>
      <c r="K717" s="8">
        <v>2</v>
      </c>
      <c r="L717" s="8">
        <v>11</v>
      </c>
    </row>
    <row r="718" spans="1:12" x14ac:dyDescent="0.8">
      <c r="A718" s="5" t="s">
        <v>788</v>
      </c>
      <c r="B718" s="8">
        <v>35</v>
      </c>
      <c r="C718" s="5" t="s">
        <v>49</v>
      </c>
      <c r="D718" s="5" t="s">
        <v>42</v>
      </c>
      <c r="E718" s="5" t="s">
        <v>44</v>
      </c>
      <c r="F718" s="5" t="s">
        <v>60</v>
      </c>
      <c r="G718" s="8">
        <v>4</v>
      </c>
      <c r="H718" s="8">
        <v>4930</v>
      </c>
      <c r="I718" s="5" t="s">
        <v>40</v>
      </c>
      <c r="J718" s="8">
        <v>3</v>
      </c>
      <c r="K718" s="8">
        <v>2</v>
      </c>
      <c r="L718" s="8">
        <v>5</v>
      </c>
    </row>
    <row r="719" spans="1:12" x14ac:dyDescent="0.8">
      <c r="A719" s="5" t="s">
        <v>789</v>
      </c>
      <c r="B719" s="8">
        <v>35</v>
      </c>
      <c r="C719" s="5" t="s">
        <v>49</v>
      </c>
      <c r="D719" s="5" t="s">
        <v>42</v>
      </c>
      <c r="E719" s="5" t="s">
        <v>44</v>
      </c>
      <c r="F719" s="5" t="s">
        <v>112</v>
      </c>
      <c r="G719" s="8">
        <v>3</v>
      </c>
      <c r="H719" s="8">
        <v>6883</v>
      </c>
      <c r="I719" s="5" t="s">
        <v>49</v>
      </c>
      <c r="J719" s="8">
        <v>3</v>
      </c>
      <c r="K719" s="8">
        <v>3</v>
      </c>
      <c r="L719" s="8">
        <v>7</v>
      </c>
    </row>
    <row r="720" spans="1:12" x14ac:dyDescent="0.8">
      <c r="A720" s="5" t="s">
        <v>790</v>
      </c>
      <c r="B720" s="8">
        <v>35</v>
      </c>
      <c r="C720" s="5" t="s">
        <v>40</v>
      </c>
      <c r="D720" s="5" t="s">
        <v>51</v>
      </c>
      <c r="E720" s="5" t="s">
        <v>44</v>
      </c>
      <c r="F720" s="5" t="s">
        <v>137</v>
      </c>
      <c r="G720" s="8">
        <v>4</v>
      </c>
      <c r="H720" s="8">
        <v>5813</v>
      </c>
      <c r="I720" s="5" t="s">
        <v>40</v>
      </c>
      <c r="J720" s="8">
        <v>3</v>
      </c>
      <c r="K720" s="8">
        <v>2</v>
      </c>
      <c r="L720" s="8">
        <v>10</v>
      </c>
    </row>
    <row r="721" spans="1:12" x14ac:dyDescent="0.8">
      <c r="A721" s="5" t="s">
        <v>791</v>
      </c>
      <c r="B721" s="8">
        <v>35</v>
      </c>
      <c r="C721" s="5" t="s">
        <v>49</v>
      </c>
      <c r="D721" s="5" t="s">
        <v>42</v>
      </c>
      <c r="E721" s="5" t="s">
        <v>44</v>
      </c>
      <c r="F721" s="5" t="s">
        <v>112</v>
      </c>
      <c r="G721" s="8">
        <v>4</v>
      </c>
      <c r="H721" s="8">
        <v>5762</v>
      </c>
      <c r="I721" s="5" t="s">
        <v>49</v>
      </c>
      <c r="J721" s="8">
        <v>3</v>
      </c>
      <c r="K721" s="8">
        <v>6</v>
      </c>
      <c r="L721" s="8">
        <v>7</v>
      </c>
    </row>
    <row r="722" spans="1:12" x14ac:dyDescent="0.8">
      <c r="A722" s="5" t="s">
        <v>792</v>
      </c>
      <c r="B722" s="8">
        <v>35</v>
      </c>
      <c r="C722" s="5" t="s">
        <v>49</v>
      </c>
      <c r="D722" s="5" t="s">
        <v>42</v>
      </c>
      <c r="E722" s="5" t="s">
        <v>44</v>
      </c>
      <c r="F722" s="5" t="s">
        <v>45</v>
      </c>
      <c r="G722" s="8">
        <v>3</v>
      </c>
      <c r="H722" s="8">
        <v>2705</v>
      </c>
      <c r="I722" s="5" t="s">
        <v>49</v>
      </c>
      <c r="J722" s="8">
        <v>3</v>
      </c>
      <c r="K722" s="8">
        <v>2</v>
      </c>
      <c r="L722" s="8">
        <v>5</v>
      </c>
    </row>
    <row r="723" spans="1:12" x14ac:dyDescent="0.8">
      <c r="A723" s="5" t="s">
        <v>793</v>
      </c>
      <c r="B723" s="8">
        <v>35</v>
      </c>
      <c r="C723" s="5" t="s">
        <v>49</v>
      </c>
      <c r="D723" s="5" t="s">
        <v>42</v>
      </c>
      <c r="E723" s="5" t="s">
        <v>53</v>
      </c>
      <c r="F723" s="5" t="s">
        <v>112</v>
      </c>
      <c r="G723" s="8">
        <v>2</v>
      </c>
      <c r="H723" s="8">
        <v>4788</v>
      </c>
      <c r="I723" s="5" t="s">
        <v>40</v>
      </c>
      <c r="J723" s="8">
        <v>3</v>
      </c>
      <c r="K723" s="8">
        <v>2</v>
      </c>
      <c r="L723" s="8">
        <v>3</v>
      </c>
    </row>
    <row r="724" spans="1:12" x14ac:dyDescent="0.8">
      <c r="A724" s="5" t="s">
        <v>794</v>
      </c>
      <c r="B724" s="8">
        <v>35</v>
      </c>
      <c r="C724" s="5" t="s">
        <v>49</v>
      </c>
      <c r="D724" s="5" t="s">
        <v>51</v>
      </c>
      <c r="E724" s="5" t="s">
        <v>44</v>
      </c>
      <c r="F724" s="5" t="s">
        <v>137</v>
      </c>
      <c r="G724" s="8">
        <v>1</v>
      </c>
      <c r="H724" s="8">
        <v>5561</v>
      </c>
      <c r="I724" s="5" t="s">
        <v>49</v>
      </c>
      <c r="J724" s="8">
        <v>3</v>
      </c>
      <c r="K724" s="8">
        <v>2</v>
      </c>
      <c r="L724" s="8">
        <v>5</v>
      </c>
    </row>
    <row r="725" spans="1:12" x14ac:dyDescent="0.8">
      <c r="A725" s="5" t="s">
        <v>795</v>
      </c>
      <c r="B725" s="8">
        <v>35</v>
      </c>
      <c r="C725" s="5" t="s">
        <v>49</v>
      </c>
      <c r="D725" s="5" t="s">
        <v>51</v>
      </c>
      <c r="E725" s="5" t="s">
        <v>53</v>
      </c>
      <c r="F725" s="5" t="s">
        <v>137</v>
      </c>
      <c r="G725" s="8">
        <v>4</v>
      </c>
      <c r="H725" s="8">
        <v>5204</v>
      </c>
      <c r="I725" s="5" t="s">
        <v>40</v>
      </c>
      <c r="J725" s="8">
        <v>3</v>
      </c>
      <c r="K725" s="8">
        <v>2</v>
      </c>
      <c r="L725" s="8">
        <v>10</v>
      </c>
    </row>
    <row r="726" spans="1:12" x14ac:dyDescent="0.8">
      <c r="A726" s="5" t="s">
        <v>796</v>
      </c>
      <c r="B726" s="8">
        <v>35</v>
      </c>
      <c r="C726" s="5" t="s">
        <v>49</v>
      </c>
      <c r="D726" s="5" t="s">
        <v>42</v>
      </c>
      <c r="E726" s="5" t="s">
        <v>44</v>
      </c>
      <c r="F726" s="5" t="s">
        <v>45</v>
      </c>
      <c r="G726" s="8">
        <v>3</v>
      </c>
      <c r="H726" s="8">
        <v>2660</v>
      </c>
      <c r="I726" s="5" t="s">
        <v>40</v>
      </c>
      <c r="J726" s="8">
        <v>3</v>
      </c>
      <c r="K726" s="8">
        <v>3</v>
      </c>
      <c r="L726" s="8">
        <v>2</v>
      </c>
    </row>
    <row r="727" spans="1:12" x14ac:dyDescent="0.8">
      <c r="A727" s="5" t="s">
        <v>797</v>
      </c>
      <c r="B727" s="8">
        <v>35</v>
      </c>
      <c r="C727" s="5" t="s">
        <v>49</v>
      </c>
      <c r="D727" s="5" t="s">
        <v>42</v>
      </c>
      <c r="E727" s="5" t="s">
        <v>44</v>
      </c>
      <c r="F727" s="5" t="s">
        <v>60</v>
      </c>
      <c r="G727" s="8">
        <v>3</v>
      </c>
      <c r="H727" s="8">
        <v>5098</v>
      </c>
      <c r="I727" s="5" t="s">
        <v>49</v>
      </c>
      <c r="J727" s="8">
        <v>3</v>
      </c>
      <c r="K727" s="8">
        <v>5</v>
      </c>
      <c r="L727" s="8">
        <v>10</v>
      </c>
    </row>
    <row r="728" spans="1:12" x14ac:dyDescent="0.8">
      <c r="A728" s="5" t="s">
        <v>798</v>
      </c>
      <c r="B728" s="8">
        <v>35</v>
      </c>
      <c r="C728" s="5" t="s">
        <v>49</v>
      </c>
      <c r="D728" s="5" t="s">
        <v>71</v>
      </c>
      <c r="E728" s="5" t="s">
        <v>53</v>
      </c>
      <c r="F728" s="5" t="s">
        <v>71</v>
      </c>
      <c r="G728" s="8">
        <v>4</v>
      </c>
      <c r="H728" s="8">
        <v>8837</v>
      </c>
      <c r="I728" s="5" t="s">
        <v>40</v>
      </c>
      <c r="J728" s="8">
        <v>3</v>
      </c>
      <c r="K728" s="8">
        <v>2</v>
      </c>
      <c r="L728" s="8">
        <v>9</v>
      </c>
    </row>
    <row r="729" spans="1:12" x14ac:dyDescent="0.8">
      <c r="A729" s="5" t="s">
        <v>799</v>
      </c>
      <c r="B729" s="8">
        <v>35</v>
      </c>
      <c r="C729" s="5" t="s">
        <v>49</v>
      </c>
      <c r="D729" s="5" t="s">
        <v>42</v>
      </c>
      <c r="E729" s="5" t="s">
        <v>44</v>
      </c>
      <c r="F729" s="5" t="s">
        <v>161</v>
      </c>
      <c r="G729" s="8">
        <v>3</v>
      </c>
      <c r="H729" s="8">
        <v>5689</v>
      </c>
      <c r="I729" s="5" t="s">
        <v>40</v>
      </c>
      <c r="J729" s="8">
        <v>3</v>
      </c>
      <c r="K729" s="8">
        <v>2</v>
      </c>
      <c r="L729" s="8">
        <v>10</v>
      </c>
    </row>
    <row r="730" spans="1:12" x14ac:dyDescent="0.8">
      <c r="A730" s="5" t="s">
        <v>800</v>
      </c>
      <c r="B730" s="8">
        <v>35</v>
      </c>
      <c r="C730" s="5" t="s">
        <v>49</v>
      </c>
      <c r="D730" s="5" t="s">
        <v>42</v>
      </c>
      <c r="E730" s="5" t="s">
        <v>53</v>
      </c>
      <c r="F730" s="5" t="s">
        <v>60</v>
      </c>
      <c r="G730" s="8">
        <v>4</v>
      </c>
      <c r="H730" s="8">
        <v>2977</v>
      </c>
      <c r="I730" s="5" t="s">
        <v>49</v>
      </c>
      <c r="J730" s="8">
        <v>3</v>
      </c>
      <c r="K730" s="8">
        <v>5</v>
      </c>
      <c r="L730" s="8">
        <v>4</v>
      </c>
    </row>
    <row r="731" spans="1:12" x14ac:dyDescent="0.8">
      <c r="A731" s="5" t="s">
        <v>801</v>
      </c>
      <c r="B731" s="8">
        <v>36</v>
      </c>
      <c r="C731" s="5" t="s">
        <v>49</v>
      </c>
      <c r="D731" s="5" t="s">
        <v>42</v>
      </c>
      <c r="E731" s="5" t="s">
        <v>44</v>
      </c>
      <c r="F731" s="5" t="s">
        <v>161</v>
      </c>
      <c r="G731" s="8">
        <v>3</v>
      </c>
      <c r="H731" s="8">
        <v>5237</v>
      </c>
      <c r="I731" s="5" t="s">
        <v>49</v>
      </c>
      <c r="J731" s="8">
        <v>3</v>
      </c>
      <c r="K731" s="8">
        <v>3</v>
      </c>
      <c r="L731" s="8">
        <v>7</v>
      </c>
    </row>
    <row r="732" spans="1:12" x14ac:dyDescent="0.8">
      <c r="A732" s="5" t="s">
        <v>803</v>
      </c>
      <c r="B732" s="8">
        <v>36</v>
      </c>
      <c r="C732" s="5" t="s">
        <v>40</v>
      </c>
      <c r="D732" s="5" t="s">
        <v>51</v>
      </c>
      <c r="E732" s="5" t="s">
        <v>44</v>
      </c>
      <c r="F732" s="5" t="s">
        <v>54</v>
      </c>
      <c r="G732" s="8">
        <v>1</v>
      </c>
      <c r="H732" s="8">
        <v>3407</v>
      </c>
      <c r="I732" s="5" t="s">
        <v>49</v>
      </c>
      <c r="J732" s="8">
        <v>4</v>
      </c>
      <c r="K732" s="8">
        <v>4</v>
      </c>
      <c r="L732" s="8">
        <v>5</v>
      </c>
    </row>
    <row r="733" spans="1:12" x14ac:dyDescent="0.8">
      <c r="A733" s="5" t="s">
        <v>804</v>
      </c>
      <c r="B733" s="8">
        <v>36</v>
      </c>
      <c r="C733" s="5" t="s">
        <v>49</v>
      </c>
      <c r="D733" s="5" t="s">
        <v>42</v>
      </c>
      <c r="E733" s="5" t="s">
        <v>53</v>
      </c>
      <c r="F733" s="5" t="s">
        <v>60</v>
      </c>
      <c r="G733" s="8">
        <v>1</v>
      </c>
      <c r="H733" s="8">
        <v>3419</v>
      </c>
      <c r="I733" s="5" t="s">
        <v>40</v>
      </c>
      <c r="J733" s="8">
        <v>3</v>
      </c>
      <c r="K733" s="8">
        <v>3</v>
      </c>
      <c r="L733" s="8">
        <v>1</v>
      </c>
    </row>
    <row r="734" spans="1:12" x14ac:dyDescent="0.8">
      <c r="A734" s="5" t="s">
        <v>805</v>
      </c>
      <c r="B734" s="8">
        <v>36</v>
      </c>
      <c r="C734" s="5" t="s">
        <v>49</v>
      </c>
      <c r="D734" s="5" t="s">
        <v>42</v>
      </c>
      <c r="E734" s="5" t="s">
        <v>53</v>
      </c>
      <c r="F734" s="5" t="s">
        <v>161</v>
      </c>
      <c r="G734" s="8">
        <v>3</v>
      </c>
      <c r="H734" s="8">
        <v>10096</v>
      </c>
      <c r="I734" s="5" t="s">
        <v>49</v>
      </c>
      <c r="J734" s="8">
        <v>3</v>
      </c>
      <c r="K734" s="8">
        <v>2</v>
      </c>
      <c r="L734" s="8">
        <v>17</v>
      </c>
    </row>
    <row r="735" spans="1:12" x14ac:dyDescent="0.8">
      <c r="A735" s="5" t="s">
        <v>806</v>
      </c>
      <c r="B735" s="8">
        <v>36</v>
      </c>
      <c r="C735" s="5" t="s">
        <v>49</v>
      </c>
      <c r="D735" s="5" t="s">
        <v>42</v>
      </c>
      <c r="E735" s="5" t="s">
        <v>44</v>
      </c>
      <c r="F735" s="5" t="s">
        <v>112</v>
      </c>
      <c r="G735" s="8">
        <v>2</v>
      </c>
      <c r="H735" s="8">
        <v>6499</v>
      </c>
      <c r="I735" s="5" t="s">
        <v>49</v>
      </c>
      <c r="J735" s="8">
        <v>3</v>
      </c>
      <c r="K735" s="8">
        <v>3</v>
      </c>
      <c r="L735" s="8">
        <v>6</v>
      </c>
    </row>
    <row r="736" spans="1:12" x14ac:dyDescent="0.8">
      <c r="A736" s="5" t="s">
        <v>807</v>
      </c>
      <c r="B736" s="8">
        <v>36</v>
      </c>
      <c r="C736" s="5" t="s">
        <v>40</v>
      </c>
      <c r="D736" s="5" t="s">
        <v>42</v>
      </c>
      <c r="E736" s="5" t="s">
        <v>44</v>
      </c>
      <c r="F736" s="5" t="s">
        <v>60</v>
      </c>
      <c r="G736" s="8">
        <v>3</v>
      </c>
      <c r="H736" s="8">
        <v>3388</v>
      </c>
      <c r="I736" s="5" t="s">
        <v>40</v>
      </c>
      <c r="J736" s="8">
        <v>3</v>
      </c>
      <c r="K736" s="8">
        <v>0</v>
      </c>
      <c r="L736" s="8">
        <v>1</v>
      </c>
    </row>
    <row r="737" spans="1:12" x14ac:dyDescent="0.8">
      <c r="A737" s="5" t="s">
        <v>808</v>
      </c>
      <c r="B737" s="8">
        <v>36</v>
      </c>
      <c r="C737" s="5" t="s">
        <v>49</v>
      </c>
      <c r="D737" s="5" t="s">
        <v>42</v>
      </c>
      <c r="E737" s="5" t="s">
        <v>53</v>
      </c>
      <c r="F737" s="5" t="s">
        <v>45</v>
      </c>
      <c r="G737" s="8">
        <v>4</v>
      </c>
      <c r="H737" s="8">
        <v>3038</v>
      </c>
      <c r="I737" s="5" t="s">
        <v>49</v>
      </c>
      <c r="J737" s="8">
        <v>3</v>
      </c>
      <c r="K737" s="8">
        <v>3</v>
      </c>
      <c r="L737" s="8">
        <v>1</v>
      </c>
    </row>
    <row r="738" spans="1:12" x14ac:dyDescent="0.8">
      <c r="A738" s="5" t="s">
        <v>809</v>
      </c>
      <c r="B738" s="8">
        <v>36</v>
      </c>
      <c r="C738" s="5" t="s">
        <v>49</v>
      </c>
      <c r="D738" s="5" t="s">
        <v>51</v>
      </c>
      <c r="E738" s="5" t="s">
        <v>53</v>
      </c>
      <c r="F738" s="5" t="s">
        <v>137</v>
      </c>
      <c r="G738" s="8">
        <v>4</v>
      </c>
      <c r="H738" s="8">
        <v>9738</v>
      </c>
      <c r="I738" s="5" t="s">
        <v>49</v>
      </c>
      <c r="J738" s="8">
        <v>3</v>
      </c>
      <c r="K738" s="8">
        <v>6</v>
      </c>
      <c r="L738" s="8">
        <v>9</v>
      </c>
    </row>
    <row r="739" spans="1:12" x14ac:dyDescent="0.8">
      <c r="A739" s="5" t="s">
        <v>810</v>
      </c>
      <c r="B739" s="8">
        <v>36</v>
      </c>
      <c r="C739" s="5" t="s">
        <v>49</v>
      </c>
      <c r="D739" s="5" t="s">
        <v>42</v>
      </c>
      <c r="E739" s="5" t="s">
        <v>53</v>
      </c>
      <c r="F739" s="5" t="s">
        <v>45</v>
      </c>
      <c r="G739" s="8">
        <v>4</v>
      </c>
      <c r="H739" s="8">
        <v>2835</v>
      </c>
      <c r="I739" s="5" t="s">
        <v>49</v>
      </c>
      <c r="J739" s="8">
        <v>4</v>
      </c>
      <c r="K739" s="8">
        <v>2</v>
      </c>
      <c r="L739" s="8">
        <v>1</v>
      </c>
    </row>
    <row r="740" spans="1:12" x14ac:dyDescent="0.8">
      <c r="A740" s="5" t="s">
        <v>811</v>
      </c>
      <c r="B740" s="8">
        <v>36</v>
      </c>
      <c r="C740" s="5" t="s">
        <v>49</v>
      </c>
      <c r="D740" s="5" t="s">
        <v>42</v>
      </c>
      <c r="E740" s="5" t="s">
        <v>44</v>
      </c>
      <c r="F740" s="5" t="s">
        <v>112</v>
      </c>
      <c r="G740" s="8">
        <v>2</v>
      </c>
      <c r="H740" s="8">
        <v>4941</v>
      </c>
      <c r="I740" s="5" t="s">
        <v>49</v>
      </c>
      <c r="J740" s="8">
        <v>4</v>
      </c>
      <c r="K740" s="8">
        <v>0</v>
      </c>
      <c r="L740" s="8">
        <v>3</v>
      </c>
    </row>
    <row r="741" spans="1:12" x14ac:dyDescent="0.8">
      <c r="A741" s="5" t="s">
        <v>812</v>
      </c>
      <c r="B741" s="8">
        <v>36</v>
      </c>
      <c r="C741" s="5" t="s">
        <v>49</v>
      </c>
      <c r="D741" s="5" t="s">
        <v>42</v>
      </c>
      <c r="E741" s="5" t="s">
        <v>44</v>
      </c>
      <c r="F741" s="5" t="s">
        <v>45</v>
      </c>
      <c r="G741" s="8">
        <v>2</v>
      </c>
      <c r="H741" s="8">
        <v>2088</v>
      </c>
      <c r="I741" s="5" t="s">
        <v>49</v>
      </c>
      <c r="J741" s="8">
        <v>3</v>
      </c>
      <c r="K741" s="8">
        <v>3</v>
      </c>
      <c r="L741" s="8">
        <v>8</v>
      </c>
    </row>
    <row r="742" spans="1:12" x14ac:dyDescent="0.8">
      <c r="A742" s="5" t="s">
        <v>813</v>
      </c>
      <c r="B742" s="8">
        <v>36</v>
      </c>
      <c r="C742" s="5" t="s">
        <v>49</v>
      </c>
      <c r="D742" s="5" t="s">
        <v>42</v>
      </c>
      <c r="E742" s="5" t="s">
        <v>53</v>
      </c>
      <c r="F742" s="5" t="s">
        <v>45</v>
      </c>
      <c r="G742" s="8">
        <v>4</v>
      </c>
      <c r="H742" s="8">
        <v>2153</v>
      </c>
      <c r="I742" s="5" t="s">
        <v>49</v>
      </c>
      <c r="J742" s="8">
        <v>3</v>
      </c>
      <c r="K742" s="8">
        <v>2</v>
      </c>
      <c r="L742" s="8">
        <v>8</v>
      </c>
    </row>
    <row r="743" spans="1:12" x14ac:dyDescent="0.8">
      <c r="A743" s="5" t="s">
        <v>814</v>
      </c>
      <c r="B743" s="8">
        <v>36</v>
      </c>
      <c r="C743" s="5" t="s">
        <v>49</v>
      </c>
      <c r="D743" s="5" t="s">
        <v>42</v>
      </c>
      <c r="E743" s="5" t="s">
        <v>44</v>
      </c>
      <c r="F743" s="5" t="s">
        <v>45</v>
      </c>
      <c r="G743" s="8">
        <v>2</v>
      </c>
      <c r="H743" s="8">
        <v>5914</v>
      </c>
      <c r="I743" s="5" t="s">
        <v>49</v>
      </c>
      <c r="J743" s="8">
        <v>3</v>
      </c>
      <c r="K743" s="8">
        <v>3</v>
      </c>
      <c r="L743" s="8">
        <v>13</v>
      </c>
    </row>
    <row r="744" spans="1:12" x14ac:dyDescent="0.8">
      <c r="A744" s="5" t="s">
        <v>815</v>
      </c>
      <c r="B744" s="8">
        <v>36</v>
      </c>
      <c r="C744" s="5" t="s">
        <v>49</v>
      </c>
      <c r="D744" s="5" t="s">
        <v>42</v>
      </c>
      <c r="E744" s="5" t="s">
        <v>44</v>
      </c>
      <c r="F744" s="5" t="s">
        <v>45</v>
      </c>
      <c r="G744" s="8">
        <v>4</v>
      </c>
      <c r="H744" s="8">
        <v>3210</v>
      </c>
      <c r="I744" s="5" t="s">
        <v>49</v>
      </c>
      <c r="J744" s="8">
        <v>3</v>
      </c>
      <c r="K744" s="8">
        <v>4</v>
      </c>
      <c r="L744" s="8">
        <v>15</v>
      </c>
    </row>
    <row r="745" spans="1:12" x14ac:dyDescent="0.8">
      <c r="A745" s="5" t="s">
        <v>816</v>
      </c>
      <c r="B745" s="8">
        <v>36</v>
      </c>
      <c r="C745" s="5" t="s">
        <v>49</v>
      </c>
      <c r="D745" s="5" t="s">
        <v>42</v>
      </c>
      <c r="E745" s="5" t="s">
        <v>44</v>
      </c>
      <c r="F745" s="5" t="s">
        <v>60</v>
      </c>
      <c r="G745" s="8">
        <v>2</v>
      </c>
      <c r="H745" s="8">
        <v>4485</v>
      </c>
      <c r="I745" s="5" t="s">
        <v>49</v>
      </c>
      <c r="J745" s="8">
        <v>3</v>
      </c>
      <c r="K745" s="8">
        <v>2</v>
      </c>
      <c r="L745" s="8">
        <v>8</v>
      </c>
    </row>
    <row r="746" spans="1:12" x14ac:dyDescent="0.8">
      <c r="A746" s="5" t="s">
        <v>817</v>
      </c>
      <c r="B746" s="8">
        <v>36</v>
      </c>
      <c r="C746" s="5" t="s">
        <v>49</v>
      </c>
      <c r="D746" s="5" t="s">
        <v>42</v>
      </c>
      <c r="E746" s="5" t="s">
        <v>44</v>
      </c>
      <c r="F746" s="5" t="s">
        <v>45</v>
      </c>
      <c r="G746" s="8">
        <v>4</v>
      </c>
      <c r="H746" s="8">
        <v>3688</v>
      </c>
      <c r="I746" s="5" t="s">
        <v>49</v>
      </c>
      <c r="J746" s="8">
        <v>3</v>
      </c>
      <c r="K746" s="8">
        <v>2</v>
      </c>
      <c r="L746" s="8">
        <v>1</v>
      </c>
    </row>
    <row r="747" spans="1:12" x14ac:dyDescent="0.8">
      <c r="A747" s="5" t="s">
        <v>818</v>
      </c>
      <c r="B747" s="8">
        <v>36</v>
      </c>
      <c r="C747" s="5" t="s">
        <v>49</v>
      </c>
      <c r="D747" s="5" t="s">
        <v>42</v>
      </c>
      <c r="E747" s="5" t="s">
        <v>53</v>
      </c>
      <c r="F747" s="5" t="s">
        <v>45</v>
      </c>
      <c r="G747" s="8">
        <v>2</v>
      </c>
      <c r="H747" s="8">
        <v>5674</v>
      </c>
      <c r="I747" s="5" t="s">
        <v>49</v>
      </c>
      <c r="J747" s="8">
        <v>3</v>
      </c>
      <c r="K747" s="8">
        <v>3</v>
      </c>
      <c r="L747" s="8">
        <v>9</v>
      </c>
    </row>
    <row r="748" spans="1:12" x14ac:dyDescent="0.8">
      <c r="A748" s="5" t="s">
        <v>819</v>
      </c>
      <c r="B748" s="8">
        <v>36</v>
      </c>
      <c r="C748" s="5" t="s">
        <v>49</v>
      </c>
      <c r="D748" s="5" t="s">
        <v>51</v>
      </c>
      <c r="E748" s="5" t="s">
        <v>53</v>
      </c>
      <c r="F748" s="5" t="s">
        <v>137</v>
      </c>
      <c r="G748" s="8">
        <v>4</v>
      </c>
      <c r="H748" s="8">
        <v>6653</v>
      </c>
      <c r="I748" s="5" t="s">
        <v>49</v>
      </c>
      <c r="J748" s="8">
        <v>3</v>
      </c>
      <c r="K748" s="8">
        <v>6</v>
      </c>
      <c r="L748" s="8">
        <v>1</v>
      </c>
    </row>
    <row r="749" spans="1:12" x14ac:dyDescent="0.8">
      <c r="A749" s="5" t="s">
        <v>820</v>
      </c>
      <c r="B749" s="8">
        <v>36</v>
      </c>
      <c r="C749" s="5" t="s">
        <v>49</v>
      </c>
      <c r="D749" s="5" t="s">
        <v>51</v>
      </c>
      <c r="E749" s="5" t="s">
        <v>44</v>
      </c>
      <c r="F749" s="5" t="s">
        <v>137</v>
      </c>
      <c r="G749" s="8">
        <v>4</v>
      </c>
      <c r="H749" s="8">
        <v>9699</v>
      </c>
      <c r="I749" s="5" t="s">
        <v>49</v>
      </c>
      <c r="J749" s="8">
        <v>3</v>
      </c>
      <c r="K749" s="8">
        <v>2</v>
      </c>
      <c r="L749" s="8">
        <v>13</v>
      </c>
    </row>
    <row r="750" spans="1:12" x14ac:dyDescent="0.8">
      <c r="A750" s="5" t="s">
        <v>821</v>
      </c>
      <c r="B750" s="8">
        <v>36</v>
      </c>
      <c r="C750" s="5" t="s">
        <v>49</v>
      </c>
      <c r="D750" s="5" t="s">
        <v>42</v>
      </c>
      <c r="E750" s="5" t="s">
        <v>53</v>
      </c>
      <c r="F750" s="5" t="s">
        <v>60</v>
      </c>
      <c r="G750" s="8">
        <v>3</v>
      </c>
      <c r="H750" s="8">
        <v>2543</v>
      </c>
      <c r="I750" s="5" t="s">
        <v>49</v>
      </c>
      <c r="J750" s="8">
        <v>3</v>
      </c>
      <c r="K750" s="8">
        <v>3</v>
      </c>
      <c r="L750" s="8">
        <v>2</v>
      </c>
    </row>
    <row r="751" spans="1:12" x14ac:dyDescent="0.8">
      <c r="A751" s="5" t="s">
        <v>822</v>
      </c>
      <c r="B751" s="8">
        <v>36</v>
      </c>
      <c r="C751" s="5" t="s">
        <v>49</v>
      </c>
      <c r="D751" s="5" t="s">
        <v>51</v>
      </c>
      <c r="E751" s="5" t="s">
        <v>44</v>
      </c>
      <c r="F751" s="5" t="s">
        <v>137</v>
      </c>
      <c r="G751" s="8">
        <v>3</v>
      </c>
      <c r="H751" s="8">
        <v>7596</v>
      </c>
      <c r="I751" s="5" t="s">
        <v>49</v>
      </c>
      <c r="J751" s="8">
        <v>3</v>
      </c>
      <c r="K751" s="8">
        <v>2</v>
      </c>
      <c r="L751" s="8">
        <v>10</v>
      </c>
    </row>
    <row r="752" spans="1:12" x14ac:dyDescent="0.8">
      <c r="A752" s="5" t="s">
        <v>823</v>
      </c>
      <c r="B752" s="8">
        <v>36</v>
      </c>
      <c r="C752" s="5" t="s">
        <v>49</v>
      </c>
      <c r="D752" s="5" t="s">
        <v>51</v>
      </c>
      <c r="E752" s="5" t="s">
        <v>44</v>
      </c>
      <c r="F752" s="5" t="s">
        <v>137</v>
      </c>
      <c r="G752" s="8">
        <v>4</v>
      </c>
      <c r="H752" s="8">
        <v>9980</v>
      </c>
      <c r="I752" s="5" t="s">
        <v>49</v>
      </c>
      <c r="J752" s="8">
        <v>3</v>
      </c>
      <c r="K752" s="8">
        <v>3</v>
      </c>
      <c r="L752" s="8">
        <v>10</v>
      </c>
    </row>
    <row r="753" spans="1:12" x14ac:dyDescent="0.8">
      <c r="A753" s="5" t="s">
        <v>824</v>
      </c>
      <c r="B753" s="8">
        <v>36</v>
      </c>
      <c r="C753" s="5" t="s">
        <v>49</v>
      </c>
      <c r="D753" s="5" t="s">
        <v>42</v>
      </c>
      <c r="E753" s="5" t="s">
        <v>44</v>
      </c>
      <c r="F753" s="5" t="s">
        <v>112</v>
      </c>
      <c r="G753" s="8">
        <v>2</v>
      </c>
      <c r="H753" s="8">
        <v>8847</v>
      </c>
      <c r="I753" s="5" t="s">
        <v>40</v>
      </c>
      <c r="J753" s="8">
        <v>3</v>
      </c>
      <c r="K753" s="8">
        <v>2</v>
      </c>
      <c r="L753" s="8">
        <v>3</v>
      </c>
    </row>
    <row r="754" spans="1:12" x14ac:dyDescent="0.8">
      <c r="A754" s="5" t="s">
        <v>825</v>
      </c>
      <c r="B754" s="8">
        <v>36</v>
      </c>
      <c r="C754" s="5" t="s">
        <v>49</v>
      </c>
      <c r="D754" s="5" t="s">
        <v>42</v>
      </c>
      <c r="E754" s="5" t="s">
        <v>53</v>
      </c>
      <c r="F754" s="5" t="s">
        <v>252</v>
      </c>
      <c r="G754" s="8">
        <v>1</v>
      </c>
      <c r="H754" s="8">
        <v>11713</v>
      </c>
      <c r="I754" s="5" t="s">
        <v>49</v>
      </c>
      <c r="J754" s="8">
        <v>3</v>
      </c>
      <c r="K754" s="8">
        <v>2</v>
      </c>
      <c r="L754" s="8">
        <v>8</v>
      </c>
    </row>
    <row r="755" spans="1:12" x14ac:dyDescent="0.8">
      <c r="A755" s="5" t="s">
        <v>826</v>
      </c>
      <c r="B755" s="8">
        <v>36</v>
      </c>
      <c r="C755" s="5" t="s">
        <v>49</v>
      </c>
      <c r="D755" s="5" t="s">
        <v>51</v>
      </c>
      <c r="E755" s="5" t="s">
        <v>44</v>
      </c>
      <c r="F755" s="5" t="s">
        <v>137</v>
      </c>
      <c r="G755" s="8">
        <v>1</v>
      </c>
      <c r="H755" s="8">
        <v>7587</v>
      </c>
      <c r="I755" s="5" t="s">
        <v>49</v>
      </c>
      <c r="J755" s="8">
        <v>3</v>
      </c>
      <c r="K755" s="8">
        <v>1</v>
      </c>
      <c r="L755" s="8">
        <v>10</v>
      </c>
    </row>
    <row r="756" spans="1:12" x14ac:dyDescent="0.8">
      <c r="A756" s="5" t="s">
        <v>827</v>
      </c>
      <c r="B756" s="8">
        <v>36</v>
      </c>
      <c r="C756" s="5" t="s">
        <v>49</v>
      </c>
      <c r="D756" s="5" t="s">
        <v>42</v>
      </c>
      <c r="E756" s="5" t="s">
        <v>53</v>
      </c>
      <c r="F756" s="5" t="s">
        <v>112</v>
      </c>
      <c r="G756" s="8">
        <v>2</v>
      </c>
      <c r="H756" s="8">
        <v>5228</v>
      </c>
      <c r="I756" s="5" t="s">
        <v>49</v>
      </c>
      <c r="J756" s="8">
        <v>3</v>
      </c>
      <c r="K756" s="8">
        <v>2</v>
      </c>
      <c r="L756" s="8">
        <v>9</v>
      </c>
    </row>
    <row r="757" spans="1:12" x14ac:dyDescent="0.8">
      <c r="A757" s="5" t="s">
        <v>828</v>
      </c>
      <c r="B757" s="8">
        <v>36</v>
      </c>
      <c r="C757" s="5" t="s">
        <v>49</v>
      </c>
      <c r="D757" s="5" t="s">
        <v>71</v>
      </c>
      <c r="E757" s="5" t="s">
        <v>44</v>
      </c>
      <c r="F757" s="5" t="s">
        <v>71</v>
      </c>
      <c r="G757" s="8">
        <v>2</v>
      </c>
      <c r="H757" s="8">
        <v>2143</v>
      </c>
      <c r="I757" s="5" t="s">
        <v>49</v>
      </c>
      <c r="J757" s="8">
        <v>3</v>
      </c>
      <c r="K757" s="8">
        <v>2</v>
      </c>
      <c r="L757" s="8">
        <v>5</v>
      </c>
    </row>
    <row r="758" spans="1:12" x14ac:dyDescent="0.8">
      <c r="A758" s="5" t="s">
        <v>829</v>
      </c>
      <c r="B758" s="8">
        <v>36</v>
      </c>
      <c r="C758" s="5" t="s">
        <v>49</v>
      </c>
      <c r="D758" s="5" t="s">
        <v>51</v>
      </c>
      <c r="E758" s="5" t="s">
        <v>44</v>
      </c>
      <c r="F758" s="5" t="s">
        <v>137</v>
      </c>
      <c r="G758" s="8">
        <v>4</v>
      </c>
      <c r="H758" s="8">
        <v>6201</v>
      </c>
      <c r="I758" s="5" t="s">
        <v>40</v>
      </c>
      <c r="J758" s="8">
        <v>3</v>
      </c>
      <c r="K758" s="8">
        <v>1</v>
      </c>
      <c r="L758" s="8">
        <v>18</v>
      </c>
    </row>
    <row r="759" spans="1:12" x14ac:dyDescent="0.8">
      <c r="A759" s="5" t="s">
        <v>830</v>
      </c>
      <c r="B759" s="8">
        <v>36</v>
      </c>
      <c r="C759" s="5" t="s">
        <v>49</v>
      </c>
      <c r="D759" s="5" t="s">
        <v>71</v>
      </c>
      <c r="E759" s="5" t="s">
        <v>44</v>
      </c>
      <c r="F759" s="5" t="s">
        <v>71</v>
      </c>
      <c r="G759" s="8">
        <v>1</v>
      </c>
      <c r="H759" s="8">
        <v>2342</v>
      </c>
      <c r="I759" s="5" t="s">
        <v>49</v>
      </c>
      <c r="J759" s="8">
        <v>4</v>
      </c>
      <c r="K759" s="8">
        <v>3</v>
      </c>
      <c r="L759" s="8">
        <v>5</v>
      </c>
    </row>
    <row r="760" spans="1:12" x14ac:dyDescent="0.8">
      <c r="A760" s="5" t="s">
        <v>831</v>
      </c>
      <c r="B760" s="8">
        <v>36</v>
      </c>
      <c r="C760" s="5" t="s">
        <v>49</v>
      </c>
      <c r="D760" s="5" t="s">
        <v>42</v>
      </c>
      <c r="E760" s="5" t="s">
        <v>44</v>
      </c>
      <c r="F760" s="5" t="s">
        <v>161</v>
      </c>
      <c r="G760" s="8">
        <v>4</v>
      </c>
      <c r="H760" s="8">
        <v>6586</v>
      </c>
      <c r="I760" s="5" t="s">
        <v>40</v>
      </c>
      <c r="J760" s="8">
        <v>3</v>
      </c>
      <c r="K760" s="8">
        <v>2</v>
      </c>
      <c r="L760" s="8">
        <v>16</v>
      </c>
    </row>
    <row r="761" spans="1:12" x14ac:dyDescent="0.8">
      <c r="A761" s="5" t="s">
        <v>832</v>
      </c>
      <c r="B761" s="8">
        <v>36</v>
      </c>
      <c r="C761" s="5" t="s">
        <v>49</v>
      </c>
      <c r="D761" s="5" t="s">
        <v>42</v>
      </c>
      <c r="E761" s="5" t="s">
        <v>44</v>
      </c>
      <c r="F761" s="5" t="s">
        <v>60</v>
      </c>
      <c r="G761" s="8">
        <v>4</v>
      </c>
      <c r="H761" s="8">
        <v>4678</v>
      </c>
      <c r="I761" s="5" t="s">
        <v>49</v>
      </c>
      <c r="J761" s="8">
        <v>3</v>
      </c>
      <c r="K761" s="8">
        <v>6</v>
      </c>
      <c r="L761" s="8">
        <v>6</v>
      </c>
    </row>
    <row r="762" spans="1:12" x14ac:dyDescent="0.8">
      <c r="A762" s="5" t="s">
        <v>833</v>
      </c>
      <c r="B762" s="8">
        <v>36</v>
      </c>
      <c r="C762" s="5" t="s">
        <v>49</v>
      </c>
      <c r="D762" s="5" t="s">
        <v>42</v>
      </c>
      <c r="E762" s="5" t="s">
        <v>44</v>
      </c>
      <c r="F762" s="5" t="s">
        <v>45</v>
      </c>
      <c r="G762" s="8">
        <v>3</v>
      </c>
      <c r="H762" s="8">
        <v>2519</v>
      </c>
      <c r="I762" s="5" t="s">
        <v>49</v>
      </c>
      <c r="J762" s="8">
        <v>4</v>
      </c>
      <c r="K762" s="8">
        <v>6</v>
      </c>
      <c r="L762" s="8">
        <v>11</v>
      </c>
    </row>
    <row r="763" spans="1:12" x14ac:dyDescent="0.8">
      <c r="A763" s="5" t="s">
        <v>834</v>
      </c>
      <c r="B763" s="8">
        <v>36</v>
      </c>
      <c r="C763" s="5" t="s">
        <v>40</v>
      </c>
      <c r="D763" s="5" t="s">
        <v>51</v>
      </c>
      <c r="E763" s="5" t="s">
        <v>44</v>
      </c>
      <c r="F763" s="5" t="s">
        <v>137</v>
      </c>
      <c r="G763" s="8">
        <v>4</v>
      </c>
      <c r="H763" s="8">
        <v>10325</v>
      </c>
      <c r="I763" s="5" t="s">
        <v>40</v>
      </c>
      <c r="J763" s="8">
        <v>3</v>
      </c>
      <c r="K763" s="8">
        <v>6</v>
      </c>
      <c r="L763" s="8">
        <v>16</v>
      </c>
    </row>
    <row r="764" spans="1:12" x14ac:dyDescent="0.8">
      <c r="A764" s="5" t="s">
        <v>835</v>
      </c>
      <c r="B764" s="8">
        <v>36</v>
      </c>
      <c r="C764" s="5" t="s">
        <v>49</v>
      </c>
      <c r="D764" s="5" t="s">
        <v>51</v>
      </c>
      <c r="E764" s="5" t="s">
        <v>44</v>
      </c>
      <c r="F764" s="5" t="s">
        <v>137</v>
      </c>
      <c r="G764" s="8">
        <v>4</v>
      </c>
      <c r="H764" s="8">
        <v>5079</v>
      </c>
      <c r="I764" s="5" t="s">
        <v>49</v>
      </c>
      <c r="J764" s="8">
        <v>3</v>
      </c>
      <c r="K764" s="8">
        <v>3</v>
      </c>
      <c r="L764" s="8">
        <v>7</v>
      </c>
    </row>
    <row r="765" spans="1:12" x14ac:dyDescent="0.8">
      <c r="A765" s="5" t="s">
        <v>836</v>
      </c>
      <c r="B765" s="8">
        <v>36</v>
      </c>
      <c r="C765" s="5" t="s">
        <v>40</v>
      </c>
      <c r="D765" s="5" t="s">
        <v>42</v>
      </c>
      <c r="E765" s="5" t="s">
        <v>53</v>
      </c>
      <c r="F765" s="5" t="s">
        <v>45</v>
      </c>
      <c r="G765" s="8">
        <v>1</v>
      </c>
      <c r="H765" s="8">
        <v>2743</v>
      </c>
      <c r="I765" s="5" t="s">
        <v>49</v>
      </c>
      <c r="J765" s="8">
        <v>3</v>
      </c>
      <c r="K765" s="8">
        <v>1</v>
      </c>
      <c r="L765" s="8">
        <v>17</v>
      </c>
    </row>
    <row r="766" spans="1:12" x14ac:dyDescent="0.8">
      <c r="A766" s="5" t="s">
        <v>837</v>
      </c>
      <c r="B766" s="8">
        <v>36</v>
      </c>
      <c r="C766" s="5" t="s">
        <v>40</v>
      </c>
      <c r="D766" s="5" t="s">
        <v>42</v>
      </c>
      <c r="E766" s="5" t="s">
        <v>44</v>
      </c>
      <c r="F766" s="5" t="s">
        <v>45</v>
      </c>
      <c r="G766" s="8">
        <v>3</v>
      </c>
      <c r="H766" s="8">
        <v>4834</v>
      </c>
      <c r="I766" s="5" t="s">
        <v>49</v>
      </c>
      <c r="J766" s="8">
        <v>3</v>
      </c>
      <c r="K766" s="8">
        <v>3</v>
      </c>
      <c r="L766" s="8">
        <v>1</v>
      </c>
    </row>
    <row r="767" spans="1:12" x14ac:dyDescent="0.8">
      <c r="A767" s="5" t="s">
        <v>838</v>
      </c>
      <c r="B767" s="8">
        <v>36</v>
      </c>
      <c r="C767" s="5" t="s">
        <v>49</v>
      </c>
      <c r="D767" s="5" t="s">
        <v>42</v>
      </c>
      <c r="E767" s="5" t="s">
        <v>53</v>
      </c>
      <c r="F767" s="5" t="s">
        <v>112</v>
      </c>
      <c r="G767" s="8">
        <v>4</v>
      </c>
      <c r="H767" s="8">
        <v>8858</v>
      </c>
      <c r="I767" s="5" t="s">
        <v>49</v>
      </c>
      <c r="J767" s="8">
        <v>3</v>
      </c>
      <c r="K767" s="8">
        <v>2</v>
      </c>
      <c r="L767" s="8">
        <v>14</v>
      </c>
    </row>
    <row r="768" spans="1:12" x14ac:dyDescent="0.8">
      <c r="A768" s="5" t="s">
        <v>839</v>
      </c>
      <c r="B768" s="8">
        <v>36</v>
      </c>
      <c r="C768" s="5" t="s">
        <v>49</v>
      </c>
      <c r="D768" s="5" t="s">
        <v>42</v>
      </c>
      <c r="E768" s="5" t="s">
        <v>44</v>
      </c>
      <c r="F768" s="5" t="s">
        <v>112</v>
      </c>
      <c r="G768" s="8">
        <v>4</v>
      </c>
      <c r="H768" s="8">
        <v>7779</v>
      </c>
      <c r="I768" s="5" t="s">
        <v>49</v>
      </c>
      <c r="J768" s="8">
        <v>4</v>
      </c>
      <c r="K768" s="8">
        <v>0</v>
      </c>
      <c r="L768" s="8">
        <v>11</v>
      </c>
    </row>
    <row r="769" spans="1:12" x14ac:dyDescent="0.8">
      <c r="A769" s="5" t="s">
        <v>840</v>
      </c>
      <c r="B769" s="8">
        <v>36</v>
      </c>
      <c r="C769" s="5" t="s">
        <v>49</v>
      </c>
      <c r="D769" s="5" t="s">
        <v>42</v>
      </c>
      <c r="E769" s="5" t="s">
        <v>44</v>
      </c>
      <c r="F769" s="5" t="s">
        <v>45</v>
      </c>
      <c r="G769" s="8">
        <v>3</v>
      </c>
      <c r="H769" s="8">
        <v>2741</v>
      </c>
      <c r="I769" s="5" t="s">
        <v>49</v>
      </c>
      <c r="J769" s="8">
        <v>3</v>
      </c>
      <c r="K769" s="8">
        <v>4</v>
      </c>
      <c r="L769" s="8">
        <v>7</v>
      </c>
    </row>
    <row r="770" spans="1:12" x14ac:dyDescent="0.8">
      <c r="A770" s="5" t="s">
        <v>841</v>
      </c>
      <c r="B770" s="8">
        <v>36</v>
      </c>
      <c r="C770" s="5" t="s">
        <v>49</v>
      </c>
      <c r="D770" s="5" t="s">
        <v>42</v>
      </c>
      <c r="E770" s="5" t="s">
        <v>53</v>
      </c>
      <c r="F770" s="5" t="s">
        <v>112</v>
      </c>
      <c r="G770" s="8">
        <v>1</v>
      </c>
      <c r="H770" s="8">
        <v>10252</v>
      </c>
      <c r="I770" s="5" t="s">
        <v>40</v>
      </c>
      <c r="J770" s="8">
        <v>4</v>
      </c>
      <c r="K770" s="8">
        <v>2</v>
      </c>
      <c r="L770" s="8">
        <v>7</v>
      </c>
    </row>
    <row r="771" spans="1:12" x14ac:dyDescent="0.8">
      <c r="A771" s="5" t="s">
        <v>842</v>
      </c>
      <c r="B771" s="8">
        <v>36</v>
      </c>
      <c r="C771" s="5" t="s">
        <v>49</v>
      </c>
      <c r="D771" s="5" t="s">
        <v>42</v>
      </c>
      <c r="E771" s="5" t="s">
        <v>44</v>
      </c>
      <c r="F771" s="5" t="s">
        <v>60</v>
      </c>
      <c r="G771" s="8">
        <v>2</v>
      </c>
      <c r="H771" s="8">
        <v>3692</v>
      </c>
      <c r="I771" s="5" t="s">
        <v>49</v>
      </c>
      <c r="J771" s="8">
        <v>3</v>
      </c>
      <c r="K771" s="8">
        <v>2</v>
      </c>
      <c r="L771" s="8">
        <v>11</v>
      </c>
    </row>
    <row r="772" spans="1:12" x14ac:dyDescent="0.8">
      <c r="A772" s="5" t="s">
        <v>843</v>
      </c>
      <c r="B772" s="8">
        <v>36</v>
      </c>
      <c r="C772" s="5" t="s">
        <v>49</v>
      </c>
      <c r="D772" s="5" t="s">
        <v>42</v>
      </c>
      <c r="E772" s="5" t="s">
        <v>53</v>
      </c>
      <c r="F772" s="5" t="s">
        <v>112</v>
      </c>
      <c r="G772" s="8">
        <v>2</v>
      </c>
      <c r="H772" s="8">
        <v>5410</v>
      </c>
      <c r="I772" s="5" t="s">
        <v>40</v>
      </c>
      <c r="J772" s="8">
        <v>3</v>
      </c>
      <c r="K772" s="8">
        <v>2</v>
      </c>
      <c r="L772" s="8">
        <v>16</v>
      </c>
    </row>
    <row r="773" spans="1:12" x14ac:dyDescent="0.8">
      <c r="A773" s="5" t="s">
        <v>844</v>
      </c>
      <c r="B773" s="8">
        <v>36</v>
      </c>
      <c r="C773" s="5" t="s">
        <v>49</v>
      </c>
      <c r="D773" s="5" t="s">
        <v>42</v>
      </c>
      <c r="E773" s="5" t="s">
        <v>53</v>
      </c>
      <c r="F773" s="5" t="s">
        <v>161</v>
      </c>
      <c r="G773" s="8">
        <v>3</v>
      </c>
      <c r="H773" s="8">
        <v>7094</v>
      </c>
      <c r="I773" s="5" t="s">
        <v>49</v>
      </c>
      <c r="J773" s="8">
        <v>3</v>
      </c>
      <c r="K773" s="8">
        <v>0</v>
      </c>
      <c r="L773" s="8">
        <v>7</v>
      </c>
    </row>
    <row r="774" spans="1:12" x14ac:dyDescent="0.8">
      <c r="A774" s="5" t="s">
        <v>845</v>
      </c>
      <c r="B774" s="8">
        <v>36</v>
      </c>
      <c r="C774" s="5" t="s">
        <v>49</v>
      </c>
      <c r="D774" s="5" t="s">
        <v>51</v>
      </c>
      <c r="E774" s="5" t="s">
        <v>53</v>
      </c>
      <c r="F774" s="5" t="s">
        <v>137</v>
      </c>
      <c r="G774" s="8">
        <v>1</v>
      </c>
      <c r="H774" s="8">
        <v>4639</v>
      </c>
      <c r="I774" s="5" t="s">
        <v>49</v>
      </c>
      <c r="J774" s="8">
        <v>3</v>
      </c>
      <c r="K774" s="8">
        <v>2</v>
      </c>
      <c r="L774" s="8">
        <v>15</v>
      </c>
    </row>
    <row r="775" spans="1:12" x14ac:dyDescent="0.8">
      <c r="A775" s="5" t="s">
        <v>846</v>
      </c>
      <c r="B775" s="8">
        <v>36</v>
      </c>
      <c r="C775" s="5" t="s">
        <v>49</v>
      </c>
      <c r="D775" s="5" t="s">
        <v>51</v>
      </c>
      <c r="E775" s="5" t="s">
        <v>53</v>
      </c>
      <c r="F775" s="5" t="s">
        <v>137</v>
      </c>
      <c r="G775" s="8">
        <v>2</v>
      </c>
      <c r="H775" s="8">
        <v>9278</v>
      </c>
      <c r="I775" s="5" t="s">
        <v>40</v>
      </c>
      <c r="J775" s="8">
        <v>3</v>
      </c>
      <c r="K775" s="8">
        <v>3</v>
      </c>
      <c r="L775" s="8">
        <v>5</v>
      </c>
    </row>
    <row r="776" spans="1:12" x14ac:dyDescent="0.8">
      <c r="A776" s="5" t="s">
        <v>847</v>
      </c>
      <c r="B776" s="8">
        <v>36</v>
      </c>
      <c r="C776" s="5" t="s">
        <v>49</v>
      </c>
      <c r="D776" s="5" t="s">
        <v>42</v>
      </c>
      <c r="E776" s="5" t="s">
        <v>44</v>
      </c>
      <c r="F776" s="5" t="s">
        <v>45</v>
      </c>
      <c r="G776" s="8">
        <v>4</v>
      </c>
      <c r="H776" s="8">
        <v>5810</v>
      </c>
      <c r="I776" s="5" t="s">
        <v>49</v>
      </c>
      <c r="J776" s="8">
        <v>3</v>
      </c>
      <c r="K776" s="8">
        <v>2</v>
      </c>
      <c r="L776" s="8">
        <v>10</v>
      </c>
    </row>
    <row r="777" spans="1:12" x14ac:dyDescent="0.8">
      <c r="A777" s="5" t="s">
        <v>848</v>
      </c>
      <c r="B777" s="8">
        <v>36</v>
      </c>
      <c r="C777" s="5" t="s">
        <v>49</v>
      </c>
      <c r="D777" s="5" t="s">
        <v>51</v>
      </c>
      <c r="E777" s="5" t="s">
        <v>53</v>
      </c>
      <c r="F777" s="5" t="s">
        <v>137</v>
      </c>
      <c r="G777" s="8">
        <v>1</v>
      </c>
      <c r="H777" s="8">
        <v>5647</v>
      </c>
      <c r="I777" s="5" t="s">
        <v>49</v>
      </c>
      <c r="J777" s="8">
        <v>3</v>
      </c>
      <c r="K777" s="8">
        <v>3</v>
      </c>
      <c r="L777" s="8">
        <v>3</v>
      </c>
    </row>
    <row r="778" spans="1:12" x14ac:dyDescent="0.8">
      <c r="A778" s="5" t="s">
        <v>849</v>
      </c>
      <c r="B778" s="8">
        <v>36</v>
      </c>
      <c r="C778" s="5" t="s">
        <v>49</v>
      </c>
      <c r="D778" s="5" t="s">
        <v>51</v>
      </c>
      <c r="E778" s="5" t="s">
        <v>44</v>
      </c>
      <c r="F778" s="5" t="s">
        <v>54</v>
      </c>
      <c r="G778" s="8">
        <v>4</v>
      </c>
      <c r="H778" s="8">
        <v>2644</v>
      </c>
      <c r="I778" s="5" t="s">
        <v>40</v>
      </c>
      <c r="J778" s="8">
        <v>4</v>
      </c>
      <c r="K778" s="8">
        <v>3</v>
      </c>
      <c r="L778" s="8">
        <v>3</v>
      </c>
    </row>
    <row r="779" spans="1:12" x14ac:dyDescent="0.8">
      <c r="A779" s="5" t="s">
        <v>850</v>
      </c>
      <c r="B779" s="8">
        <v>36</v>
      </c>
      <c r="C779" s="5" t="s">
        <v>49</v>
      </c>
      <c r="D779" s="5" t="s">
        <v>51</v>
      </c>
      <c r="E779" s="5" t="s">
        <v>53</v>
      </c>
      <c r="F779" s="5" t="s">
        <v>137</v>
      </c>
      <c r="G779" s="8">
        <v>3</v>
      </c>
      <c r="H779" s="8">
        <v>6815</v>
      </c>
      <c r="I779" s="5" t="s">
        <v>49</v>
      </c>
      <c r="J779" s="8">
        <v>3</v>
      </c>
      <c r="K779" s="8">
        <v>5</v>
      </c>
      <c r="L779" s="8">
        <v>1</v>
      </c>
    </row>
    <row r="780" spans="1:12" x14ac:dyDescent="0.8">
      <c r="A780" s="5" t="s">
        <v>851</v>
      </c>
      <c r="B780" s="8">
        <v>36</v>
      </c>
      <c r="C780" s="5" t="s">
        <v>49</v>
      </c>
      <c r="D780" s="5" t="s">
        <v>42</v>
      </c>
      <c r="E780" s="5" t="s">
        <v>44</v>
      </c>
      <c r="F780" s="5" t="s">
        <v>45</v>
      </c>
      <c r="G780" s="8">
        <v>1</v>
      </c>
      <c r="H780" s="8">
        <v>5562</v>
      </c>
      <c r="I780" s="5" t="s">
        <v>40</v>
      </c>
      <c r="J780" s="8">
        <v>3</v>
      </c>
      <c r="K780" s="8">
        <v>3</v>
      </c>
      <c r="L780" s="8">
        <v>3</v>
      </c>
    </row>
    <row r="781" spans="1:12" x14ac:dyDescent="0.8">
      <c r="A781" s="5" t="s">
        <v>852</v>
      </c>
      <c r="B781" s="8">
        <v>36</v>
      </c>
      <c r="C781" s="5" t="s">
        <v>49</v>
      </c>
      <c r="D781" s="5" t="s">
        <v>42</v>
      </c>
      <c r="E781" s="5" t="s">
        <v>53</v>
      </c>
      <c r="F781" s="5" t="s">
        <v>112</v>
      </c>
      <c r="G781" s="8">
        <v>3</v>
      </c>
      <c r="H781" s="8">
        <v>4663</v>
      </c>
      <c r="I781" s="5" t="s">
        <v>40</v>
      </c>
      <c r="J781" s="8">
        <v>3</v>
      </c>
      <c r="K781" s="8">
        <v>2</v>
      </c>
      <c r="L781" s="8">
        <v>3</v>
      </c>
    </row>
    <row r="782" spans="1:12" x14ac:dyDescent="0.8">
      <c r="A782" s="5" t="s">
        <v>853</v>
      </c>
      <c r="B782" s="8">
        <v>36</v>
      </c>
      <c r="C782" s="5" t="s">
        <v>49</v>
      </c>
      <c r="D782" s="5" t="s">
        <v>42</v>
      </c>
      <c r="E782" s="5" t="s">
        <v>53</v>
      </c>
      <c r="F782" s="5" t="s">
        <v>161</v>
      </c>
      <c r="G782" s="8">
        <v>1</v>
      </c>
      <c r="H782" s="8">
        <v>8008</v>
      </c>
      <c r="I782" s="5" t="s">
        <v>49</v>
      </c>
      <c r="J782" s="8">
        <v>3</v>
      </c>
      <c r="K782" s="8">
        <v>6</v>
      </c>
      <c r="L782" s="8">
        <v>3</v>
      </c>
    </row>
    <row r="783" spans="1:12" x14ac:dyDescent="0.8">
      <c r="A783" s="5" t="s">
        <v>854</v>
      </c>
      <c r="B783" s="8">
        <v>36</v>
      </c>
      <c r="C783" s="5" t="s">
        <v>49</v>
      </c>
      <c r="D783" s="5" t="s">
        <v>42</v>
      </c>
      <c r="E783" s="5" t="s">
        <v>44</v>
      </c>
      <c r="F783" s="5" t="s">
        <v>45</v>
      </c>
      <c r="G783" s="8">
        <v>2</v>
      </c>
      <c r="H783" s="8">
        <v>2013</v>
      </c>
      <c r="I783" s="5" t="s">
        <v>49</v>
      </c>
      <c r="J783" s="8">
        <v>3</v>
      </c>
      <c r="K783" s="8">
        <v>4</v>
      </c>
      <c r="L783" s="8">
        <v>4</v>
      </c>
    </row>
    <row r="784" spans="1:12" x14ac:dyDescent="0.8">
      <c r="A784" s="5" t="s">
        <v>855</v>
      </c>
      <c r="B784" s="8">
        <v>36</v>
      </c>
      <c r="C784" s="5" t="s">
        <v>49</v>
      </c>
      <c r="D784" s="5" t="s">
        <v>42</v>
      </c>
      <c r="E784" s="5" t="s">
        <v>53</v>
      </c>
      <c r="F784" s="5" t="s">
        <v>112</v>
      </c>
      <c r="G784" s="8">
        <v>3</v>
      </c>
      <c r="H784" s="8">
        <v>4374</v>
      </c>
      <c r="I784" s="5" t="s">
        <v>49</v>
      </c>
      <c r="J784" s="8">
        <v>3</v>
      </c>
      <c r="K784" s="8">
        <v>6</v>
      </c>
      <c r="L784" s="8">
        <v>3</v>
      </c>
    </row>
    <row r="785" spans="1:12" x14ac:dyDescent="0.8">
      <c r="A785" s="5" t="s">
        <v>856</v>
      </c>
      <c r="B785" s="8">
        <v>36</v>
      </c>
      <c r="C785" s="5" t="s">
        <v>49</v>
      </c>
      <c r="D785" s="5" t="s">
        <v>42</v>
      </c>
      <c r="E785" s="5" t="s">
        <v>44</v>
      </c>
      <c r="F785" s="5" t="s">
        <v>161</v>
      </c>
      <c r="G785" s="8">
        <v>1</v>
      </c>
      <c r="H785" s="8">
        <v>6842</v>
      </c>
      <c r="I785" s="5" t="s">
        <v>49</v>
      </c>
      <c r="J785" s="8">
        <v>4</v>
      </c>
      <c r="K785" s="8">
        <v>3</v>
      </c>
      <c r="L785" s="8">
        <v>5</v>
      </c>
    </row>
    <row r="786" spans="1:12" x14ac:dyDescent="0.8">
      <c r="A786" s="5" t="s">
        <v>857</v>
      </c>
      <c r="B786" s="8">
        <v>36</v>
      </c>
      <c r="C786" s="5" t="s">
        <v>49</v>
      </c>
      <c r="D786" s="5" t="s">
        <v>42</v>
      </c>
      <c r="E786" s="5" t="s">
        <v>44</v>
      </c>
      <c r="F786" s="5" t="s">
        <v>161</v>
      </c>
      <c r="G786" s="8">
        <v>3</v>
      </c>
      <c r="H786" s="8">
        <v>5347</v>
      </c>
      <c r="I786" s="5" t="s">
        <v>49</v>
      </c>
      <c r="J786" s="8">
        <v>3</v>
      </c>
      <c r="K786" s="8">
        <v>2</v>
      </c>
      <c r="L786" s="8">
        <v>3</v>
      </c>
    </row>
    <row r="787" spans="1:12" x14ac:dyDescent="0.8">
      <c r="A787" s="5" t="s">
        <v>858</v>
      </c>
      <c r="B787" s="8">
        <v>36</v>
      </c>
      <c r="C787" s="5" t="s">
        <v>49</v>
      </c>
      <c r="D787" s="5" t="s">
        <v>51</v>
      </c>
      <c r="E787" s="5" t="s">
        <v>53</v>
      </c>
      <c r="F787" s="5" t="s">
        <v>54</v>
      </c>
      <c r="G787" s="8">
        <v>4</v>
      </c>
      <c r="H787" s="8">
        <v>4502</v>
      </c>
      <c r="I787" s="5" t="s">
        <v>49</v>
      </c>
      <c r="J787" s="8">
        <v>3</v>
      </c>
      <c r="K787" s="8">
        <v>2</v>
      </c>
      <c r="L787" s="8">
        <v>13</v>
      </c>
    </row>
    <row r="788" spans="1:12" x14ac:dyDescent="0.8">
      <c r="A788" s="5" t="s">
        <v>859</v>
      </c>
      <c r="B788" s="8">
        <v>36</v>
      </c>
      <c r="C788" s="5" t="s">
        <v>40</v>
      </c>
      <c r="D788" s="5" t="s">
        <v>51</v>
      </c>
      <c r="E788" s="5" t="s">
        <v>44</v>
      </c>
      <c r="F788" s="5" t="s">
        <v>137</v>
      </c>
      <c r="G788" s="8">
        <v>1</v>
      </c>
      <c r="H788" s="8">
        <v>6134</v>
      </c>
      <c r="I788" s="5" t="s">
        <v>40</v>
      </c>
      <c r="J788" s="8">
        <v>3</v>
      </c>
      <c r="K788" s="8">
        <v>3</v>
      </c>
      <c r="L788" s="8">
        <v>2</v>
      </c>
    </row>
    <row r="789" spans="1:12" x14ac:dyDescent="0.8">
      <c r="A789" s="5" t="s">
        <v>860</v>
      </c>
      <c r="B789" s="8">
        <v>36</v>
      </c>
      <c r="C789" s="5" t="s">
        <v>49</v>
      </c>
      <c r="D789" s="5" t="s">
        <v>42</v>
      </c>
      <c r="E789" s="5" t="s">
        <v>44</v>
      </c>
      <c r="F789" s="5" t="s">
        <v>161</v>
      </c>
      <c r="G789" s="8">
        <v>1</v>
      </c>
      <c r="H789" s="8">
        <v>8321</v>
      </c>
      <c r="I789" s="5" t="s">
        <v>40</v>
      </c>
      <c r="J789" s="8">
        <v>3</v>
      </c>
      <c r="K789" s="8">
        <v>1</v>
      </c>
      <c r="L789" s="8">
        <v>12</v>
      </c>
    </row>
    <row r="790" spans="1:12" x14ac:dyDescent="0.8">
      <c r="A790" s="5" t="s">
        <v>861</v>
      </c>
      <c r="B790" s="8">
        <v>36</v>
      </c>
      <c r="C790" s="5" t="s">
        <v>49</v>
      </c>
      <c r="D790" s="5" t="s">
        <v>42</v>
      </c>
      <c r="E790" s="5" t="s">
        <v>53</v>
      </c>
      <c r="F790" s="5" t="s">
        <v>60</v>
      </c>
      <c r="G790" s="8">
        <v>2</v>
      </c>
      <c r="H790" s="8">
        <v>6962</v>
      </c>
      <c r="I790" s="5" t="s">
        <v>40</v>
      </c>
      <c r="J790" s="8">
        <v>4</v>
      </c>
      <c r="K790" s="8">
        <v>2</v>
      </c>
      <c r="L790" s="8">
        <v>1</v>
      </c>
    </row>
    <row r="791" spans="1:12" x14ac:dyDescent="0.8">
      <c r="A791" s="5" t="s">
        <v>862</v>
      </c>
      <c r="B791" s="8">
        <v>36</v>
      </c>
      <c r="C791" s="5" t="s">
        <v>49</v>
      </c>
      <c r="D791" s="5" t="s">
        <v>51</v>
      </c>
      <c r="E791" s="5" t="s">
        <v>53</v>
      </c>
      <c r="F791" s="5" t="s">
        <v>137</v>
      </c>
      <c r="G791" s="8">
        <v>3</v>
      </c>
      <c r="H791" s="8">
        <v>5673</v>
      </c>
      <c r="I791" s="5" t="s">
        <v>40</v>
      </c>
      <c r="J791" s="8">
        <v>3</v>
      </c>
      <c r="K791" s="8">
        <v>4</v>
      </c>
      <c r="L791" s="8">
        <v>10</v>
      </c>
    </row>
    <row r="792" spans="1:12" x14ac:dyDescent="0.8">
      <c r="A792" s="5" t="s">
        <v>863</v>
      </c>
      <c r="B792" s="8">
        <v>36</v>
      </c>
      <c r="C792" s="5" t="s">
        <v>49</v>
      </c>
      <c r="D792" s="5" t="s">
        <v>71</v>
      </c>
      <c r="E792" s="5" t="s">
        <v>44</v>
      </c>
      <c r="F792" s="5" t="s">
        <v>71</v>
      </c>
      <c r="G792" s="8">
        <v>4</v>
      </c>
      <c r="H792" s="8">
        <v>3886</v>
      </c>
      <c r="I792" s="5" t="s">
        <v>49</v>
      </c>
      <c r="J792" s="8">
        <v>4</v>
      </c>
      <c r="K792" s="8">
        <v>2</v>
      </c>
      <c r="L792" s="8">
        <v>10</v>
      </c>
    </row>
    <row r="793" spans="1:12" x14ac:dyDescent="0.8">
      <c r="A793" s="5" t="s">
        <v>864</v>
      </c>
      <c r="B793" s="8">
        <v>36</v>
      </c>
      <c r="C793" s="5" t="s">
        <v>49</v>
      </c>
      <c r="D793" s="5" t="s">
        <v>51</v>
      </c>
      <c r="E793" s="5" t="s">
        <v>44</v>
      </c>
      <c r="F793" s="5" t="s">
        <v>137</v>
      </c>
      <c r="G793" s="8">
        <v>2</v>
      </c>
      <c r="H793" s="8">
        <v>5507</v>
      </c>
      <c r="I793" s="5" t="s">
        <v>49</v>
      </c>
      <c r="J793" s="8">
        <v>3</v>
      </c>
      <c r="K793" s="8">
        <v>1</v>
      </c>
      <c r="L793" s="8">
        <v>4</v>
      </c>
    </row>
    <row r="794" spans="1:12" x14ac:dyDescent="0.8">
      <c r="A794" s="5" t="s">
        <v>865</v>
      </c>
      <c r="B794" s="8">
        <v>36</v>
      </c>
      <c r="C794" s="5" t="s">
        <v>49</v>
      </c>
      <c r="D794" s="5" t="s">
        <v>42</v>
      </c>
      <c r="E794" s="5" t="s">
        <v>44</v>
      </c>
      <c r="F794" s="5" t="s">
        <v>45</v>
      </c>
      <c r="G794" s="8">
        <v>2</v>
      </c>
      <c r="H794" s="8">
        <v>2810</v>
      </c>
      <c r="I794" s="5" t="s">
        <v>49</v>
      </c>
      <c r="J794" s="8">
        <v>4</v>
      </c>
      <c r="K794" s="8">
        <v>3</v>
      </c>
      <c r="L794" s="8">
        <v>5</v>
      </c>
    </row>
    <row r="795" spans="1:12" x14ac:dyDescent="0.8">
      <c r="A795" s="5" t="s">
        <v>866</v>
      </c>
      <c r="B795" s="8">
        <v>36</v>
      </c>
      <c r="C795" s="5" t="s">
        <v>49</v>
      </c>
      <c r="D795" s="5" t="s">
        <v>51</v>
      </c>
      <c r="E795" s="5" t="s">
        <v>53</v>
      </c>
      <c r="F795" s="5" t="s">
        <v>137</v>
      </c>
      <c r="G795" s="8">
        <v>4</v>
      </c>
      <c r="H795" s="8">
        <v>7644</v>
      </c>
      <c r="I795" s="5" t="s">
        <v>49</v>
      </c>
      <c r="J795" s="8">
        <v>3</v>
      </c>
      <c r="K795" s="8">
        <v>2</v>
      </c>
      <c r="L795" s="8">
        <v>9</v>
      </c>
    </row>
    <row r="796" spans="1:12" x14ac:dyDescent="0.8">
      <c r="A796" s="5" t="s">
        <v>867</v>
      </c>
      <c r="B796" s="8">
        <v>36</v>
      </c>
      <c r="C796" s="5" t="s">
        <v>49</v>
      </c>
      <c r="D796" s="5" t="s">
        <v>42</v>
      </c>
      <c r="E796" s="5" t="s">
        <v>53</v>
      </c>
      <c r="F796" s="5" t="s">
        <v>112</v>
      </c>
      <c r="G796" s="8">
        <v>2</v>
      </c>
      <c r="H796" s="8">
        <v>5131</v>
      </c>
      <c r="I796" s="5" t="s">
        <v>49</v>
      </c>
      <c r="J796" s="8">
        <v>3</v>
      </c>
      <c r="K796" s="8">
        <v>3</v>
      </c>
      <c r="L796" s="8">
        <v>4</v>
      </c>
    </row>
    <row r="797" spans="1:12" x14ac:dyDescent="0.8">
      <c r="A797" s="5" t="s">
        <v>868</v>
      </c>
      <c r="B797" s="8">
        <v>36</v>
      </c>
      <c r="C797" s="5" t="s">
        <v>49</v>
      </c>
      <c r="D797" s="5" t="s">
        <v>51</v>
      </c>
      <c r="E797" s="5" t="s">
        <v>44</v>
      </c>
      <c r="F797" s="5" t="s">
        <v>137</v>
      </c>
      <c r="G797" s="8">
        <v>4</v>
      </c>
      <c r="H797" s="8">
        <v>5406</v>
      </c>
      <c r="I797" s="5" t="s">
        <v>49</v>
      </c>
      <c r="J797" s="8">
        <v>4</v>
      </c>
      <c r="K797" s="8">
        <v>4</v>
      </c>
      <c r="L797" s="8">
        <v>15</v>
      </c>
    </row>
    <row r="798" spans="1:12" x14ac:dyDescent="0.8">
      <c r="A798" s="5" t="s">
        <v>869</v>
      </c>
      <c r="B798" s="8">
        <v>36</v>
      </c>
      <c r="C798" s="5" t="s">
        <v>49</v>
      </c>
      <c r="D798" s="5" t="s">
        <v>51</v>
      </c>
      <c r="E798" s="5" t="s">
        <v>53</v>
      </c>
      <c r="F798" s="5" t="s">
        <v>137</v>
      </c>
      <c r="G798" s="8">
        <v>4</v>
      </c>
      <c r="H798" s="8">
        <v>6652</v>
      </c>
      <c r="I798" s="5" t="s">
        <v>49</v>
      </c>
      <c r="J798" s="8">
        <v>3</v>
      </c>
      <c r="K798" s="8">
        <v>2</v>
      </c>
      <c r="L798" s="8">
        <v>6</v>
      </c>
    </row>
    <row r="799" spans="1:12" x14ac:dyDescent="0.8">
      <c r="A799" s="5" t="s">
        <v>870</v>
      </c>
      <c r="B799" s="8">
        <v>36</v>
      </c>
      <c r="C799" s="5" t="s">
        <v>49</v>
      </c>
      <c r="D799" s="5" t="s">
        <v>42</v>
      </c>
      <c r="E799" s="5" t="s">
        <v>44</v>
      </c>
      <c r="F799" s="5" t="s">
        <v>45</v>
      </c>
      <c r="G799" s="8">
        <v>4</v>
      </c>
      <c r="H799" s="8">
        <v>2571</v>
      </c>
      <c r="I799" s="5" t="s">
        <v>49</v>
      </c>
      <c r="J799" s="8">
        <v>3</v>
      </c>
      <c r="K799" s="8">
        <v>3</v>
      </c>
      <c r="L799" s="8">
        <v>5</v>
      </c>
    </row>
    <row r="800" spans="1:12" x14ac:dyDescent="0.8">
      <c r="A800" s="5" t="s">
        <v>871</v>
      </c>
      <c r="B800" s="8">
        <v>37</v>
      </c>
      <c r="C800" s="5" t="s">
        <v>40</v>
      </c>
      <c r="D800" s="5" t="s">
        <v>42</v>
      </c>
      <c r="E800" s="5" t="s">
        <v>44</v>
      </c>
      <c r="F800" s="5" t="s">
        <v>45</v>
      </c>
      <c r="G800" s="8">
        <v>3</v>
      </c>
      <c r="H800" s="8">
        <v>2090</v>
      </c>
      <c r="I800" s="5" t="s">
        <v>40</v>
      </c>
      <c r="J800" s="8">
        <v>3</v>
      </c>
      <c r="K800" s="8">
        <v>3</v>
      </c>
      <c r="L800" s="8">
        <v>0</v>
      </c>
    </row>
    <row r="801" spans="1:12" x14ac:dyDescent="0.8">
      <c r="A801" s="5" t="s">
        <v>872</v>
      </c>
      <c r="B801" s="8">
        <v>37</v>
      </c>
      <c r="C801" s="5" t="s">
        <v>49</v>
      </c>
      <c r="D801" s="5" t="s">
        <v>42</v>
      </c>
      <c r="E801" s="5" t="s">
        <v>44</v>
      </c>
      <c r="F801" s="5" t="s">
        <v>60</v>
      </c>
      <c r="G801" s="8">
        <v>2</v>
      </c>
      <c r="H801" s="8">
        <v>3022</v>
      </c>
      <c r="I801" s="5" t="s">
        <v>49</v>
      </c>
      <c r="J801" s="8">
        <v>4</v>
      </c>
      <c r="K801" s="8">
        <v>1</v>
      </c>
      <c r="L801" s="8">
        <v>1</v>
      </c>
    </row>
    <row r="802" spans="1:12" x14ac:dyDescent="0.8">
      <c r="A802" s="5" t="s">
        <v>873</v>
      </c>
      <c r="B802" s="8">
        <v>37</v>
      </c>
      <c r="C802" s="5" t="s">
        <v>49</v>
      </c>
      <c r="D802" s="5" t="s">
        <v>42</v>
      </c>
      <c r="E802" s="5" t="s">
        <v>44</v>
      </c>
      <c r="F802" s="5" t="s">
        <v>112</v>
      </c>
      <c r="G802" s="8">
        <v>3</v>
      </c>
      <c r="H802" s="8">
        <v>5993</v>
      </c>
      <c r="I802" s="5" t="s">
        <v>49</v>
      </c>
      <c r="J802" s="8">
        <v>3</v>
      </c>
      <c r="K802" s="8">
        <v>2</v>
      </c>
      <c r="L802" s="8">
        <v>7</v>
      </c>
    </row>
    <row r="803" spans="1:12" x14ac:dyDescent="0.8">
      <c r="A803" s="5" t="s">
        <v>874</v>
      </c>
      <c r="B803" s="8">
        <v>37</v>
      </c>
      <c r="C803" s="5" t="s">
        <v>49</v>
      </c>
      <c r="D803" s="5" t="s">
        <v>42</v>
      </c>
      <c r="E803" s="5" t="s">
        <v>44</v>
      </c>
      <c r="F803" s="5" t="s">
        <v>252</v>
      </c>
      <c r="G803" s="8">
        <v>3</v>
      </c>
      <c r="H803" s="8">
        <v>13664</v>
      </c>
      <c r="I803" s="5" t="s">
        <v>49</v>
      </c>
      <c r="J803" s="8">
        <v>3</v>
      </c>
      <c r="K803" s="8">
        <v>3</v>
      </c>
      <c r="L803" s="8">
        <v>5</v>
      </c>
    </row>
    <row r="804" spans="1:12" x14ac:dyDescent="0.8">
      <c r="A804" s="5" t="s">
        <v>875</v>
      </c>
      <c r="B804" s="8">
        <v>37</v>
      </c>
      <c r="C804" s="5" t="s">
        <v>40</v>
      </c>
      <c r="D804" s="5" t="s">
        <v>71</v>
      </c>
      <c r="E804" s="5" t="s">
        <v>44</v>
      </c>
      <c r="F804" s="5" t="s">
        <v>71</v>
      </c>
      <c r="G804" s="8">
        <v>1</v>
      </c>
      <c r="H804" s="8">
        <v>2073</v>
      </c>
      <c r="I804" s="5" t="s">
        <v>40</v>
      </c>
      <c r="J804" s="8">
        <v>4</v>
      </c>
      <c r="K804" s="8">
        <v>3</v>
      </c>
      <c r="L804" s="8">
        <v>3</v>
      </c>
    </row>
    <row r="805" spans="1:12" x14ac:dyDescent="0.8">
      <c r="A805" s="5" t="s">
        <v>876</v>
      </c>
      <c r="B805" s="8">
        <v>37</v>
      </c>
      <c r="C805" s="5" t="s">
        <v>49</v>
      </c>
      <c r="D805" s="5" t="s">
        <v>42</v>
      </c>
      <c r="E805" s="5" t="s">
        <v>44</v>
      </c>
      <c r="F805" s="5" t="s">
        <v>161</v>
      </c>
      <c r="G805" s="8">
        <v>4</v>
      </c>
      <c r="H805" s="8">
        <v>5163</v>
      </c>
      <c r="I805" s="5" t="s">
        <v>49</v>
      </c>
      <c r="J805" s="8">
        <v>3</v>
      </c>
      <c r="K805" s="8">
        <v>2</v>
      </c>
      <c r="L805" s="8">
        <v>1</v>
      </c>
    </row>
    <row r="806" spans="1:12" x14ac:dyDescent="0.8">
      <c r="A806" s="5" t="s">
        <v>877</v>
      </c>
      <c r="B806" s="8">
        <v>37</v>
      </c>
      <c r="C806" s="5" t="s">
        <v>49</v>
      </c>
      <c r="D806" s="5" t="s">
        <v>51</v>
      </c>
      <c r="E806" s="5" t="s">
        <v>44</v>
      </c>
      <c r="F806" s="5" t="s">
        <v>137</v>
      </c>
      <c r="G806" s="8">
        <v>4</v>
      </c>
      <c r="H806" s="8">
        <v>7428</v>
      </c>
      <c r="I806" s="5" t="s">
        <v>49</v>
      </c>
      <c r="J806" s="8">
        <v>3</v>
      </c>
      <c r="K806" s="8">
        <v>3</v>
      </c>
      <c r="L806" s="8">
        <v>5</v>
      </c>
    </row>
    <row r="807" spans="1:12" x14ac:dyDescent="0.8">
      <c r="A807" s="5" t="s">
        <v>878</v>
      </c>
      <c r="B807" s="8">
        <v>37</v>
      </c>
      <c r="C807" s="5" t="s">
        <v>49</v>
      </c>
      <c r="D807" s="5" t="s">
        <v>42</v>
      </c>
      <c r="E807" s="5" t="s">
        <v>44</v>
      </c>
      <c r="F807" s="5" t="s">
        <v>60</v>
      </c>
      <c r="G807" s="8">
        <v>1</v>
      </c>
      <c r="H807" s="8">
        <v>3564</v>
      </c>
      <c r="I807" s="5" t="s">
        <v>40</v>
      </c>
      <c r="J807" s="8">
        <v>3</v>
      </c>
      <c r="K807" s="8">
        <v>3</v>
      </c>
      <c r="L807" s="8">
        <v>8</v>
      </c>
    </row>
    <row r="808" spans="1:12" x14ac:dyDescent="0.8">
      <c r="A808" s="5" t="s">
        <v>879</v>
      </c>
      <c r="B808" s="8">
        <v>37</v>
      </c>
      <c r="C808" s="5" t="s">
        <v>49</v>
      </c>
      <c r="D808" s="5" t="s">
        <v>42</v>
      </c>
      <c r="E808" s="5" t="s">
        <v>44</v>
      </c>
      <c r="F808" s="5" t="s">
        <v>252</v>
      </c>
      <c r="G808" s="8">
        <v>4</v>
      </c>
      <c r="H808" s="8">
        <v>12185</v>
      </c>
      <c r="I808" s="5" t="s">
        <v>40</v>
      </c>
      <c r="J808" s="8">
        <v>3</v>
      </c>
      <c r="K808" s="8">
        <v>1</v>
      </c>
      <c r="L808" s="8">
        <v>10</v>
      </c>
    </row>
    <row r="809" spans="1:12" x14ac:dyDescent="0.8">
      <c r="A809" s="5" t="s">
        <v>880</v>
      </c>
      <c r="B809" s="8">
        <v>37</v>
      </c>
      <c r="C809" s="5" t="s">
        <v>49</v>
      </c>
      <c r="D809" s="5" t="s">
        <v>51</v>
      </c>
      <c r="E809" s="5" t="s">
        <v>44</v>
      </c>
      <c r="F809" s="5" t="s">
        <v>54</v>
      </c>
      <c r="G809" s="8">
        <v>4</v>
      </c>
      <c r="H809" s="8">
        <v>2793</v>
      </c>
      <c r="I809" s="5" t="s">
        <v>49</v>
      </c>
      <c r="J809" s="8">
        <v>3</v>
      </c>
      <c r="K809" s="8">
        <v>2</v>
      </c>
      <c r="L809" s="8">
        <v>9</v>
      </c>
    </row>
    <row r="810" spans="1:12" x14ac:dyDescent="0.8">
      <c r="A810" s="5" t="s">
        <v>881</v>
      </c>
      <c r="B810" s="8">
        <v>37</v>
      </c>
      <c r="C810" s="5" t="s">
        <v>49</v>
      </c>
      <c r="D810" s="5" t="s">
        <v>42</v>
      </c>
      <c r="E810" s="5" t="s">
        <v>53</v>
      </c>
      <c r="F810" s="5" t="s">
        <v>60</v>
      </c>
      <c r="G810" s="8">
        <v>1</v>
      </c>
      <c r="H810" s="8">
        <v>3920</v>
      </c>
      <c r="I810" s="5" t="s">
        <v>49</v>
      </c>
      <c r="J810" s="8">
        <v>3</v>
      </c>
      <c r="K810" s="8">
        <v>2</v>
      </c>
      <c r="L810" s="8">
        <v>3</v>
      </c>
    </row>
    <row r="811" spans="1:12" x14ac:dyDescent="0.8">
      <c r="A811" s="5" t="s">
        <v>882</v>
      </c>
      <c r="B811" s="8">
        <v>37</v>
      </c>
      <c r="C811" s="5" t="s">
        <v>40</v>
      </c>
      <c r="D811" s="5" t="s">
        <v>42</v>
      </c>
      <c r="E811" s="5" t="s">
        <v>44</v>
      </c>
      <c r="F811" s="5" t="s">
        <v>112</v>
      </c>
      <c r="G811" s="8">
        <v>3</v>
      </c>
      <c r="H811" s="8">
        <v>10048</v>
      </c>
      <c r="I811" s="5" t="s">
        <v>49</v>
      </c>
      <c r="J811" s="8">
        <v>3</v>
      </c>
      <c r="K811" s="8">
        <v>5</v>
      </c>
      <c r="L811" s="8">
        <v>1</v>
      </c>
    </row>
    <row r="812" spans="1:12" x14ac:dyDescent="0.8">
      <c r="A812" s="5" t="s">
        <v>883</v>
      </c>
      <c r="B812" s="8">
        <v>37</v>
      </c>
      <c r="C812" s="5" t="s">
        <v>49</v>
      </c>
      <c r="D812" s="5" t="s">
        <v>51</v>
      </c>
      <c r="E812" s="5" t="s">
        <v>44</v>
      </c>
      <c r="F812" s="5" t="s">
        <v>137</v>
      </c>
      <c r="G812" s="8">
        <v>4</v>
      </c>
      <c r="H812" s="8">
        <v>6502</v>
      </c>
      <c r="I812" s="5" t="s">
        <v>49</v>
      </c>
      <c r="J812" s="8">
        <v>3</v>
      </c>
      <c r="K812" s="8">
        <v>5</v>
      </c>
      <c r="L812" s="8">
        <v>5</v>
      </c>
    </row>
    <row r="813" spans="1:12" x14ac:dyDescent="0.8">
      <c r="A813" s="5" t="s">
        <v>884</v>
      </c>
      <c r="B813" s="8">
        <v>37</v>
      </c>
      <c r="C813" s="5" t="s">
        <v>49</v>
      </c>
      <c r="D813" s="5" t="s">
        <v>42</v>
      </c>
      <c r="E813" s="5" t="s">
        <v>53</v>
      </c>
      <c r="F813" s="5" t="s">
        <v>252</v>
      </c>
      <c r="G813" s="8">
        <v>4</v>
      </c>
      <c r="H813" s="8">
        <v>13603</v>
      </c>
      <c r="I813" s="5" t="s">
        <v>40</v>
      </c>
      <c r="J813" s="8">
        <v>3</v>
      </c>
      <c r="K813" s="8">
        <v>2</v>
      </c>
      <c r="L813" s="8">
        <v>5</v>
      </c>
    </row>
    <row r="814" spans="1:12" x14ac:dyDescent="0.8">
      <c r="A814" s="5" t="s">
        <v>885</v>
      </c>
      <c r="B814" s="8">
        <v>37</v>
      </c>
      <c r="C814" s="5" t="s">
        <v>49</v>
      </c>
      <c r="D814" s="5" t="s">
        <v>42</v>
      </c>
      <c r="E814" s="5" t="s">
        <v>53</v>
      </c>
      <c r="F814" s="5" t="s">
        <v>60</v>
      </c>
      <c r="G814" s="8">
        <v>4</v>
      </c>
      <c r="H814" s="8">
        <v>2115</v>
      </c>
      <c r="I814" s="5" t="s">
        <v>49</v>
      </c>
      <c r="J814" s="8">
        <v>3</v>
      </c>
      <c r="K814" s="8">
        <v>3</v>
      </c>
      <c r="L814" s="8">
        <v>17</v>
      </c>
    </row>
    <row r="815" spans="1:12" x14ac:dyDescent="0.8">
      <c r="A815" s="5" t="s">
        <v>886</v>
      </c>
      <c r="B815" s="8">
        <v>37</v>
      </c>
      <c r="C815" s="5" t="s">
        <v>49</v>
      </c>
      <c r="D815" s="5" t="s">
        <v>42</v>
      </c>
      <c r="E815" s="5" t="s">
        <v>44</v>
      </c>
      <c r="F815" s="5" t="s">
        <v>60</v>
      </c>
      <c r="G815" s="8">
        <v>4</v>
      </c>
      <c r="H815" s="8">
        <v>2326</v>
      </c>
      <c r="I815" s="5" t="s">
        <v>40</v>
      </c>
      <c r="J815" s="8">
        <v>3</v>
      </c>
      <c r="K815" s="8">
        <v>3</v>
      </c>
      <c r="L815" s="8">
        <v>4</v>
      </c>
    </row>
    <row r="816" spans="1:12" x14ac:dyDescent="0.8">
      <c r="A816" s="5" t="s">
        <v>887</v>
      </c>
      <c r="B816" s="8">
        <v>37</v>
      </c>
      <c r="C816" s="5" t="s">
        <v>49</v>
      </c>
      <c r="D816" s="5" t="s">
        <v>42</v>
      </c>
      <c r="E816" s="5" t="s">
        <v>44</v>
      </c>
      <c r="F816" s="5" t="s">
        <v>112</v>
      </c>
      <c r="G816" s="8">
        <v>4</v>
      </c>
      <c r="H816" s="8">
        <v>6347</v>
      </c>
      <c r="I816" s="5" t="s">
        <v>49</v>
      </c>
      <c r="J816" s="8">
        <v>3</v>
      </c>
      <c r="K816" s="8">
        <v>2</v>
      </c>
      <c r="L816" s="8">
        <v>6</v>
      </c>
    </row>
    <row r="817" spans="1:12" x14ac:dyDescent="0.8">
      <c r="A817" s="5" t="s">
        <v>888</v>
      </c>
      <c r="B817" s="8">
        <v>37</v>
      </c>
      <c r="C817" s="5" t="s">
        <v>49</v>
      </c>
      <c r="D817" s="5" t="s">
        <v>42</v>
      </c>
      <c r="E817" s="5" t="s">
        <v>44</v>
      </c>
      <c r="F817" s="5" t="s">
        <v>60</v>
      </c>
      <c r="G817" s="8">
        <v>1</v>
      </c>
      <c r="H817" s="8">
        <v>5974</v>
      </c>
      <c r="I817" s="5" t="s">
        <v>40</v>
      </c>
      <c r="J817" s="8">
        <v>3</v>
      </c>
      <c r="K817" s="8">
        <v>2</v>
      </c>
      <c r="L817" s="8">
        <v>7</v>
      </c>
    </row>
    <row r="818" spans="1:12" x14ac:dyDescent="0.8">
      <c r="A818" s="5" t="s">
        <v>889</v>
      </c>
      <c r="B818" s="8">
        <v>37</v>
      </c>
      <c r="C818" s="5" t="s">
        <v>49</v>
      </c>
      <c r="D818" s="5" t="s">
        <v>42</v>
      </c>
      <c r="E818" s="5" t="s">
        <v>53</v>
      </c>
      <c r="F818" s="5" t="s">
        <v>45</v>
      </c>
      <c r="G818" s="8">
        <v>1</v>
      </c>
      <c r="H818" s="8">
        <v>3452</v>
      </c>
      <c r="I818" s="5" t="s">
        <v>49</v>
      </c>
      <c r="J818" s="8">
        <v>4</v>
      </c>
      <c r="K818" s="8">
        <v>3</v>
      </c>
      <c r="L818" s="8">
        <v>5</v>
      </c>
    </row>
    <row r="819" spans="1:12" x14ac:dyDescent="0.8">
      <c r="A819" s="5" t="s">
        <v>890</v>
      </c>
      <c r="B819" s="8">
        <v>37</v>
      </c>
      <c r="C819" s="5" t="s">
        <v>49</v>
      </c>
      <c r="D819" s="5" t="s">
        <v>42</v>
      </c>
      <c r="E819" s="5" t="s">
        <v>53</v>
      </c>
      <c r="F819" s="5" t="s">
        <v>45</v>
      </c>
      <c r="G819" s="8">
        <v>1</v>
      </c>
      <c r="H819" s="8">
        <v>3034</v>
      </c>
      <c r="I819" s="5" t="s">
        <v>49</v>
      </c>
      <c r="J819" s="8">
        <v>3</v>
      </c>
      <c r="K819" s="8">
        <v>2</v>
      </c>
      <c r="L819" s="8">
        <v>18</v>
      </c>
    </row>
    <row r="820" spans="1:12" x14ac:dyDescent="0.8">
      <c r="A820" s="5" t="s">
        <v>891</v>
      </c>
      <c r="B820" s="8">
        <v>37</v>
      </c>
      <c r="C820" s="5" t="s">
        <v>49</v>
      </c>
      <c r="D820" s="5" t="s">
        <v>42</v>
      </c>
      <c r="E820" s="5" t="s">
        <v>44</v>
      </c>
      <c r="F820" s="5" t="s">
        <v>112</v>
      </c>
      <c r="G820" s="8">
        <v>2</v>
      </c>
      <c r="H820" s="8">
        <v>4197</v>
      </c>
      <c r="I820" s="5" t="s">
        <v>40</v>
      </c>
      <c r="J820" s="8">
        <v>3</v>
      </c>
      <c r="K820" s="8">
        <v>2</v>
      </c>
      <c r="L820" s="8">
        <v>1</v>
      </c>
    </row>
    <row r="821" spans="1:12" x14ac:dyDescent="0.8">
      <c r="A821" s="5" t="s">
        <v>892</v>
      </c>
      <c r="B821" s="8">
        <v>37</v>
      </c>
      <c r="C821" s="5" t="s">
        <v>49</v>
      </c>
      <c r="D821" s="5" t="s">
        <v>42</v>
      </c>
      <c r="E821" s="5" t="s">
        <v>53</v>
      </c>
      <c r="F821" s="5" t="s">
        <v>60</v>
      </c>
      <c r="G821" s="8">
        <v>3</v>
      </c>
      <c r="H821" s="8">
        <v>4449</v>
      </c>
      <c r="I821" s="5" t="s">
        <v>40</v>
      </c>
      <c r="J821" s="8">
        <v>3</v>
      </c>
      <c r="K821" s="8">
        <v>2</v>
      </c>
      <c r="L821" s="8">
        <v>13</v>
      </c>
    </row>
    <row r="822" spans="1:12" x14ac:dyDescent="0.8">
      <c r="A822" s="5" t="s">
        <v>893</v>
      </c>
      <c r="B822" s="8">
        <v>37</v>
      </c>
      <c r="C822" s="5" t="s">
        <v>49</v>
      </c>
      <c r="D822" s="5" t="s">
        <v>42</v>
      </c>
      <c r="E822" s="5" t="s">
        <v>53</v>
      </c>
      <c r="F822" s="5" t="s">
        <v>112</v>
      </c>
      <c r="G822" s="8">
        <v>4</v>
      </c>
      <c r="H822" s="8">
        <v>7491</v>
      </c>
      <c r="I822" s="5" t="s">
        <v>49</v>
      </c>
      <c r="J822" s="8">
        <v>3</v>
      </c>
      <c r="K822" s="8">
        <v>3</v>
      </c>
      <c r="L822" s="8">
        <v>6</v>
      </c>
    </row>
    <row r="823" spans="1:12" x14ac:dyDescent="0.8">
      <c r="A823" s="5" t="s">
        <v>894</v>
      </c>
      <c r="B823" s="8">
        <v>37</v>
      </c>
      <c r="C823" s="5" t="s">
        <v>49</v>
      </c>
      <c r="D823" s="5" t="s">
        <v>51</v>
      </c>
      <c r="E823" s="5" t="s">
        <v>44</v>
      </c>
      <c r="F823" s="5" t="s">
        <v>137</v>
      </c>
      <c r="G823" s="8">
        <v>2</v>
      </c>
      <c r="H823" s="8">
        <v>8834</v>
      </c>
      <c r="I823" s="5" t="s">
        <v>49</v>
      </c>
      <c r="J823" s="8">
        <v>3</v>
      </c>
      <c r="K823" s="8">
        <v>6</v>
      </c>
      <c r="L823" s="8">
        <v>9</v>
      </c>
    </row>
    <row r="824" spans="1:12" x14ac:dyDescent="0.8">
      <c r="A824" s="5" t="s">
        <v>895</v>
      </c>
      <c r="B824" s="8">
        <v>37</v>
      </c>
      <c r="C824" s="5" t="s">
        <v>49</v>
      </c>
      <c r="D824" s="5" t="s">
        <v>42</v>
      </c>
      <c r="E824" s="5" t="s">
        <v>53</v>
      </c>
      <c r="F824" s="5" t="s">
        <v>112</v>
      </c>
      <c r="G824" s="8">
        <v>2</v>
      </c>
      <c r="H824" s="8">
        <v>6447</v>
      </c>
      <c r="I824" s="5" t="s">
        <v>49</v>
      </c>
      <c r="J824" s="8">
        <v>3</v>
      </c>
      <c r="K824" s="8">
        <v>2</v>
      </c>
      <c r="L824" s="8">
        <v>6</v>
      </c>
    </row>
    <row r="825" spans="1:12" x14ac:dyDescent="0.8">
      <c r="A825" s="5" t="s">
        <v>896</v>
      </c>
      <c r="B825" s="8">
        <v>37</v>
      </c>
      <c r="C825" s="5" t="s">
        <v>49</v>
      </c>
      <c r="D825" s="5" t="s">
        <v>51</v>
      </c>
      <c r="E825" s="5" t="s">
        <v>44</v>
      </c>
      <c r="F825" s="5" t="s">
        <v>137</v>
      </c>
      <c r="G825" s="8">
        <v>3</v>
      </c>
      <c r="H825" s="8">
        <v>9602</v>
      </c>
      <c r="I825" s="5" t="s">
        <v>40</v>
      </c>
      <c r="J825" s="8">
        <v>3</v>
      </c>
      <c r="K825" s="8">
        <v>3</v>
      </c>
      <c r="L825" s="8">
        <v>3</v>
      </c>
    </row>
    <row r="826" spans="1:12" x14ac:dyDescent="0.8">
      <c r="A826" s="5" t="s">
        <v>897</v>
      </c>
      <c r="B826" s="8">
        <v>37</v>
      </c>
      <c r="C826" s="5" t="s">
        <v>49</v>
      </c>
      <c r="D826" s="5" t="s">
        <v>42</v>
      </c>
      <c r="E826" s="5" t="s">
        <v>44</v>
      </c>
      <c r="F826" s="5" t="s">
        <v>112</v>
      </c>
      <c r="G826" s="8">
        <v>3</v>
      </c>
      <c r="H826" s="8">
        <v>9434</v>
      </c>
      <c r="I826" s="5" t="s">
        <v>49</v>
      </c>
      <c r="J826" s="8">
        <v>3</v>
      </c>
      <c r="K826" s="8">
        <v>2</v>
      </c>
      <c r="L826" s="8">
        <v>10</v>
      </c>
    </row>
    <row r="827" spans="1:12" x14ac:dyDescent="0.8">
      <c r="A827" s="5" t="s">
        <v>898</v>
      </c>
      <c r="B827" s="8">
        <v>37</v>
      </c>
      <c r="C827" s="5" t="s">
        <v>49</v>
      </c>
      <c r="D827" s="5" t="s">
        <v>42</v>
      </c>
      <c r="E827" s="5" t="s">
        <v>44</v>
      </c>
      <c r="F827" s="5" t="s">
        <v>60</v>
      </c>
      <c r="G827" s="8">
        <v>4</v>
      </c>
      <c r="H827" s="8">
        <v>4680</v>
      </c>
      <c r="I827" s="5" t="s">
        <v>49</v>
      </c>
      <c r="J827" s="8">
        <v>3</v>
      </c>
      <c r="K827" s="8">
        <v>2</v>
      </c>
      <c r="L827" s="8">
        <v>1</v>
      </c>
    </row>
    <row r="828" spans="1:12" x14ac:dyDescent="0.8">
      <c r="A828" s="5" t="s">
        <v>899</v>
      </c>
      <c r="B828" s="8">
        <v>37</v>
      </c>
      <c r="C828" s="5" t="s">
        <v>49</v>
      </c>
      <c r="D828" s="5" t="s">
        <v>42</v>
      </c>
      <c r="E828" s="5" t="s">
        <v>53</v>
      </c>
      <c r="F828" s="5" t="s">
        <v>60</v>
      </c>
      <c r="G828" s="8">
        <v>1</v>
      </c>
      <c r="H828" s="8">
        <v>2782</v>
      </c>
      <c r="I828" s="5" t="s">
        <v>40</v>
      </c>
      <c r="J828" s="8">
        <v>3</v>
      </c>
      <c r="K828" s="8">
        <v>3</v>
      </c>
      <c r="L828" s="8">
        <v>5</v>
      </c>
    </row>
    <row r="829" spans="1:12" x14ac:dyDescent="0.8">
      <c r="A829" s="5" t="s">
        <v>900</v>
      </c>
      <c r="B829" s="8">
        <v>37</v>
      </c>
      <c r="C829" s="5" t="s">
        <v>49</v>
      </c>
      <c r="D829" s="5" t="s">
        <v>51</v>
      </c>
      <c r="E829" s="5" t="s">
        <v>44</v>
      </c>
      <c r="F829" s="5" t="s">
        <v>137</v>
      </c>
      <c r="G829" s="8">
        <v>3</v>
      </c>
      <c r="H829" s="8">
        <v>6334</v>
      </c>
      <c r="I829" s="5" t="s">
        <v>49</v>
      </c>
      <c r="J829" s="8">
        <v>3</v>
      </c>
      <c r="K829" s="8">
        <v>2</v>
      </c>
      <c r="L829" s="8">
        <v>1</v>
      </c>
    </row>
    <row r="830" spans="1:12" x14ac:dyDescent="0.8">
      <c r="A830" s="5" t="s">
        <v>901</v>
      </c>
      <c r="B830" s="8">
        <v>37</v>
      </c>
      <c r="C830" s="5" t="s">
        <v>49</v>
      </c>
      <c r="D830" s="5" t="s">
        <v>51</v>
      </c>
      <c r="E830" s="5" t="s">
        <v>53</v>
      </c>
      <c r="F830" s="5" t="s">
        <v>54</v>
      </c>
      <c r="G830" s="8">
        <v>4</v>
      </c>
      <c r="H830" s="8">
        <v>2973</v>
      </c>
      <c r="I830" s="5" t="s">
        <v>49</v>
      </c>
      <c r="J830" s="8">
        <v>3</v>
      </c>
      <c r="K830" s="8">
        <v>3</v>
      </c>
      <c r="L830" s="8">
        <v>5</v>
      </c>
    </row>
    <row r="831" spans="1:12" x14ac:dyDescent="0.8">
      <c r="A831" s="5" t="s">
        <v>902</v>
      </c>
      <c r="B831" s="8">
        <v>37</v>
      </c>
      <c r="C831" s="5" t="s">
        <v>49</v>
      </c>
      <c r="D831" s="5" t="s">
        <v>51</v>
      </c>
      <c r="E831" s="5" t="s">
        <v>44</v>
      </c>
      <c r="F831" s="5" t="s">
        <v>137</v>
      </c>
      <c r="G831" s="8">
        <v>2</v>
      </c>
      <c r="H831" s="8">
        <v>7642</v>
      </c>
      <c r="I831" s="5" t="s">
        <v>40</v>
      </c>
      <c r="J831" s="8">
        <v>3</v>
      </c>
      <c r="K831" s="8">
        <v>2</v>
      </c>
      <c r="L831" s="8">
        <v>10</v>
      </c>
    </row>
    <row r="832" spans="1:12" x14ac:dyDescent="0.8">
      <c r="A832" s="5" t="s">
        <v>903</v>
      </c>
      <c r="B832" s="8">
        <v>37</v>
      </c>
      <c r="C832" s="5" t="s">
        <v>40</v>
      </c>
      <c r="D832" s="5" t="s">
        <v>51</v>
      </c>
      <c r="E832" s="5" t="s">
        <v>44</v>
      </c>
      <c r="F832" s="5" t="s">
        <v>137</v>
      </c>
      <c r="G832" s="8">
        <v>3</v>
      </c>
      <c r="H832" s="8">
        <v>10609</v>
      </c>
      <c r="I832" s="5" t="s">
        <v>49</v>
      </c>
      <c r="J832" s="8">
        <v>3</v>
      </c>
      <c r="K832" s="8">
        <v>2</v>
      </c>
      <c r="L832" s="8">
        <v>14</v>
      </c>
    </row>
    <row r="833" spans="1:12" x14ac:dyDescent="0.8">
      <c r="A833" s="5" t="s">
        <v>904</v>
      </c>
      <c r="B833" s="8">
        <v>37</v>
      </c>
      <c r="C833" s="5" t="s">
        <v>40</v>
      </c>
      <c r="D833" s="5" t="s">
        <v>42</v>
      </c>
      <c r="E833" s="5" t="s">
        <v>53</v>
      </c>
      <c r="F833" s="5" t="s">
        <v>161</v>
      </c>
      <c r="G833" s="8">
        <v>2</v>
      </c>
      <c r="H833" s="8">
        <v>4777</v>
      </c>
      <c r="I833" s="5" t="s">
        <v>49</v>
      </c>
      <c r="J833" s="8">
        <v>3</v>
      </c>
      <c r="K833" s="8">
        <v>2</v>
      </c>
      <c r="L833" s="8">
        <v>1</v>
      </c>
    </row>
    <row r="834" spans="1:12" x14ac:dyDescent="0.8">
      <c r="A834" s="5" t="s">
        <v>905</v>
      </c>
      <c r="B834" s="8">
        <v>37</v>
      </c>
      <c r="C834" s="5" t="s">
        <v>49</v>
      </c>
      <c r="D834" s="5" t="s">
        <v>42</v>
      </c>
      <c r="E834" s="5" t="s">
        <v>53</v>
      </c>
      <c r="F834" s="5" t="s">
        <v>161</v>
      </c>
      <c r="G834" s="8">
        <v>2</v>
      </c>
      <c r="H834" s="8">
        <v>4107</v>
      </c>
      <c r="I834" s="5" t="s">
        <v>49</v>
      </c>
      <c r="J834" s="8">
        <v>3</v>
      </c>
      <c r="K834" s="8">
        <v>3</v>
      </c>
      <c r="L834" s="8">
        <v>4</v>
      </c>
    </row>
    <row r="835" spans="1:12" x14ac:dyDescent="0.8">
      <c r="A835" s="5" t="s">
        <v>906</v>
      </c>
      <c r="B835" s="8">
        <v>37</v>
      </c>
      <c r="C835" s="5" t="s">
        <v>49</v>
      </c>
      <c r="D835" s="5" t="s">
        <v>51</v>
      </c>
      <c r="E835" s="5" t="s">
        <v>53</v>
      </c>
      <c r="F835" s="5" t="s">
        <v>137</v>
      </c>
      <c r="G835" s="8">
        <v>4</v>
      </c>
      <c r="H835" s="8">
        <v>6694</v>
      </c>
      <c r="I835" s="5" t="s">
        <v>40</v>
      </c>
      <c r="J835" s="8">
        <v>3</v>
      </c>
      <c r="K835" s="8">
        <v>5</v>
      </c>
      <c r="L835" s="8">
        <v>1</v>
      </c>
    </row>
    <row r="836" spans="1:12" x14ac:dyDescent="0.8">
      <c r="A836" s="5" t="s">
        <v>907</v>
      </c>
      <c r="B836" s="8">
        <v>37</v>
      </c>
      <c r="C836" s="5" t="s">
        <v>49</v>
      </c>
      <c r="D836" s="5" t="s">
        <v>42</v>
      </c>
      <c r="E836" s="5" t="s">
        <v>53</v>
      </c>
      <c r="F836" s="5" t="s">
        <v>161</v>
      </c>
      <c r="G836" s="8">
        <v>4</v>
      </c>
      <c r="H836" s="8">
        <v>5731</v>
      </c>
      <c r="I836" s="5" t="s">
        <v>49</v>
      </c>
      <c r="J836" s="8">
        <v>3</v>
      </c>
      <c r="K836" s="8">
        <v>2</v>
      </c>
      <c r="L836" s="8">
        <v>6</v>
      </c>
    </row>
    <row r="837" spans="1:12" x14ac:dyDescent="0.8">
      <c r="A837" s="5" t="s">
        <v>908</v>
      </c>
      <c r="B837" s="8">
        <v>37</v>
      </c>
      <c r="C837" s="5" t="s">
        <v>49</v>
      </c>
      <c r="D837" s="5" t="s">
        <v>42</v>
      </c>
      <c r="E837" s="5" t="s">
        <v>53</v>
      </c>
      <c r="F837" s="5" t="s">
        <v>112</v>
      </c>
      <c r="G837" s="8">
        <v>4</v>
      </c>
      <c r="H837" s="8">
        <v>6474</v>
      </c>
      <c r="I837" s="5" t="s">
        <v>49</v>
      </c>
      <c r="J837" s="8">
        <v>3</v>
      </c>
      <c r="K837" s="8">
        <v>2</v>
      </c>
      <c r="L837" s="8">
        <v>14</v>
      </c>
    </row>
    <row r="838" spans="1:12" x14ac:dyDescent="0.8">
      <c r="A838" s="5" t="s">
        <v>909</v>
      </c>
      <c r="B838" s="8">
        <v>37</v>
      </c>
      <c r="C838" s="5" t="s">
        <v>49</v>
      </c>
      <c r="D838" s="5" t="s">
        <v>42</v>
      </c>
      <c r="E838" s="5" t="s">
        <v>44</v>
      </c>
      <c r="F838" s="5" t="s">
        <v>60</v>
      </c>
      <c r="G838" s="8">
        <v>3</v>
      </c>
      <c r="H838" s="8">
        <v>2996</v>
      </c>
      <c r="I838" s="5" t="s">
        <v>40</v>
      </c>
      <c r="J838" s="8">
        <v>3</v>
      </c>
      <c r="K838" s="8">
        <v>2</v>
      </c>
      <c r="L838" s="8">
        <v>6</v>
      </c>
    </row>
    <row r="839" spans="1:12" x14ac:dyDescent="0.8">
      <c r="A839" s="5" t="s">
        <v>910</v>
      </c>
      <c r="B839" s="8">
        <v>37</v>
      </c>
      <c r="C839" s="5" t="s">
        <v>49</v>
      </c>
      <c r="D839" s="5" t="s">
        <v>42</v>
      </c>
      <c r="E839" s="5" t="s">
        <v>53</v>
      </c>
      <c r="F839" s="5" t="s">
        <v>45</v>
      </c>
      <c r="G839" s="8">
        <v>3</v>
      </c>
      <c r="H839" s="8">
        <v>3629</v>
      </c>
      <c r="I839" s="5" t="s">
        <v>49</v>
      </c>
      <c r="J839" s="8">
        <v>3</v>
      </c>
      <c r="K839" s="8">
        <v>6</v>
      </c>
      <c r="L839" s="8">
        <v>3</v>
      </c>
    </row>
    <row r="840" spans="1:12" x14ac:dyDescent="0.8">
      <c r="A840" s="5" t="s">
        <v>911</v>
      </c>
      <c r="B840" s="8">
        <v>37</v>
      </c>
      <c r="C840" s="5" t="s">
        <v>49</v>
      </c>
      <c r="D840" s="5" t="s">
        <v>42</v>
      </c>
      <c r="E840" s="5" t="s">
        <v>44</v>
      </c>
      <c r="F840" s="5" t="s">
        <v>45</v>
      </c>
      <c r="G840" s="8">
        <v>3</v>
      </c>
      <c r="H840" s="8">
        <v>3500</v>
      </c>
      <c r="I840" s="5" t="s">
        <v>49</v>
      </c>
      <c r="J840" s="8">
        <v>3</v>
      </c>
      <c r="K840" s="8">
        <v>2</v>
      </c>
      <c r="L840" s="8">
        <v>6</v>
      </c>
    </row>
    <row r="841" spans="1:12" x14ac:dyDescent="0.8">
      <c r="A841" s="5" t="s">
        <v>912</v>
      </c>
      <c r="B841" s="8">
        <v>37</v>
      </c>
      <c r="C841" s="5" t="s">
        <v>49</v>
      </c>
      <c r="D841" s="5" t="s">
        <v>42</v>
      </c>
      <c r="E841" s="5" t="s">
        <v>44</v>
      </c>
      <c r="F841" s="5" t="s">
        <v>60</v>
      </c>
      <c r="G841" s="8">
        <v>4</v>
      </c>
      <c r="H841" s="8">
        <v>4285</v>
      </c>
      <c r="I841" s="5" t="s">
        <v>49</v>
      </c>
      <c r="J841" s="8">
        <v>3</v>
      </c>
      <c r="K841" s="8">
        <v>2</v>
      </c>
      <c r="L841" s="8">
        <v>10</v>
      </c>
    </row>
    <row r="842" spans="1:12" x14ac:dyDescent="0.8">
      <c r="A842" s="5" t="s">
        <v>913</v>
      </c>
      <c r="B842" s="8">
        <v>37</v>
      </c>
      <c r="C842" s="5" t="s">
        <v>49</v>
      </c>
      <c r="D842" s="5" t="s">
        <v>42</v>
      </c>
      <c r="E842" s="5" t="s">
        <v>44</v>
      </c>
      <c r="F842" s="5" t="s">
        <v>112</v>
      </c>
      <c r="G842" s="8">
        <v>3</v>
      </c>
      <c r="H842" s="8">
        <v>5768</v>
      </c>
      <c r="I842" s="5" t="s">
        <v>49</v>
      </c>
      <c r="J842" s="8">
        <v>3</v>
      </c>
      <c r="K842" s="8">
        <v>2</v>
      </c>
      <c r="L842" s="8">
        <v>4</v>
      </c>
    </row>
    <row r="843" spans="1:12" x14ac:dyDescent="0.8">
      <c r="A843" s="5" t="s">
        <v>914</v>
      </c>
      <c r="B843" s="8">
        <v>37</v>
      </c>
      <c r="C843" s="5" t="s">
        <v>49</v>
      </c>
      <c r="D843" s="5" t="s">
        <v>42</v>
      </c>
      <c r="E843" s="5" t="s">
        <v>53</v>
      </c>
      <c r="F843" s="5" t="s">
        <v>60</v>
      </c>
      <c r="G843" s="8">
        <v>2</v>
      </c>
      <c r="H843" s="8">
        <v>3936</v>
      </c>
      <c r="I843" s="5" t="s">
        <v>49</v>
      </c>
      <c r="J843" s="8">
        <v>3</v>
      </c>
      <c r="K843" s="8">
        <v>2</v>
      </c>
      <c r="L843" s="8">
        <v>8</v>
      </c>
    </row>
    <row r="844" spans="1:12" x14ac:dyDescent="0.8">
      <c r="A844" s="5" t="s">
        <v>915</v>
      </c>
      <c r="B844" s="8">
        <v>37</v>
      </c>
      <c r="C844" s="5" t="s">
        <v>49</v>
      </c>
      <c r="D844" s="5" t="s">
        <v>51</v>
      </c>
      <c r="E844" s="5" t="s">
        <v>44</v>
      </c>
      <c r="F844" s="5" t="s">
        <v>137</v>
      </c>
      <c r="G844" s="8">
        <v>4</v>
      </c>
      <c r="H844" s="8">
        <v>9525</v>
      </c>
      <c r="I844" s="5" t="s">
        <v>49</v>
      </c>
      <c r="J844" s="8">
        <v>3</v>
      </c>
      <c r="K844" s="8">
        <v>2</v>
      </c>
      <c r="L844" s="8">
        <v>6</v>
      </c>
    </row>
    <row r="845" spans="1:12" x14ac:dyDescent="0.8">
      <c r="A845" s="5" t="s">
        <v>916</v>
      </c>
      <c r="B845" s="8">
        <v>37</v>
      </c>
      <c r="C845" s="5" t="s">
        <v>49</v>
      </c>
      <c r="D845" s="5" t="s">
        <v>51</v>
      </c>
      <c r="E845" s="5" t="s">
        <v>44</v>
      </c>
      <c r="F845" s="5" t="s">
        <v>137</v>
      </c>
      <c r="G845" s="8">
        <v>2</v>
      </c>
      <c r="H845" s="8">
        <v>4189</v>
      </c>
      <c r="I845" s="5" t="s">
        <v>49</v>
      </c>
      <c r="J845" s="8">
        <v>3</v>
      </c>
      <c r="K845" s="8">
        <v>2</v>
      </c>
      <c r="L845" s="8">
        <v>5</v>
      </c>
    </row>
    <row r="846" spans="1:12" x14ac:dyDescent="0.8">
      <c r="A846" s="5" t="s">
        <v>917</v>
      </c>
      <c r="B846" s="8">
        <v>37</v>
      </c>
      <c r="C846" s="5" t="s">
        <v>49</v>
      </c>
      <c r="D846" s="5" t="s">
        <v>71</v>
      </c>
      <c r="E846" s="5" t="s">
        <v>44</v>
      </c>
      <c r="F846" s="5" t="s">
        <v>71</v>
      </c>
      <c r="G846" s="8">
        <v>2</v>
      </c>
      <c r="H846" s="8">
        <v>4071</v>
      </c>
      <c r="I846" s="5" t="s">
        <v>49</v>
      </c>
      <c r="J846" s="8">
        <v>3</v>
      </c>
      <c r="K846" s="8">
        <v>4</v>
      </c>
      <c r="L846" s="8">
        <v>10</v>
      </c>
    </row>
    <row r="847" spans="1:12" x14ac:dyDescent="0.8">
      <c r="A847" s="5" t="s">
        <v>918</v>
      </c>
      <c r="B847" s="8">
        <v>37</v>
      </c>
      <c r="C847" s="5" t="s">
        <v>40</v>
      </c>
      <c r="D847" s="5" t="s">
        <v>42</v>
      </c>
      <c r="E847" s="5" t="s">
        <v>44</v>
      </c>
      <c r="F847" s="5" t="s">
        <v>112</v>
      </c>
      <c r="G847" s="8">
        <v>1</v>
      </c>
      <c r="H847" s="8">
        <v>4213</v>
      </c>
      <c r="I847" s="5" t="s">
        <v>49</v>
      </c>
      <c r="J847" s="8">
        <v>3</v>
      </c>
      <c r="K847" s="8">
        <v>4</v>
      </c>
      <c r="L847" s="8">
        <v>10</v>
      </c>
    </row>
    <row r="848" spans="1:12" x14ac:dyDescent="0.8">
      <c r="A848" s="5" t="s">
        <v>919</v>
      </c>
      <c r="B848" s="8">
        <v>37</v>
      </c>
      <c r="C848" s="5" t="s">
        <v>49</v>
      </c>
      <c r="D848" s="5" t="s">
        <v>42</v>
      </c>
      <c r="E848" s="5" t="s">
        <v>44</v>
      </c>
      <c r="F848" s="5" t="s">
        <v>60</v>
      </c>
      <c r="G848" s="8">
        <v>1</v>
      </c>
      <c r="H848" s="8">
        <v>4284</v>
      </c>
      <c r="I848" s="5" t="s">
        <v>40</v>
      </c>
      <c r="J848" s="8">
        <v>4</v>
      </c>
      <c r="K848" s="8">
        <v>2</v>
      </c>
      <c r="L848" s="8">
        <v>5</v>
      </c>
    </row>
    <row r="849" spans="1:12" x14ac:dyDescent="0.8">
      <c r="A849" s="5" t="s">
        <v>920</v>
      </c>
      <c r="B849" s="8">
        <v>37</v>
      </c>
      <c r="C849" s="5" t="s">
        <v>49</v>
      </c>
      <c r="D849" s="5" t="s">
        <v>42</v>
      </c>
      <c r="E849" s="5" t="s">
        <v>53</v>
      </c>
      <c r="F849" s="5" t="s">
        <v>252</v>
      </c>
      <c r="G849" s="8">
        <v>4</v>
      </c>
      <c r="H849" s="8">
        <v>13744</v>
      </c>
      <c r="I849" s="5" t="s">
        <v>40</v>
      </c>
      <c r="J849" s="8">
        <v>4</v>
      </c>
      <c r="K849" s="8">
        <v>2</v>
      </c>
      <c r="L849" s="8">
        <v>16</v>
      </c>
    </row>
    <row r="850" spans="1:12" x14ac:dyDescent="0.8">
      <c r="A850" s="5" t="s">
        <v>921</v>
      </c>
      <c r="B850" s="8">
        <v>38</v>
      </c>
      <c r="C850" s="5" t="s">
        <v>49</v>
      </c>
      <c r="D850" s="5" t="s">
        <v>42</v>
      </c>
      <c r="E850" s="5" t="s">
        <v>44</v>
      </c>
      <c r="F850" s="5" t="s">
        <v>112</v>
      </c>
      <c r="G850" s="8">
        <v>3</v>
      </c>
      <c r="H850" s="8">
        <v>9526</v>
      </c>
      <c r="I850" s="5" t="s">
        <v>49</v>
      </c>
      <c r="J850" s="8">
        <v>4</v>
      </c>
      <c r="K850" s="8">
        <v>2</v>
      </c>
      <c r="L850" s="8">
        <v>9</v>
      </c>
    </row>
    <row r="851" spans="1:12" x14ac:dyDescent="0.8">
      <c r="A851" s="5" t="s">
        <v>922</v>
      </c>
      <c r="B851" s="8">
        <v>38</v>
      </c>
      <c r="C851" s="5" t="s">
        <v>49</v>
      </c>
      <c r="D851" s="5" t="s">
        <v>42</v>
      </c>
      <c r="E851" s="5" t="s">
        <v>44</v>
      </c>
      <c r="F851" s="5" t="s">
        <v>60</v>
      </c>
      <c r="G851" s="8">
        <v>4</v>
      </c>
      <c r="H851" s="8">
        <v>3944</v>
      </c>
      <c r="I851" s="5" t="s">
        <v>40</v>
      </c>
      <c r="J851" s="8">
        <v>3</v>
      </c>
      <c r="K851" s="8">
        <v>3</v>
      </c>
      <c r="L851" s="8">
        <v>3</v>
      </c>
    </row>
    <row r="852" spans="1:12" x14ac:dyDescent="0.8">
      <c r="A852" s="5" t="s">
        <v>923</v>
      </c>
      <c r="B852" s="8">
        <v>38</v>
      </c>
      <c r="C852" s="5" t="s">
        <v>49</v>
      </c>
      <c r="D852" s="5" t="s">
        <v>42</v>
      </c>
      <c r="E852" s="5" t="s">
        <v>53</v>
      </c>
      <c r="F852" s="5" t="s">
        <v>45</v>
      </c>
      <c r="G852" s="8">
        <v>4</v>
      </c>
      <c r="H852" s="8">
        <v>2406</v>
      </c>
      <c r="I852" s="5" t="s">
        <v>49</v>
      </c>
      <c r="J852" s="8">
        <v>3</v>
      </c>
      <c r="K852" s="8">
        <v>2</v>
      </c>
      <c r="L852" s="8">
        <v>10</v>
      </c>
    </row>
    <row r="853" spans="1:12" x14ac:dyDescent="0.8">
      <c r="A853" s="5" t="s">
        <v>924</v>
      </c>
      <c r="B853" s="8">
        <v>38</v>
      </c>
      <c r="C853" s="5" t="s">
        <v>49</v>
      </c>
      <c r="D853" s="5" t="s">
        <v>42</v>
      </c>
      <c r="E853" s="5" t="s">
        <v>53</v>
      </c>
      <c r="F853" s="5" t="s">
        <v>60</v>
      </c>
      <c r="G853" s="8">
        <v>4</v>
      </c>
      <c r="H853" s="8">
        <v>5329</v>
      </c>
      <c r="I853" s="5" t="s">
        <v>40</v>
      </c>
      <c r="J853" s="8">
        <v>3</v>
      </c>
      <c r="K853" s="8">
        <v>3</v>
      </c>
      <c r="L853" s="8">
        <v>13</v>
      </c>
    </row>
    <row r="854" spans="1:12" x14ac:dyDescent="0.8">
      <c r="A854" s="5" t="s">
        <v>925</v>
      </c>
      <c r="B854" s="8">
        <v>38</v>
      </c>
      <c r="C854" s="5" t="s">
        <v>49</v>
      </c>
      <c r="D854" s="5" t="s">
        <v>42</v>
      </c>
      <c r="E854" s="5" t="s">
        <v>53</v>
      </c>
      <c r="F854" s="5" t="s">
        <v>60</v>
      </c>
      <c r="G854" s="8">
        <v>3</v>
      </c>
      <c r="H854" s="8">
        <v>4317</v>
      </c>
      <c r="I854" s="5" t="s">
        <v>40</v>
      </c>
      <c r="J854" s="8">
        <v>4</v>
      </c>
      <c r="K854" s="8">
        <v>2</v>
      </c>
      <c r="L854" s="8">
        <v>3</v>
      </c>
    </row>
    <row r="855" spans="1:12" x14ac:dyDescent="0.8">
      <c r="A855" s="5" t="s">
        <v>926</v>
      </c>
      <c r="B855" s="8">
        <v>38</v>
      </c>
      <c r="C855" s="5" t="s">
        <v>49</v>
      </c>
      <c r="D855" s="5" t="s">
        <v>51</v>
      </c>
      <c r="E855" s="5" t="s">
        <v>53</v>
      </c>
      <c r="F855" s="5" t="s">
        <v>137</v>
      </c>
      <c r="G855" s="8">
        <v>4</v>
      </c>
      <c r="H855" s="8">
        <v>8686</v>
      </c>
      <c r="I855" s="5" t="s">
        <v>49</v>
      </c>
      <c r="J855" s="8">
        <v>4</v>
      </c>
      <c r="K855" s="8">
        <v>2</v>
      </c>
      <c r="L855" s="8">
        <v>8</v>
      </c>
    </row>
    <row r="856" spans="1:12" x14ac:dyDescent="0.8">
      <c r="A856" s="5" t="s">
        <v>927</v>
      </c>
      <c r="B856" s="8">
        <v>38</v>
      </c>
      <c r="C856" s="5" t="s">
        <v>49</v>
      </c>
      <c r="D856" s="5" t="s">
        <v>42</v>
      </c>
      <c r="E856" s="5" t="s">
        <v>53</v>
      </c>
      <c r="F856" s="5" t="s">
        <v>45</v>
      </c>
      <c r="G856" s="8">
        <v>4</v>
      </c>
      <c r="H856" s="8">
        <v>2288</v>
      </c>
      <c r="I856" s="5" t="s">
        <v>49</v>
      </c>
      <c r="J856" s="8">
        <v>3</v>
      </c>
      <c r="K856" s="8">
        <v>3</v>
      </c>
      <c r="L856" s="8">
        <v>2</v>
      </c>
    </row>
    <row r="857" spans="1:12" x14ac:dyDescent="0.8">
      <c r="A857" s="5" t="s">
        <v>928</v>
      </c>
      <c r="B857" s="8">
        <v>38</v>
      </c>
      <c r="C857" s="5" t="s">
        <v>49</v>
      </c>
      <c r="D857" s="5" t="s">
        <v>42</v>
      </c>
      <c r="E857" s="5" t="s">
        <v>44</v>
      </c>
      <c r="F857" s="5" t="s">
        <v>112</v>
      </c>
      <c r="G857" s="8">
        <v>3</v>
      </c>
      <c r="H857" s="8">
        <v>6553</v>
      </c>
      <c r="I857" s="5" t="s">
        <v>49</v>
      </c>
      <c r="J857" s="8">
        <v>3</v>
      </c>
      <c r="K857" s="8">
        <v>3</v>
      </c>
      <c r="L857" s="8">
        <v>1</v>
      </c>
    </row>
    <row r="858" spans="1:12" x14ac:dyDescent="0.8">
      <c r="A858" s="5" t="s">
        <v>929</v>
      </c>
      <c r="B858" s="8">
        <v>38</v>
      </c>
      <c r="C858" s="5" t="s">
        <v>49</v>
      </c>
      <c r="D858" s="5" t="s">
        <v>42</v>
      </c>
      <c r="E858" s="5" t="s">
        <v>44</v>
      </c>
      <c r="F858" s="5" t="s">
        <v>112</v>
      </c>
      <c r="G858" s="8">
        <v>4</v>
      </c>
      <c r="H858" s="8">
        <v>6261</v>
      </c>
      <c r="I858" s="5" t="s">
        <v>49</v>
      </c>
      <c r="J858" s="8">
        <v>3</v>
      </c>
      <c r="K858" s="8">
        <v>3</v>
      </c>
      <c r="L858" s="8">
        <v>7</v>
      </c>
    </row>
    <row r="859" spans="1:12" x14ac:dyDescent="0.8">
      <c r="A859" s="5" t="s">
        <v>930</v>
      </c>
      <c r="B859" s="8">
        <v>38</v>
      </c>
      <c r="C859" s="5" t="s">
        <v>40</v>
      </c>
      <c r="D859" s="5" t="s">
        <v>42</v>
      </c>
      <c r="E859" s="5" t="s">
        <v>44</v>
      </c>
      <c r="F859" s="5" t="s">
        <v>161</v>
      </c>
      <c r="G859" s="8">
        <v>1</v>
      </c>
      <c r="H859" s="8">
        <v>6673</v>
      </c>
      <c r="I859" s="5" t="s">
        <v>40</v>
      </c>
      <c r="J859" s="8">
        <v>3</v>
      </c>
      <c r="K859" s="8">
        <v>2</v>
      </c>
      <c r="L859" s="8">
        <v>1</v>
      </c>
    </row>
    <row r="860" spans="1:12" x14ac:dyDescent="0.8">
      <c r="A860" s="5" t="s">
        <v>931</v>
      </c>
      <c r="B860" s="8">
        <v>38</v>
      </c>
      <c r="C860" s="5" t="s">
        <v>49</v>
      </c>
      <c r="D860" s="5" t="s">
        <v>51</v>
      </c>
      <c r="E860" s="5" t="s">
        <v>44</v>
      </c>
      <c r="F860" s="5" t="s">
        <v>137</v>
      </c>
      <c r="G860" s="8">
        <v>3</v>
      </c>
      <c r="H860" s="8">
        <v>10609</v>
      </c>
      <c r="I860" s="5" t="s">
        <v>49</v>
      </c>
      <c r="J860" s="8">
        <v>3</v>
      </c>
      <c r="K860" s="8">
        <v>6</v>
      </c>
      <c r="L860" s="8">
        <v>16</v>
      </c>
    </row>
    <row r="861" spans="1:12" x14ac:dyDescent="0.8">
      <c r="A861" s="5" t="s">
        <v>932</v>
      </c>
      <c r="B861" s="8">
        <v>38</v>
      </c>
      <c r="C861" s="5" t="s">
        <v>49</v>
      </c>
      <c r="D861" s="5" t="s">
        <v>51</v>
      </c>
      <c r="E861" s="5" t="s">
        <v>44</v>
      </c>
      <c r="F861" s="5" t="s">
        <v>137</v>
      </c>
      <c r="G861" s="8">
        <v>4</v>
      </c>
      <c r="H861" s="8">
        <v>5249</v>
      </c>
      <c r="I861" s="5" t="s">
        <v>49</v>
      </c>
      <c r="J861" s="8">
        <v>3</v>
      </c>
      <c r="K861" s="8">
        <v>0</v>
      </c>
      <c r="L861" s="8">
        <v>8</v>
      </c>
    </row>
    <row r="862" spans="1:12" x14ac:dyDescent="0.8">
      <c r="A862" s="5" t="s">
        <v>933</v>
      </c>
      <c r="B862" s="8">
        <v>38</v>
      </c>
      <c r="C862" s="5" t="s">
        <v>49</v>
      </c>
      <c r="D862" s="5" t="s">
        <v>51</v>
      </c>
      <c r="E862" s="5" t="s">
        <v>53</v>
      </c>
      <c r="F862" s="5" t="s">
        <v>137</v>
      </c>
      <c r="G862" s="8">
        <v>1</v>
      </c>
      <c r="H862" s="8">
        <v>5605</v>
      </c>
      <c r="I862" s="5" t="s">
        <v>40</v>
      </c>
      <c r="J862" s="8">
        <v>4</v>
      </c>
      <c r="K862" s="8">
        <v>3</v>
      </c>
      <c r="L862" s="8">
        <v>8</v>
      </c>
    </row>
    <row r="863" spans="1:12" x14ac:dyDescent="0.8">
      <c r="A863" s="5" t="s">
        <v>934</v>
      </c>
      <c r="B863" s="8">
        <v>38</v>
      </c>
      <c r="C863" s="5" t="s">
        <v>49</v>
      </c>
      <c r="D863" s="5" t="s">
        <v>42</v>
      </c>
      <c r="E863" s="5" t="s">
        <v>44</v>
      </c>
      <c r="F863" s="5" t="s">
        <v>161</v>
      </c>
      <c r="G863" s="8">
        <v>4</v>
      </c>
      <c r="H863" s="8">
        <v>5745</v>
      </c>
      <c r="I863" s="5" t="s">
        <v>49</v>
      </c>
      <c r="J863" s="8">
        <v>3</v>
      </c>
      <c r="K863" s="8">
        <v>2</v>
      </c>
      <c r="L863" s="8">
        <v>2</v>
      </c>
    </row>
    <row r="864" spans="1:12" x14ac:dyDescent="0.8">
      <c r="A864" s="5" t="s">
        <v>935</v>
      </c>
      <c r="B864" s="8">
        <v>38</v>
      </c>
      <c r="C864" s="5" t="s">
        <v>49</v>
      </c>
      <c r="D864" s="5" t="s">
        <v>42</v>
      </c>
      <c r="E864" s="5" t="s">
        <v>53</v>
      </c>
      <c r="F864" s="5" t="s">
        <v>252</v>
      </c>
      <c r="G864" s="8">
        <v>2</v>
      </c>
      <c r="H864" s="8">
        <v>12061</v>
      </c>
      <c r="I864" s="5" t="s">
        <v>49</v>
      </c>
      <c r="J864" s="8">
        <v>3</v>
      </c>
      <c r="K864" s="8">
        <v>2</v>
      </c>
      <c r="L864" s="8">
        <v>10</v>
      </c>
    </row>
    <row r="865" spans="1:12" x14ac:dyDescent="0.8">
      <c r="A865" s="5" t="s">
        <v>936</v>
      </c>
      <c r="B865" s="8">
        <v>38</v>
      </c>
      <c r="C865" s="5" t="s">
        <v>49</v>
      </c>
      <c r="D865" s="5" t="s">
        <v>42</v>
      </c>
      <c r="E865" s="5" t="s">
        <v>44</v>
      </c>
      <c r="F865" s="5" t="s">
        <v>252</v>
      </c>
      <c r="G865" s="8">
        <v>4</v>
      </c>
      <c r="H865" s="8">
        <v>11510</v>
      </c>
      <c r="I865" s="5" t="s">
        <v>40</v>
      </c>
      <c r="J865" s="8">
        <v>3</v>
      </c>
      <c r="K865" s="8">
        <v>3</v>
      </c>
      <c r="L865" s="8">
        <v>11</v>
      </c>
    </row>
    <row r="866" spans="1:12" x14ac:dyDescent="0.8">
      <c r="A866" s="5" t="s">
        <v>937</v>
      </c>
      <c r="B866" s="8">
        <v>38</v>
      </c>
      <c r="C866" s="5" t="s">
        <v>49</v>
      </c>
      <c r="D866" s="5" t="s">
        <v>42</v>
      </c>
      <c r="E866" s="5" t="s">
        <v>44</v>
      </c>
      <c r="F866" s="5" t="s">
        <v>45</v>
      </c>
      <c r="G866" s="8">
        <v>4</v>
      </c>
      <c r="H866" s="8">
        <v>1702</v>
      </c>
      <c r="I866" s="5" t="s">
        <v>40</v>
      </c>
      <c r="J866" s="8">
        <v>4</v>
      </c>
      <c r="K866" s="8">
        <v>3</v>
      </c>
      <c r="L866" s="8">
        <v>1</v>
      </c>
    </row>
    <row r="867" spans="1:12" x14ac:dyDescent="0.8">
      <c r="A867" s="5" t="s">
        <v>938</v>
      </c>
      <c r="B867" s="8">
        <v>38</v>
      </c>
      <c r="C867" s="5" t="s">
        <v>49</v>
      </c>
      <c r="D867" s="5" t="s">
        <v>42</v>
      </c>
      <c r="E867" s="5" t="s">
        <v>53</v>
      </c>
      <c r="F867" s="5" t="s">
        <v>161</v>
      </c>
      <c r="G867" s="8">
        <v>3</v>
      </c>
      <c r="H867" s="8">
        <v>9824</v>
      </c>
      <c r="I867" s="5" t="s">
        <v>49</v>
      </c>
      <c r="J867" s="8">
        <v>3</v>
      </c>
      <c r="K867" s="8">
        <v>4</v>
      </c>
      <c r="L867" s="8">
        <v>1</v>
      </c>
    </row>
    <row r="868" spans="1:12" x14ac:dyDescent="0.8">
      <c r="A868" s="5" t="s">
        <v>939</v>
      </c>
      <c r="B868" s="8">
        <v>38</v>
      </c>
      <c r="C868" s="5" t="s">
        <v>49</v>
      </c>
      <c r="D868" s="5" t="s">
        <v>42</v>
      </c>
      <c r="E868" s="5" t="s">
        <v>53</v>
      </c>
      <c r="F868" s="5" t="s">
        <v>60</v>
      </c>
      <c r="G868" s="8">
        <v>1</v>
      </c>
      <c r="H868" s="8">
        <v>2619</v>
      </c>
      <c r="I868" s="5" t="s">
        <v>49</v>
      </c>
      <c r="J868" s="8">
        <v>3</v>
      </c>
      <c r="K868" s="8">
        <v>3</v>
      </c>
      <c r="L868" s="8">
        <v>0</v>
      </c>
    </row>
    <row r="869" spans="1:12" x14ac:dyDescent="0.8">
      <c r="A869" s="5" t="s">
        <v>940</v>
      </c>
      <c r="B869" s="8">
        <v>38</v>
      </c>
      <c r="C869" s="5" t="s">
        <v>49</v>
      </c>
      <c r="D869" s="5" t="s">
        <v>51</v>
      </c>
      <c r="E869" s="5" t="s">
        <v>53</v>
      </c>
      <c r="F869" s="5" t="s">
        <v>137</v>
      </c>
      <c r="G869" s="8">
        <v>4</v>
      </c>
      <c r="H869" s="8">
        <v>4028</v>
      </c>
      <c r="I869" s="5" t="s">
        <v>49</v>
      </c>
      <c r="J869" s="8">
        <v>4</v>
      </c>
      <c r="K869" s="8">
        <v>2</v>
      </c>
      <c r="L869" s="8">
        <v>7</v>
      </c>
    </row>
    <row r="870" spans="1:12" x14ac:dyDescent="0.8">
      <c r="A870" s="5" t="s">
        <v>941</v>
      </c>
      <c r="B870" s="8">
        <v>38</v>
      </c>
      <c r="C870" s="5" t="s">
        <v>49</v>
      </c>
      <c r="D870" s="5" t="s">
        <v>42</v>
      </c>
      <c r="E870" s="5" t="s">
        <v>53</v>
      </c>
      <c r="F870" s="5" t="s">
        <v>161</v>
      </c>
      <c r="G870" s="8">
        <v>4</v>
      </c>
      <c r="H870" s="8">
        <v>7625</v>
      </c>
      <c r="I870" s="5" t="s">
        <v>49</v>
      </c>
      <c r="J870" s="8">
        <v>3</v>
      </c>
      <c r="K870" s="8">
        <v>4</v>
      </c>
      <c r="L870" s="8">
        <v>9</v>
      </c>
    </row>
    <row r="871" spans="1:12" x14ac:dyDescent="0.8">
      <c r="A871" s="5" t="s">
        <v>942</v>
      </c>
      <c r="B871" s="8">
        <v>38</v>
      </c>
      <c r="C871" s="5" t="s">
        <v>49</v>
      </c>
      <c r="D871" s="5" t="s">
        <v>42</v>
      </c>
      <c r="E871" s="5" t="s">
        <v>53</v>
      </c>
      <c r="F871" s="5" t="s">
        <v>112</v>
      </c>
      <c r="G871" s="8">
        <v>3</v>
      </c>
      <c r="H871" s="8">
        <v>7861</v>
      </c>
      <c r="I871" s="5" t="s">
        <v>40</v>
      </c>
      <c r="J871" s="8">
        <v>3</v>
      </c>
      <c r="K871" s="8">
        <v>4</v>
      </c>
      <c r="L871" s="8">
        <v>1</v>
      </c>
    </row>
    <row r="872" spans="1:12" x14ac:dyDescent="0.8">
      <c r="A872" s="5" t="s">
        <v>943</v>
      </c>
      <c r="B872" s="8">
        <v>38</v>
      </c>
      <c r="C872" s="5" t="s">
        <v>49</v>
      </c>
      <c r="D872" s="5" t="s">
        <v>42</v>
      </c>
      <c r="E872" s="5" t="s">
        <v>44</v>
      </c>
      <c r="F872" s="5" t="s">
        <v>60</v>
      </c>
      <c r="G872" s="8">
        <v>3</v>
      </c>
      <c r="H872" s="8">
        <v>3057</v>
      </c>
      <c r="I872" s="5" t="s">
        <v>40</v>
      </c>
      <c r="J872" s="8">
        <v>3</v>
      </c>
      <c r="K872" s="8">
        <v>0</v>
      </c>
      <c r="L872" s="8">
        <v>1</v>
      </c>
    </row>
    <row r="873" spans="1:12" x14ac:dyDescent="0.8">
      <c r="A873" s="5" t="s">
        <v>944</v>
      </c>
      <c r="B873" s="8">
        <v>38</v>
      </c>
      <c r="C873" s="5" t="s">
        <v>49</v>
      </c>
      <c r="D873" s="5" t="s">
        <v>42</v>
      </c>
      <c r="E873" s="5" t="s">
        <v>53</v>
      </c>
      <c r="F873" s="5" t="s">
        <v>112</v>
      </c>
      <c r="G873" s="8">
        <v>1</v>
      </c>
      <c r="H873" s="8">
        <v>5980</v>
      </c>
      <c r="I873" s="5" t="s">
        <v>40</v>
      </c>
      <c r="J873" s="8">
        <v>3</v>
      </c>
      <c r="K873" s="8">
        <v>2</v>
      </c>
      <c r="L873" s="8">
        <v>15</v>
      </c>
    </row>
    <row r="874" spans="1:12" x14ac:dyDescent="0.8">
      <c r="A874" s="5" t="s">
        <v>945</v>
      </c>
      <c r="B874" s="8">
        <v>38</v>
      </c>
      <c r="C874" s="5" t="s">
        <v>49</v>
      </c>
      <c r="D874" s="5" t="s">
        <v>42</v>
      </c>
      <c r="E874" s="5" t="s">
        <v>44</v>
      </c>
      <c r="F874" s="5" t="s">
        <v>161</v>
      </c>
      <c r="G874" s="8">
        <v>1</v>
      </c>
      <c r="H874" s="8">
        <v>6288</v>
      </c>
      <c r="I874" s="5" t="s">
        <v>49</v>
      </c>
      <c r="J874" s="8">
        <v>3</v>
      </c>
      <c r="K874" s="8">
        <v>3</v>
      </c>
      <c r="L874" s="8">
        <v>4</v>
      </c>
    </row>
    <row r="875" spans="1:12" x14ac:dyDescent="0.8">
      <c r="A875" s="5" t="s">
        <v>946</v>
      </c>
      <c r="B875" s="8">
        <v>38</v>
      </c>
      <c r="C875" s="5" t="s">
        <v>49</v>
      </c>
      <c r="D875" s="5" t="s">
        <v>51</v>
      </c>
      <c r="E875" s="5" t="s">
        <v>44</v>
      </c>
      <c r="F875" s="5" t="s">
        <v>54</v>
      </c>
      <c r="G875" s="8">
        <v>2</v>
      </c>
      <c r="H875" s="8">
        <v>2899</v>
      </c>
      <c r="I875" s="5" t="s">
        <v>49</v>
      </c>
      <c r="J875" s="8">
        <v>3</v>
      </c>
      <c r="K875" s="8">
        <v>3</v>
      </c>
      <c r="L875" s="8">
        <v>2</v>
      </c>
    </row>
    <row r="876" spans="1:12" x14ac:dyDescent="0.8">
      <c r="A876" s="5" t="s">
        <v>947</v>
      </c>
      <c r="B876" s="8">
        <v>38</v>
      </c>
      <c r="C876" s="5" t="s">
        <v>49</v>
      </c>
      <c r="D876" s="5" t="s">
        <v>42</v>
      </c>
      <c r="E876" s="5" t="s">
        <v>53</v>
      </c>
      <c r="F876" s="5" t="s">
        <v>252</v>
      </c>
      <c r="G876" s="8">
        <v>1</v>
      </c>
      <c r="H876" s="8">
        <v>13582</v>
      </c>
      <c r="I876" s="5" t="s">
        <v>49</v>
      </c>
      <c r="J876" s="8">
        <v>3</v>
      </c>
      <c r="K876" s="8">
        <v>3</v>
      </c>
      <c r="L876" s="8">
        <v>15</v>
      </c>
    </row>
    <row r="877" spans="1:12" x14ac:dyDescent="0.8">
      <c r="A877" s="5" t="s">
        <v>948</v>
      </c>
      <c r="B877" s="8">
        <v>38</v>
      </c>
      <c r="C877" s="5" t="s">
        <v>49</v>
      </c>
      <c r="D877" s="5" t="s">
        <v>51</v>
      </c>
      <c r="E877" s="5" t="s">
        <v>53</v>
      </c>
      <c r="F877" s="5" t="s">
        <v>137</v>
      </c>
      <c r="G877" s="8">
        <v>4</v>
      </c>
      <c r="H877" s="8">
        <v>5666</v>
      </c>
      <c r="I877" s="5" t="s">
        <v>40</v>
      </c>
      <c r="J877" s="8">
        <v>3</v>
      </c>
      <c r="K877" s="8">
        <v>1</v>
      </c>
      <c r="L877" s="8">
        <v>5</v>
      </c>
    </row>
    <row r="878" spans="1:12" x14ac:dyDescent="0.8">
      <c r="A878" s="5" t="s">
        <v>949</v>
      </c>
      <c r="B878" s="8">
        <v>38</v>
      </c>
      <c r="C878" s="5" t="s">
        <v>49</v>
      </c>
      <c r="D878" s="5" t="s">
        <v>42</v>
      </c>
      <c r="E878" s="5" t="s">
        <v>44</v>
      </c>
      <c r="F878" s="5" t="s">
        <v>60</v>
      </c>
      <c r="G878" s="8">
        <v>3</v>
      </c>
      <c r="H878" s="8">
        <v>2684</v>
      </c>
      <c r="I878" s="5" t="s">
        <v>49</v>
      </c>
      <c r="J878" s="8">
        <v>3</v>
      </c>
      <c r="K878" s="8">
        <v>0</v>
      </c>
      <c r="L878" s="8">
        <v>2</v>
      </c>
    </row>
    <row r="879" spans="1:12" x14ac:dyDescent="0.8">
      <c r="A879" s="5" t="s">
        <v>950</v>
      </c>
      <c r="B879" s="8">
        <v>38</v>
      </c>
      <c r="C879" s="5" t="s">
        <v>49</v>
      </c>
      <c r="D879" s="5" t="s">
        <v>51</v>
      </c>
      <c r="E879" s="5" t="s">
        <v>44</v>
      </c>
      <c r="F879" s="5" t="s">
        <v>137</v>
      </c>
      <c r="G879" s="8">
        <v>4</v>
      </c>
      <c r="H879" s="8">
        <v>6861</v>
      </c>
      <c r="I879" s="5" t="s">
        <v>40</v>
      </c>
      <c r="J879" s="8">
        <v>3</v>
      </c>
      <c r="K879" s="8">
        <v>1</v>
      </c>
      <c r="L879" s="8">
        <v>1</v>
      </c>
    </row>
    <row r="880" spans="1:12" x14ac:dyDescent="0.8">
      <c r="A880" s="5" t="s">
        <v>951</v>
      </c>
      <c r="B880" s="8">
        <v>38</v>
      </c>
      <c r="C880" s="5" t="s">
        <v>49</v>
      </c>
      <c r="D880" s="5" t="s">
        <v>42</v>
      </c>
      <c r="E880" s="5" t="s">
        <v>44</v>
      </c>
      <c r="F880" s="5" t="s">
        <v>60</v>
      </c>
      <c r="G880" s="8">
        <v>3</v>
      </c>
      <c r="H880" s="8">
        <v>2821</v>
      </c>
      <c r="I880" s="5" t="s">
        <v>49</v>
      </c>
      <c r="J880" s="8">
        <v>3</v>
      </c>
      <c r="K880" s="8">
        <v>2</v>
      </c>
      <c r="L880" s="8">
        <v>2</v>
      </c>
    </row>
    <row r="881" spans="1:12" x14ac:dyDescent="0.8">
      <c r="A881" s="5" t="s">
        <v>952</v>
      </c>
      <c r="B881" s="8">
        <v>38</v>
      </c>
      <c r="C881" s="5" t="s">
        <v>49</v>
      </c>
      <c r="D881" s="5" t="s">
        <v>42</v>
      </c>
      <c r="E881" s="5" t="s">
        <v>53</v>
      </c>
      <c r="F881" s="5" t="s">
        <v>161</v>
      </c>
      <c r="G881" s="8">
        <v>3</v>
      </c>
      <c r="H881" s="8">
        <v>8823</v>
      </c>
      <c r="I881" s="5" t="s">
        <v>49</v>
      </c>
      <c r="J881" s="8">
        <v>3</v>
      </c>
      <c r="K881" s="8">
        <v>4</v>
      </c>
      <c r="L881" s="8">
        <v>19</v>
      </c>
    </row>
    <row r="882" spans="1:12" x14ac:dyDescent="0.8">
      <c r="A882" s="5" t="s">
        <v>953</v>
      </c>
      <c r="B882" s="8">
        <v>38</v>
      </c>
      <c r="C882" s="5" t="s">
        <v>49</v>
      </c>
      <c r="D882" s="5" t="s">
        <v>51</v>
      </c>
      <c r="E882" s="5" t="s">
        <v>44</v>
      </c>
      <c r="F882" s="5" t="s">
        <v>137</v>
      </c>
      <c r="G882" s="8">
        <v>3</v>
      </c>
      <c r="H882" s="8">
        <v>8740</v>
      </c>
      <c r="I882" s="5" t="s">
        <v>40</v>
      </c>
      <c r="J882" s="8">
        <v>3</v>
      </c>
      <c r="K882" s="8">
        <v>2</v>
      </c>
      <c r="L882" s="8">
        <v>8</v>
      </c>
    </row>
    <row r="883" spans="1:12" x14ac:dyDescent="0.8">
      <c r="A883" s="5" t="s">
        <v>954</v>
      </c>
      <c r="B883" s="8">
        <v>38</v>
      </c>
      <c r="C883" s="5" t="s">
        <v>49</v>
      </c>
      <c r="D883" s="5" t="s">
        <v>51</v>
      </c>
      <c r="E883" s="5" t="s">
        <v>44</v>
      </c>
      <c r="F883" s="5" t="s">
        <v>137</v>
      </c>
      <c r="G883" s="8">
        <v>2</v>
      </c>
      <c r="H883" s="8">
        <v>7351</v>
      </c>
      <c r="I883" s="5" t="s">
        <v>49</v>
      </c>
      <c r="J883" s="8">
        <v>3</v>
      </c>
      <c r="K883" s="8">
        <v>2</v>
      </c>
      <c r="L883" s="8">
        <v>1</v>
      </c>
    </row>
    <row r="884" spans="1:12" x14ac:dyDescent="0.8">
      <c r="A884" s="5" t="s">
        <v>955</v>
      </c>
      <c r="B884" s="8">
        <v>38</v>
      </c>
      <c r="C884" s="5" t="s">
        <v>49</v>
      </c>
      <c r="D884" s="5" t="s">
        <v>71</v>
      </c>
      <c r="E884" s="5" t="s">
        <v>44</v>
      </c>
      <c r="F884" s="5" t="s">
        <v>71</v>
      </c>
      <c r="G884" s="8">
        <v>3</v>
      </c>
      <c r="H884" s="8">
        <v>2844</v>
      </c>
      <c r="I884" s="5" t="s">
        <v>49</v>
      </c>
      <c r="J884" s="8">
        <v>3</v>
      </c>
      <c r="K884" s="8">
        <v>2</v>
      </c>
      <c r="L884" s="8">
        <v>7</v>
      </c>
    </row>
    <row r="885" spans="1:12" x14ac:dyDescent="0.8">
      <c r="A885" s="5" t="s">
        <v>956</v>
      </c>
      <c r="B885" s="8">
        <v>38</v>
      </c>
      <c r="C885" s="5" t="s">
        <v>49</v>
      </c>
      <c r="D885" s="5" t="s">
        <v>51</v>
      </c>
      <c r="E885" s="5" t="s">
        <v>53</v>
      </c>
      <c r="F885" s="5" t="s">
        <v>137</v>
      </c>
      <c r="G885" s="8">
        <v>1</v>
      </c>
      <c r="H885" s="8">
        <v>6893</v>
      </c>
      <c r="I885" s="5" t="s">
        <v>49</v>
      </c>
      <c r="J885" s="8">
        <v>3</v>
      </c>
      <c r="K885" s="8">
        <v>3</v>
      </c>
      <c r="L885" s="8">
        <v>7</v>
      </c>
    </row>
    <row r="886" spans="1:12" x14ac:dyDescent="0.8">
      <c r="A886" s="5" t="s">
        <v>957</v>
      </c>
      <c r="B886" s="8">
        <v>38</v>
      </c>
      <c r="C886" s="5" t="s">
        <v>49</v>
      </c>
      <c r="D886" s="5" t="s">
        <v>42</v>
      </c>
      <c r="E886" s="5" t="s">
        <v>44</v>
      </c>
      <c r="F886" s="5" t="s">
        <v>60</v>
      </c>
      <c r="G886" s="8">
        <v>3</v>
      </c>
      <c r="H886" s="8">
        <v>2610</v>
      </c>
      <c r="I886" s="5" t="s">
        <v>49</v>
      </c>
      <c r="J886" s="8">
        <v>3</v>
      </c>
      <c r="K886" s="8">
        <v>2</v>
      </c>
      <c r="L886" s="8">
        <v>4</v>
      </c>
    </row>
    <row r="887" spans="1:12" x14ac:dyDescent="0.8">
      <c r="A887" s="5" t="s">
        <v>958</v>
      </c>
      <c r="B887" s="8">
        <v>38</v>
      </c>
      <c r="C887" s="5" t="s">
        <v>49</v>
      </c>
      <c r="D887" s="5" t="s">
        <v>71</v>
      </c>
      <c r="E887" s="5" t="s">
        <v>44</v>
      </c>
      <c r="F887" s="5" t="s">
        <v>71</v>
      </c>
      <c r="G887" s="8">
        <v>3</v>
      </c>
      <c r="H887" s="8">
        <v>6077</v>
      </c>
      <c r="I887" s="5" t="s">
        <v>49</v>
      </c>
      <c r="J887" s="8">
        <v>3</v>
      </c>
      <c r="K887" s="8">
        <v>2</v>
      </c>
      <c r="L887" s="8">
        <v>6</v>
      </c>
    </row>
    <row r="888" spans="1:12" x14ac:dyDescent="0.8">
      <c r="A888" s="5" t="s">
        <v>959</v>
      </c>
      <c r="B888" s="8">
        <v>38</v>
      </c>
      <c r="C888" s="5" t="s">
        <v>40</v>
      </c>
      <c r="D888" s="5" t="s">
        <v>42</v>
      </c>
      <c r="E888" s="5" t="s">
        <v>44</v>
      </c>
      <c r="F888" s="5" t="s">
        <v>112</v>
      </c>
      <c r="G888" s="8">
        <v>2</v>
      </c>
      <c r="H888" s="8">
        <v>4855</v>
      </c>
      <c r="I888" s="5" t="s">
        <v>49</v>
      </c>
      <c r="J888" s="8">
        <v>3</v>
      </c>
      <c r="K888" s="8">
        <v>2</v>
      </c>
      <c r="L888" s="8">
        <v>5</v>
      </c>
    </row>
    <row r="889" spans="1:12" x14ac:dyDescent="0.8">
      <c r="A889" s="5" t="s">
        <v>960</v>
      </c>
      <c r="B889" s="8">
        <v>38</v>
      </c>
      <c r="C889" s="5" t="s">
        <v>49</v>
      </c>
      <c r="D889" s="5" t="s">
        <v>51</v>
      </c>
      <c r="E889" s="5" t="s">
        <v>44</v>
      </c>
      <c r="F889" s="5" t="s">
        <v>137</v>
      </c>
      <c r="G889" s="8">
        <v>2</v>
      </c>
      <c r="H889" s="8">
        <v>9924</v>
      </c>
      <c r="I889" s="5" t="s">
        <v>49</v>
      </c>
      <c r="J889" s="8">
        <v>3</v>
      </c>
      <c r="K889" s="8">
        <v>3</v>
      </c>
      <c r="L889" s="8">
        <v>9</v>
      </c>
    </row>
    <row r="890" spans="1:12" x14ac:dyDescent="0.8">
      <c r="A890" s="5" t="s">
        <v>961</v>
      </c>
      <c r="B890" s="8">
        <v>38</v>
      </c>
      <c r="C890" s="5" t="s">
        <v>49</v>
      </c>
      <c r="D890" s="5" t="s">
        <v>51</v>
      </c>
      <c r="E890" s="5" t="s">
        <v>53</v>
      </c>
      <c r="F890" s="5" t="s">
        <v>137</v>
      </c>
      <c r="G890" s="8">
        <v>2</v>
      </c>
      <c r="H890" s="8">
        <v>4198</v>
      </c>
      <c r="I890" s="5" t="s">
        <v>49</v>
      </c>
      <c r="J890" s="8">
        <v>3</v>
      </c>
      <c r="K890" s="8">
        <v>5</v>
      </c>
      <c r="L890" s="8">
        <v>3</v>
      </c>
    </row>
    <row r="891" spans="1:12" x14ac:dyDescent="0.8">
      <c r="A891" s="5" t="s">
        <v>962</v>
      </c>
      <c r="B891" s="8">
        <v>38</v>
      </c>
      <c r="C891" s="5" t="s">
        <v>49</v>
      </c>
      <c r="D891" s="5" t="s">
        <v>42</v>
      </c>
      <c r="E891" s="5" t="s">
        <v>53</v>
      </c>
      <c r="F891" s="5" t="s">
        <v>112</v>
      </c>
      <c r="G891" s="8">
        <v>3</v>
      </c>
      <c r="H891" s="8">
        <v>7756</v>
      </c>
      <c r="I891" s="5" t="s">
        <v>40</v>
      </c>
      <c r="J891" s="8">
        <v>3</v>
      </c>
      <c r="K891" s="8">
        <v>6</v>
      </c>
      <c r="L891" s="8">
        <v>5</v>
      </c>
    </row>
    <row r="892" spans="1:12" x14ac:dyDescent="0.8">
      <c r="A892" s="5" t="s">
        <v>963</v>
      </c>
      <c r="B892" s="8">
        <v>38</v>
      </c>
      <c r="C892" s="5" t="s">
        <v>49</v>
      </c>
      <c r="D892" s="5" t="s">
        <v>42</v>
      </c>
      <c r="E892" s="5" t="s">
        <v>44</v>
      </c>
      <c r="F892" s="5" t="s">
        <v>60</v>
      </c>
      <c r="G892" s="8">
        <v>4</v>
      </c>
      <c r="H892" s="8">
        <v>4735</v>
      </c>
      <c r="I892" s="5" t="s">
        <v>49</v>
      </c>
      <c r="J892" s="8">
        <v>3</v>
      </c>
      <c r="K892" s="8">
        <v>4</v>
      </c>
      <c r="L892" s="8">
        <v>13</v>
      </c>
    </row>
    <row r="893" spans="1:12" x14ac:dyDescent="0.8">
      <c r="A893" s="5" t="s">
        <v>964</v>
      </c>
      <c r="B893" s="8">
        <v>38</v>
      </c>
      <c r="C893" s="5" t="s">
        <v>49</v>
      </c>
      <c r="D893" s="5" t="s">
        <v>42</v>
      </c>
      <c r="E893" s="5" t="s">
        <v>53</v>
      </c>
      <c r="F893" s="5" t="s">
        <v>45</v>
      </c>
      <c r="G893" s="8">
        <v>2</v>
      </c>
      <c r="H893" s="8">
        <v>2440</v>
      </c>
      <c r="I893" s="5" t="s">
        <v>49</v>
      </c>
      <c r="J893" s="8">
        <v>4</v>
      </c>
      <c r="K893" s="8">
        <v>3</v>
      </c>
      <c r="L893" s="8">
        <v>4</v>
      </c>
    </row>
    <row r="894" spans="1:12" x14ac:dyDescent="0.8">
      <c r="A894" s="5" t="s">
        <v>965</v>
      </c>
      <c r="B894" s="8">
        <v>38</v>
      </c>
      <c r="C894" s="5" t="s">
        <v>49</v>
      </c>
      <c r="D894" s="5" t="s">
        <v>42</v>
      </c>
      <c r="E894" s="5" t="s">
        <v>53</v>
      </c>
      <c r="F894" s="5" t="s">
        <v>45</v>
      </c>
      <c r="G894" s="8">
        <v>3</v>
      </c>
      <c r="H894" s="8">
        <v>3306</v>
      </c>
      <c r="I894" s="5" t="s">
        <v>49</v>
      </c>
      <c r="J894" s="8">
        <v>3</v>
      </c>
      <c r="K894" s="8">
        <v>5</v>
      </c>
      <c r="L894" s="8">
        <v>0</v>
      </c>
    </row>
    <row r="895" spans="1:12" x14ac:dyDescent="0.8">
      <c r="A895" s="5" t="s">
        <v>966</v>
      </c>
      <c r="B895" s="8">
        <v>38</v>
      </c>
      <c r="C895" s="5" t="s">
        <v>49</v>
      </c>
      <c r="D895" s="5" t="s">
        <v>42</v>
      </c>
      <c r="E895" s="5" t="s">
        <v>53</v>
      </c>
      <c r="F895" s="5" t="s">
        <v>45</v>
      </c>
      <c r="G895" s="8">
        <v>2</v>
      </c>
      <c r="H895" s="8">
        <v>2468</v>
      </c>
      <c r="I895" s="5" t="s">
        <v>49</v>
      </c>
      <c r="J895" s="8">
        <v>3</v>
      </c>
      <c r="K895" s="8">
        <v>4</v>
      </c>
      <c r="L895" s="8">
        <v>6</v>
      </c>
    </row>
    <row r="896" spans="1:12" x14ac:dyDescent="0.8">
      <c r="A896" s="5" t="s">
        <v>967</v>
      </c>
      <c r="B896" s="8">
        <v>38</v>
      </c>
      <c r="C896" s="5" t="s">
        <v>49</v>
      </c>
      <c r="D896" s="5" t="s">
        <v>42</v>
      </c>
      <c r="E896" s="5" t="s">
        <v>44</v>
      </c>
      <c r="F896" s="5" t="s">
        <v>161</v>
      </c>
      <c r="G896" s="8">
        <v>4</v>
      </c>
      <c r="H896" s="8">
        <v>5811</v>
      </c>
      <c r="I896" s="5" t="s">
        <v>40</v>
      </c>
      <c r="J896" s="8">
        <v>3</v>
      </c>
      <c r="K896" s="8">
        <v>2</v>
      </c>
      <c r="L896" s="8">
        <v>1</v>
      </c>
    </row>
    <row r="897" spans="1:12" x14ac:dyDescent="0.8">
      <c r="A897" s="5" t="s">
        <v>968</v>
      </c>
      <c r="B897" s="8">
        <v>38</v>
      </c>
      <c r="C897" s="5" t="s">
        <v>49</v>
      </c>
      <c r="D897" s="5" t="s">
        <v>42</v>
      </c>
      <c r="E897" s="5" t="s">
        <v>53</v>
      </c>
      <c r="F897" s="5" t="s">
        <v>45</v>
      </c>
      <c r="G897" s="8">
        <v>3</v>
      </c>
      <c r="H897" s="8">
        <v>3702</v>
      </c>
      <c r="I897" s="5" t="s">
        <v>49</v>
      </c>
      <c r="J897" s="8">
        <v>3</v>
      </c>
      <c r="K897" s="8">
        <v>3</v>
      </c>
      <c r="L897" s="8">
        <v>5</v>
      </c>
    </row>
    <row r="898" spans="1:12" x14ac:dyDescent="0.8">
      <c r="A898" s="5" t="s">
        <v>969</v>
      </c>
      <c r="B898" s="8">
        <v>38</v>
      </c>
      <c r="C898" s="5" t="s">
        <v>49</v>
      </c>
      <c r="D898" s="5" t="s">
        <v>71</v>
      </c>
      <c r="E898" s="5" t="s">
        <v>44</v>
      </c>
      <c r="F898" s="5" t="s">
        <v>71</v>
      </c>
      <c r="G898" s="8">
        <v>2</v>
      </c>
      <c r="H898" s="8">
        <v>2592</v>
      </c>
      <c r="I898" s="5" t="s">
        <v>49</v>
      </c>
      <c r="J898" s="8">
        <v>3</v>
      </c>
      <c r="K898" s="8">
        <v>3</v>
      </c>
      <c r="L898" s="8">
        <v>11</v>
      </c>
    </row>
    <row r="899" spans="1:12" x14ac:dyDescent="0.8">
      <c r="A899" s="5" t="s">
        <v>970</v>
      </c>
      <c r="B899" s="8">
        <v>38</v>
      </c>
      <c r="C899" s="5" t="s">
        <v>49</v>
      </c>
      <c r="D899" s="5" t="s">
        <v>51</v>
      </c>
      <c r="E899" s="5" t="s">
        <v>53</v>
      </c>
      <c r="F899" s="5" t="s">
        <v>54</v>
      </c>
      <c r="G899" s="8">
        <v>4</v>
      </c>
      <c r="H899" s="8">
        <v>5405</v>
      </c>
      <c r="I899" s="5" t="s">
        <v>40</v>
      </c>
      <c r="J899" s="8">
        <v>4</v>
      </c>
      <c r="K899" s="8">
        <v>4</v>
      </c>
      <c r="L899" s="8">
        <v>4</v>
      </c>
    </row>
    <row r="900" spans="1:12" x14ac:dyDescent="0.8">
      <c r="A900" s="5" t="s">
        <v>971</v>
      </c>
      <c r="B900" s="8">
        <v>38</v>
      </c>
      <c r="C900" s="5" t="s">
        <v>49</v>
      </c>
      <c r="D900" s="5" t="s">
        <v>42</v>
      </c>
      <c r="E900" s="5" t="s">
        <v>53</v>
      </c>
      <c r="F900" s="5" t="s">
        <v>60</v>
      </c>
      <c r="G900" s="8">
        <v>2</v>
      </c>
      <c r="H900" s="8">
        <v>2133</v>
      </c>
      <c r="I900" s="5" t="s">
        <v>40</v>
      </c>
      <c r="J900" s="8">
        <v>3</v>
      </c>
      <c r="K900" s="8">
        <v>3</v>
      </c>
      <c r="L900" s="8">
        <v>20</v>
      </c>
    </row>
    <row r="901" spans="1:12" x14ac:dyDescent="0.8">
      <c r="A901" s="5" t="s">
        <v>972</v>
      </c>
      <c r="B901" s="8">
        <v>38</v>
      </c>
      <c r="C901" s="5" t="s">
        <v>49</v>
      </c>
      <c r="D901" s="5" t="s">
        <v>42</v>
      </c>
      <c r="E901" s="5" t="s">
        <v>44</v>
      </c>
      <c r="F901" s="5" t="s">
        <v>60</v>
      </c>
      <c r="G901" s="8">
        <v>4</v>
      </c>
      <c r="H901" s="8">
        <v>4771</v>
      </c>
      <c r="I901" s="5" t="s">
        <v>49</v>
      </c>
      <c r="J901" s="8">
        <v>3</v>
      </c>
      <c r="K901" s="8">
        <v>0</v>
      </c>
      <c r="L901" s="8">
        <v>5</v>
      </c>
    </row>
    <row r="902" spans="1:12" x14ac:dyDescent="0.8">
      <c r="A902" s="5" t="s">
        <v>973</v>
      </c>
      <c r="B902" s="8">
        <v>38</v>
      </c>
      <c r="C902" s="5" t="s">
        <v>49</v>
      </c>
      <c r="D902" s="5" t="s">
        <v>51</v>
      </c>
      <c r="E902" s="5" t="s">
        <v>44</v>
      </c>
      <c r="F902" s="5" t="s">
        <v>54</v>
      </c>
      <c r="G902" s="8">
        <v>1</v>
      </c>
      <c r="H902" s="8">
        <v>2858</v>
      </c>
      <c r="I902" s="5" t="s">
        <v>49</v>
      </c>
      <c r="J902" s="8">
        <v>3</v>
      </c>
      <c r="K902" s="8">
        <v>3</v>
      </c>
      <c r="L902" s="8">
        <v>1</v>
      </c>
    </row>
    <row r="903" spans="1:12" x14ac:dyDescent="0.8">
      <c r="A903" s="5" t="s">
        <v>974</v>
      </c>
      <c r="B903" s="8">
        <v>38</v>
      </c>
      <c r="C903" s="5" t="s">
        <v>49</v>
      </c>
      <c r="D903" s="5" t="s">
        <v>71</v>
      </c>
      <c r="E903" s="5" t="s">
        <v>44</v>
      </c>
      <c r="F903" s="5" t="s">
        <v>71</v>
      </c>
      <c r="G903" s="8">
        <v>2</v>
      </c>
      <c r="H903" s="8">
        <v>2991</v>
      </c>
      <c r="I903" s="5" t="s">
        <v>40</v>
      </c>
      <c r="J903" s="8">
        <v>3</v>
      </c>
      <c r="K903" s="8">
        <v>2</v>
      </c>
      <c r="L903" s="8">
        <v>6</v>
      </c>
    </row>
    <row r="904" spans="1:12" x14ac:dyDescent="0.8">
      <c r="A904" s="5" t="s">
        <v>975</v>
      </c>
      <c r="B904" s="8">
        <v>38</v>
      </c>
      <c r="C904" s="5" t="s">
        <v>49</v>
      </c>
      <c r="D904" s="5" t="s">
        <v>51</v>
      </c>
      <c r="E904" s="5" t="s">
        <v>44</v>
      </c>
      <c r="F904" s="5" t="s">
        <v>137</v>
      </c>
      <c r="G904" s="8">
        <v>2</v>
      </c>
      <c r="H904" s="8">
        <v>4440</v>
      </c>
      <c r="I904" s="5" t="s">
        <v>49</v>
      </c>
      <c r="J904" s="8">
        <v>3</v>
      </c>
      <c r="K904" s="8">
        <v>3</v>
      </c>
      <c r="L904" s="8">
        <v>15</v>
      </c>
    </row>
    <row r="905" spans="1:12" x14ac:dyDescent="0.8">
      <c r="A905" s="5" t="s">
        <v>976</v>
      </c>
      <c r="B905" s="8">
        <v>38</v>
      </c>
      <c r="C905" s="5" t="s">
        <v>49</v>
      </c>
      <c r="D905" s="5" t="s">
        <v>42</v>
      </c>
      <c r="E905" s="5" t="s">
        <v>44</v>
      </c>
      <c r="F905" s="5" t="s">
        <v>112</v>
      </c>
      <c r="G905" s="8">
        <v>3</v>
      </c>
      <c r="H905" s="8">
        <v>5321</v>
      </c>
      <c r="I905" s="5" t="s">
        <v>49</v>
      </c>
      <c r="J905" s="8">
        <v>3</v>
      </c>
      <c r="K905" s="8">
        <v>1</v>
      </c>
      <c r="L905" s="8">
        <v>8</v>
      </c>
    </row>
    <row r="906" spans="1:12" x14ac:dyDescent="0.8">
      <c r="A906" s="5" t="s">
        <v>977</v>
      </c>
      <c r="B906" s="8">
        <v>38</v>
      </c>
      <c r="C906" s="5" t="s">
        <v>49</v>
      </c>
      <c r="D906" s="5" t="s">
        <v>42</v>
      </c>
      <c r="E906" s="5" t="s">
        <v>53</v>
      </c>
      <c r="F906" s="5" t="s">
        <v>252</v>
      </c>
      <c r="G906" s="8">
        <v>3</v>
      </c>
      <c r="H906" s="8">
        <v>13206</v>
      </c>
      <c r="I906" s="5" t="s">
        <v>49</v>
      </c>
      <c r="J906" s="8">
        <v>3</v>
      </c>
      <c r="K906" s="8">
        <v>3</v>
      </c>
      <c r="L906" s="8">
        <v>18</v>
      </c>
    </row>
    <row r="907" spans="1:12" x14ac:dyDescent="0.8">
      <c r="A907" s="5" t="s">
        <v>978</v>
      </c>
      <c r="B907" s="8">
        <v>38</v>
      </c>
      <c r="C907" s="5" t="s">
        <v>49</v>
      </c>
      <c r="D907" s="5" t="s">
        <v>51</v>
      </c>
      <c r="E907" s="5" t="s">
        <v>53</v>
      </c>
      <c r="F907" s="5" t="s">
        <v>137</v>
      </c>
      <c r="G907" s="8">
        <v>4</v>
      </c>
      <c r="H907" s="8">
        <v>5343</v>
      </c>
      <c r="I907" s="5" t="s">
        <v>49</v>
      </c>
      <c r="J907" s="8">
        <v>3</v>
      </c>
      <c r="K907" s="8">
        <v>1</v>
      </c>
      <c r="L907" s="8">
        <v>10</v>
      </c>
    </row>
    <row r="908" spans="1:12" x14ac:dyDescent="0.8">
      <c r="A908" s="5" t="s">
        <v>979</v>
      </c>
      <c r="B908" s="8">
        <v>39</v>
      </c>
      <c r="C908" s="5" t="s">
        <v>40</v>
      </c>
      <c r="D908" s="5" t="s">
        <v>51</v>
      </c>
      <c r="E908" s="5" t="s">
        <v>44</v>
      </c>
      <c r="F908" s="5" t="s">
        <v>54</v>
      </c>
      <c r="G908" s="8">
        <v>4</v>
      </c>
      <c r="H908" s="8">
        <v>2086</v>
      </c>
      <c r="I908" s="5" t="s">
        <v>49</v>
      </c>
      <c r="J908" s="8">
        <v>3</v>
      </c>
      <c r="K908" s="8">
        <v>6</v>
      </c>
      <c r="L908" s="8">
        <v>1</v>
      </c>
    </row>
    <row r="909" spans="1:12" x14ac:dyDescent="0.8">
      <c r="A909" s="5" t="s">
        <v>980</v>
      </c>
      <c r="B909" s="8">
        <v>39</v>
      </c>
      <c r="C909" s="5" t="s">
        <v>49</v>
      </c>
      <c r="D909" s="5" t="s">
        <v>51</v>
      </c>
      <c r="E909" s="5" t="s">
        <v>53</v>
      </c>
      <c r="F909" s="5" t="s">
        <v>137</v>
      </c>
      <c r="G909" s="8">
        <v>3</v>
      </c>
      <c r="H909" s="8">
        <v>5902</v>
      </c>
      <c r="I909" s="5" t="s">
        <v>49</v>
      </c>
      <c r="J909" s="8">
        <v>3</v>
      </c>
      <c r="K909" s="8">
        <v>1</v>
      </c>
      <c r="L909" s="8">
        <v>15</v>
      </c>
    </row>
    <row r="910" spans="1:12" x14ac:dyDescent="0.8">
      <c r="A910" s="5" t="s">
        <v>981</v>
      </c>
      <c r="B910" s="8">
        <v>39</v>
      </c>
      <c r="C910" s="5" t="s">
        <v>49</v>
      </c>
      <c r="D910" s="5" t="s">
        <v>42</v>
      </c>
      <c r="E910" s="5" t="s">
        <v>53</v>
      </c>
      <c r="F910" s="5" t="s">
        <v>45</v>
      </c>
      <c r="G910" s="8">
        <v>3</v>
      </c>
      <c r="H910" s="8">
        <v>2232</v>
      </c>
      <c r="I910" s="5" t="s">
        <v>49</v>
      </c>
      <c r="J910" s="8">
        <v>3</v>
      </c>
      <c r="K910" s="8">
        <v>1</v>
      </c>
      <c r="L910" s="8">
        <v>3</v>
      </c>
    </row>
    <row r="911" spans="1:12" x14ac:dyDescent="0.8">
      <c r="A911" s="5" t="s">
        <v>982</v>
      </c>
      <c r="B911" s="8">
        <v>39</v>
      </c>
      <c r="C911" s="5" t="s">
        <v>49</v>
      </c>
      <c r="D911" s="5" t="s">
        <v>42</v>
      </c>
      <c r="E911" s="5" t="s">
        <v>53</v>
      </c>
      <c r="F911" s="5" t="s">
        <v>161</v>
      </c>
      <c r="G911" s="8">
        <v>3</v>
      </c>
      <c r="H911" s="8">
        <v>10938</v>
      </c>
      <c r="I911" s="5" t="s">
        <v>49</v>
      </c>
      <c r="J911" s="8">
        <v>4</v>
      </c>
      <c r="K911" s="8">
        <v>1</v>
      </c>
      <c r="L911" s="8">
        <v>19</v>
      </c>
    </row>
    <row r="912" spans="1:12" x14ac:dyDescent="0.8">
      <c r="A912" s="5" t="s">
        <v>983</v>
      </c>
      <c r="B912" s="8">
        <v>39</v>
      </c>
      <c r="C912" s="5" t="s">
        <v>49</v>
      </c>
      <c r="D912" s="5" t="s">
        <v>42</v>
      </c>
      <c r="E912" s="5" t="s">
        <v>44</v>
      </c>
      <c r="F912" s="5" t="s">
        <v>161</v>
      </c>
      <c r="G912" s="8">
        <v>4</v>
      </c>
      <c r="H912" s="8">
        <v>9613</v>
      </c>
      <c r="I912" s="5" t="s">
        <v>49</v>
      </c>
      <c r="J912" s="8">
        <v>3</v>
      </c>
      <c r="K912" s="8">
        <v>5</v>
      </c>
      <c r="L912" s="8">
        <v>18</v>
      </c>
    </row>
    <row r="913" spans="1:12" x14ac:dyDescent="0.8">
      <c r="A913" s="5" t="s">
        <v>984</v>
      </c>
      <c r="B913" s="8">
        <v>39</v>
      </c>
      <c r="C913" s="5" t="s">
        <v>49</v>
      </c>
      <c r="D913" s="5" t="s">
        <v>42</v>
      </c>
      <c r="E913" s="5" t="s">
        <v>44</v>
      </c>
      <c r="F913" s="5" t="s">
        <v>442</v>
      </c>
      <c r="G913" s="8">
        <v>1</v>
      </c>
      <c r="H913" s="8">
        <v>17068</v>
      </c>
      <c r="I913" s="5" t="s">
        <v>40</v>
      </c>
      <c r="J913" s="8">
        <v>3</v>
      </c>
      <c r="K913" s="8">
        <v>3</v>
      </c>
      <c r="L913" s="8">
        <v>21</v>
      </c>
    </row>
    <row r="914" spans="1:12" x14ac:dyDescent="0.8">
      <c r="A914" s="5" t="s">
        <v>985</v>
      </c>
      <c r="B914" s="8">
        <v>39</v>
      </c>
      <c r="C914" s="5" t="s">
        <v>49</v>
      </c>
      <c r="D914" s="5" t="s">
        <v>42</v>
      </c>
      <c r="E914" s="5" t="s">
        <v>44</v>
      </c>
      <c r="F914" s="5" t="s">
        <v>442</v>
      </c>
      <c r="G914" s="8">
        <v>4</v>
      </c>
      <c r="H914" s="8">
        <v>19272</v>
      </c>
      <c r="I914" s="5" t="s">
        <v>49</v>
      </c>
      <c r="J914" s="8">
        <v>3</v>
      </c>
      <c r="K914" s="8">
        <v>2</v>
      </c>
      <c r="L914" s="8">
        <v>21</v>
      </c>
    </row>
    <row r="915" spans="1:12" x14ac:dyDescent="0.8">
      <c r="A915" s="5" t="s">
        <v>986</v>
      </c>
      <c r="B915" s="8">
        <v>39</v>
      </c>
      <c r="C915" s="5" t="s">
        <v>40</v>
      </c>
      <c r="D915" s="5" t="s">
        <v>51</v>
      </c>
      <c r="E915" s="5" t="s">
        <v>53</v>
      </c>
      <c r="F915" s="5" t="s">
        <v>137</v>
      </c>
      <c r="G915" s="8">
        <v>3</v>
      </c>
      <c r="H915" s="8">
        <v>5238</v>
      </c>
      <c r="I915" s="5" t="s">
        <v>40</v>
      </c>
      <c r="J915" s="8">
        <v>3</v>
      </c>
      <c r="K915" s="8">
        <v>3</v>
      </c>
      <c r="L915" s="8">
        <v>1</v>
      </c>
    </row>
    <row r="916" spans="1:12" x14ac:dyDescent="0.8">
      <c r="A916" s="5" t="s">
        <v>987</v>
      </c>
      <c r="B916" s="8">
        <v>39</v>
      </c>
      <c r="C916" s="5" t="s">
        <v>49</v>
      </c>
      <c r="D916" s="5" t="s">
        <v>42</v>
      </c>
      <c r="E916" s="5" t="s">
        <v>44</v>
      </c>
      <c r="F916" s="5" t="s">
        <v>442</v>
      </c>
      <c r="G916" s="8">
        <v>3</v>
      </c>
      <c r="H916" s="8">
        <v>19197</v>
      </c>
      <c r="I916" s="5" t="s">
        <v>40</v>
      </c>
      <c r="J916" s="8">
        <v>3</v>
      </c>
      <c r="K916" s="8">
        <v>3</v>
      </c>
      <c r="L916" s="8">
        <v>21</v>
      </c>
    </row>
    <row r="917" spans="1:12" x14ac:dyDescent="0.8">
      <c r="A917" s="5" t="s">
        <v>988</v>
      </c>
      <c r="B917" s="8">
        <v>39</v>
      </c>
      <c r="C917" s="5" t="s">
        <v>49</v>
      </c>
      <c r="D917" s="5" t="s">
        <v>42</v>
      </c>
      <c r="E917" s="5" t="s">
        <v>53</v>
      </c>
      <c r="F917" s="5" t="s">
        <v>45</v>
      </c>
      <c r="G917" s="8">
        <v>3</v>
      </c>
      <c r="H917" s="8">
        <v>3755</v>
      </c>
      <c r="I917" s="5" t="s">
        <v>49</v>
      </c>
      <c r="J917" s="8">
        <v>3</v>
      </c>
      <c r="K917" s="8">
        <v>3</v>
      </c>
      <c r="L917" s="8">
        <v>8</v>
      </c>
    </row>
    <row r="918" spans="1:12" x14ac:dyDescent="0.8">
      <c r="A918" s="5" t="s">
        <v>989</v>
      </c>
      <c r="B918" s="8">
        <v>39</v>
      </c>
      <c r="C918" s="5" t="s">
        <v>49</v>
      </c>
      <c r="D918" s="5" t="s">
        <v>42</v>
      </c>
      <c r="E918" s="5" t="s">
        <v>53</v>
      </c>
      <c r="F918" s="5" t="s">
        <v>161</v>
      </c>
      <c r="G918" s="8">
        <v>3</v>
      </c>
      <c r="H918" s="8">
        <v>4553</v>
      </c>
      <c r="I918" s="5" t="s">
        <v>49</v>
      </c>
      <c r="J918" s="8">
        <v>3</v>
      </c>
      <c r="K918" s="8">
        <v>4</v>
      </c>
      <c r="L918" s="8">
        <v>20</v>
      </c>
    </row>
    <row r="919" spans="1:12" x14ac:dyDescent="0.8">
      <c r="A919" s="5" t="s">
        <v>990</v>
      </c>
      <c r="B919" s="8">
        <v>39</v>
      </c>
      <c r="C919" s="5" t="s">
        <v>49</v>
      </c>
      <c r="D919" s="5" t="s">
        <v>71</v>
      </c>
      <c r="E919" s="5" t="s">
        <v>53</v>
      </c>
      <c r="F919" s="5" t="s">
        <v>71</v>
      </c>
      <c r="G919" s="8">
        <v>2</v>
      </c>
      <c r="H919" s="8">
        <v>6389</v>
      </c>
      <c r="I919" s="5" t="s">
        <v>49</v>
      </c>
      <c r="J919" s="8">
        <v>3</v>
      </c>
      <c r="K919" s="8">
        <v>3</v>
      </c>
      <c r="L919" s="8">
        <v>8</v>
      </c>
    </row>
    <row r="920" spans="1:12" x14ac:dyDescent="0.8">
      <c r="A920" s="5" t="s">
        <v>991</v>
      </c>
      <c r="B920" s="8">
        <v>39</v>
      </c>
      <c r="C920" s="5" t="s">
        <v>49</v>
      </c>
      <c r="D920" s="5" t="s">
        <v>71</v>
      </c>
      <c r="E920" s="5" t="s">
        <v>53</v>
      </c>
      <c r="F920" s="5" t="s">
        <v>71</v>
      </c>
      <c r="G920" s="8">
        <v>4</v>
      </c>
      <c r="H920" s="8">
        <v>5204</v>
      </c>
      <c r="I920" s="5" t="s">
        <v>49</v>
      </c>
      <c r="J920" s="8">
        <v>3</v>
      </c>
      <c r="K920" s="8">
        <v>2</v>
      </c>
      <c r="L920" s="8">
        <v>5</v>
      </c>
    </row>
    <row r="921" spans="1:12" x14ac:dyDescent="0.8">
      <c r="A921" s="5" t="s">
        <v>992</v>
      </c>
      <c r="B921" s="8">
        <v>39</v>
      </c>
      <c r="C921" s="5" t="s">
        <v>40</v>
      </c>
      <c r="D921" s="5" t="s">
        <v>42</v>
      </c>
      <c r="E921" s="5" t="s">
        <v>44</v>
      </c>
      <c r="F921" s="5" t="s">
        <v>45</v>
      </c>
      <c r="G921" s="8">
        <v>1</v>
      </c>
      <c r="H921" s="8">
        <v>2404</v>
      </c>
      <c r="I921" s="5" t="s">
        <v>40</v>
      </c>
      <c r="J921" s="8">
        <v>4</v>
      </c>
      <c r="K921" s="8">
        <v>2</v>
      </c>
      <c r="L921" s="8">
        <v>2</v>
      </c>
    </row>
    <row r="922" spans="1:12" x14ac:dyDescent="0.8">
      <c r="A922" s="5" t="s">
        <v>993</v>
      </c>
      <c r="B922" s="8">
        <v>39</v>
      </c>
      <c r="C922" s="5" t="s">
        <v>49</v>
      </c>
      <c r="D922" s="5" t="s">
        <v>51</v>
      </c>
      <c r="E922" s="5" t="s">
        <v>44</v>
      </c>
      <c r="F922" s="5" t="s">
        <v>137</v>
      </c>
      <c r="G922" s="8">
        <v>3</v>
      </c>
      <c r="H922" s="8">
        <v>7880</v>
      </c>
      <c r="I922" s="5" t="s">
        <v>49</v>
      </c>
      <c r="J922" s="8">
        <v>3</v>
      </c>
      <c r="K922" s="8">
        <v>3</v>
      </c>
      <c r="L922" s="8">
        <v>8</v>
      </c>
    </row>
    <row r="923" spans="1:12" x14ac:dyDescent="0.8">
      <c r="A923" s="5" t="s">
        <v>994</v>
      </c>
      <c r="B923" s="8">
        <v>39</v>
      </c>
      <c r="C923" s="5" t="s">
        <v>49</v>
      </c>
      <c r="D923" s="5" t="s">
        <v>42</v>
      </c>
      <c r="E923" s="5" t="s">
        <v>53</v>
      </c>
      <c r="F923" s="5" t="s">
        <v>112</v>
      </c>
      <c r="G923" s="8">
        <v>4</v>
      </c>
      <c r="H923" s="8">
        <v>12742</v>
      </c>
      <c r="I923" s="5" t="s">
        <v>49</v>
      </c>
      <c r="J923" s="8">
        <v>3</v>
      </c>
      <c r="K923" s="8">
        <v>3</v>
      </c>
      <c r="L923" s="8">
        <v>21</v>
      </c>
    </row>
    <row r="924" spans="1:12" x14ac:dyDescent="0.8">
      <c r="A924" s="5" t="s">
        <v>995</v>
      </c>
      <c r="B924" s="8">
        <v>39</v>
      </c>
      <c r="C924" s="5" t="s">
        <v>49</v>
      </c>
      <c r="D924" s="5" t="s">
        <v>42</v>
      </c>
      <c r="E924" s="5" t="s">
        <v>53</v>
      </c>
      <c r="F924" s="5" t="s">
        <v>112</v>
      </c>
      <c r="G924" s="8">
        <v>1</v>
      </c>
      <c r="H924" s="8">
        <v>10880</v>
      </c>
      <c r="I924" s="5" t="s">
        <v>40</v>
      </c>
      <c r="J924" s="8">
        <v>3</v>
      </c>
      <c r="K924" s="8">
        <v>2</v>
      </c>
      <c r="L924" s="8">
        <v>21</v>
      </c>
    </row>
    <row r="925" spans="1:12" x14ac:dyDescent="0.8">
      <c r="A925" s="5" t="s">
        <v>996</v>
      </c>
      <c r="B925" s="8">
        <v>39</v>
      </c>
      <c r="C925" s="5" t="s">
        <v>40</v>
      </c>
      <c r="D925" s="5" t="s">
        <v>42</v>
      </c>
      <c r="E925" s="5" t="s">
        <v>44</v>
      </c>
      <c r="F925" s="5" t="s">
        <v>161</v>
      </c>
      <c r="G925" s="8">
        <v>4</v>
      </c>
      <c r="H925" s="8">
        <v>12169</v>
      </c>
      <c r="I925" s="5" t="s">
        <v>49</v>
      </c>
      <c r="J925" s="8">
        <v>3</v>
      </c>
      <c r="K925" s="8">
        <v>4</v>
      </c>
      <c r="L925" s="8">
        <v>18</v>
      </c>
    </row>
    <row r="926" spans="1:12" x14ac:dyDescent="0.8">
      <c r="A926" s="5" t="s">
        <v>997</v>
      </c>
      <c r="B926" s="8">
        <v>39</v>
      </c>
      <c r="C926" s="5" t="s">
        <v>49</v>
      </c>
      <c r="D926" s="5" t="s">
        <v>42</v>
      </c>
      <c r="E926" s="5" t="s">
        <v>44</v>
      </c>
      <c r="F926" s="5" t="s">
        <v>45</v>
      </c>
      <c r="G926" s="8">
        <v>2</v>
      </c>
      <c r="H926" s="8">
        <v>6782</v>
      </c>
      <c r="I926" s="5" t="s">
        <v>49</v>
      </c>
      <c r="J926" s="8">
        <v>3</v>
      </c>
      <c r="K926" s="8">
        <v>2</v>
      </c>
      <c r="L926" s="8">
        <v>5</v>
      </c>
    </row>
    <row r="927" spans="1:12" x14ac:dyDescent="0.8">
      <c r="A927" s="5" t="s">
        <v>998</v>
      </c>
      <c r="B927" s="8">
        <v>39</v>
      </c>
      <c r="C927" s="5" t="s">
        <v>49</v>
      </c>
      <c r="D927" s="5" t="s">
        <v>42</v>
      </c>
      <c r="E927" s="5" t="s">
        <v>53</v>
      </c>
      <c r="F927" s="5" t="s">
        <v>442</v>
      </c>
      <c r="G927" s="8">
        <v>2</v>
      </c>
      <c r="H927" s="8">
        <v>17123</v>
      </c>
      <c r="I927" s="5" t="s">
        <v>40</v>
      </c>
      <c r="J927" s="8">
        <v>3</v>
      </c>
      <c r="K927" s="8">
        <v>4</v>
      </c>
      <c r="L927" s="8">
        <v>19</v>
      </c>
    </row>
    <row r="928" spans="1:12" x14ac:dyDescent="0.8">
      <c r="A928" s="5" t="s">
        <v>999</v>
      </c>
      <c r="B928" s="8">
        <v>39</v>
      </c>
      <c r="C928" s="5" t="s">
        <v>40</v>
      </c>
      <c r="D928" s="5" t="s">
        <v>42</v>
      </c>
      <c r="E928" s="5" t="s">
        <v>44</v>
      </c>
      <c r="F928" s="5" t="s">
        <v>60</v>
      </c>
      <c r="G928" s="8">
        <v>1</v>
      </c>
      <c r="H928" s="8">
        <v>3904</v>
      </c>
      <c r="I928" s="5" t="s">
        <v>49</v>
      </c>
      <c r="J928" s="8">
        <v>3</v>
      </c>
      <c r="K928" s="8">
        <v>2</v>
      </c>
      <c r="L928" s="8">
        <v>5</v>
      </c>
    </row>
    <row r="929" spans="1:12" x14ac:dyDescent="0.8">
      <c r="A929" s="5" t="s">
        <v>1000</v>
      </c>
      <c r="B929" s="8">
        <v>39</v>
      </c>
      <c r="C929" s="5" t="s">
        <v>49</v>
      </c>
      <c r="D929" s="5" t="s">
        <v>42</v>
      </c>
      <c r="E929" s="5" t="s">
        <v>44</v>
      </c>
      <c r="F929" s="5" t="s">
        <v>112</v>
      </c>
      <c r="G929" s="8">
        <v>3</v>
      </c>
      <c r="H929" s="8">
        <v>4534</v>
      </c>
      <c r="I929" s="5" t="s">
        <v>49</v>
      </c>
      <c r="J929" s="8">
        <v>3</v>
      </c>
      <c r="K929" s="8">
        <v>6</v>
      </c>
      <c r="L929" s="8">
        <v>8</v>
      </c>
    </row>
    <row r="930" spans="1:12" x14ac:dyDescent="0.8">
      <c r="A930" s="5" t="s">
        <v>1001</v>
      </c>
      <c r="B930" s="8">
        <v>39</v>
      </c>
      <c r="C930" s="5" t="s">
        <v>49</v>
      </c>
      <c r="D930" s="5" t="s">
        <v>51</v>
      </c>
      <c r="E930" s="5" t="s">
        <v>44</v>
      </c>
      <c r="F930" s="5" t="s">
        <v>137</v>
      </c>
      <c r="G930" s="8">
        <v>4</v>
      </c>
      <c r="H930" s="8">
        <v>6120</v>
      </c>
      <c r="I930" s="5" t="s">
        <v>40</v>
      </c>
      <c r="J930" s="8">
        <v>3</v>
      </c>
      <c r="K930" s="8">
        <v>2</v>
      </c>
      <c r="L930" s="8">
        <v>5</v>
      </c>
    </row>
    <row r="931" spans="1:12" x14ac:dyDescent="0.8">
      <c r="A931" s="5" t="s">
        <v>1002</v>
      </c>
      <c r="B931" s="8">
        <v>39</v>
      </c>
      <c r="C931" s="5" t="s">
        <v>49</v>
      </c>
      <c r="D931" s="5" t="s">
        <v>42</v>
      </c>
      <c r="E931" s="5" t="s">
        <v>44</v>
      </c>
      <c r="F931" s="5" t="s">
        <v>161</v>
      </c>
      <c r="G931" s="8">
        <v>3</v>
      </c>
      <c r="H931" s="8">
        <v>10920</v>
      </c>
      <c r="I931" s="5" t="s">
        <v>49</v>
      </c>
      <c r="J931" s="8">
        <v>4</v>
      </c>
      <c r="K931" s="8">
        <v>2</v>
      </c>
      <c r="L931" s="8">
        <v>6</v>
      </c>
    </row>
    <row r="932" spans="1:12" x14ac:dyDescent="0.8">
      <c r="A932" s="5" t="s">
        <v>1003</v>
      </c>
      <c r="B932" s="8">
        <v>39</v>
      </c>
      <c r="C932" s="5" t="s">
        <v>40</v>
      </c>
      <c r="D932" s="5" t="s">
        <v>42</v>
      </c>
      <c r="E932" s="5" t="s">
        <v>53</v>
      </c>
      <c r="F932" s="5" t="s">
        <v>45</v>
      </c>
      <c r="G932" s="8">
        <v>1</v>
      </c>
      <c r="H932" s="8">
        <v>3646</v>
      </c>
      <c r="I932" s="5" t="s">
        <v>40</v>
      </c>
      <c r="J932" s="8">
        <v>4</v>
      </c>
      <c r="K932" s="8">
        <v>2</v>
      </c>
      <c r="L932" s="8">
        <v>1</v>
      </c>
    </row>
    <row r="933" spans="1:12" x14ac:dyDescent="0.8">
      <c r="A933" s="5" t="s">
        <v>1004</v>
      </c>
      <c r="B933" s="8">
        <v>39</v>
      </c>
      <c r="C933" s="5" t="s">
        <v>49</v>
      </c>
      <c r="D933" s="5" t="s">
        <v>42</v>
      </c>
      <c r="E933" s="5" t="s">
        <v>53</v>
      </c>
      <c r="F933" s="5" t="s">
        <v>112</v>
      </c>
      <c r="G933" s="8">
        <v>2</v>
      </c>
      <c r="H933" s="8">
        <v>8376</v>
      </c>
      <c r="I933" s="5" t="s">
        <v>49</v>
      </c>
      <c r="J933" s="8">
        <v>3</v>
      </c>
      <c r="K933" s="8">
        <v>3</v>
      </c>
      <c r="L933" s="8">
        <v>2</v>
      </c>
    </row>
    <row r="934" spans="1:12" x14ac:dyDescent="0.8">
      <c r="A934" s="5" t="s">
        <v>1005</v>
      </c>
      <c r="B934" s="8">
        <v>39</v>
      </c>
      <c r="C934" s="5" t="s">
        <v>49</v>
      </c>
      <c r="D934" s="5" t="s">
        <v>51</v>
      </c>
      <c r="E934" s="5" t="s">
        <v>44</v>
      </c>
      <c r="F934" s="5" t="s">
        <v>137</v>
      </c>
      <c r="G934" s="8">
        <v>3</v>
      </c>
      <c r="H934" s="8">
        <v>8237</v>
      </c>
      <c r="I934" s="5" t="s">
        <v>49</v>
      </c>
      <c r="J934" s="8">
        <v>3</v>
      </c>
      <c r="K934" s="8">
        <v>3</v>
      </c>
      <c r="L934" s="8">
        <v>7</v>
      </c>
    </row>
    <row r="935" spans="1:12" x14ac:dyDescent="0.8">
      <c r="A935" s="5" t="s">
        <v>1006</v>
      </c>
      <c r="B935" s="8">
        <v>39</v>
      </c>
      <c r="C935" s="5" t="s">
        <v>49</v>
      </c>
      <c r="D935" s="5" t="s">
        <v>42</v>
      </c>
      <c r="E935" s="5" t="s">
        <v>44</v>
      </c>
      <c r="F935" s="5" t="s">
        <v>112</v>
      </c>
      <c r="G935" s="8">
        <v>1</v>
      </c>
      <c r="H935" s="8">
        <v>5377</v>
      </c>
      <c r="I935" s="5" t="s">
        <v>49</v>
      </c>
      <c r="J935" s="8">
        <v>3</v>
      </c>
      <c r="K935" s="8">
        <v>3</v>
      </c>
      <c r="L935" s="8">
        <v>7</v>
      </c>
    </row>
    <row r="936" spans="1:12" x14ac:dyDescent="0.8">
      <c r="A936" s="5" t="s">
        <v>1007</v>
      </c>
      <c r="B936" s="8">
        <v>39</v>
      </c>
      <c r="C936" s="5" t="s">
        <v>49</v>
      </c>
      <c r="D936" s="5" t="s">
        <v>42</v>
      </c>
      <c r="E936" s="5" t="s">
        <v>44</v>
      </c>
      <c r="F936" s="5" t="s">
        <v>45</v>
      </c>
      <c r="G936" s="8">
        <v>3</v>
      </c>
      <c r="H936" s="8">
        <v>3069</v>
      </c>
      <c r="I936" s="5" t="s">
        <v>49</v>
      </c>
      <c r="J936" s="8">
        <v>3</v>
      </c>
      <c r="K936" s="8">
        <v>3</v>
      </c>
      <c r="L936" s="8">
        <v>10</v>
      </c>
    </row>
    <row r="937" spans="1:12" x14ac:dyDescent="0.8">
      <c r="A937" s="5" t="s">
        <v>1008</v>
      </c>
      <c r="B937" s="8">
        <v>39</v>
      </c>
      <c r="C937" s="5" t="s">
        <v>49</v>
      </c>
      <c r="D937" s="5" t="s">
        <v>42</v>
      </c>
      <c r="E937" s="5" t="s">
        <v>53</v>
      </c>
      <c r="F937" s="5" t="s">
        <v>112</v>
      </c>
      <c r="G937" s="8">
        <v>3</v>
      </c>
      <c r="H937" s="8">
        <v>5042</v>
      </c>
      <c r="I937" s="5" t="s">
        <v>49</v>
      </c>
      <c r="J937" s="8">
        <v>3</v>
      </c>
      <c r="K937" s="8">
        <v>2</v>
      </c>
      <c r="L937" s="8">
        <v>9</v>
      </c>
    </row>
    <row r="938" spans="1:12" x14ac:dyDescent="0.8">
      <c r="A938" s="5" t="s">
        <v>1009</v>
      </c>
      <c r="B938" s="8">
        <v>39</v>
      </c>
      <c r="C938" s="5" t="s">
        <v>49</v>
      </c>
      <c r="D938" s="5" t="s">
        <v>42</v>
      </c>
      <c r="E938" s="5" t="s">
        <v>44</v>
      </c>
      <c r="F938" s="5" t="s">
        <v>112</v>
      </c>
      <c r="G938" s="8">
        <v>2</v>
      </c>
      <c r="H938" s="8">
        <v>5295</v>
      </c>
      <c r="I938" s="5" t="s">
        <v>49</v>
      </c>
      <c r="J938" s="8">
        <v>4</v>
      </c>
      <c r="K938" s="8">
        <v>3</v>
      </c>
      <c r="L938" s="8">
        <v>5</v>
      </c>
    </row>
    <row r="939" spans="1:12" x14ac:dyDescent="0.8">
      <c r="A939" s="5" t="s">
        <v>1010</v>
      </c>
      <c r="B939" s="8">
        <v>39</v>
      </c>
      <c r="C939" s="5" t="s">
        <v>49</v>
      </c>
      <c r="D939" s="5" t="s">
        <v>42</v>
      </c>
      <c r="E939" s="5" t="s">
        <v>44</v>
      </c>
      <c r="F939" s="5" t="s">
        <v>45</v>
      </c>
      <c r="G939" s="8">
        <v>4</v>
      </c>
      <c r="H939" s="8">
        <v>6472</v>
      </c>
      <c r="I939" s="5" t="s">
        <v>40</v>
      </c>
      <c r="J939" s="8">
        <v>3</v>
      </c>
      <c r="K939" s="8">
        <v>2</v>
      </c>
      <c r="L939" s="8">
        <v>9</v>
      </c>
    </row>
    <row r="940" spans="1:12" x14ac:dyDescent="0.8">
      <c r="A940" s="5" t="s">
        <v>1011</v>
      </c>
      <c r="B940" s="8">
        <v>39</v>
      </c>
      <c r="C940" s="5" t="s">
        <v>49</v>
      </c>
      <c r="D940" s="5" t="s">
        <v>42</v>
      </c>
      <c r="E940" s="5" t="s">
        <v>44</v>
      </c>
      <c r="F940" s="5" t="s">
        <v>252</v>
      </c>
      <c r="G940" s="8">
        <v>3</v>
      </c>
      <c r="H940" s="8">
        <v>13464</v>
      </c>
      <c r="I940" s="5" t="s">
        <v>49</v>
      </c>
      <c r="J940" s="8">
        <v>4</v>
      </c>
      <c r="K940" s="8">
        <v>3</v>
      </c>
      <c r="L940" s="8">
        <v>4</v>
      </c>
    </row>
    <row r="941" spans="1:12" x14ac:dyDescent="0.8">
      <c r="A941" s="5" t="s">
        <v>1012</v>
      </c>
      <c r="B941" s="8">
        <v>39</v>
      </c>
      <c r="C941" s="5" t="s">
        <v>49</v>
      </c>
      <c r="D941" s="5" t="s">
        <v>51</v>
      </c>
      <c r="E941" s="5" t="s">
        <v>44</v>
      </c>
      <c r="F941" s="5" t="s">
        <v>137</v>
      </c>
      <c r="G941" s="8">
        <v>4</v>
      </c>
      <c r="H941" s="8">
        <v>4127</v>
      </c>
      <c r="I941" s="5" t="s">
        <v>49</v>
      </c>
      <c r="J941" s="8">
        <v>3</v>
      </c>
      <c r="K941" s="8">
        <v>6</v>
      </c>
      <c r="L941" s="8">
        <v>2</v>
      </c>
    </row>
    <row r="942" spans="1:12" x14ac:dyDescent="0.8">
      <c r="A942" s="5" t="s">
        <v>1013</v>
      </c>
      <c r="B942" s="8">
        <v>39</v>
      </c>
      <c r="C942" s="5" t="s">
        <v>49</v>
      </c>
      <c r="D942" s="5" t="s">
        <v>42</v>
      </c>
      <c r="E942" s="5" t="s">
        <v>44</v>
      </c>
      <c r="F942" s="5" t="s">
        <v>60</v>
      </c>
      <c r="G942" s="8">
        <v>4</v>
      </c>
      <c r="H942" s="8">
        <v>3902</v>
      </c>
      <c r="I942" s="5" t="s">
        <v>49</v>
      </c>
      <c r="J942" s="8">
        <v>3</v>
      </c>
      <c r="K942" s="8">
        <v>2</v>
      </c>
      <c r="L942" s="8">
        <v>2</v>
      </c>
    </row>
    <row r="943" spans="1:12" x14ac:dyDescent="0.8">
      <c r="A943" s="5" t="s">
        <v>1014</v>
      </c>
      <c r="B943" s="8">
        <v>39</v>
      </c>
      <c r="C943" s="5" t="s">
        <v>49</v>
      </c>
      <c r="D943" s="5" t="s">
        <v>51</v>
      </c>
      <c r="E943" s="5" t="s">
        <v>53</v>
      </c>
      <c r="F943" s="5" t="s">
        <v>137</v>
      </c>
      <c r="G943" s="8">
        <v>3</v>
      </c>
      <c r="H943" s="8">
        <v>5736</v>
      </c>
      <c r="I943" s="5" t="s">
        <v>49</v>
      </c>
      <c r="J943" s="8">
        <v>3</v>
      </c>
      <c r="K943" s="8">
        <v>1</v>
      </c>
      <c r="L943" s="8">
        <v>3</v>
      </c>
    </row>
    <row r="944" spans="1:12" x14ac:dyDescent="0.8">
      <c r="A944" s="5" t="s">
        <v>1015</v>
      </c>
      <c r="B944" s="8">
        <v>39</v>
      </c>
      <c r="C944" s="5" t="s">
        <v>49</v>
      </c>
      <c r="D944" s="5" t="s">
        <v>42</v>
      </c>
      <c r="E944" s="5" t="s">
        <v>44</v>
      </c>
      <c r="F944" s="5" t="s">
        <v>112</v>
      </c>
      <c r="G944" s="8">
        <v>1</v>
      </c>
      <c r="H944" s="8">
        <v>5151</v>
      </c>
      <c r="I944" s="5" t="s">
        <v>49</v>
      </c>
      <c r="J944" s="8">
        <v>4</v>
      </c>
      <c r="K944" s="8">
        <v>3</v>
      </c>
      <c r="L944" s="8">
        <v>10</v>
      </c>
    </row>
    <row r="945" spans="1:12" x14ac:dyDescent="0.8">
      <c r="A945" s="5" t="s">
        <v>1016</v>
      </c>
      <c r="B945" s="8">
        <v>39</v>
      </c>
      <c r="C945" s="5" t="s">
        <v>49</v>
      </c>
      <c r="D945" s="5" t="s">
        <v>51</v>
      </c>
      <c r="E945" s="5" t="s">
        <v>44</v>
      </c>
      <c r="F945" s="5" t="s">
        <v>137</v>
      </c>
      <c r="G945" s="8">
        <v>1</v>
      </c>
      <c r="H945" s="8">
        <v>13341</v>
      </c>
      <c r="I945" s="5" t="s">
        <v>49</v>
      </c>
      <c r="J945" s="8">
        <v>3</v>
      </c>
      <c r="K945" s="8">
        <v>3</v>
      </c>
      <c r="L945" s="8">
        <v>20</v>
      </c>
    </row>
    <row r="946" spans="1:12" x14ac:dyDescent="0.8">
      <c r="A946" s="5" t="s">
        <v>1017</v>
      </c>
      <c r="B946" s="8">
        <v>39</v>
      </c>
      <c r="C946" s="5" t="s">
        <v>49</v>
      </c>
      <c r="D946" s="5" t="s">
        <v>42</v>
      </c>
      <c r="E946" s="5" t="s">
        <v>44</v>
      </c>
      <c r="F946" s="5" t="s">
        <v>60</v>
      </c>
      <c r="G946" s="8">
        <v>4</v>
      </c>
      <c r="H946" s="8">
        <v>4108</v>
      </c>
      <c r="I946" s="5" t="s">
        <v>49</v>
      </c>
      <c r="J946" s="8">
        <v>3</v>
      </c>
      <c r="K946" s="8">
        <v>2</v>
      </c>
      <c r="L946" s="8">
        <v>7</v>
      </c>
    </row>
    <row r="947" spans="1:12" x14ac:dyDescent="0.8">
      <c r="A947" s="5" t="s">
        <v>1018</v>
      </c>
      <c r="B947" s="8">
        <v>39</v>
      </c>
      <c r="C947" s="5" t="s">
        <v>49</v>
      </c>
      <c r="D947" s="5" t="s">
        <v>42</v>
      </c>
      <c r="E947" s="5" t="s">
        <v>44</v>
      </c>
      <c r="F947" s="5" t="s">
        <v>442</v>
      </c>
      <c r="G947" s="8">
        <v>4</v>
      </c>
      <c r="H947" s="8">
        <v>19431</v>
      </c>
      <c r="I947" s="5" t="s">
        <v>49</v>
      </c>
      <c r="J947" s="8">
        <v>3</v>
      </c>
      <c r="K947" s="8">
        <v>3</v>
      </c>
      <c r="L947" s="8">
        <v>6</v>
      </c>
    </row>
    <row r="948" spans="1:12" x14ac:dyDescent="0.8">
      <c r="A948" s="5" t="s">
        <v>1019</v>
      </c>
      <c r="B948" s="8">
        <v>39</v>
      </c>
      <c r="C948" s="5" t="s">
        <v>49</v>
      </c>
      <c r="D948" s="5" t="s">
        <v>51</v>
      </c>
      <c r="E948" s="5" t="s">
        <v>53</v>
      </c>
      <c r="F948" s="5" t="s">
        <v>137</v>
      </c>
      <c r="G948" s="8">
        <v>4</v>
      </c>
      <c r="H948" s="8">
        <v>12031</v>
      </c>
      <c r="I948" s="5" t="s">
        <v>49</v>
      </c>
      <c r="J948" s="8">
        <v>3</v>
      </c>
      <c r="K948" s="8">
        <v>2</v>
      </c>
      <c r="L948" s="8">
        <v>20</v>
      </c>
    </row>
    <row r="949" spans="1:12" x14ac:dyDescent="0.8">
      <c r="A949" s="5" t="s">
        <v>1020</v>
      </c>
      <c r="B949" s="8">
        <v>39</v>
      </c>
      <c r="C949" s="5" t="s">
        <v>49</v>
      </c>
      <c r="D949" s="5" t="s">
        <v>42</v>
      </c>
      <c r="E949" s="5" t="s">
        <v>44</v>
      </c>
      <c r="F949" s="5" t="s">
        <v>161</v>
      </c>
      <c r="G949" s="8">
        <v>1</v>
      </c>
      <c r="H949" s="8">
        <v>9991</v>
      </c>
      <c r="I949" s="5" t="s">
        <v>49</v>
      </c>
      <c r="J949" s="8">
        <v>3</v>
      </c>
      <c r="K949" s="8">
        <v>5</v>
      </c>
      <c r="L949" s="8">
        <v>7</v>
      </c>
    </row>
    <row r="950" spans="1:12" x14ac:dyDescent="0.8">
      <c r="A950" s="5" t="s">
        <v>1021</v>
      </c>
      <c r="B950" s="8">
        <v>40</v>
      </c>
      <c r="C950" s="5" t="s">
        <v>49</v>
      </c>
      <c r="D950" s="5" t="s">
        <v>42</v>
      </c>
      <c r="E950" s="5" t="s">
        <v>44</v>
      </c>
      <c r="F950" s="5" t="s">
        <v>161</v>
      </c>
      <c r="G950" s="8">
        <v>2</v>
      </c>
      <c r="H950" s="8">
        <v>13503</v>
      </c>
      <c r="I950" s="5" t="s">
        <v>49</v>
      </c>
      <c r="J950" s="8">
        <v>4</v>
      </c>
      <c r="K950" s="8">
        <v>3</v>
      </c>
      <c r="L950" s="8">
        <v>22</v>
      </c>
    </row>
    <row r="951" spans="1:12" x14ac:dyDescent="0.8">
      <c r="A951" s="5" t="s">
        <v>1022</v>
      </c>
      <c r="B951" s="8">
        <v>40</v>
      </c>
      <c r="C951" s="5" t="s">
        <v>49</v>
      </c>
      <c r="D951" s="5" t="s">
        <v>42</v>
      </c>
      <c r="E951" s="5" t="s">
        <v>53</v>
      </c>
      <c r="F951" s="5" t="s">
        <v>60</v>
      </c>
      <c r="G951" s="8">
        <v>2</v>
      </c>
      <c r="H951" s="8">
        <v>5605</v>
      </c>
      <c r="I951" s="5" t="s">
        <v>49</v>
      </c>
      <c r="J951" s="8">
        <v>3</v>
      </c>
      <c r="K951" s="8">
        <v>2</v>
      </c>
      <c r="L951" s="8">
        <v>20</v>
      </c>
    </row>
    <row r="952" spans="1:12" x14ac:dyDescent="0.8">
      <c r="A952" s="5" t="s">
        <v>1023</v>
      </c>
      <c r="B952" s="8">
        <v>40</v>
      </c>
      <c r="C952" s="5" t="s">
        <v>49</v>
      </c>
      <c r="D952" s="5" t="s">
        <v>51</v>
      </c>
      <c r="E952" s="5" t="s">
        <v>44</v>
      </c>
      <c r="F952" s="5" t="s">
        <v>137</v>
      </c>
      <c r="G952" s="8">
        <v>4</v>
      </c>
      <c r="H952" s="8">
        <v>10855</v>
      </c>
      <c r="I952" s="5" t="s">
        <v>49</v>
      </c>
      <c r="J952" s="8">
        <v>3</v>
      </c>
      <c r="K952" s="8">
        <v>2</v>
      </c>
      <c r="L952" s="8">
        <v>12</v>
      </c>
    </row>
    <row r="953" spans="1:12" x14ac:dyDescent="0.8">
      <c r="A953" s="5" t="s">
        <v>1024</v>
      </c>
      <c r="B953" s="8">
        <v>40</v>
      </c>
      <c r="C953" s="5" t="s">
        <v>49</v>
      </c>
      <c r="D953" s="5" t="s">
        <v>42</v>
      </c>
      <c r="E953" s="5" t="s">
        <v>53</v>
      </c>
      <c r="F953" s="5" t="s">
        <v>442</v>
      </c>
      <c r="G953" s="8">
        <v>3</v>
      </c>
      <c r="H953" s="8">
        <v>19033</v>
      </c>
      <c r="I953" s="5" t="s">
        <v>49</v>
      </c>
      <c r="J953" s="8">
        <v>3</v>
      </c>
      <c r="K953" s="8">
        <v>2</v>
      </c>
      <c r="L953" s="8">
        <v>20</v>
      </c>
    </row>
    <row r="954" spans="1:12" x14ac:dyDescent="0.8">
      <c r="A954" s="5" t="s">
        <v>1025</v>
      </c>
      <c r="B954" s="8">
        <v>40</v>
      </c>
      <c r="C954" s="5" t="s">
        <v>49</v>
      </c>
      <c r="D954" s="5" t="s">
        <v>42</v>
      </c>
      <c r="E954" s="5" t="s">
        <v>44</v>
      </c>
      <c r="F954" s="5" t="s">
        <v>45</v>
      </c>
      <c r="G954" s="8">
        <v>4</v>
      </c>
      <c r="H954" s="8">
        <v>2741</v>
      </c>
      <c r="I954" s="5" t="s">
        <v>40</v>
      </c>
      <c r="J954" s="8">
        <v>3</v>
      </c>
      <c r="K954" s="8">
        <v>2</v>
      </c>
      <c r="L954" s="8">
        <v>7</v>
      </c>
    </row>
    <row r="955" spans="1:12" x14ac:dyDescent="0.8">
      <c r="A955" s="5" t="s">
        <v>1026</v>
      </c>
      <c r="B955" s="8">
        <v>40</v>
      </c>
      <c r="C955" s="5" t="s">
        <v>49</v>
      </c>
      <c r="D955" s="5" t="s">
        <v>42</v>
      </c>
      <c r="E955" s="5" t="s">
        <v>44</v>
      </c>
      <c r="F955" s="5" t="s">
        <v>161</v>
      </c>
      <c r="G955" s="8">
        <v>4</v>
      </c>
      <c r="H955" s="8">
        <v>4876</v>
      </c>
      <c r="I955" s="5" t="s">
        <v>49</v>
      </c>
      <c r="J955" s="8">
        <v>3</v>
      </c>
      <c r="K955" s="8">
        <v>5</v>
      </c>
      <c r="L955" s="8">
        <v>3</v>
      </c>
    </row>
    <row r="956" spans="1:12" x14ac:dyDescent="0.8">
      <c r="A956" s="5" t="s">
        <v>1027</v>
      </c>
      <c r="B956" s="8">
        <v>40</v>
      </c>
      <c r="C956" s="5" t="s">
        <v>49</v>
      </c>
      <c r="D956" s="5" t="s">
        <v>42</v>
      </c>
      <c r="E956" s="5" t="s">
        <v>44</v>
      </c>
      <c r="F956" s="5" t="s">
        <v>60</v>
      </c>
      <c r="G956" s="8">
        <v>4</v>
      </c>
      <c r="H956" s="8">
        <v>3319</v>
      </c>
      <c r="I956" s="5" t="s">
        <v>49</v>
      </c>
      <c r="J956" s="8">
        <v>3</v>
      </c>
      <c r="K956" s="8">
        <v>3</v>
      </c>
      <c r="L956" s="8">
        <v>9</v>
      </c>
    </row>
    <row r="957" spans="1:12" x14ac:dyDescent="0.8">
      <c r="A957" s="5" t="s">
        <v>1028</v>
      </c>
      <c r="B957" s="8">
        <v>40</v>
      </c>
      <c r="C957" s="5" t="s">
        <v>49</v>
      </c>
      <c r="D957" s="5" t="s">
        <v>42</v>
      </c>
      <c r="E957" s="5" t="s">
        <v>44</v>
      </c>
      <c r="F957" s="5" t="s">
        <v>252</v>
      </c>
      <c r="G957" s="8">
        <v>3</v>
      </c>
      <c r="H957" s="8">
        <v>19436</v>
      </c>
      <c r="I957" s="5" t="s">
        <v>49</v>
      </c>
      <c r="J957" s="8">
        <v>3</v>
      </c>
      <c r="K957" s="8">
        <v>5</v>
      </c>
      <c r="L957" s="8">
        <v>21</v>
      </c>
    </row>
    <row r="958" spans="1:12" x14ac:dyDescent="0.8">
      <c r="A958" s="5" t="s">
        <v>1029</v>
      </c>
      <c r="B958" s="8">
        <v>40</v>
      </c>
      <c r="C958" s="5" t="s">
        <v>49</v>
      </c>
      <c r="D958" s="5" t="s">
        <v>51</v>
      </c>
      <c r="E958" s="5" t="s">
        <v>44</v>
      </c>
      <c r="F958" s="5" t="s">
        <v>137</v>
      </c>
      <c r="G958" s="8">
        <v>4</v>
      </c>
      <c r="H958" s="8">
        <v>7457</v>
      </c>
      <c r="I958" s="5" t="s">
        <v>40</v>
      </c>
      <c r="J958" s="8">
        <v>4</v>
      </c>
      <c r="K958" s="8">
        <v>2</v>
      </c>
      <c r="L958" s="8">
        <v>4</v>
      </c>
    </row>
    <row r="959" spans="1:12" x14ac:dyDescent="0.8">
      <c r="A959" s="5" t="s">
        <v>1030</v>
      </c>
      <c r="B959" s="8">
        <v>40</v>
      </c>
      <c r="C959" s="5" t="s">
        <v>49</v>
      </c>
      <c r="D959" s="5" t="s">
        <v>42</v>
      </c>
      <c r="E959" s="5" t="s">
        <v>53</v>
      </c>
      <c r="F959" s="5" t="s">
        <v>45</v>
      </c>
      <c r="G959" s="8">
        <v>3</v>
      </c>
      <c r="H959" s="8">
        <v>2213</v>
      </c>
      <c r="I959" s="5" t="s">
        <v>40</v>
      </c>
      <c r="J959" s="8">
        <v>3</v>
      </c>
      <c r="K959" s="8">
        <v>3</v>
      </c>
      <c r="L959" s="8">
        <v>7</v>
      </c>
    </row>
    <row r="960" spans="1:12" x14ac:dyDescent="0.8">
      <c r="A960" s="5" t="s">
        <v>1031</v>
      </c>
      <c r="B960" s="8">
        <v>40</v>
      </c>
      <c r="C960" s="5" t="s">
        <v>40</v>
      </c>
      <c r="D960" s="5" t="s">
        <v>51</v>
      </c>
      <c r="E960" s="5" t="s">
        <v>44</v>
      </c>
      <c r="F960" s="5" t="s">
        <v>137</v>
      </c>
      <c r="G960" s="8">
        <v>3</v>
      </c>
      <c r="H960" s="8">
        <v>6380</v>
      </c>
      <c r="I960" s="5" t="s">
        <v>40</v>
      </c>
      <c r="J960" s="8">
        <v>3</v>
      </c>
      <c r="K960" s="8">
        <v>6</v>
      </c>
      <c r="L960" s="8">
        <v>6</v>
      </c>
    </row>
    <row r="961" spans="1:12" x14ac:dyDescent="0.8">
      <c r="A961" s="5" t="s">
        <v>1032</v>
      </c>
      <c r="B961" s="8">
        <v>40</v>
      </c>
      <c r="C961" s="5" t="s">
        <v>49</v>
      </c>
      <c r="D961" s="5" t="s">
        <v>51</v>
      </c>
      <c r="E961" s="5" t="s">
        <v>53</v>
      </c>
      <c r="F961" s="5" t="s">
        <v>137</v>
      </c>
      <c r="G961" s="8">
        <v>2</v>
      </c>
      <c r="H961" s="8">
        <v>5715</v>
      </c>
      <c r="I961" s="5" t="s">
        <v>49</v>
      </c>
      <c r="J961" s="8">
        <v>3</v>
      </c>
      <c r="K961" s="8">
        <v>5</v>
      </c>
      <c r="L961" s="8">
        <v>5</v>
      </c>
    </row>
    <row r="962" spans="1:12" x14ac:dyDescent="0.8">
      <c r="A962" s="5" t="s">
        <v>1033</v>
      </c>
      <c r="B962" s="8">
        <v>40</v>
      </c>
      <c r="C962" s="5" t="s">
        <v>49</v>
      </c>
      <c r="D962" s="5" t="s">
        <v>42</v>
      </c>
      <c r="E962" s="5" t="s">
        <v>53</v>
      </c>
      <c r="F962" s="5" t="s">
        <v>45</v>
      </c>
      <c r="G962" s="8">
        <v>3</v>
      </c>
      <c r="H962" s="8">
        <v>3448</v>
      </c>
      <c r="I962" s="5" t="s">
        <v>49</v>
      </c>
      <c r="J962" s="8">
        <v>4</v>
      </c>
      <c r="K962" s="8">
        <v>3</v>
      </c>
      <c r="L962" s="8">
        <v>1</v>
      </c>
    </row>
    <row r="963" spans="1:12" x14ac:dyDescent="0.8">
      <c r="A963" s="5" t="s">
        <v>1034</v>
      </c>
      <c r="B963" s="8">
        <v>40</v>
      </c>
      <c r="C963" s="5" t="s">
        <v>49</v>
      </c>
      <c r="D963" s="5" t="s">
        <v>51</v>
      </c>
      <c r="E963" s="5" t="s">
        <v>53</v>
      </c>
      <c r="F963" s="5" t="s">
        <v>442</v>
      </c>
      <c r="G963" s="8">
        <v>3</v>
      </c>
      <c r="H963" s="8">
        <v>18041</v>
      </c>
      <c r="I963" s="5" t="s">
        <v>49</v>
      </c>
      <c r="J963" s="8">
        <v>3</v>
      </c>
      <c r="K963" s="8">
        <v>2</v>
      </c>
      <c r="L963" s="8">
        <v>20</v>
      </c>
    </row>
    <row r="964" spans="1:12" x14ac:dyDescent="0.8">
      <c r="A964" s="5" t="s">
        <v>1035</v>
      </c>
      <c r="B964" s="8">
        <v>40</v>
      </c>
      <c r="C964" s="5" t="s">
        <v>49</v>
      </c>
      <c r="D964" s="5" t="s">
        <v>42</v>
      </c>
      <c r="E964" s="5" t="s">
        <v>53</v>
      </c>
      <c r="F964" s="5" t="s">
        <v>112</v>
      </c>
      <c r="G964" s="8">
        <v>3</v>
      </c>
      <c r="H964" s="8">
        <v>13237</v>
      </c>
      <c r="I964" s="5" t="s">
        <v>49</v>
      </c>
      <c r="J964" s="8">
        <v>3</v>
      </c>
      <c r="K964" s="8">
        <v>3</v>
      </c>
      <c r="L964" s="8">
        <v>20</v>
      </c>
    </row>
    <row r="965" spans="1:12" x14ac:dyDescent="0.8">
      <c r="A965" s="5" t="s">
        <v>1036</v>
      </c>
      <c r="B965" s="8">
        <v>40</v>
      </c>
      <c r="C965" s="5" t="s">
        <v>49</v>
      </c>
      <c r="D965" s="5" t="s">
        <v>51</v>
      </c>
      <c r="E965" s="5" t="s">
        <v>44</v>
      </c>
      <c r="F965" s="5" t="s">
        <v>137</v>
      </c>
      <c r="G965" s="8">
        <v>1</v>
      </c>
      <c r="H965" s="8">
        <v>10932</v>
      </c>
      <c r="I965" s="5" t="s">
        <v>49</v>
      </c>
      <c r="J965" s="8">
        <v>3</v>
      </c>
      <c r="K965" s="8">
        <v>2</v>
      </c>
      <c r="L965" s="8">
        <v>1</v>
      </c>
    </row>
    <row r="966" spans="1:12" x14ac:dyDescent="0.8">
      <c r="A966" s="5" t="s">
        <v>1037</v>
      </c>
      <c r="B966" s="8">
        <v>40</v>
      </c>
      <c r="C966" s="5" t="s">
        <v>49</v>
      </c>
      <c r="D966" s="5" t="s">
        <v>51</v>
      </c>
      <c r="E966" s="5" t="s">
        <v>44</v>
      </c>
      <c r="F966" s="5" t="s">
        <v>137</v>
      </c>
      <c r="G966" s="8">
        <v>1</v>
      </c>
      <c r="H966" s="8">
        <v>10475</v>
      </c>
      <c r="I966" s="5" t="s">
        <v>40</v>
      </c>
      <c r="J966" s="8">
        <v>4</v>
      </c>
      <c r="K966" s="8">
        <v>2</v>
      </c>
      <c r="L966" s="8">
        <v>18</v>
      </c>
    </row>
    <row r="967" spans="1:12" x14ac:dyDescent="0.8">
      <c r="A967" s="5" t="s">
        <v>1038</v>
      </c>
      <c r="B967" s="8">
        <v>40</v>
      </c>
      <c r="C967" s="5" t="s">
        <v>49</v>
      </c>
      <c r="D967" s="5" t="s">
        <v>42</v>
      </c>
      <c r="E967" s="5" t="s">
        <v>53</v>
      </c>
      <c r="F967" s="5" t="s">
        <v>60</v>
      </c>
      <c r="G967" s="8">
        <v>4</v>
      </c>
      <c r="H967" s="8">
        <v>2342</v>
      </c>
      <c r="I967" s="5" t="s">
        <v>40</v>
      </c>
      <c r="J967" s="8">
        <v>4</v>
      </c>
      <c r="K967" s="8">
        <v>2</v>
      </c>
      <c r="L967" s="8">
        <v>4</v>
      </c>
    </row>
    <row r="968" spans="1:12" x14ac:dyDescent="0.8">
      <c r="A968" s="5" t="s">
        <v>1039</v>
      </c>
      <c r="B968" s="8">
        <v>40</v>
      </c>
      <c r="C968" s="5" t="s">
        <v>49</v>
      </c>
      <c r="D968" s="5" t="s">
        <v>42</v>
      </c>
      <c r="E968" s="5" t="s">
        <v>53</v>
      </c>
      <c r="F968" s="5" t="s">
        <v>161</v>
      </c>
      <c r="G968" s="8">
        <v>2</v>
      </c>
      <c r="H968" s="8">
        <v>4244</v>
      </c>
      <c r="I968" s="5" t="s">
        <v>49</v>
      </c>
      <c r="J968" s="8">
        <v>4</v>
      </c>
      <c r="K968" s="8">
        <v>2</v>
      </c>
      <c r="L968" s="8">
        <v>8</v>
      </c>
    </row>
    <row r="969" spans="1:12" x14ac:dyDescent="0.8">
      <c r="A969" s="5" t="s">
        <v>1040</v>
      </c>
      <c r="B969" s="8">
        <v>40</v>
      </c>
      <c r="C969" s="5" t="s">
        <v>49</v>
      </c>
      <c r="D969" s="5" t="s">
        <v>42</v>
      </c>
      <c r="E969" s="5" t="s">
        <v>44</v>
      </c>
      <c r="F969" s="5" t="s">
        <v>45</v>
      </c>
      <c r="G969" s="8">
        <v>3</v>
      </c>
      <c r="H969" s="8">
        <v>5094</v>
      </c>
      <c r="I969" s="5" t="s">
        <v>49</v>
      </c>
      <c r="J969" s="8">
        <v>3</v>
      </c>
      <c r="K969" s="8">
        <v>6</v>
      </c>
      <c r="L969" s="8">
        <v>1</v>
      </c>
    </row>
    <row r="970" spans="1:12" x14ac:dyDescent="0.8">
      <c r="A970" s="5" t="s">
        <v>1041</v>
      </c>
      <c r="B970" s="8">
        <v>40</v>
      </c>
      <c r="C970" s="5" t="s">
        <v>49</v>
      </c>
      <c r="D970" s="5" t="s">
        <v>51</v>
      </c>
      <c r="E970" s="5" t="s">
        <v>44</v>
      </c>
      <c r="F970" s="5" t="s">
        <v>137</v>
      </c>
      <c r="G970" s="8">
        <v>2</v>
      </c>
      <c r="H970" s="8">
        <v>9705</v>
      </c>
      <c r="I970" s="5" t="s">
        <v>49</v>
      </c>
      <c r="J970" s="8">
        <v>3</v>
      </c>
      <c r="K970" s="8">
        <v>2</v>
      </c>
      <c r="L970" s="8">
        <v>1</v>
      </c>
    </row>
    <row r="971" spans="1:12" x14ac:dyDescent="0.8">
      <c r="A971" s="5" t="s">
        <v>1042</v>
      </c>
      <c r="B971" s="8">
        <v>40</v>
      </c>
      <c r="C971" s="5" t="s">
        <v>49</v>
      </c>
      <c r="D971" s="5" t="s">
        <v>42</v>
      </c>
      <c r="E971" s="5" t="s">
        <v>44</v>
      </c>
      <c r="F971" s="5" t="s">
        <v>60</v>
      </c>
      <c r="G971" s="8">
        <v>2</v>
      </c>
      <c r="H971" s="8">
        <v>3617</v>
      </c>
      <c r="I971" s="5" t="s">
        <v>40</v>
      </c>
      <c r="J971" s="8">
        <v>3</v>
      </c>
      <c r="K971" s="8">
        <v>2</v>
      </c>
      <c r="L971" s="8">
        <v>1</v>
      </c>
    </row>
    <row r="972" spans="1:12" x14ac:dyDescent="0.8">
      <c r="A972" s="5" t="s">
        <v>1043</v>
      </c>
      <c r="B972" s="8">
        <v>40</v>
      </c>
      <c r="C972" s="5" t="s">
        <v>40</v>
      </c>
      <c r="D972" s="5" t="s">
        <v>51</v>
      </c>
      <c r="E972" s="5" t="s">
        <v>53</v>
      </c>
      <c r="F972" s="5" t="s">
        <v>137</v>
      </c>
      <c r="G972" s="8">
        <v>2</v>
      </c>
      <c r="H972" s="8">
        <v>13194</v>
      </c>
      <c r="I972" s="5" t="s">
        <v>40</v>
      </c>
      <c r="J972" s="8">
        <v>3</v>
      </c>
      <c r="K972" s="8">
        <v>2</v>
      </c>
      <c r="L972" s="8">
        <v>1</v>
      </c>
    </row>
    <row r="973" spans="1:12" x14ac:dyDescent="0.8">
      <c r="A973" s="5" t="s">
        <v>1044</v>
      </c>
      <c r="B973" s="8">
        <v>40</v>
      </c>
      <c r="C973" s="5" t="s">
        <v>49</v>
      </c>
      <c r="D973" s="5" t="s">
        <v>51</v>
      </c>
      <c r="E973" s="5" t="s">
        <v>44</v>
      </c>
      <c r="F973" s="5" t="s">
        <v>137</v>
      </c>
      <c r="G973" s="8">
        <v>1</v>
      </c>
      <c r="H973" s="8">
        <v>8396</v>
      </c>
      <c r="I973" s="5" t="s">
        <v>49</v>
      </c>
      <c r="J973" s="8">
        <v>3</v>
      </c>
      <c r="K973" s="8">
        <v>3</v>
      </c>
      <c r="L973" s="8">
        <v>7</v>
      </c>
    </row>
    <row r="974" spans="1:12" x14ac:dyDescent="0.8">
      <c r="A974" s="5" t="s">
        <v>1045</v>
      </c>
      <c r="B974" s="8">
        <v>40</v>
      </c>
      <c r="C974" s="5" t="s">
        <v>49</v>
      </c>
      <c r="D974" s="5" t="s">
        <v>42</v>
      </c>
      <c r="E974" s="5" t="s">
        <v>44</v>
      </c>
      <c r="F974" s="5" t="s">
        <v>161</v>
      </c>
      <c r="G974" s="8">
        <v>4</v>
      </c>
      <c r="H974" s="8">
        <v>10322</v>
      </c>
      <c r="I974" s="5" t="s">
        <v>49</v>
      </c>
      <c r="J974" s="8">
        <v>4</v>
      </c>
      <c r="K974" s="8">
        <v>6</v>
      </c>
      <c r="L974" s="8">
        <v>11</v>
      </c>
    </row>
    <row r="975" spans="1:12" x14ac:dyDescent="0.8">
      <c r="A975" s="5" t="s">
        <v>1046</v>
      </c>
      <c r="B975" s="8">
        <v>40</v>
      </c>
      <c r="C975" s="5" t="s">
        <v>49</v>
      </c>
      <c r="D975" s="5" t="s">
        <v>42</v>
      </c>
      <c r="E975" s="5" t="s">
        <v>44</v>
      </c>
      <c r="F975" s="5" t="s">
        <v>252</v>
      </c>
      <c r="G975" s="8">
        <v>3</v>
      </c>
      <c r="H975" s="8">
        <v>19626</v>
      </c>
      <c r="I975" s="5" t="s">
        <v>49</v>
      </c>
      <c r="J975" s="8">
        <v>3</v>
      </c>
      <c r="K975" s="8">
        <v>2</v>
      </c>
      <c r="L975" s="8">
        <v>20</v>
      </c>
    </row>
    <row r="976" spans="1:12" x14ac:dyDescent="0.8">
      <c r="A976" s="5" t="s">
        <v>1047</v>
      </c>
      <c r="B976" s="8">
        <v>40</v>
      </c>
      <c r="C976" s="5" t="s">
        <v>49</v>
      </c>
      <c r="D976" s="5" t="s">
        <v>42</v>
      </c>
      <c r="E976" s="5" t="s">
        <v>53</v>
      </c>
      <c r="F976" s="5" t="s">
        <v>252</v>
      </c>
      <c r="G976" s="8">
        <v>3</v>
      </c>
      <c r="H976" s="8">
        <v>13499</v>
      </c>
      <c r="I976" s="5" t="s">
        <v>49</v>
      </c>
      <c r="J976" s="8">
        <v>3</v>
      </c>
      <c r="K976" s="8">
        <v>3</v>
      </c>
      <c r="L976" s="8">
        <v>18</v>
      </c>
    </row>
    <row r="977" spans="1:12" x14ac:dyDescent="0.8">
      <c r="A977" s="5" t="s">
        <v>1048</v>
      </c>
      <c r="B977" s="8">
        <v>40</v>
      </c>
      <c r="C977" s="5" t="s">
        <v>49</v>
      </c>
      <c r="D977" s="5" t="s">
        <v>42</v>
      </c>
      <c r="E977" s="5" t="s">
        <v>53</v>
      </c>
      <c r="F977" s="5" t="s">
        <v>60</v>
      </c>
      <c r="G977" s="8">
        <v>4</v>
      </c>
      <c r="H977" s="8">
        <v>4422</v>
      </c>
      <c r="I977" s="5" t="s">
        <v>40</v>
      </c>
      <c r="J977" s="8">
        <v>3</v>
      </c>
      <c r="K977" s="8">
        <v>3</v>
      </c>
      <c r="L977" s="8">
        <v>1</v>
      </c>
    </row>
    <row r="978" spans="1:12" x14ac:dyDescent="0.8">
      <c r="A978" s="5" t="s">
        <v>1049</v>
      </c>
      <c r="B978" s="8">
        <v>40</v>
      </c>
      <c r="C978" s="5" t="s">
        <v>49</v>
      </c>
      <c r="D978" s="5" t="s">
        <v>51</v>
      </c>
      <c r="E978" s="5" t="s">
        <v>44</v>
      </c>
      <c r="F978" s="5" t="s">
        <v>137</v>
      </c>
      <c r="G978" s="8">
        <v>2</v>
      </c>
      <c r="H978" s="8">
        <v>4327</v>
      </c>
      <c r="I978" s="5" t="s">
        <v>49</v>
      </c>
      <c r="J978" s="8">
        <v>3</v>
      </c>
      <c r="K978" s="8">
        <v>2</v>
      </c>
      <c r="L978" s="8">
        <v>0</v>
      </c>
    </row>
    <row r="979" spans="1:12" x14ac:dyDescent="0.8">
      <c r="A979" s="5" t="s">
        <v>1050</v>
      </c>
      <c r="B979" s="8">
        <v>40</v>
      </c>
      <c r="C979" s="5" t="s">
        <v>49</v>
      </c>
      <c r="D979" s="5" t="s">
        <v>51</v>
      </c>
      <c r="E979" s="5" t="s">
        <v>53</v>
      </c>
      <c r="F979" s="5" t="s">
        <v>137</v>
      </c>
      <c r="G979" s="8">
        <v>2</v>
      </c>
      <c r="H979" s="8">
        <v>6852</v>
      </c>
      <c r="I979" s="5" t="s">
        <v>49</v>
      </c>
      <c r="J979" s="8">
        <v>3</v>
      </c>
      <c r="K979" s="8">
        <v>2</v>
      </c>
      <c r="L979" s="8">
        <v>5</v>
      </c>
    </row>
    <row r="980" spans="1:12" x14ac:dyDescent="0.8">
      <c r="A980" s="5" t="s">
        <v>1051</v>
      </c>
      <c r="B980" s="8">
        <v>40</v>
      </c>
      <c r="C980" s="5" t="s">
        <v>40</v>
      </c>
      <c r="D980" s="5" t="s">
        <v>51</v>
      </c>
      <c r="E980" s="5" t="s">
        <v>44</v>
      </c>
      <c r="F980" s="5" t="s">
        <v>137</v>
      </c>
      <c r="G980" s="8">
        <v>2</v>
      </c>
      <c r="H980" s="8">
        <v>9094</v>
      </c>
      <c r="I980" s="5" t="s">
        <v>40</v>
      </c>
      <c r="J980" s="8">
        <v>3</v>
      </c>
      <c r="K980" s="8">
        <v>2</v>
      </c>
      <c r="L980" s="8">
        <v>5</v>
      </c>
    </row>
    <row r="981" spans="1:12" x14ac:dyDescent="0.8">
      <c r="A981" s="5" t="s">
        <v>1052</v>
      </c>
      <c r="B981" s="8">
        <v>40</v>
      </c>
      <c r="C981" s="5" t="s">
        <v>49</v>
      </c>
      <c r="D981" s="5" t="s">
        <v>42</v>
      </c>
      <c r="E981" s="5" t="s">
        <v>44</v>
      </c>
      <c r="F981" s="5" t="s">
        <v>60</v>
      </c>
      <c r="G981" s="8">
        <v>3</v>
      </c>
      <c r="H981" s="8">
        <v>3544</v>
      </c>
      <c r="I981" s="5" t="s">
        <v>49</v>
      </c>
      <c r="J981" s="8">
        <v>3</v>
      </c>
      <c r="K981" s="8">
        <v>0</v>
      </c>
      <c r="L981" s="8">
        <v>4</v>
      </c>
    </row>
    <row r="982" spans="1:12" x14ac:dyDescent="0.8">
      <c r="A982" s="5" t="s">
        <v>1053</v>
      </c>
      <c r="B982" s="8">
        <v>40</v>
      </c>
      <c r="C982" s="5" t="s">
        <v>49</v>
      </c>
      <c r="D982" s="5" t="s">
        <v>42</v>
      </c>
      <c r="E982" s="5" t="s">
        <v>44</v>
      </c>
      <c r="F982" s="5" t="s">
        <v>60</v>
      </c>
      <c r="G982" s="8">
        <v>4</v>
      </c>
      <c r="H982" s="8">
        <v>4661</v>
      </c>
      <c r="I982" s="5" t="s">
        <v>49</v>
      </c>
      <c r="J982" s="8">
        <v>3</v>
      </c>
      <c r="K982" s="8">
        <v>4</v>
      </c>
      <c r="L982" s="8">
        <v>9</v>
      </c>
    </row>
    <row r="983" spans="1:12" x14ac:dyDescent="0.8">
      <c r="A983" s="5" t="s">
        <v>1054</v>
      </c>
      <c r="B983" s="8">
        <v>40</v>
      </c>
      <c r="C983" s="5" t="s">
        <v>49</v>
      </c>
      <c r="D983" s="5" t="s">
        <v>42</v>
      </c>
      <c r="E983" s="5" t="s">
        <v>44</v>
      </c>
      <c r="F983" s="5" t="s">
        <v>45</v>
      </c>
      <c r="G983" s="8">
        <v>2</v>
      </c>
      <c r="H983" s="8">
        <v>2387</v>
      </c>
      <c r="I983" s="5" t="s">
        <v>49</v>
      </c>
      <c r="J983" s="8">
        <v>4</v>
      </c>
      <c r="K983" s="8">
        <v>3</v>
      </c>
      <c r="L983" s="8">
        <v>4</v>
      </c>
    </row>
    <row r="984" spans="1:12" x14ac:dyDescent="0.8">
      <c r="A984" s="5" t="s">
        <v>1055</v>
      </c>
      <c r="B984" s="8">
        <v>40</v>
      </c>
      <c r="C984" s="5" t="s">
        <v>49</v>
      </c>
      <c r="D984" s="5" t="s">
        <v>42</v>
      </c>
      <c r="E984" s="5" t="s">
        <v>53</v>
      </c>
      <c r="F984" s="5" t="s">
        <v>161</v>
      </c>
      <c r="G984" s="8">
        <v>3</v>
      </c>
      <c r="H984" s="8">
        <v>6377</v>
      </c>
      <c r="I984" s="5" t="s">
        <v>49</v>
      </c>
      <c r="J984" s="8">
        <v>4</v>
      </c>
      <c r="K984" s="8">
        <v>0</v>
      </c>
      <c r="L984" s="8">
        <v>12</v>
      </c>
    </row>
    <row r="985" spans="1:12" x14ac:dyDescent="0.8">
      <c r="A985" s="5" t="s">
        <v>1056</v>
      </c>
      <c r="B985" s="8">
        <v>40</v>
      </c>
      <c r="C985" s="5" t="s">
        <v>49</v>
      </c>
      <c r="D985" s="5" t="s">
        <v>42</v>
      </c>
      <c r="E985" s="5" t="s">
        <v>44</v>
      </c>
      <c r="F985" s="5" t="s">
        <v>45</v>
      </c>
      <c r="G985" s="8">
        <v>3</v>
      </c>
      <c r="H985" s="8">
        <v>3975</v>
      </c>
      <c r="I985" s="5" t="s">
        <v>49</v>
      </c>
      <c r="J985" s="8">
        <v>3</v>
      </c>
      <c r="K985" s="8">
        <v>2</v>
      </c>
      <c r="L985" s="8">
        <v>8</v>
      </c>
    </row>
    <row r="986" spans="1:12" x14ac:dyDescent="0.8">
      <c r="A986" s="5" t="s">
        <v>1057</v>
      </c>
      <c r="B986" s="8">
        <v>40</v>
      </c>
      <c r="C986" s="5" t="s">
        <v>49</v>
      </c>
      <c r="D986" s="5" t="s">
        <v>42</v>
      </c>
      <c r="E986" s="5" t="s">
        <v>44</v>
      </c>
      <c r="F986" s="5" t="s">
        <v>252</v>
      </c>
      <c r="G986" s="8">
        <v>2</v>
      </c>
      <c r="H986" s="8">
        <v>13757</v>
      </c>
      <c r="I986" s="5" t="s">
        <v>49</v>
      </c>
      <c r="J986" s="8">
        <v>3</v>
      </c>
      <c r="K986" s="8">
        <v>5</v>
      </c>
      <c r="L986" s="8">
        <v>9</v>
      </c>
    </row>
    <row r="987" spans="1:12" x14ac:dyDescent="0.8">
      <c r="A987" s="5" t="s">
        <v>1058</v>
      </c>
      <c r="B987" s="8">
        <v>40</v>
      </c>
      <c r="C987" s="5" t="s">
        <v>49</v>
      </c>
      <c r="D987" s="5" t="s">
        <v>42</v>
      </c>
      <c r="E987" s="5" t="s">
        <v>44</v>
      </c>
      <c r="F987" s="5" t="s">
        <v>60</v>
      </c>
      <c r="G987" s="8">
        <v>3</v>
      </c>
      <c r="H987" s="8">
        <v>2345</v>
      </c>
      <c r="I987" s="5" t="s">
        <v>49</v>
      </c>
      <c r="J987" s="8">
        <v>3</v>
      </c>
      <c r="K987" s="8">
        <v>3</v>
      </c>
      <c r="L987" s="8">
        <v>3</v>
      </c>
    </row>
    <row r="988" spans="1:12" x14ac:dyDescent="0.8">
      <c r="A988" s="5" t="s">
        <v>1059</v>
      </c>
      <c r="B988" s="8">
        <v>40</v>
      </c>
      <c r="C988" s="5" t="s">
        <v>40</v>
      </c>
      <c r="D988" s="5" t="s">
        <v>42</v>
      </c>
      <c r="E988" s="5" t="s">
        <v>44</v>
      </c>
      <c r="F988" s="5" t="s">
        <v>45</v>
      </c>
      <c r="G988" s="8">
        <v>1</v>
      </c>
      <c r="H988" s="8">
        <v>2018</v>
      </c>
      <c r="I988" s="5" t="s">
        <v>49</v>
      </c>
      <c r="J988" s="8">
        <v>3</v>
      </c>
      <c r="K988" s="8">
        <v>3</v>
      </c>
      <c r="L988" s="8">
        <v>5</v>
      </c>
    </row>
    <row r="989" spans="1:12" x14ac:dyDescent="0.8">
      <c r="A989" s="5" t="s">
        <v>1060</v>
      </c>
      <c r="B989" s="8">
        <v>40</v>
      </c>
      <c r="C989" s="5" t="s">
        <v>49</v>
      </c>
      <c r="D989" s="5" t="s">
        <v>51</v>
      </c>
      <c r="E989" s="5" t="s">
        <v>44</v>
      </c>
      <c r="F989" s="5" t="s">
        <v>137</v>
      </c>
      <c r="G989" s="8">
        <v>1</v>
      </c>
      <c r="H989" s="8">
        <v>5473</v>
      </c>
      <c r="I989" s="5" t="s">
        <v>49</v>
      </c>
      <c r="J989" s="8">
        <v>3</v>
      </c>
      <c r="K989" s="8">
        <v>5</v>
      </c>
      <c r="L989" s="8">
        <v>8</v>
      </c>
    </row>
    <row r="990" spans="1:12" x14ac:dyDescent="0.8">
      <c r="A990" s="5" t="s">
        <v>1061</v>
      </c>
      <c r="B990" s="8">
        <v>40</v>
      </c>
      <c r="C990" s="5" t="s">
        <v>49</v>
      </c>
      <c r="D990" s="5" t="s">
        <v>71</v>
      </c>
      <c r="E990" s="5" t="s">
        <v>44</v>
      </c>
      <c r="F990" s="5" t="s">
        <v>442</v>
      </c>
      <c r="G990" s="8">
        <v>4</v>
      </c>
      <c r="H990" s="8">
        <v>16437</v>
      </c>
      <c r="I990" s="5" t="s">
        <v>40</v>
      </c>
      <c r="J990" s="8">
        <v>4</v>
      </c>
      <c r="K990" s="8">
        <v>2</v>
      </c>
      <c r="L990" s="8">
        <v>21</v>
      </c>
    </row>
    <row r="991" spans="1:12" x14ac:dyDescent="0.8">
      <c r="A991" s="5" t="s">
        <v>1062</v>
      </c>
      <c r="B991" s="8">
        <v>40</v>
      </c>
      <c r="C991" s="5" t="s">
        <v>49</v>
      </c>
      <c r="D991" s="5" t="s">
        <v>42</v>
      </c>
      <c r="E991" s="5" t="s">
        <v>44</v>
      </c>
      <c r="F991" s="5" t="s">
        <v>161</v>
      </c>
      <c r="G991" s="8">
        <v>4</v>
      </c>
      <c r="H991" s="8">
        <v>4069</v>
      </c>
      <c r="I991" s="5" t="s">
        <v>40</v>
      </c>
      <c r="J991" s="8">
        <v>3</v>
      </c>
      <c r="K991" s="8">
        <v>2</v>
      </c>
      <c r="L991" s="8">
        <v>2</v>
      </c>
    </row>
    <row r="992" spans="1:12" x14ac:dyDescent="0.8">
      <c r="A992" s="5" t="s">
        <v>1063</v>
      </c>
      <c r="B992" s="8">
        <v>40</v>
      </c>
      <c r="C992" s="5" t="s">
        <v>49</v>
      </c>
      <c r="D992" s="5" t="s">
        <v>51</v>
      </c>
      <c r="E992" s="5" t="s">
        <v>53</v>
      </c>
      <c r="F992" s="5" t="s">
        <v>137</v>
      </c>
      <c r="G992" s="8">
        <v>1</v>
      </c>
      <c r="H992" s="8">
        <v>4639</v>
      </c>
      <c r="I992" s="5" t="s">
        <v>49</v>
      </c>
      <c r="J992" s="8">
        <v>3</v>
      </c>
      <c r="K992" s="8">
        <v>2</v>
      </c>
      <c r="L992" s="8">
        <v>5</v>
      </c>
    </row>
    <row r="993" spans="1:12" x14ac:dyDescent="0.8">
      <c r="A993" s="5" t="s">
        <v>1064</v>
      </c>
      <c r="B993" s="8">
        <v>40</v>
      </c>
      <c r="C993" s="5" t="s">
        <v>49</v>
      </c>
      <c r="D993" s="5" t="s">
        <v>42</v>
      </c>
      <c r="E993" s="5" t="s">
        <v>53</v>
      </c>
      <c r="F993" s="5" t="s">
        <v>112</v>
      </c>
      <c r="G993" s="8">
        <v>3</v>
      </c>
      <c r="H993" s="8">
        <v>10435</v>
      </c>
      <c r="I993" s="5" t="s">
        <v>49</v>
      </c>
      <c r="J993" s="8">
        <v>3</v>
      </c>
      <c r="K993" s="8">
        <v>2</v>
      </c>
      <c r="L993" s="8">
        <v>18</v>
      </c>
    </row>
    <row r="994" spans="1:12" x14ac:dyDescent="0.8">
      <c r="A994" s="5" t="s">
        <v>1065</v>
      </c>
      <c r="B994" s="8">
        <v>40</v>
      </c>
      <c r="C994" s="5" t="s">
        <v>49</v>
      </c>
      <c r="D994" s="5" t="s">
        <v>42</v>
      </c>
      <c r="E994" s="5" t="s">
        <v>53</v>
      </c>
      <c r="F994" s="5" t="s">
        <v>112</v>
      </c>
      <c r="G994" s="8">
        <v>4</v>
      </c>
      <c r="H994" s="8">
        <v>7945</v>
      </c>
      <c r="I994" s="5" t="s">
        <v>40</v>
      </c>
      <c r="J994" s="8">
        <v>3</v>
      </c>
      <c r="K994" s="8">
        <v>2</v>
      </c>
      <c r="L994" s="8">
        <v>4</v>
      </c>
    </row>
    <row r="995" spans="1:12" x14ac:dyDescent="0.8">
      <c r="A995" s="5" t="s">
        <v>1066</v>
      </c>
      <c r="B995" s="8">
        <v>40</v>
      </c>
      <c r="C995" s="5" t="s">
        <v>40</v>
      </c>
      <c r="D995" s="5" t="s">
        <v>42</v>
      </c>
      <c r="E995" s="5" t="s">
        <v>44</v>
      </c>
      <c r="F995" s="5" t="s">
        <v>45</v>
      </c>
      <c r="G995" s="8">
        <v>1</v>
      </c>
      <c r="H995" s="8">
        <v>2166</v>
      </c>
      <c r="I995" s="5" t="s">
        <v>40</v>
      </c>
      <c r="J995" s="8">
        <v>3</v>
      </c>
      <c r="K995" s="8">
        <v>3</v>
      </c>
      <c r="L995" s="8">
        <v>4</v>
      </c>
    </row>
    <row r="996" spans="1:12" x14ac:dyDescent="0.8">
      <c r="A996" s="5" t="s">
        <v>1067</v>
      </c>
      <c r="B996" s="8">
        <v>40</v>
      </c>
      <c r="C996" s="5" t="s">
        <v>49</v>
      </c>
      <c r="D996" s="5" t="s">
        <v>42</v>
      </c>
      <c r="E996" s="5" t="s">
        <v>53</v>
      </c>
      <c r="F996" s="5" t="s">
        <v>112</v>
      </c>
      <c r="G996" s="8">
        <v>1</v>
      </c>
      <c r="H996" s="8">
        <v>6516</v>
      </c>
      <c r="I996" s="5" t="s">
        <v>40</v>
      </c>
      <c r="J996" s="8">
        <v>3</v>
      </c>
      <c r="K996" s="8">
        <v>3</v>
      </c>
      <c r="L996" s="8">
        <v>1</v>
      </c>
    </row>
    <row r="997" spans="1:12" x14ac:dyDescent="0.8">
      <c r="A997" s="5" t="s">
        <v>1068</v>
      </c>
      <c r="B997" s="8">
        <v>40</v>
      </c>
      <c r="C997" s="5" t="s">
        <v>49</v>
      </c>
      <c r="D997" s="5" t="s">
        <v>51</v>
      </c>
      <c r="E997" s="5" t="s">
        <v>44</v>
      </c>
      <c r="F997" s="5" t="s">
        <v>442</v>
      </c>
      <c r="G997" s="8">
        <v>2</v>
      </c>
      <c r="H997" s="8">
        <v>19833</v>
      </c>
      <c r="I997" s="5" t="s">
        <v>49</v>
      </c>
      <c r="J997" s="8">
        <v>3</v>
      </c>
      <c r="K997" s="8">
        <v>3</v>
      </c>
      <c r="L997" s="8">
        <v>21</v>
      </c>
    </row>
    <row r="998" spans="1:12" x14ac:dyDescent="0.8">
      <c r="A998" s="5" t="s">
        <v>1069</v>
      </c>
      <c r="B998" s="8">
        <v>40</v>
      </c>
      <c r="C998" s="5" t="s">
        <v>49</v>
      </c>
      <c r="D998" s="5" t="s">
        <v>42</v>
      </c>
      <c r="E998" s="5" t="s">
        <v>53</v>
      </c>
      <c r="F998" s="5" t="s">
        <v>45</v>
      </c>
      <c r="G998" s="8">
        <v>1</v>
      </c>
      <c r="H998" s="8">
        <v>3377</v>
      </c>
      <c r="I998" s="5" t="s">
        <v>49</v>
      </c>
      <c r="J998" s="8">
        <v>3</v>
      </c>
      <c r="K998" s="8">
        <v>5</v>
      </c>
      <c r="L998" s="8">
        <v>4</v>
      </c>
    </row>
    <row r="999" spans="1:12" x14ac:dyDescent="0.8">
      <c r="A999" s="5" t="s">
        <v>1070</v>
      </c>
      <c r="B999" s="8">
        <v>40</v>
      </c>
      <c r="C999" s="5" t="s">
        <v>49</v>
      </c>
      <c r="D999" s="5" t="s">
        <v>42</v>
      </c>
      <c r="E999" s="5" t="s">
        <v>53</v>
      </c>
      <c r="F999" s="5" t="s">
        <v>161</v>
      </c>
      <c r="G999" s="8">
        <v>4</v>
      </c>
      <c r="H999" s="8">
        <v>6513</v>
      </c>
      <c r="I999" s="5" t="s">
        <v>49</v>
      </c>
      <c r="J999" s="8">
        <v>3</v>
      </c>
      <c r="K999" s="8">
        <v>3</v>
      </c>
      <c r="L999" s="8">
        <v>5</v>
      </c>
    </row>
    <row r="1000" spans="1:12" x14ac:dyDescent="0.8">
      <c r="A1000" s="5" t="s">
        <v>1071</v>
      </c>
      <c r="B1000" s="8">
        <v>40</v>
      </c>
      <c r="C1000" s="5" t="s">
        <v>49</v>
      </c>
      <c r="D1000" s="5" t="s">
        <v>42</v>
      </c>
      <c r="E1000" s="5" t="s">
        <v>53</v>
      </c>
      <c r="F1000" s="5" t="s">
        <v>161</v>
      </c>
      <c r="G1000" s="8">
        <v>1</v>
      </c>
      <c r="H1000" s="8">
        <v>4448</v>
      </c>
      <c r="I1000" s="5" t="s">
        <v>49</v>
      </c>
      <c r="J1000" s="8">
        <v>3</v>
      </c>
      <c r="K1000" s="8">
        <v>3</v>
      </c>
      <c r="L1000" s="8">
        <v>7</v>
      </c>
    </row>
    <row r="1001" spans="1:12" x14ac:dyDescent="0.8">
      <c r="A1001" s="5" t="s">
        <v>1072</v>
      </c>
      <c r="B1001" s="8">
        <v>40</v>
      </c>
      <c r="C1001" s="5" t="s">
        <v>49</v>
      </c>
      <c r="D1001" s="5" t="s">
        <v>42</v>
      </c>
      <c r="E1001" s="5" t="s">
        <v>44</v>
      </c>
      <c r="F1001" s="5" t="s">
        <v>442</v>
      </c>
      <c r="G1001" s="8">
        <v>1</v>
      </c>
      <c r="H1001" s="8">
        <v>16823</v>
      </c>
      <c r="I1001" s="5" t="s">
        <v>49</v>
      </c>
      <c r="J1001" s="8">
        <v>3</v>
      </c>
      <c r="K1001" s="8">
        <v>3</v>
      </c>
      <c r="L1001" s="8">
        <v>19</v>
      </c>
    </row>
    <row r="1002" spans="1:12" x14ac:dyDescent="0.8">
      <c r="A1002" s="5" t="s">
        <v>1073</v>
      </c>
      <c r="B1002" s="8">
        <v>40</v>
      </c>
      <c r="C1002" s="5" t="s">
        <v>49</v>
      </c>
      <c r="D1002" s="5" t="s">
        <v>42</v>
      </c>
      <c r="E1002" s="5" t="s">
        <v>53</v>
      </c>
      <c r="F1002" s="5" t="s">
        <v>45</v>
      </c>
      <c r="G1002" s="8">
        <v>3</v>
      </c>
      <c r="H1002" s="8">
        <v>6323</v>
      </c>
      <c r="I1002" s="5" t="s">
        <v>49</v>
      </c>
      <c r="J1002" s="8">
        <v>3</v>
      </c>
      <c r="K1002" s="8">
        <v>2</v>
      </c>
      <c r="L1002" s="8">
        <v>10</v>
      </c>
    </row>
    <row r="1003" spans="1:12" x14ac:dyDescent="0.8">
      <c r="A1003" s="5" t="s">
        <v>1074</v>
      </c>
      <c r="B1003" s="8">
        <v>40</v>
      </c>
      <c r="C1003" s="5" t="s">
        <v>49</v>
      </c>
      <c r="D1003" s="5" t="s">
        <v>51</v>
      </c>
      <c r="E1003" s="5" t="s">
        <v>53</v>
      </c>
      <c r="F1003" s="5" t="s">
        <v>137</v>
      </c>
      <c r="G1003" s="8">
        <v>2</v>
      </c>
      <c r="H1003" s="8">
        <v>5677</v>
      </c>
      <c r="I1003" s="5" t="s">
        <v>49</v>
      </c>
      <c r="J1003" s="8">
        <v>3</v>
      </c>
      <c r="K1003" s="8">
        <v>4</v>
      </c>
      <c r="L1003" s="8">
        <v>11</v>
      </c>
    </row>
    <row r="1004" spans="1:12" x14ac:dyDescent="0.8">
      <c r="A1004" s="5" t="s">
        <v>1075</v>
      </c>
      <c r="B1004" s="8">
        <v>40</v>
      </c>
      <c r="C1004" s="5" t="s">
        <v>49</v>
      </c>
      <c r="D1004" s="5" t="s">
        <v>42</v>
      </c>
      <c r="E1004" s="5" t="s">
        <v>44</v>
      </c>
      <c r="F1004" s="5" t="s">
        <v>45</v>
      </c>
      <c r="G1004" s="8">
        <v>4</v>
      </c>
      <c r="H1004" s="8">
        <v>2406</v>
      </c>
      <c r="I1004" s="5" t="s">
        <v>49</v>
      </c>
      <c r="J1004" s="8">
        <v>3</v>
      </c>
      <c r="K1004" s="8">
        <v>3</v>
      </c>
      <c r="L1004" s="8">
        <v>1</v>
      </c>
    </row>
    <row r="1005" spans="1:12" x14ac:dyDescent="0.8">
      <c r="A1005" s="5" t="s">
        <v>1076</v>
      </c>
      <c r="B1005" s="8">
        <v>40</v>
      </c>
      <c r="C1005" s="5" t="s">
        <v>49</v>
      </c>
      <c r="D1005" s="5" t="s">
        <v>42</v>
      </c>
      <c r="E1005" s="5" t="s">
        <v>44</v>
      </c>
      <c r="F1005" s="5" t="s">
        <v>60</v>
      </c>
      <c r="G1005" s="8">
        <v>3</v>
      </c>
      <c r="H1005" s="8">
        <v>2809</v>
      </c>
      <c r="I1005" s="5" t="s">
        <v>49</v>
      </c>
      <c r="J1005" s="8">
        <v>3</v>
      </c>
      <c r="K1005" s="8">
        <v>2</v>
      </c>
      <c r="L1005" s="8">
        <v>2</v>
      </c>
    </row>
    <row r="1006" spans="1:12" x14ac:dyDescent="0.8">
      <c r="A1006" s="5" t="s">
        <v>1077</v>
      </c>
      <c r="B1006" s="8">
        <v>40</v>
      </c>
      <c r="C1006" s="5" t="s">
        <v>49</v>
      </c>
      <c r="D1006" s="5" t="s">
        <v>42</v>
      </c>
      <c r="E1006" s="5" t="s">
        <v>53</v>
      </c>
      <c r="F1006" s="5" t="s">
        <v>60</v>
      </c>
      <c r="G1006" s="8">
        <v>3</v>
      </c>
      <c r="H1006" s="8">
        <v>2001</v>
      </c>
      <c r="I1006" s="5" t="s">
        <v>49</v>
      </c>
      <c r="J1006" s="8">
        <v>3</v>
      </c>
      <c r="K1006" s="8">
        <v>2</v>
      </c>
      <c r="L1006" s="8">
        <v>5</v>
      </c>
    </row>
    <row r="1007" spans="1:12" x14ac:dyDescent="0.8">
      <c r="A1007" s="5" t="s">
        <v>1078</v>
      </c>
      <c r="B1007" s="8">
        <v>41</v>
      </c>
      <c r="C1007" s="5" t="s">
        <v>40</v>
      </c>
      <c r="D1007" s="5" t="s">
        <v>51</v>
      </c>
      <c r="E1007" s="5" t="s">
        <v>53</v>
      </c>
      <c r="F1007" s="5" t="s">
        <v>137</v>
      </c>
      <c r="G1007" s="8">
        <v>4</v>
      </c>
      <c r="H1007" s="8">
        <v>5993</v>
      </c>
      <c r="I1007" s="5" t="s">
        <v>40</v>
      </c>
      <c r="J1007" s="8">
        <v>3</v>
      </c>
      <c r="K1007" s="8">
        <v>0</v>
      </c>
      <c r="L1007" s="8">
        <v>6</v>
      </c>
    </row>
    <row r="1008" spans="1:12" x14ac:dyDescent="0.8">
      <c r="A1008" s="5" t="s">
        <v>1079</v>
      </c>
      <c r="B1008" s="8">
        <v>41</v>
      </c>
      <c r="C1008" s="5" t="s">
        <v>40</v>
      </c>
      <c r="D1008" s="5" t="s">
        <v>42</v>
      </c>
      <c r="E1008" s="5" t="s">
        <v>53</v>
      </c>
      <c r="F1008" s="5" t="s">
        <v>252</v>
      </c>
      <c r="G1008" s="8">
        <v>3</v>
      </c>
      <c r="H1008" s="8">
        <v>19545</v>
      </c>
      <c r="I1008" s="5" t="s">
        <v>49</v>
      </c>
      <c r="J1008" s="8">
        <v>3</v>
      </c>
      <c r="K1008" s="8">
        <v>0</v>
      </c>
      <c r="L1008" s="8">
        <v>22</v>
      </c>
    </row>
    <row r="1009" spans="1:12" x14ac:dyDescent="0.8">
      <c r="A1009" s="5" t="s">
        <v>1080</v>
      </c>
      <c r="B1009" s="8">
        <v>41</v>
      </c>
      <c r="C1009" s="5" t="s">
        <v>49</v>
      </c>
      <c r="D1009" s="5" t="s">
        <v>51</v>
      </c>
      <c r="E1009" s="5" t="s">
        <v>44</v>
      </c>
      <c r="F1009" s="5" t="s">
        <v>137</v>
      </c>
      <c r="G1009" s="8">
        <v>3</v>
      </c>
      <c r="H1009" s="8">
        <v>8189</v>
      </c>
      <c r="I1009" s="5" t="s">
        <v>40</v>
      </c>
      <c r="J1009" s="8">
        <v>3</v>
      </c>
      <c r="K1009" s="8">
        <v>2</v>
      </c>
      <c r="L1009" s="8">
        <v>9</v>
      </c>
    </row>
    <row r="1010" spans="1:12" x14ac:dyDescent="0.8">
      <c r="A1010" s="5" t="s">
        <v>1081</v>
      </c>
      <c r="B1010" s="8">
        <v>41</v>
      </c>
      <c r="C1010" s="5" t="s">
        <v>49</v>
      </c>
      <c r="D1010" s="5" t="s">
        <v>42</v>
      </c>
      <c r="E1010" s="5" t="s">
        <v>44</v>
      </c>
      <c r="F1010" s="5" t="s">
        <v>442</v>
      </c>
      <c r="G1010" s="8">
        <v>1</v>
      </c>
      <c r="H1010" s="8">
        <v>17181</v>
      </c>
      <c r="I1010" s="5" t="s">
        <v>49</v>
      </c>
      <c r="J1010" s="8">
        <v>3</v>
      </c>
      <c r="K1010" s="8">
        <v>2</v>
      </c>
      <c r="L1010" s="8">
        <v>7</v>
      </c>
    </row>
    <row r="1011" spans="1:12" x14ac:dyDescent="0.8">
      <c r="A1011" s="5" t="s">
        <v>1082</v>
      </c>
      <c r="B1011" s="8">
        <v>41</v>
      </c>
      <c r="C1011" s="5" t="s">
        <v>49</v>
      </c>
      <c r="D1011" s="5" t="s">
        <v>42</v>
      </c>
      <c r="E1011" s="5" t="s">
        <v>44</v>
      </c>
      <c r="F1011" s="5" t="s">
        <v>45</v>
      </c>
      <c r="G1011" s="8">
        <v>1</v>
      </c>
      <c r="H1011" s="8">
        <v>2238</v>
      </c>
      <c r="I1011" s="5" t="s">
        <v>49</v>
      </c>
      <c r="J1011" s="8">
        <v>4</v>
      </c>
      <c r="K1011" s="8">
        <v>2</v>
      </c>
      <c r="L1011" s="8">
        <v>5</v>
      </c>
    </row>
    <row r="1012" spans="1:12" x14ac:dyDescent="0.8">
      <c r="A1012" s="5" t="s">
        <v>1083</v>
      </c>
      <c r="B1012" s="8">
        <v>41</v>
      </c>
      <c r="C1012" s="5" t="s">
        <v>49</v>
      </c>
      <c r="D1012" s="5" t="s">
        <v>42</v>
      </c>
      <c r="E1012" s="5" t="s">
        <v>44</v>
      </c>
      <c r="F1012" s="5" t="s">
        <v>60</v>
      </c>
      <c r="G1012" s="8">
        <v>3</v>
      </c>
      <c r="H1012" s="8">
        <v>2451</v>
      </c>
      <c r="I1012" s="5" t="s">
        <v>49</v>
      </c>
      <c r="J1012" s="8">
        <v>3</v>
      </c>
      <c r="K1012" s="8">
        <v>2</v>
      </c>
      <c r="L1012" s="8">
        <v>9</v>
      </c>
    </row>
    <row r="1013" spans="1:12" x14ac:dyDescent="0.8">
      <c r="A1013" s="5" t="s">
        <v>1084</v>
      </c>
      <c r="B1013" s="8">
        <v>41</v>
      </c>
      <c r="C1013" s="5" t="s">
        <v>40</v>
      </c>
      <c r="D1013" s="5" t="s">
        <v>51</v>
      </c>
      <c r="E1013" s="5" t="s">
        <v>53</v>
      </c>
      <c r="F1013" s="5" t="s">
        <v>54</v>
      </c>
      <c r="G1013" s="8">
        <v>2</v>
      </c>
      <c r="H1013" s="8">
        <v>3140</v>
      </c>
      <c r="I1013" s="5" t="s">
        <v>40</v>
      </c>
      <c r="J1013" s="8">
        <v>4</v>
      </c>
      <c r="K1013" s="8">
        <v>5</v>
      </c>
      <c r="L1013" s="8">
        <v>4</v>
      </c>
    </row>
    <row r="1014" spans="1:12" x14ac:dyDescent="0.8">
      <c r="A1014" s="5" t="s">
        <v>1085</v>
      </c>
      <c r="B1014" s="8">
        <v>41</v>
      </c>
      <c r="C1014" s="5" t="s">
        <v>49</v>
      </c>
      <c r="D1014" s="5" t="s">
        <v>51</v>
      </c>
      <c r="E1014" s="5" t="s">
        <v>53</v>
      </c>
      <c r="F1014" s="5" t="s">
        <v>442</v>
      </c>
      <c r="G1014" s="8">
        <v>4</v>
      </c>
      <c r="H1014" s="8">
        <v>13591</v>
      </c>
      <c r="I1014" s="5" t="s">
        <v>40</v>
      </c>
      <c r="J1014" s="8">
        <v>3</v>
      </c>
      <c r="K1014" s="8">
        <v>3</v>
      </c>
      <c r="L1014" s="8">
        <v>1</v>
      </c>
    </row>
    <row r="1015" spans="1:12" x14ac:dyDescent="0.8">
      <c r="A1015" s="5" t="s">
        <v>1086</v>
      </c>
      <c r="B1015" s="8">
        <v>41</v>
      </c>
      <c r="C1015" s="5" t="s">
        <v>49</v>
      </c>
      <c r="D1015" s="5" t="s">
        <v>42</v>
      </c>
      <c r="E1015" s="5" t="s">
        <v>44</v>
      </c>
      <c r="F1015" s="5" t="s">
        <v>60</v>
      </c>
      <c r="G1015" s="8">
        <v>1</v>
      </c>
      <c r="H1015" s="8">
        <v>3072</v>
      </c>
      <c r="I1015" s="5" t="s">
        <v>49</v>
      </c>
      <c r="J1015" s="8">
        <v>3</v>
      </c>
      <c r="K1015" s="8">
        <v>2</v>
      </c>
      <c r="L1015" s="8">
        <v>1</v>
      </c>
    </row>
    <row r="1016" spans="1:12" x14ac:dyDescent="0.8">
      <c r="A1016" s="5" t="s">
        <v>1087</v>
      </c>
      <c r="B1016" s="8">
        <v>41</v>
      </c>
      <c r="C1016" s="5" t="s">
        <v>49</v>
      </c>
      <c r="D1016" s="5" t="s">
        <v>51</v>
      </c>
      <c r="E1016" s="5" t="s">
        <v>44</v>
      </c>
      <c r="F1016" s="5" t="s">
        <v>442</v>
      </c>
      <c r="G1016" s="8">
        <v>2</v>
      </c>
      <c r="H1016" s="8">
        <v>16015</v>
      </c>
      <c r="I1016" s="5" t="s">
        <v>49</v>
      </c>
      <c r="J1016" s="8">
        <v>3</v>
      </c>
      <c r="K1016" s="8">
        <v>2</v>
      </c>
      <c r="L1016" s="8">
        <v>22</v>
      </c>
    </row>
    <row r="1017" spans="1:12" x14ac:dyDescent="0.8">
      <c r="A1017" s="5" t="s">
        <v>1088</v>
      </c>
      <c r="B1017" s="8">
        <v>41</v>
      </c>
      <c r="C1017" s="5" t="s">
        <v>49</v>
      </c>
      <c r="D1017" s="5" t="s">
        <v>42</v>
      </c>
      <c r="E1017" s="5" t="s">
        <v>44</v>
      </c>
      <c r="F1017" s="5" t="s">
        <v>112</v>
      </c>
      <c r="G1017" s="8">
        <v>2</v>
      </c>
      <c r="H1017" s="8">
        <v>6032</v>
      </c>
      <c r="I1017" s="5" t="s">
        <v>40</v>
      </c>
      <c r="J1017" s="8">
        <v>3</v>
      </c>
      <c r="K1017" s="8">
        <v>3</v>
      </c>
      <c r="L1017" s="8">
        <v>5</v>
      </c>
    </row>
    <row r="1018" spans="1:12" x14ac:dyDescent="0.8">
      <c r="A1018" s="5" t="s">
        <v>1089</v>
      </c>
      <c r="B1018" s="8">
        <v>41</v>
      </c>
      <c r="C1018" s="5" t="s">
        <v>40</v>
      </c>
      <c r="D1018" s="5" t="s">
        <v>51</v>
      </c>
      <c r="E1018" s="5" t="s">
        <v>44</v>
      </c>
      <c r="F1018" s="5" t="s">
        <v>137</v>
      </c>
      <c r="G1018" s="8">
        <v>2</v>
      </c>
      <c r="H1018" s="8">
        <v>9355</v>
      </c>
      <c r="I1018" s="5" t="s">
        <v>49</v>
      </c>
      <c r="J1018" s="8">
        <v>3</v>
      </c>
      <c r="K1018" s="8">
        <v>5</v>
      </c>
      <c r="L1018" s="8">
        <v>8</v>
      </c>
    </row>
    <row r="1019" spans="1:12" x14ac:dyDescent="0.8">
      <c r="A1019" s="5" t="s">
        <v>1090</v>
      </c>
      <c r="B1019" s="8">
        <v>41</v>
      </c>
      <c r="C1019" s="5" t="s">
        <v>49</v>
      </c>
      <c r="D1019" s="5" t="s">
        <v>51</v>
      </c>
      <c r="E1019" s="5" t="s">
        <v>44</v>
      </c>
      <c r="F1019" s="5" t="s">
        <v>137</v>
      </c>
      <c r="G1019" s="8">
        <v>1</v>
      </c>
      <c r="H1019" s="8">
        <v>8392</v>
      </c>
      <c r="I1019" s="5" t="s">
        <v>49</v>
      </c>
      <c r="J1019" s="8">
        <v>3</v>
      </c>
      <c r="K1019" s="8">
        <v>2</v>
      </c>
      <c r="L1019" s="8">
        <v>10</v>
      </c>
    </row>
    <row r="1020" spans="1:12" x14ac:dyDescent="0.8">
      <c r="A1020" s="5" t="s">
        <v>1091</v>
      </c>
      <c r="B1020" s="8">
        <v>41</v>
      </c>
      <c r="C1020" s="5" t="s">
        <v>49</v>
      </c>
      <c r="D1020" s="5" t="s">
        <v>51</v>
      </c>
      <c r="E1020" s="5" t="s">
        <v>44</v>
      </c>
      <c r="F1020" s="5" t="s">
        <v>137</v>
      </c>
      <c r="G1020" s="8">
        <v>4</v>
      </c>
      <c r="H1020" s="8">
        <v>6230</v>
      </c>
      <c r="I1020" s="5" t="s">
        <v>49</v>
      </c>
      <c r="J1020" s="8">
        <v>3</v>
      </c>
      <c r="K1020" s="8">
        <v>3</v>
      </c>
      <c r="L1020" s="8">
        <v>14</v>
      </c>
    </row>
    <row r="1021" spans="1:12" x14ac:dyDescent="0.8">
      <c r="A1021" s="5" t="s">
        <v>1092</v>
      </c>
      <c r="B1021" s="8">
        <v>41</v>
      </c>
      <c r="C1021" s="5" t="s">
        <v>49</v>
      </c>
      <c r="D1021" s="5" t="s">
        <v>42</v>
      </c>
      <c r="E1021" s="5" t="s">
        <v>53</v>
      </c>
      <c r="F1021" s="5" t="s">
        <v>161</v>
      </c>
      <c r="G1021" s="8">
        <v>3</v>
      </c>
      <c r="H1021" s="8">
        <v>6811</v>
      </c>
      <c r="I1021" s="5" t="s">
        <v>40</v>
      </c>
      <c r="J1021" s="8">
        <v>3</v>
      </c>
      <c r="K1021" s="8">
        <v>3</v>
      </c>
      <c r="L1021" s="8">
        <v>8</v>
      </c>
    </row>
    <row r="1022" spans="1:12" x14ac:dyDescent="0.8">
      <c r="A1022" s="5" t="s">
        <v>1093</v>
      </c>
      <c r="B1022" s="8">
        <v>41</v>
      </c>
      <c r="C1022" s="5" t="s">
        <v>49</v>
      </c>
      <c r="D1022" s="5" t="s">
        <v>51</v>
      </c>
      <c r="E1022" s="5" t="s">
        <v>53</v>
      </c>
      <c r="F1022" s="5" t="s">
        <v>442</v>
      </c>
      <c r="G1022" s="8">
        <v>1</v>
      </c>
      <c r="H1022" s="8">
        <v>16595</v>
      </c>
      <c r="I1022" s="5" t="s">
        <v>49</v>
      </c>
      <c r="J1022" s="8">
        <v>3</v>
      </c>
      <c r="K1022" s="8">
        <v>2</v>
      </c>
      <c r="L1022" s="8">
        <v>18</v>
      </c>
    </row>
    <row r="1023" spans="1:12" x14ac:dyDescent="0.8">
      <c r="A1023" s="5" t="s">
        <v>1094</v>
      </c>
      <c r="B1023" s="8">
        <v>41</v>
      </c>
      <c r="C1023" s="5" t="s">
        <v>49</v>
      </c>
      <c r="D1023" s="5" t="s">
        <v>71</v>
      </c>
      <c r="E1023" s="5" t="s">
        <v>44</v>
      </c>
      <c r="F1023" s="5" t="s">
        <v>442</v>
      </c>
      <c r="G1023" s="8">
        <v>4</v>
      </c>
      <c r="H1023" s="8">
        <v>19141</v>
      </c>
      <c r="I1023" s="5" t="s">
        <v>49</v>
      </c>
      <c r="J1023" s="8">
        <v>3</v>
      </c>
      <c r="K1023" s="8">
        <v>2</v>
      </c>
      <c r="L1023" s="8">
        <v>21</v>
      </c>
    </row>
    <row r="1024" spans="1:12" x14ac:dyDescent="0.8">
      <c r="A1024" s="5" t="s">
        <v>1095</v>
      </c>
      <c r="B1024" s="8">
        <v>41</v>
      </c>
      <c r="C1024" s="5" t="s">
        <v>49</v>
      </c>
      <c r="D1024" s="5" t="s">
        <v>71</v>
      </c>
      <c r="E1024" s="5" t="s">
        <v>44</v>
      </c>
      <c r="F1024" s="5" t="s">
        <v>442</v>
      </c>
      <c r="G1024" s="8">
        <v>3</v>
      </c>
      <c r="H1024" s="8">
        <v>19189</v>
      </c>
      <c r="I1024" s="5" t="s">
        <v>49</v>
      </c>
      <c r="J1024" s="8">
        <v>3</v>
      </c>
      <c r="K1024" s="8">
        <v>3</v>
      </c>
      <c r="L1024" s="8">
        <v>22</v>
      </c>
    </row>
    <row r="1025" spans="1:12" x14ac:dyDescent="0.8">
      <c r="A1025" s="5" t="s">
        <v>1096</v>
      </c>
      <c r="B1025" s="8">
        <v>41</v>
      </c>
      <c r="C1025" s="5" t="s">
        <v>40</v>
      </c>
      <c r="D1025" s="5" t="s">
        <v>42</v>
      </c>
      <c r="E1025" s="5" t="s">
        <v>53</v>
      </c>
      <c r="F1025" s="5" t="s">
        <v>45</v>
      </c>
      <c r="G1025" s="8">
        <v>4</v>
      </c>
      <c r="H1025" s="8">
        <v>2778</v>
      </c>
      <c r="I1025" s="5" t="s">
        <v>40</v>
      </c>
      <c r="J1025" s="8">
        <v>3</v>
      </c>
      <c r="K1025" s="8">
        <v>1</v>
      </c>
      <c r="L1025" s="8">
        <v>7</v>
      </c>
    </row>
    <row r="1026" spans="1:12" x14ac:dyDescent="0.8">
      <c r="A1026" s="5" t="s">
        <v>1097</v>
      </c>
      <c r="B1026" s="8">
        <v>41</v>
      </c>
      <c r="C1026" s="5" t="s">
        <v>49</v>
      </c>
      <c r="D1026" s="5" t="s">
        <v>42</v>
      </c>
      <c r="E1026" s="5" t="s">
        <v>44</v>
      </c>
      <c r="F1026" s="5" t="s">
        <v>45</v>
      </c>
      <c r="G1026" s="8">
        <v>1</v>
      </c>
      <c r="H1026" s="8">
        <v>4721</v>
      </c>
      <c r="I1026" s="5" t="s">
        <v>40</v>
      </c>
      <c r="J1026" s="8">
        <v>3</v>
      </c>
      <c r="K1026" s="8">
        <v>3</v>
      </c>
      <c r="L1026" s="8">
        <v>18</v>
      </c>
    </row>
    <row r="1027" spans="1:12" x14ac:dyDescent="0.8">
      <c r="A1027" s="5" t="s">
        <v>1098</v>
      </c>
      <c r="B1027" s="8">
        <v>41</v>
      </c>
      <c r="C1027" s="5" t="s">
        <v>49</v>
      </c>
      <c r="D1027" s="5" t="s">
        <v>42</v>
      </c>
      <c r="E1027" s="5" t="s">
        <v>44</v>
      </c>
      <c r="F1027" s="5" t="s">
        <v>252</v>
      </c>
      <c r="G1027" s="8">
        <v>3</v>
      </c>
      <c r="H1027" s="8">
        <v>19419</v>
      </c>
      <c r="I1027" s="5" t="s">
        <v>49</v>
      </c>
      <c r="J1027" s="8">
        <v>3</v>
      </c>
      <c r="K1027" s="8">
        <v>2</v>
      </c>
      <c r="L1027" s="8">
        <v>18</v>
      </c>
    </row>
    <row r="1028" spans="1:12" x14ac:dyDescent="0.8">
      <c r="A1028" s="5" t="s">
        <v>1099</v>
      </c>
      <c r="B1028" s="8">
        <v>41</v>
      </c>
      <c r="C1028" s="5" t="s">
        <v>49</v>
      </c>
      <c r="D1028" s="5" t="s">
        <v>42</v>
      </c>
      <c r="E1028" s="5" t="s">
        <v>53</v>
      </c>
      <c r="F1028" s="5" t="s">
        <v>112</v>
      </c>
      <c r="G1028" s="8">
        <v>3</v>
      </c>
      <c r="H1028" s="8">
        <v>5003</v>
      </c>
      <c r="I1028" s="5" t="s">
        <v>49</v>
      </c>
      <c r="J1028" s="8">
        <v>3</v>
      </c>
      <c r="K1028" s="8">
        <v>6</v>
      </c>
      <c r="L1028" s="8">
        <v>2</v>
      </c>
    </row>
    <row r="1029" spans="1:12" x14ac:dyDescent="0.8">
      <c r="A1029" s="5" t="s">
        <v>1100</v>
      </c>
      <c r="B1029" s="8">
        <v>41</v>
      </c>
      <c r="C1029" s="5" t="s">
        <v>49</v>
      </c>
      <c r="D1029" s="5" t="s">
        <v>42</v>
      </c>
      <c r="E1029" s="5" t="s">
        <v>53</v>
      </c>
      <c r="F1029" s="5" t="s">
        <v>252</v>
      </c>
      <c r="G1029" s="8">
        <v>3</v>
      </c>
      <c r="H1029" s="8">
        <v>19973</v>
      </c>
      <c r="I1029" s="5" t="s">
        <v>49</v>
      </c>
      <c r="J1029" s="8">
        <v>4</v>
      </c>
      <c r="K1029" s="8">
        <v>3</v>
      </c>
      <c r="L1029" s="8">
        <v>21</v>
      </c>
    </row>
    <row r="1030" spans="1:12" x14ac:dyDescent="0.8">
      <c r="A1030" s="5" t="s">
        <v>1101</v>
      </c>
      <c r="B1030" s="8">
        <v>41</v>
      </c>
      <c r="C1030" s="5" t="s">
        <v>49</v>
      </c>
      <c r="D1030" s="5" t="s">
        <v>42</v>
      </c>
      <c r="E1030" s="5" t="s">
        <v>53</v>
      </c>
      <c r="F1030" s="5" t="s">
        <v>60</v>
      </c>
      <c r="G1030" s="8">
        <v>3</v>
      </c>
      <c r="H1030" s="8">
        <v>3376</v>
      </c>
      <c r="I1030" s="5" t="s">
        <v>49</v>
      </c>
      <c r="J1030" s="8">
        <v>3</v>
      </c>
      <c r="K1030" s="8">
        <v>3</v>
      </c>
      <c r="L1030" s="8">
        <v>10</v>
      </c>
    </row>
    <row r="1031" spans="1:12" x14ac:dyDescent="0.8">
      <c r="A1031" s="5" t="s">
        <v>1102</v>
      </c>
      <c r="B1031" s="8">
        <v>41</v>
      </c>
      <c r="C1031" s="5" t="s">
        <v>49</v>
      </c>
      <c r="D1031" s="5" t="s">
        <v>42</v>
      </c>
      <c r="E1031" s="5" t="s">
        <v>44</v>
      </c>
      <c r="F1031" s="5" t="s">
        <v>45</v>
      </c>
      <c r="G1031" s="8">
        <v>4</v>
      </c>
      <c r="H1031" s="8">
        <v>4766</v>
      </c>
      <c r="I1031" s="5" t="s">
        <v>40</v>
      </c>
      <c r="J1031" s="8">
        <v>3</v>
      </c>
      <c r="K1031" s="8">
        <v>4</v>
      </c>
      <c r="L1031" s="8">
        <v>1</v>
      </c>
    </row>
    <row r="1032" spans="1:12" x14ac:dyDescent="0.8">
      <c r="A1032" s="5" t="s">
        <v>1103</v>
      </c>
      <c r="B1032" s="8">
        <v>41</v>
      </c>
      <c r="C1032" s="5" t="s">
        <v>40</v>
      </c>
      <c r="D1032" s="5" t="s">
        <v>42</v>
      </c>
      <c r="E1032" s="5" t="s">
        <v>44</v>
      </c>
      <c r="F1032" s="5" t="s">
        <v>60</v>
      </c>
      <c r="G1032" s="8">
        <v>1</v>
      </c>
      <c r="H1032" s="8">
        <v>2107</v>
      </c>
      <c r="I1032" s="5" t="s">
        <v>49</v>
      </c>
      <c r="J1032" s="8">
        <v>3</v>
      </c>
      <c r="K1032" s="8">
        <v>2</v>
      </c>
      <c r="L1032" s="8">
        <v>1</v>
      </c>
    </row>
    <row r="1033" spans="1:12" x14ac:dyDescent="0.8">
      <c r="A1033" s="5" t="s">
        <v>1104</v>
      </c>
      <c r="B1033" s="8">
        <v>41</v>
      </c>
      <c r="C1033" s="5" t="s">
        <v>49</v>
      </c>
      <c r="D1033" s="5" t="s">
        <v>51</v>
      </c>
      <c r="E1033" s="5" t="s">
        <v>44</v>
      </c>
      <c r="F1033" s="5" t="s">
        <v>137</v>
      </c>
      <c r="G1033" s="8">
        <v>2</v>
      </c>
      <c r="H1033" s="8">
        <v>6151</v>
      </c>
      <c r="I1033" s="5" t="s">
        <v>49</v>
      </c>
      <c r="J1033" s="8">
        <v>3</v>
      </c>
      <c r="K1033" s="8">
        <v>4</v>
      </c>
      <c r="L1033" s="8">
        <v>19</v>
      </c>
    </row>
    <row r="1034" spans="1:12" x14ac:dyDescent="0.8">
      <c r="A1034" s="5" t="s">
        <v>1105</v>
      </c>
      <c r="B1034" s="8">
        <v>41</v>
      </c>
      <c r="C1034" s="5" t="s">
        <v>49</v>
      </c>
      <c r="D1034" s="5" t="s">
        <v>51</v>
      </c>
      <c r="E1034" s="5" t="s">
        <v>53</v>
      </c>
      <c r="F1034" s="5" t="s">
        <v>137</v>
      </c>
      <c r="G1034" s="8">
        <v>1</v>
      </c>
      <c r="H1034" s="8">
        <v>4103</v>
      </c>
      <c r="I1034" s="5" t="s">
        <v>49</v>
      </c>
      <c r="J1034" s="8">
        <v>3</v>
      </c>
      <c r="K1034" s="8">
        <v>2</v>
      </c>
      <c r="L1034" s="8">
        <v>9</v>
      </c>
    </row>
    <row r="1035" spans="1:12" x14ac:dyDescent="0.8">
      <c r="A1035" s="5" t="s">
        <v>1106</v>
      </c>
      <c r="B1035" s="8">
        <v>41</v>
      </c>
      <c r="C1035" s="5" t="s">
        <v>49</v>
      </c>
      <c r="D1035" s="5" t="s">
        <v>42</v>
      </c>
      <c r="E1035" s="5" t="s">
        <v>53</v>
      </c>
      <c r="F1035" s="5" t="s">
        <v>60</v>
      </c>
      <c r="G1035" s="8">
        <v>4</v>
      </c>
      <c r="H1035" s="8">
        <v>5467</v>
      </c>
      <c r="I1035" s="5" t="s">
        <v>40</v>
      </c>
      <c r="J1035" s="8">
        <v>3</v>
      </c>
      <c r="K1035" s="8">
        <v>4</v>
      </c>
      <c r="L1035" s="8">
        <v>6</v>
      </c>
    </row>
    <row r="1036" spans="1:12" x14ac:dyDescent="0.8">
      <c r="A1036" s="5" t="s">
        <v>1107</v>
      </c>
      <c r="B1036" s="8">
        <v>41</v>
      </c>
      <c r="C1036" s="5" t="s">
        <v>49</v>
      </c>
      <c r="D1036" s="5" t="s">
        <v>42</v>
      </c>
      <c r="E1036" s="5" t="s">
        <v>44</v>
      </c>
      <c r="F1036" s="5" t="s">
        <v>60</v>
      </c>
      <c r="G1036" s="8">
        <v>3</v>
      </c>
      <c r="H1036" s="8">
        <v>2127</v>
      </c>
      <c r="I1036" s="5" t="s">
        <v>40</v>
      </c>
      <c r="J1036" s="8">
        <v>3</v>
      </c>
      <c r="K1036" s="8">
        <v>5</v>
      </c>
      <c r="L1036" s="8">
        <v>4</v>
      </c>
    </row>
    <row r="1037" spans="1:12" x14ac:dyDescent="0.8">
      <c r="A1037" s="5" t="s">
        <v>1108</v>
      </c>
      <c r="B1037" s="8">
        <v>41</v>
      </c>
      <c r="C1037" s="5" t="s">
        <v>49</v>
      </c>
      <c r="D1037" s="5" t="s">
        <v>51</v>
      </c>
      <c r="E1037" s="5" t="s">
        <v>44</v>
      </c>
      <c r="F1037" s="5" t="s">
        <v>137</v>
      </c>
      <c r="G1037" s="8">
        <v>3</v>
      </c>
      <c r="H1037" s="8">
        <v>7082</v>
      </c>
      <c r="I1037" s="5" t="s">
        <v>40</v>
      </c>
      <c r="J1037" s="8">
        <v>3</v>
      </c>
      <c r="K1037" s="8">
        <v>2</v>
      </c>
      <c r="L1037" s="8">
        <v>2</v>
      </c>
    </row>
    <row r="1038" spans="1:12" x14ac:dyDescent="0.8">
      <c r="A1038" s="5" t="s">
        <v>1109</v>
      </c>
      <c r="B1038" s="8">
        <v>41</v>
      </c>
      <c r="C1038" s="5" t="s">
        <v>49</v>
      </c>
      <c r="D1038" s="5" t="s">
        <v>51</v>
      </c>
      <c r="E1038" s="5" t="s">
        <v>44</v>
      </c>
      <c r="F1038" s="5" t="s">
        <v>137</v>
      </c>
      <c r="G1038" s="8">
        <v>3</v>
      </c>
      <c r="H1038" s="8">
        <v>9241</v>
      </c>
      <c r="I1038" s="5" t="s">
        <v>49</v>
      </c>
      <c r="J1038" s="8">
        <v>3</v>
      </c>
      <c r="K1038" s="8">
        <v>3</v>
      </c>
      <c r="L1038" s="8">
        <v>10</v>
      </c>
    </row>
    <row r="1039" spans="1:12" x14ac:dyDescent="0.8">
      <c r="A1039" s="5" t="s">
        <v>1110</v>
      </c>
      <c r="B1039" s="8">
        <v>41</v>
      </c>
      <c r="C1039" s="5" t="s">
        <v>49</v>
      </c>
      <c r="D1039" s="5" t="s">
        <v>71</v>
      </c>
      <c r="E1039" s="5" t="s">
        <v>44</v>
      </c>
      <c r="F1039" s="5" t="s">
        <v>71</v>
      </c>
      <c r="G1039" s="8">
        <v>2</v>
      </c>
      <c r="H1039" s="8">
        <v>6430</v>
      </c>
      <c r="I1039" s="5" t="s">
        <v>49</v>
      </c>
      <c r="J1039" s="8">
        <v>3</v>
      </c>
      <c r="K1039" s="8">
        <v>4</v>
      </c>
      <c r="L1039" s="8">
        <v>3</v>
      </c>
    </row>
    <row r="1040" spans="1:12" x14ac:dyDescent="0.8">
      <c r="A1040" s="5" t="s">
        <v>1111</v>
      </c>
      <c r="B1040" s="8">
        <v>41</v>
      </c>
      <c r="C1040" s="5" t="s">
        <v>49</v>
      </c>
      <c r="D1040" s="5" t="s">
        <v>42</v>
      </c>
      <c r="E1040" s="5" t="s">
        <v>44</v>
      </c>
      <c r="F1040" s="5" t="s">
        <v>45</v>
      </c>
      <c r="G1040" s="8">
        <v>1</v>
      </c>
      <c r="H1040" s="8">
        <v>2289</v>
      </c>
      <c r="I1040" s="5" t="s">
        <v>49</v>
      </c>
      <c r="J1040" s="8">
        <v>4</v>
      </c>
      <c r="K1040" s="8">
        <v>2</v>
      </c>
      <c r="L1040" s="8">
        <v>5</v>
      </c>
    </row>
    <row r="1041" spans="1:12" x14ac:dyDescent="0.8">
      <c r="A1041" s="5" t="s">
        <v>1112</v>
      </c>
      <c r="B1041" s="8">
        <v>41</v>
      </c>
      <c r="C1041" s="5" t="s">
        <v>49</v>
      </c>
      <c r="D1041" s="5" t="s">
        <v>42</v>
      </c>
      <c r="E1041" s="5" t="s">
        <v>44</v>
      </c>
      <c r="F1041" s="5" t="s">
        <v>161</v>
      </c>
      <c r="G1041" s="8">
        <v>2</v>
      </c>
      <c r="H1041" s="8">
        <v>6870</v>
      </c>
      <c r="I1041" s="5" t="s">
        <v>49</v>
      </c>
      <c r="J1041" s="8">
        <v>3</v>
      </c>
      <c r="K1041" s="8">
        <v>3</v>
      </c>
      <c r="L1041" s="8">
        <v>3</v>
      </c>
    </row>
    <row r="1042" spans="1:12" x14ac:dyDescent="0.8">
      <c r="A1042" s="5" t="s">
        <v>1113</v>
      </c>
      <c r="B1042" s="8">
        <v>41</v>
      </c>
      <c r="C1042" s="5" t="s">
        <v>49</v>
      </c>
      <c r="D1042" s="5" t="s">
        <v>51</v>
      </c>
      <c r="E1042" s="5" t="s">
        <v>53</v>
      </c>
      <c r="F1042" s="5" t="s">
        <v>137</v>
      </c>
      <c r="G1042" s="8">
        <v>3</v>
      </c>
      <c r="H1042" s="8">
        <v>10447</v>
      </c>
      <c r="I1042" s="5" t="s">
        <v>40</v>
      </c>
      <c r="J1042" s="8">
        <v>3</v>
      </c>
      <c r="K1042" s="8">
        <v>3</v>
      </c>
      <c r="L1042" s="8">
        <v>22</v>
      </c>
    </row>
    <row r="1043" spans="1:12" x14ac:dyDescent="0.8">
      <c r="A1043" s="5" t="s">
        <v>1114</v>
      </c>
      <c r="B1043" s="8">
        <v>41</v>
      </c>
      <c r="C1043" s="5" t="s">
        <v>49</v>
      </c>
      <c r="D1043" s="5" t="s">
        <v>51</v>
      </c>
      <c r="E1043" s="5" t="s">
        <v>53</v>
      </c>
      <c r="F1043" s="5" t="s">
        <v>137</v>
      </c>
      <c r="G1043" s="8">
        <v>2</v>
      </c>
      <c r="H1043" s="8">
        <v>4393</v>
      </c>
      <c r="I1043" s="5" t="s">
        <v>49</v>
      </c>
      <c r="J1043" s="8">
        <v>4</v>
      </c>
      <c r="K1043" s="8">
        <v>3</v>
      </c>
      <c r="L1043" s="8">
        <v>5</v>
      </c>
    </row>
    <row r="1044" spans="1:12" x14ac:dyDescent="0.8">
      <c r="A1044" s="5" t="s">
        <v>1115</v>
      </c>
      <c r="B1044" s="8">
        <v>41</v>
      </c>
      <c r="C1044" s="5" t="s">
        <v>49</v>
      </c>
      <c r="D1044" s="5" t="s">
        <v>42</v>
      </c>
      <c r="E1044" s="5" t="s">
        <v>44</v>
      </c>
      <c r="F1044" s="5" t="s">
        <v>60</v>
      </c>
      <c r="G1044" s="8">
        <v>4</v>
      </c>
      <c r="H1044" s="8">
        <v>2782</v>
      </c>
      <c r="I1044" s="5" t="s">
        <v>49</v>
      </c>
      <c r="J1044" s="8">
        <v>4</v>
      </c>
      <c r="K1044" s="8">
        <v>3</v>
      </c>
      <c r="L1044" s="8">
        <v>5</v>
      </c>
    </row>
    <row r="1045" spans="1:12" x14ac:dyDescent="0.8">
      <c r="A1045" s="5" t="s">
        <v>1116</v>
      </c>
      <c r="B1045" s="8">
        <v>41</v>
      </c>
      <c r="C1045" s="5" t="s">
        <v>49</v>
      </c>
      <c r="D1045" s="5" t="s">
        <v>42</v>
      </c>
      <c r="E1045" s="5" t="s">
        <v>53</v>
      </c>
      <c r="F1045" s="5" t="s">
        <v>112</v>
      </c>
      <c r="G1045" s="8">
        <v>2</v>
      </c>
      <c r="H1045" s="8">
        <v>13570</v>
      </c>
      <c r="I1045" s="5" t="s">
        <v>49</v>
      </c>
      <c r="J1045" s="8">
        <v>4</v>
      </c>
      <c r="K1045" s="8">
        <v>3</v>
      </c>
      <c r="L1045" s="8">
        <v>20</v>
      </c>
    </row>
    <row r="1046" spans="1:12" x14ac:dyDescent="0.8">
      <c r="A1046" s="5" t="s">
        <v>1117</v>
      </c>
      <c r="B1046" s="8">
        <v>41</v>
      </c>
      <c r="C1046" s="5" t="s">
        <v>49</v>
      </c>
      <c r="D1046" s="5" t="s">
        <v>51</v>
      </c>
      <c r="E1046" s="5" t="s">
        <v>44</v>
      </c>
      <c r="F1046" s="5" t="s">
        <v>137</v>
      </c>
      <c r="G1046" s="8">
        <v>2</v>
      </c>
      <c r="H1046" s="8">
        <v>8938</v>
      </c>
      <c r="I1046" s="5" t="s">
        <v>49</v>
      </c>
      <c r="J1046" s="8">
        <v>3</v>
      </c>
      <c r="K1046" s="8">
        <v>5</v>
      </c>
      <c r="L1046" s="8">
        <v>5</v>
      </c>
    </row>
    <row r="1047" spans="1:12" x14ac:dyDescent="0.8">
      <c r="A1047" s="5" t="s">
        <v>1118</v>
      </c>
      <c r="B1047" s="8">
        <v>42</v>
      </c>
      <c r="C1047" s="5" t="s">
        <v>49</v>
      </c>
      <c r="D1047" s="5" t="s">
        <v>51</v>
      </c>
      <c r="E1047" s="5" t="s">
        <v>44</v>
      </c>
      <c r="F1047" s="5" t="s">
        <v>137</v>
      </c>
      <c r="G1047" s="8">
        <v>2</v>
      </c>
      <c r="H1047" s="8">
        <v>6825</v>
      </c>
      <c r="I1047" s="5" t="s">
        <v>49</v>
      </c>
      <c r="J1047" s="8">
        <v>3</v>
      </c>
      <c r="K1047" s="8">
        <v>2</v>
      </c>
      <c r="L1047" s="8">
        <v>9</v>
      </c>
    </row>
    <row r="1048" spans="1:12" x14ac:dyDescent="0.8">
      <c r="A1048" s="5" t="s">
        <v>1119</v>
      </c>
      <c r="B1048" s="8">
        <v>42</v>
      </c>
      <c r="C1048" s="5" t="s">
        <v>49</v>
      </c>
      <c r="D1048" s="5" t="s">
        <v>42</v>
      </c>
      <c r="E1048" s="5" t="s">
        <v>53</v>
      </c>
      <c r="F1048" s="5" t="s">
        <v>112</v>
      </c>
      <c r="G1048" s="8">
        <v>3</v>
      </c>
      <c r="H1048" s="8">
        <v>5265</v>
      </c>
      <c r="I1048" s="5" t="s">
        <v>49</v>
      </c>
      <c r="J1048" s="8">
        <v>3</v>
      </c>
      <c r="K1048" s="8">
        <v>5</v>
      </c>
      <c r="L1048" s="8">
        <v>5</v>
      </c>
    </row>
    <row r="1049" spans="1:12" x14ac:dyDescent="0.8">
      <c r="A1049" s="5" t="s">
        <v>1120</v>
      </c>
      <c r="B1049" s="8">
        <v>42</v>
      </c>
      <c r="C1049" s="5" t="s">
        <v>49</v>
      </c>
      <c r="D1049" s="5" t="s">
        <v>42</v>
      </c>
      <c r="E1049" s="5" t="s">
        <v>44</v>
      </c>
      <c r="F1049" s="5" t="s">
        <v>442</v>
      </c>
      <c r="G1049" s="8">
        <v>4</v>
      </c>
      <c r="H1049" s="8">
        <v>19232</v>
      </c>
      <c r="I1049" s="5" t="s">
        <v>49</v>
      </c>
      <c r="J1049" s="8">
        <v>3</v>
      </c>
      <c r="K1049" s="8">
        <v>3</v>
      </c>
      <c r="L1049" s="8">
        <v>22</v>
      </c>
    </row>
    <row r="1050" spans="1:12" x14ac:dyDescent="0.8">
      <c r="A1050" s="5" t="s">
        <v>1121</v>
      </c>
      <c r="B1050" s="8">
        <v>42</v>
      </c>
      <c r="C1050" s="5" t="s">
        <v>49</v>
      </c>
      <c r="D1050" s="5" t="s">
        <v>42</v>
      </c>
      <c r="E1050" s="5" t="s">
        <v>53</v>
      </c>
      <c r="F1050" s="5" t="s">
        <v>60</v>
      </c>
      <c r="G1050" s="8">
        <v>1</v>
      </c>
      <c r="H1050" s="8">
        <v>6545</v>
      </c>
      <c r="I1050" s="5" t="s">
        <v>40</v>
      </c>
      <c r="J1050" s="8">
        <v>3</v>
      </c>
      <c r="K1050" s="8">
        <v>1</v>
      </c>
      <c r="L1050" s="8">
        <v>3</v>
      </c>
    </row>
    <row r="1051" spans="1:12" x14ac:dyDescent="0.8">
      <c r="A1051" s="5" t="s">
        <v>1122</v>
      </c>
      <c r="B1051" s="8">
        <v>42</v>
      </c>
      <c r="C1051" s="5" t="s">
        <v>49</v>
      </c>
      <c r="D1051" s="5" t="s">
        <v>42</v>
      </c>
      <c r="E1051" s="5" t="s">
        <v>53</v>
      </c>
      <c r="F1051" s="5" t="s">
        <v>45</v>
      </c>
      <c r="G1051" s="8">
        <v>1</v>
      </c>
      <c r="H1051" s="8">
        <v>2593</v>
      </c>
      <c r="I1051" s="5" t="s">
        <v>40</v>
      </c>
      <c r="J1051" s="8">
        <v>3</v>
      </c>
      <c r="K1051" s="8">
        <v>4</v>
      </c>
      <c r="L1051" s="8">
        <v>9</v>
      </c>
    </row>
    <row r="1052" spans="1:12" x14ac:dyDescent="0.8">
      <c r="A1052" s="5" t="s">
        <v>1123</v>
      </c>
      <c r="B1052" s="8">
        <v>42</v>
      </c>
      <c r="C1052" s="5" t="s">
        <v>49</v>
      </c>
      <c r="D1052" s="5" t="s">
        <v>51</v>
      </c>
      <c r="E1052" s="5" t="s">
        <v>44</v>
      </c>
      <c r="F1052" s="5" t="s">
        <v>137</v>
      </c>
      <c r="G1052" s="8">
        <v>3</v>
      </c>
      <c r="H1052" s="8">
        <v>4907</v>
      </c>
      <c r="I1052" s="5" t="s">
        <v>49</v>
      </c>
      <c r="J1052" s="8">
        <v>4</v>
      </c>
      <c r="K1052" s="8">
        <v>3</v>
      </c>
      <c r="L1052" s="8">
        <v>20</v>
      </c>
    </row>
    <row r="1053" spans="1:12" x14ac:dyDescent="0.8">
      <c r="A1053" s="5" t="s">
        <v>1124</v>
      </c>
      <c r="B1053" s="8">
        <v>42</v>
      </c>
      <c r="C1053" s="5" t="s">
        <v>49</v>
      </c>
      <c r="D1053" s="5" t="s">
        <v>51</v>
      </c>
      <c r="E1053" s="5" t="s">
        <v>53</v>
      </c>
      <c r="F1053" s="5" t="s">
        <v>137</v>
      </c>
      <c r="G1053" s="8">
        <v>2</v>
      </c>
      <c r="H1053" s="8">
        <v>13525</v>
      </c>
      <c r="I1053" s="5" t="s">
        <v>49</v>
      </c>
      <c r="J1053" s="8">
        <v>3</v>
      </c>
      <c r="K1053" s="8">
        <v>2</v>
      </c>
      <c r="L1053" s="8">
        <v>20</v>
      </c>
    </row>
    <row r="1054" spans="1:12" x14ac:dyDescent="0.8">
      <c r="A1054" s="5" t="s">
        <v>1125</v>
      </c>
      <c r="B1054" s="8">
        <v>42</v>
      </c>
      <c r="C1054" s="5" t="s">
        <v>49</v>
      </c>
      <c r="D1054" s="5" t="s">
        <v>42</v>
      </c>
      <c r="E1054" s="5" t="s">
        <v>53</v>
      </c>
      <c r="F1054" s="5" t="s">
        <v>252</v>
      </c>
      <c r="G1054" s="8">
        <v>4</v>
      </c>
      <c r="H1054" s="8">
        <v>15992</v>
      </c>
      <c r="I1054" s="5" t="s">
        <v>49</v>
      </c>
      <c r="J1054" s="8">
        <v>3</v>
      </c>
      <c r="K1054" s="8">
        <v>2</v>
      </c>
      <c r="L1054" s="8">
        <v>1</v>
      </c>
    </row>
    <row r="1055" spans="1:12" x14ac:dyDescent="0.8">
      <c r="A1055" s="5" t="s">
        <v>1126</v>
      </c>
      <c r="B1055" s="8">
        <v>42</v>
      </c>
      <c r="C1055" s="5" t="s">
        <v>49</v>
      </c>
      <c r="D1055" s="5" t="s">
        <v>71</v>
      </c>
      <c r="E1055" s="5" t="s">
        <v>44</v>
      </c>
      <c r="F1055" s="5" t="s">
        <v>71</v>
      </c>
      <c r="G1055" s="8">
        <v>3</v>
      </c>
      <c r="H1055" s="8">
        <v>2696</v>
      </c>
      <c r="I1055" s="5" t="s">
        <v>40</v>
      </c>
      <c r="J1055" s="8">
        <v>3</v>
      </c>
      <c r="K1055" s="8">
        <v>5</v>
      </c>
      <c r="L1055" s="8">
        <v>3</v>
      </c>
    </row>
    <row r="1056" spans="1:12" x14ac:dyDescent="0.8">
      <c r="A1056" s="5" t="s">
        <v>1127</v>
      </c>
      <c r="B1056" s="8">
        <v>42</v>
      </c>
      <c r="C1056" s="5" t="s">
        <v>49</v>
      </c>
      <c r="D1056" s="5" t="s">
        <v>42</v>
      </c>
      <c r="E1056" s="5" t="s">
        <v>44</v>
      </c>
      <c r="F1056" s="5" t="s">
        <v>161</v>
      </c>
      <c r="G1056" s="8">
        <v>4</v>
      </c>
      <c r="H1056" s="8">
        <v>6781</v>
      </c>
      <c r="I1056" s="5" t="s">
        <v>49</v>
      </c>
      <c r="J1056" s="8">
        <v>4</v>
      </c>
      <c r="K1056" s="8">
        <v>6</v>
      </c>
      <c r="L1056" s="8">
        <v>1</v>
      </c>
    </row>
    <row r="1057" spans="1:12" x14ac:dyDescent="0.8">
      <c r="A1057" s="5" t="s">
        <v>1128</v>
      </c>
      <c r="B1057" s="8">
        <v>42</v>
      </c>
      <c r="C1057" s="5" t="s">
        <v>49</v>
      </c>
      <c r="D1057" s="5" t="s">
        <v>42</v>
      </c>
      <c r="E1057" s="5" t="s">
        <v>53</v>
      </c>
      <c r="F1057" s="5" t="s">
        <v>45</v>
      </c>
      <c r="G1057" s="8">
        <v>1</v>
      </c>
      <c r="H1057" s="8">
        <v>2576</v>
      </c>
      <c r="I1057" s="5" t="s">
        <v>49</v>
      </c>
      <c r="J1057" s="8">
        <v>3</v>
      </c>
      <c r="K1057" s="8">
        <v>5</v>
      </c>
      <c r="L1057" s="8">
        <v>5</v>
      </c>
    </row>
    <row r="1058" spans="1:12" x14ac:dyDescent="0.8">
      <c r="A1058" s="5" t="s">
        <v>1129</v>
      </c>
      <c r="B1058" s="8">
        <v>42</v>
      </c>
      <c r="C1058" s="5" t="s">
        <v>49</v>
      </c>
      <c r="D1058" s="5" t="s">
        <v>42</v>
      </c>
      <c r="E1058" s="5" t="s">
        <v>53</v>
      </c>
      <c r="F1058" s="5" t="s">
        <v>60</v>
      </c>
      <c r="G1058" s="8">
        <v>3</v>
      </c>
      <c r="H1058" s="8">
        <v>4556</v>
      </c>
      <c r="I1058" s="5" t="s">
        <v>49</v>
      </c>
      <c r="J1058" s="8">
        <v>3</v>
      </c>
      <c r="K1058" s="8">
        <v>3</v>
      </c>
      <c r="L1058" s="8">
        <v>5</v>
      </c>
    </row>
    <row r="1059" spans="1:12" x14ac:dyDescent="0.8">
      <c r="A1059" s="5" t="s">
        <v>1130</v>
      </c>
      <c r="B1059" s="8">
        <v>42</v>
      </c>
      <c r="C1059" s="5" t="s">
        <v>49</v>
      </c>
      <c r="D1059" s="5" t="s">
        <v>42</v>
      </c>
      <c r="E1059" s="5" t="s">
        <v>53</v>
      </c>
      <c r="F1059" s="5" t="s">
        <v>161</v>
      </c>
      <c r="G1059" s="8">
        <v>4</v>
      </c>
      <c r="H1059" s="8">
        <v>4523</v>
      </c>
      <c r="I1059" s="5" t="s">
        <v>49</v>
      </c>
      <c r="J1059" s="8">
        <v>3</v>
      </c>
      <c r="K1059" s="8">
        <v>4</v>
      </c>
      <c r="L1059" s="8">
        <v>6</v>
      </c>
    </row>
    <row r="1060" spans="1:12" x14ac:dyDescent="0.8">
      <c r="A1060" s="5" t="s">
        <v>1131</v>
      </c>
      <c r="B1060" s="8">
        <v>42</v>
      </c>
      <c r="C1060" s="5" t="s">
        <v>49</v>
      </c>
      <c r="D1060" s="5" t="s">
        <v>42</v>
      </c>
      <c r="E1060" s="5" t="s">
        <v>44</v>
      </c>
      <c r="F1060" s="5" t="s">
        <v>45</v>
      </c>
      <c r="G1060" s="8">
        <v>3</v>
      </c>
      <c r="H1060" s="8">
        <v>2093</v>
      </c>
      <c r="I1060" s="5" t="s">
        <v>49</v>
      </c>
      <c r="J1060" s="8">
        <v>3</v>
      </c>
      <c r="K1060" s="8">
        <v>4</v>
      </c>
      <c r="L1060" s="8">
        <v>2</v>
      </c>
    </row>
    <row r="1061" spans="1:12" x14ac:dyDescent="0.8">
      <c r="A1061" s="5" t="s">
        <v>1132</v>
      </c>
      <c r="B1061" s="8">
        <v>42</v>
      </c>
      <c r="C1061" s="5" t="s">
        <v>49</v>
      </c>
      <c r="D1061" s="5" t="s">
        <v>42</v>
      </c>
      <c r="E1061" s="5" t="s">
        <v>44</v>
      </c>
      <c r="F1061" s="5" t="s">
        <v>112</v>
      </c>
      <c r="G1061" s="8">
        <v>1</v>
      </c>
      <c r="H1061" s="8">
        <v>7406</v>
      </c>
      <c r="I1061" s="5" t="s">
        <v>40</v>
      </c>
      <c r="J1061" s="8">
        <v>4</v>
      </c>
      <c r="K1061" s="8">
        <v>5</v>
      </c>
      <c r="L1061" s="8">
        <v>10</v>
      </c>
    </row>
    <row r="1062" spans="1:12" x14ac:dyDescent="0.8">
      <c r="A1062" s="5" t="s">
        <v>1133</v>
      </c>
      <c r="B1062" s="8">
        <v>42</v>
      </c>
      <c r="C1062" s="5" t="s">
        <v>49</v>
      </c>
      <c r="D1062" s="5" t="s">
        <v>42</v>
      </c>
      <c r="E1062" s="5" t="s">
        <v>53</v>
      </c>
      <c r="F1062" s="5" t="s">
        <v>161</v>
      </c>
      <c r="G1062" s="8">
        <v>4</v>
      </c>
      <c r="H1062" s="8">
        <v>4089</v>
      </c>
      <c r="I1062" s="5" t="s">
        <v>49</v>
      </c>
      <c r="J1062" s="8">
        <v>3</v>
      </c>
      <c r="K1062" s="8">
        <v>4</v>
      </c>
      <c r="L1062" s="8">
        <v>10</v>
      </c>
    </row>
    <row r="1063" spans="1:12" x14ac:dyDescent="0.8">
      <c r="A1063" s="5" t="s">
        <v>1134</v>
      </c>
      <c r="B1063" s="8">
        <v>42</v>
      </c>
      <c r="C1063" s="5" t="s">
        <v>40</v>
      </c>
      <c r="D1063" s="5" t="s">
        <v>42</v>
      </c>
      <c r="E1063" s="5" t="s">
        <v>44</v>
      </c>
      <c r="F1063" s="5" t="s">
        <v>60</v>
      </c>
      <c r="G1063" s="8">
        <v>3</v>
      </c>
      <c r="H1063" s="8">
        <v>2759</v>
      </c>
      <c r="I1063" s="5" t="s">
        <v>40</v>
      </c>
      <c r="J1063" s="8">
        <v>3</v>
      </c>
      <c r="K1063" s="8">
        <v>2</v>
      </c>
      <c r="L1063" s="8">
        <v>2</v>
      </c>
    </row>
    <row r="1064" spans="1:12" x14ac:dyDescent="0.8">
      <c r="A1064" s="5" t="s">
        <v>1135</v>
      </c>
      <c r="B1064" s="8">
        <v>42</v>
      </c>
      <c r="C1064" s="5" t="s">
        <v>49</v>
      </c>
      <c r="D1064" s="5" t="s">
        <v>42</v>
      </c>
      <c r="E1064" s="5" t="s">
        <v>44</v>
      </c>
      <c r="F1064" s="5" t="s">
        <v>442</v>
      </c>
      <c r="G1064" s="8">
        <v>4</v>
      </c>
      <c r="H1064" s="8">
        <v>18430</v>
      </c>
      <c r="I1064" s="5" t="s">
        <v>49</v>
      </c>
      <c r="J1064" s="8">
        <v>3</v>
      </c>
      <c r="K1064" s="8">
        <v>4</v>
      </c>
      <c r="L1064" s="8">
        <v>24</v>
      </c>
    </row>
    <row r="1065" spans="1:12" x14ac:dyDescent="0.8">
      <c r="A1065" s="5" t="s">
        <v>1136</v>
      </c>
      <c r="B1065" s="8">
        <v>42</v>
      </c>
      <c r="C1065" s="5" t="s">
        <v>49</v>
      </c>
      <c r="D1065" s="5" t="s">
        <v>42</v>
      </c>
      <c r="E1065" s="5" t="s">
        <v>53</v>
      </c>
      <c r="F1065" s="5" t="s">
        <v>112</v>
      </c>
      <c r="G1065" s="8">
        <v>4</v>
      </c>
      <c r="H1065" s="8">
        <v>6062</v>
      </c>
      <c r="I1065" s="5" t="s">
        <v>40</v>
      </c>
      <c r="J1065" s="8">
        <v>3</v>
      </c>
      <c r="K1065" s="8">
        <v>4</v>
      </c>
      <c r="L1065" s="8">
        <v>4</v>
      </c>
    </row>
    <row r="1066" spans="1:12" x14ac:dyDescent="0.8">
      <c r="A1066" s="5" t="s">
        <v>1137</v>
      </c>
      <c r="B1066" s="8">
        <v>42</v>
      </c>
      <c r="C1066" s="5" t="s">
        <v>49</v>
      </c>
      <c r="D1066" s="5" t="s">
        <v>42</v>
      </c>
      <c r="E1066" s="5" t="s">
        <v>44</v>
      </c>
      <c r="F1066" s="5" t="s">
        <v>112</v>
      </c>
      <c r="G1066" s="8">
        <v>2</v>
      </c>
      <c r="H1066" s="8">
        <v>4434</v>
      </c>
      <c r="I1066" s="5" t="s">
        <v>49</v>
      </c>
      <c r="J1066" s="8">
        <v>3</v>
      </c>
      <c r="K1066" s="8">
        <v>3</v>
      </c>
      <c r="L1066" s="8">
        <v>9</v>
      </c>
    </row>
    <row r="1067" spans="1:12" x14ac:dyDescent="0.8">
      <c r="A1067" s="5" t="s">
        <v>1138</v>
      </c>
      <c r="B1067" s="8">
        <v>42</v>
      </c>
      <c r="C1067" s="5" t="s">
        <v>49</v>
      </c>
      <c r="D1067" s="5" t="s">
        <v>42</v>
      </c>
      <c r="E1067" s="5" t="s">
        <v>44</v>
      </c>
      <c r="F1067" s="5" t="s">
        <v>60</v>
      </c>
      <c r="G1067" s="8">
        <v>4</v>
      </c>
      <c r="H1067" s="8">
        <v>2515</v>
      </c>
      <c r="I1067" s="5" t="s">
        <v>40</v>
      </c>
      <c r="J1067" s="8">
        <v>3</v>
      </c>
      <c r="K1067" s="8">
        <v>2</v>
      </c>
      <c r="L1067" s="8">
        <v>2</v>
      </c>
    </row>
    <row r="1068" spans="1:12" x14ac:dyDescent="0.8">
      <c r="A1068" s="5" t="s">
        <v>1139</v>
      </c>
      <c r="B1068" s="8">
        <v>42</v>
      </c>
      <c r="C1068" s="5" t="s">
        <v>49</v>
      </c>
      <c r="D1068" s="5" t="s">
        <v>42</v>
      </c>
      <c r="E1068" s="5" t="s">
        <v>53</v>
      </c>
      <c r="F1068" s="5" t="s">
        <v>45</v>
      </c>
      <c r="G1068" s="8">
        <v>4</v>
      </c>
      <c r="H1068" s="8">
        <v>5231</v>
      </c>
      <c r="I1068" s="5" t="s">
        <v>40</v>
      </c>
      <c r="J1068" s="8">
        <v>3</v>
      </c>
      <c r="K1068" s="8">
        <v>1</v>
      </c>
      <c r="L1068" s="8">
        <v>5</v>
      </c>
    </row>
    <row r="1069" spans="1:12" x14ac:dyDescent="0.8">
      <c r="A1069" s="5" t="s">
        <v>1140</v>
      </c>
      <c r="B1069" s="8">
        <v>42</v>
      </c>
      <c r="C1069" s="5" t="s">
        <v>49</v>
      </c>
      <c r="D1069" s="5" t="s">
        <v>51</v>
      </c>
      <c r="E1069" s="5" t="s">
        <v>53</v>
      </c>
      <c r="F1069" s="5" t="s">
        <v>137</v>
      </c>
      <c r="G1069" s="8">
        <v>3</v>
      </c>
      <c r="H1069" s="8">
        <v>6244</v>
      </c>
      <c r="I1069" s="5" t="s">
        <v>49</v>
      </c>
      <c r="J1069" s="8">
        <v>3</v>
      </c>
      <c r="K1069" s="8">
        <v>6</v>
      </c>
      <c r="L1069" s="8">
        <v>5</v>
      </c>
    </row>
    <row r="1070" spans="1:12" x14ac:dyDescent="0.8">
      <c r="A1070" s="5" t="s">
        <v>1141</v>
      </c>
      <c r="B1070" s="8">
        <v>42</v>
      </c>
      <c r="C1070" s="5" t="s">
        <v>49</v>
      </c>
      <c r="D1070" s="5" t="s">
        <v>51</v>
      </c>
      <c r="E1070" s="5" t="s">
        <v>44</v>
      </c>
      <c r="F1070" s="5" t="s">
        <v>442</v>
      </c>
      <c r="G1070" s="8">
        <v>3</v>
      </c>
      <c r="H1070" s="8">
        <v>18303</v>
      </c>
      <c r="I1070" s="5" t="s">
        <v>49</v>
      </c>
      <c r="J1070" s="8">
        <v>3</v>
      </c>
      <c r="K1070" s="8">
        <v>3</v>
      </c>
      <c r="L1070" s="8">
        <v>1</v>
      </c>
    </row>
    <row r="1071" spans="1:12" x14ac:dyDescent="0.8">
      <c r="A1071" s="5" t="s">
        <v>1142</v>
      </c>
      <c r="B1071" s="8">
        <v>42</v>
      </c>
      <c r="C1071" s="5" t="s">
        <v>49</v>
      </c>
      <c r="D1071" s="5" t="s">
        <v>42</v>
      </c>
      <c r="E1071" s="5" t="s">
        <v>44</v>
      </c>
      <c r="F1071" s="5" t="s">
        <v>442</v>
      </c>
      <c r="G1071" s="8">
        <v>1</v>
      </c>
      <c r="H1071" s="8">
        <v>17665</v>
      </c>
      <c r="I1071" s="5" t="s">
        <v>49</v>
      </c>
      <c r="J1071" s="8">
        <v>3</v>
      </c>
      <c r="K1071" s="8">
        <v>3</v>
      </c>
      <c r="L1071" s="8">
        <v>22</v>
      </c>
    </row>
    <row r="1072" spans="1:12" x14ac:dyDescent="0.8">
      <c r="A1072" s="5" t="s">
        <v>1143</v>
      </c>
      <c r="B1072" s="8">
        <v>42</v>
      </c>
      <c r="C1072" s="5" t="s">
        <v>49</v>
      </c>
      <c r="D1072" s="5" t="s">
        <v>42</v>
      </c>
      <c r="E1072" s="5" t="s">
        <v>44</v>
      </c>
      <c r="F1072" s="5" t="s">
        <v>45</v>
      </c>
      <c r="G1072" s="8">
        <v>4</v>
      </c>
      <c r="H1072" s="8">
        <v>4272</v>
      </c>
      <c r="I1072" s="5" t="s">
        <v>49</v>
      </c>
      <c r="J1072" s="8">
        <v>3</v>
      </c>
      <c r="K1072" s="8">
        <v>3</v>
      </c>
      <c r="L1072" s="8">
        <v>1</v>
      </c>
    </row>
    <row r="1073" spans="1:12" x14ac:dyDescent="0.8">
      <c r="A1073" s="5" t="s">
        <v>1144</v>
      </c>
      <c r="B1073" s="8">
        <v>42</v>
      </c>
      <c r="C1073" s="5" t="s">
        <v>40</v>
      </c>
      <c r="D1073" s="5" t="s">
        <v>51</v>
      </c>
      <c r="E1073" s="5" t="s">
        <v>44</v>
      </c>
      <c r="F1073" s="5" t="s">
        <v>137</v>
      </c>
      <c r="G1073" s="8">
        <v>1</v>
      </c>
      <c r="H1073" s="8">
        <v>13758</v>
      </c>
      <c r="I1073" s="5" t="s">
        <v>40</v>
      </c>
      <c r="J1073" s="8">
        <v>3</v>
      </c>
      <c r="K1073" s="8">
        <v>2</v>
      </c>
      <c r="L1073" s="8">
        <v>21</v>
      </c>
    </row>
    <row r="1074" spans="1:12" x14ac:dyDescent="0.8">
      <c r="A1074" s="5" t="s">
        <v>1145</v>
      </c>
      <c r="B1074" s="8">
        <v>42</v>
      </c>
      <c r="C1074" s="5" t="s">
        <v>49</v>
      </c>
      <c r="D1074" s="5" t="s">
        <v>51</v>
      </c>
      <c r="E1074" s="5" t="s">
        <v>44</v>
      </c>
      <c r="F1074" s="5" t="s">
        <v>137</v>
      </c>
      <c r="G1074" s="8">
        <v>1</v>
      </c>
      <c r="H1074" s="8">
        <v>5155</v>
      </c>
      <c r="I1074" s="5" t="s">
        <v>49</v>
      </c>
      <c r="J1074" s="8">
        <v>3</v>
      </c>
      <c r="K1074" s="8">
        <v>3</v>
      </c>
      <c r="L1074" s="8">
        <v>6</v>
      </c>
    </row>
    <row r="1075" spans="1:12" x14ac:dyDescent="0.8">
      <c r="A1075" s="5" t="s">
        <v>1146</v>
      </c>
      <c r="B1075" s="8">
        <v>42</v>
      </c>
      <c r="C1075" s="5" t="s">
        <v>49</v>
      </c>
      <c r="D1075" s="5" t="s">
        <v>71</v>
      </c>
      <c r="E1075" s="5" t="s">
        <v>44</v>
      </c>
      <c r="F1075" s="5" t="s">
        <v>71</v>
      </c>
      <c r="G1075" s="8">
        <v>1</v>
      </c>
      <c r="H1075" s="8">
        <v>6272</v>
      </c>
      <c r="I1075" s="5" t="s">
        <v>49</v>
      </c>
      <c r="J1075" s="8">
        <v>3</v>
      </c>
      <c r="K1075" s="8">
        <v>3</v>
      </c>
      <c r="L1075" s="8">
        <v>4</v>
      </c>
    </row>
    <row r="1076" spans="1:12" x14ac:dyDescent="0.8">
      <c r="A1076" s="5" t="s">
        <v>1147</v>
      </c>
      <c r="B1076" s="8">
        <v>42</v>
      </c>
      <c r="C1076" s="5" t="s">
        <v>49</v>
      </c>
      <c r="D1076" s="5" t="s">
        <v>42</v>
      </c>
      <c r="E1076" s="5" t="s">
        <v>53</v>
      </c>
      <c r="F1076" s="5" t="s">
        <v>252</v>
      </c>
      <c r="G1076" s="8">
        <v>1</v>
      </c>
      <c r="H1076" s="8">
        <v>13191</v>
      </c>
      <c r="I1076" s="5" t="s">
        <v>40</v>
      </c>
      <c r="J1076" s="8">
        <v>3</v>
      </c>
      <c r="K1076" s="8">
        <v>6</v>
      </c>
      <c r="L1076" s="8">
        <v>1</v>
      </c>
    </row>
    <row r="1077" spans="1:12" x14ac:dyDescent="0.8">
      <c r="A1077" s="5" t="s">
        <v>1148</v>
      </c>
      <c r="B1077" s="8">
        <v>42</v>
      </c>
      <c r="C1077" s="5" t="s">
        <v>49</v>
      </c>
      <c r="D1077" s="5" t="s">
        <v>42</v>
      </c>
      <c r="E1077" s="5" t="s">
        <v>53</v>
      </c>
      <c r="F1077" s="5" t="s">
        <v>60</v>
      </c>
      <c r="G1077" s="8">
        <v>2</v>
      </c>
      <c r="H1077" s="8">
        <v>2372</v>
      </c>
      <c r="I1077" s="5" t="s">
        <v>40</v>
      </c>
      <c r="J1077" s="8">
        <v>3</v>
      </c>
      <c r="K1077" s="8">
        <v>2</v>
      </c>
      <c r="L1077" s="8">
        <v>1</v>
      </c>
    </row>
    <row r="1078" spans="1:12" x14ac:dyDescent="0.8">
      <c r="A1078" s="5" t="s">
        <v>1149</v>
      </c>
      <c r="B1078" s="8">
        <v>42</v>
      </c>
      <c r="C1078" s="5" t="s">
        <v>49</v>
      </c>
      <c r="D1078" s="5" t="s">
        <v>42</v>
      </c>
      <c r="E1078" s="5" t="s">
        <v>44</v>
      </c>
      <c r="F1078" s="5" t="s">
        <v>442</v>
      </c>
      <c r="G1078" s="8">
        <v>3</v>
      </c>
      <c r="H1078" s="8">
        <v>17861</v>
      </c>
      <c r="I1078" s="5" t="s">
        <v>40</v>
      </c>
      <c r="J1078" s="8">
        <v>3</v>
      </c>
      <c r="K1078" s="8">
        <v>3</v>
      </c>
      <c r="L1078" s="8">
        <v>20</v>
      </c>
    </row>
    <row r="1079" spans="1:12" x14ac:dyDescent="0.8">
      <c r="A1079" s="5" t="s">
        <v>1150</v>
      </c>
      <c r="B1079" s="8">
        <v>42</v>
      </c>
      <c r="C1079" s="5" t="s">
        <v>49</v>
      </c>
      <c r="D1079" s="5" t="s">
        <v>71</v>
      </c>
      <c r="E1079" s="5" t="s">
        <v>53</v>
      </c>
      <c r="F1079" s="5" t="s">
        <v>442</v>
      </c>
      <c r="G1079" s="8">
        <v>1</v>
      </c>
      <c r="H1079" s="8">
        <v>16799</v>
      </c>
      <c r="I1079" s="5" t="s">
        <v>49</v>
      </c>
      <c r="J1079" s="8">
        <v>3</v>
      </c>
      <c r="K1079" s="8">
        <v>5</v>
      </c>
      <c r="L1079" s="8">
        <v>20</v>
      </c>
    </row>
    <row r="1080" spans="1:12" x14ac:dyDescent="0.8">
      <c r="A1080" s="5" t="s">
        <v>1151</v>
      </c>
      <c r="B1080" s="8">
        <v>42</v>
      </c>
      <c r="C1080" s="5" t="s">
        <v>49</v>
      </c>
      <c r="D1080" s="5" t="s">
        <v>42</v>
      </c>
      <c r="E1080" s="5" t="s">
        <v>53</v>
      </c>
      <c r="F1080" s="5" t="s">
        <v>45</v>
      </c>
      <c r="G1080" s="8">
        <v>4</v>
      </c>
      <c r="H1080" s="8">
        <v>3673</v>
      </c>
      <c r="I1080" s="5" t="s">
        <v>49</v>
      </c>
      <c r="J1080" s="8">
        <v>3</v>
      </c>
      <c r="K1080" s="8">
        <v>3</v>
      </c>
      <c r="L1080" s="8">
        <v>12</v>
      </c>
    </row>
    <row r="1081" spans="1:12" x14ac:dyDescent="0.8">
      <c r="A1081" s="5" t="s">
        <v>1152</v>
      </c>
      <c r="B1081" s="8">
        <v>42</v>
      </c>
      <c r="C1081" s="5" t="s">
        <v>49</v>
      </c>
      <c r="D1081" s="5" t="s">
        <v>42</v>
      </c>
      <c r="E1081" s="5" t="s">
        <v>44</v>
      </c>
      <c r="F1081" s="5" t="s">
        <v>45</v>
      </c>
      <c r="G1081" s="8">
        <v>2</v>
      </c>
      <c r="H1081" s="8">
        <v>4841</v>
      </c>
      <c r="I1081" s="5" t="s">
        <v>49</v>
      </c>
      <c r="J1081" s="8">
        <v>3</v>
      </c>
      <c r="K1081" s="8">
        <v>3</v>
      </c>
      <c r="L1081" s="8">
        <v>1</v>
      </c>
    </row>
    <row r="1082" spans="1:12" x14ac:dyDescent="0.8">
      <c r="A1082" s="5" t="s">
        <v>1153</v>
      </c>
      <c r="B1082" s="8">
        <v>42</v>
      </c>
      <c r="C1082" s="5" t="s">
        <v>49</v>
      </c>
      <c r="D1082" s="5" t="s">
        <v>42</v>
      </c>
      <c r="E1082" s="5" t="s">
        <v>44</v>
      </c>
      <c r="F1082" s="5" t="s">
        <v>161</v>
      </c>
      <c r="G1082" s="8">
        <v>4</v>
      </c>
      <c r="H1082" s="8">
        <v>10124</v>
      </c>
      <c r="I1082" s="5" t="s">
        <v>40</v>
      </c>
      <c r="J1082" s="8">
        <v>3</v>
      </c>
      <c r="K1082" s="8">
        <v>3</v>
      </c>
      <c r="L1082" s="8">
        <v>20</v>
      </c>
    </row>
    <row r="1083" spans="1:12" x14ac:dyDescent="0.8">
      <c r="A1083" s="5" t="s">
        <v>1154</v>
      </c>
      <c r="B1083" s="8">
        <v>42</v>
      </c>
      <c r="C1083" s="5" t="s">
        <v>49</v>
      </c>
      <c r="D1083" s="5" t="s">
        <v>42</v>
      </c>
      <c r="E1083" s="5" t="s">
        <v>44</v>
      </c>
      <c r="F1083" s="5" t="s">
        <v>442</v>
      </c>
      <c r="G1083" s="8">
        <v>4</v>
      </c>
      <c r="H1083" s="8">
        <v>19613</v>
      </c>
      <c r="I1083" s="5" t="s">
        <v>49</v>
      </c>
      <c r="J1083" s="8">
        <v>4</v>
      </c>
      <c r="K1083" s="8">
        <v>2</v>
      </c>
      <c r="L1083" s="8">
        <v>1</v>
      </c>
    </row>
    <row r="1084" spans="1:12" x14ac:dyDescent="0.8">
      <c r="A1084" s="5" t="s">
        <v>1155</v>
      </c>
      <c r="B1084" s="8">
        <v>42</v>
      </c>
      <c r="C1084" s="5" t="s">
        <v>49</v>
      </c>
      <c r="D1084" s="5" t="s">
        <v>42</v>
      </c>
      <c r="E1084" s="5" t="s">
        <v>44</v>
      </c>
      <c r="F1084" s="5" t="s">
        <v>45</v>
      </c>
      <c r="G1084" s="8">
        <v>2</v>
      </c>
      <c r="H1084" s="8">
        <v>2766</v>
      </c>
      <c r="I1084" s="5" t="s">
        <v>49</v>
      </c>
      <c r="J1084" s="8">
        <v>4</v>
      </c>
      <c r="K1084" s="8">
        <v>6</v>
      </c>
      <c r="L1084" s="8">
        <v>5</v>
      </c>
    </row>
    <row r="1085" spans="1:12" x14ac:dyDescent="0.8">
      <c r="A1085" s="5" t="s">
        <v>1156</v>
      </c>
      <c r="B1085" s="8">
        <v>42</v>
      </c>
      <c r="C1085" s="5" t="s">
        <v>49</v>
      </c>
      <c r="D1085" s="5" t="s">
        <v>42</v>
      </c>
      <c r="E1085" s="5" t="s">
        <v>44</v>
      </c>
      <c r="F1085" s="5" t="s">
        <v>161</v>
      </c>
      <c r="G1085" s="8">
        <v>1</v>
      </c>
      <c r="H1085" s="8">
        <v>5538</v>
      </c>
      <c r="I1085" s="5" t="s">
        <v>49</v>
      </c>
      <c r="J1085" s="8">
        <v>3</v>
      </c>
      <c r="K1085" s="8">
        <v>2</v>
      </c>
      <c r="L1085" s="8">
        <v>0</v>
      </c>
    </row>
    <row r="1086" spans="1:12" x14ac:dyDescent="0.8">
      <c r="A1086" s="5" t="s">
        <v>1157</v>
      </c>
      <c r="B1086" s="8">
        <v>42</v>
      </c>
      <c r="C1086" s="5" t="s">
        <v>49</v>
      </c>
      <c r="D1086" s="5" t="s">
        <v>42</v>
      </c>
      <c r="E1086" s="5" t="s">
        <v>44</v>
      </c>
      <c r="F1086" s="5" t="s">
        <v>60</v>
      </c>
      <c r="G1086" s="8">
        <v>3</v>
      </c>
      <c r="H1086" s="8">
        <v>2936</v>
      </c>
      <c r="I1086" s="5" t="s">
        <v>49</v>
      </c>
      <c r="J1086" s="8">
        <v>4</v>
      </c>
      <c r="K1086" s="8">
        <v>1</v>
      </c>
      <c r="L1086" s="8">
        <v>6</v>
      </c>
    </row>
    <row r="1087" spans="1:12" x14ac:dyDescent="0.8">
      <c r="A1087" s="5" t="s">
        <v>1158</v>
      </c>
      <c r="B1087" s="8">
        <v>42</v>
      </c>
      <c r="C1087" s="5" t="s">
        <v>49</v>
      </c>
      <c r="D1087" s="5" t="s">
        <v>42</v>
      </c>
      <c r="E1087" s="5" t="s">
        <v>44</v>
      </c>
      <c r="F1087" s="5" t="s">
        <v>45</v>
      </c>
      <c r="G1087" s="8">
        <v>3</v>
      </c>
      <c r="H1087" s="8">
        <v>3968</v>
      </c>
      <c r="I1087" s="5" t="s">
        <v>49</v>
      </c>
      <c r="J1087" s="8">
        <v>3</v>
      </c>
      <c r="K1087" s="8">
        <v>3</v>
      </c>
      <c r="L1087" s="8">
        <v>0</v>
      </c>
    </row>
    <row r="1088" spans="1:12" x14ac:dyDescent="0.8">
      <c r="A1088" s="5" t="s">
        <v>1159</v>
      </c>
      <c r="B1088" s="8">
        <v>42</v>
      </c>
      <c r="C1088" s="5" t="s">
        <v>49</v>
      </c>
      <c r="D1088" s="5" t="s">
        <v>42</v>
      </c>
      <c r="E1088" s="5" t="s">
        <v>44</v>
      </c>
      <c r="F1088" s="5" t="s">
        <v>252</v>
      </c>
      <c r="G1088" s="8">
        <v>1</v>
      </c>
      <c r="H1088" s="8">
        <v>13348</v>
      </c>
      <c r="I1088" s="5" t="s">
        <v>49</v>
      </c>
      <c r="J1088" s="8">
        <v>3</v>
      </c>
      <c r="K1088" s="8">
        <v>3</v>
      </c>
      <c r="L1088" s="8">
        <v>13</v>
      </c>
    </row>
    <row r="1089" spans="1:12" x14ac:dyDescent="0.8">
      <c r="A1089" s="5" t="s">
        <v>1160</v>
      </c>
      <c r="B1089" s="8">
        <v>42</v>
      </c>
      <c r="C1089" s="5" t="s">
        <v>49</v>
      </c>
      <c r="D1089" s="5" t="s">
        <v>51</v>
      </c>
      <c r="E1089" s="5" t="s">
        <v>44</v>
      </c>
      <c r="F1089" s="5" t="s">
        <v>137</v>
      </c>
      <c r="G1089" s="8">
        <v>4</v>
      </c>
      <c r="H1089" s="8">
        <v>5087</v>
      </c>
      <c r="I1089" s="5" t="s">
        <v>40</v>
      </c>
      <c r="J1089" s="8">
        <v>3</v>
      </c>
      <c r="K1089" s="8">
        <v>4</v>
      </c>
      <c r="L1089" s="8">
        <v>0</v>
      </c>
    </row>
    <row r="1090" spans="1:12" x14ac:dyDescent="0.8">
      <c r="A1090" s="5" t="s">
        <v>1161</v>
      </c>
      <c r="B1090" s="8">
        <v>42</v>
      </c>
      <c r="C1090" s="5" t="s">
        <v>49</v>
      </c>
      <c r="D1090" s="5" t="s">
        <v>42</v>
      </c>
      <c r="E1090" s="5" t="s">
        <v>44</v>
      </c>
      <c r="F1090" s="5" t="s">
        <v>60</v>
      </c>
      <c r="G1090" s="8">
        <v>3</v>
      </c>
      <c r="H1090" s="8">
        <v>4332</v>
      </c>
      <c r="I1090" s="5" t="s">
        <v>49</v>
      </c>
      <c r="J1090" s="8">
        <v>3</v>
      </c>
      <c r="K1090" s="8">
        <v>2</v>
      </c>
      <c r="L1090" s="8">
        <v>20</v>
      </c>
    </row>
    <row r="1091" spans="1:12" x14ac:dyDescent="0.8">
      <c r="A1091" s="5" t="s">
        <v>1162</v>
      </c>
      <c r="B1091" s="8">
        <v>42</v>
      </c>
      <c r="C1091" s="5" t="s">
        <v>49</v>
      </c>
      <c r="D1091" s="5" t="s">
        <v>42</v>
      </c>
      <c r="E1091" s="5" t="s">
        <v>44</v>
      </c>
      <c r="F1091" s="5" t="s">
        <v>60</v>
      </c>
      <c r="G1091" s="8">
        <v>1</v>
      </c>
      <c r="H1091" s="8">
        <v>5410</v>
      </c>
      <c r="I1091" s="5" t="s">
        <v>40</v>
      </c>
      <c r="J1091" s="8">
        <v>3</v>
      </c>
      <c r="K1091" s="8">
        <v>3</v>
      </c>
      <c r="L1091" s="8">
        <v>4</v>
      </c>
    </row>
    <row r="1092" spans="1:12" x14ac:dyDescent="0.8">
      <c r="A1092" s="5" t="s">
        <v>1163</v>
      </c>
      <c r="B1092" s="8">
        <v>42</v>
      </c>
      <c r="C1092" s="5" t="s">
        <v>49</v>
      </c>
      <c r="D1092" s="5" t="s">
        <v>42</v>
      </c>
      <c r="E1092" s="5" t="s">
        <v>44</v>
      </c>
      <c r="F1092" s="5" t="s">
        <v>442</v>
      </c>
      <c r="G1092" s="8">
        <v>3</v>
      </c>
      <c r="H1092" s="8">
        <v>18880</v>
      </c>
      <c r="I1092" s="5" t="s">
        <v>49</v>
      </c>
      <c r="J1092" s="8">
        <v>3</v>
      </c>
      <c r="K1092" s="8">
        <v>2</v>
      </c>
      <c r="L1092" s="8">
        <v>22</v>
      </c>
    </row>
    <row r="1093" spans="1:12" x14ac:dyDescent="0.8">
      <c r="A1093" s="5" t="s">
        <v>1164</v>
      </c>
      <c r="B1093" s="8">
        <v>43</v>
      </c>
      <c r="C1093" s="5" t="s">
        <v>49</v>
      </c>
      <c r="D1093" s="5" t="s">
        <v>42</v>
      </c>
      <c r="E1093" s="5" t="s">
        <v>53</v>
      </c>
      <c r="F1093" s="5" t="s">
        <v>60</v>
      </c>
      <c r="G1093" s="8">
        <v>3</v>
      </c>
      <c r="H1093" s="8">
        <v>2645</v>
      </c>
      <c r="I1093" s="5" t="s">
        <v>49</v>
      </c>
      <c r="J1093" s="8">
        <v>3</v>
      </c>
      <c r="K1093" s="8">
        <v>3</v>
      </c>
      <c r="L1093" s="8">
        <v>5</v>
      </c>
    </row>
    <row r="1094" spans="1:12" x14ac:dyDescent="0.8">
      <c r="A1094" s="5" t="s">
        <v>1165</v>
      </c>
      <c r="B1094" s="8">
        <v>43</v>
      </c>
      <c r="C1094" s="5" t="s">
        <v>49</v>
      </c>
      <c r="D1094" s="5" t="s">
        <v>51</v>
      </c>
      <c r="E1094" s="5" t="s">
        <v>44</v>
      </c>
      <c r="F1094" s="5" t="s">
        <v>442</v>
      </c>
      <c r="G1094" s="8">
        <v>4</v>
      </c>
      <c r="H1094" s="8">
        <v>16959</v>
      </c>
      <c r="I1094" s="5" t="s">
        <v>40</v>
      </c>
      <c r="J1094" s="8">
        <v>3</v>
      </c>
      <c r="K1094" s="8">
        <v>3</v>
      </c>
      <c r="L1094" s="8">
        <v>25</v>
      </c>
    </row>
    <row r="1095" spans="1:12" x14ac:dyDescent="0.8">
      <c r="A1095" s="5" t="s">
        <v>1166</v>
      </c>
      <c r="B1095" s="8">
        <v>43</v>
      </c>
      <c r="C1095" s="5" t="s">
        <v>49</v>
      </c>
      <c r="D1095" s="5" t="s">
        <v>42</v>
      </c>
      <c r="E1095" s="5" t="s">
        <v>53</v>
      </c>
      <c r="F1095" s="5" t="s">
        <v>60</v>
      </c>
      <c r="G1095" s="8">
        <v>3</v>
      </c>
      <c r="H1095" s="8">
        <v>4739</v>
      </c>
      <c r="I1095" s="5" t="s">
        <v>49</v>
      </c>
      <c r="J1095" s="8">
        <v>3</v>
      </c>
      <c r="K1095" s="8">
        <v>2</v>
      </c>
      <c r="L1095" s="8">
        <v>3</v>
      </c>
    </row>
    <row r="1096" spans="1:12" x14ac:dyDescent="0.8">
      <c r="A1096" s="5" t="s">
        <v>1167</v>
      </c>
      <c r="B1096" s="8">
        <v>43</v>
      </c>
      <c r="C1096" s="5" t="s">
        <v>49</v>
      </c>
      <c r="D1096" s="5" t="s">
        <v>42</v>
      </c>
      <c r="E1096" s="5" t="s">
        <v>44</v>
      </c>
      <c r="F1096" s="5" t="s">
        <v>60</v>
      </c>
      <c r="G1096" s="8">
        <v>4</v>
      </c>
      <c r="H1096" s="8">
        <v>2089</v>
      </c>
      <c r="I1096" s="5" t="s">
        <v>49</v>
      </c>
      <c r="J1096" s="8">
        <v>3</v>
      </c>
      <c r="K1096" s="8">
        <v>3</v>
      </c>
      <c r="L1096" s="8">
        <v>5</v>
      </c>
    </row>
    <row r="1097" spans="1:12" x14ac:dyDescent="0.8">
      <c r="A1097" s="5" t="s">
        <v>1168</v>
      </c>
      <c r="B1097" s="8">
        <v>43</v>
      </c>
      <c r="C1097" s="5" t="s">
        <v>49</v>
      </c>
      <c r="D1097" s="5" t="s">
        <v>51</v>
      </c>
      <c r="E1097" s="5" t="s">
        <v>53</v>
      </c>
      <c r="F1097" s="5" t="s">
        <v>442</v>
      </c>
      <c r="G1097" s="8">
        <v>4</v>
      </c>
      <c r="H1097" s="8">
        <v>16064</v>
      </c>
      <c r="I1097" s="5" t="s">
        <v>40</v>
      </c>
      <c r="J1097" s="8">
        <v>4</v>
      </c>
      <c r="K1097" s="8">
        <v>3</v>
      </c>
      <c r="L1097" s="8">
        <v>17</v>
      </c>
    </row>
    <row r="1098" spans="1:12" x14ac:dyDescent="0.8">
      <c r="A1098" s="5" t="s">
        <v>1169</v>
      </c>
      <c r="B1098" s="8">
        <v>43</v>
      </c>
      <c r="C1098" s="5" t="s">
        <v>49</v>
      </c>
      <c r="D1098" s="5" t="s">
        <v>42</v>
      </c>
      <c r="E1098" s="5" t="s">
        <v>53</v>
      </c>
      <c r="F1098" s="5" t="s">
        <v>45</v>
      </c>
      <c r="G1098" s="8">
        <v>4</v>
      </c>
      <c r="H1098" s="8">
        <v>2455</v>
      </c>
      <c r="I1098" s="5" t="s">
        <v>49</v>
      </c>
      <c r="J1098" s="8">
        <v>3</v>
      </c>
      <c r="K1098" s="8">
        <v>5</v>
      </c>
      <c r="L1098" s="8">
        <v>8</v>
      </c>
    </row>
    <row r="1099" spans="1:12" x14ac:dyDescent="0.8">
      <c r="A1099" s="5" t="s">
        <v>1170</v>
      </c>
      <c r="B1099" s="8">
        <v>43</v>
      </c>
      <c r="C1099" s="5" t="s">
        <v>49</v>
      </c>
      <c r="D1099" s="5" t="s">
        <v>42</v>
      </c>
      <c r="E1099" s="5" t="s">
        <v>53</v>
      </c>
      <c r="F1099" s="5" t="s">
        <v>45</v>
      </c>
      <c r="G1099" s="8">
        <v>3</v>
      </c>
      <c r="H1099" s="8">
        <v>5257</v>
      </c>
      <c r="I1099" s="5" t="s">
        <v>49</v>
      </c>
      <c r="J1099" s="8">
        <v>3</v>
      </c>
      <c r="K1099" s="8">
        <v>3</v>
      </c>
      <c r="L1099" s="8">
        <v>9</v>
      </c>
    </row>
    <row r="1100" spans="1:12" x14ac:dyDescent="0.8">
      <c r="A1100" s="5" t="s">
        <v>1171</v>
      </c>
      <c r="B1100" s="8">
        <v>43</v>
      </c>
      <c r="C1100" s="5" t="s">
        <v>49</v>
      </c>
      <c r="D1100" s="5" t="s">
        <v>42</v>
      </c>
      <c r="E1100" s="5" t="s">
        <v>53</v>
      </c>
      <c r="F1100" s="5" t="s">
        <v>161</v>
      </c>
      <c r="G1100" s="8">
        <v>1</v>
      </c>
      <c r="H1100" s="8">
        <v>9985</v>
      </c>
      <c r="I1100" s="5" t="s">
        <v>49</v>
      </c>
      <c r="J1100" s="8">
        <v>3</v>
      </c>
      <c r="K1100" s="8">
        <v>1</v>
      </c>
      <c r="L1100" s="8">
        <v>1</v>
      </c>
    </row>
    <row r="1101" spans="1:12" x14ac:dyDescent="0.8">
      <c r="A1101" s="5" t="s">
        <v>1172</v>
      </c>
      <c r="B1101" s="8">
        <v>43</v>
      </c>
      <c r="C1101" s="5" t="s">
        <v>49</v>
      </c>
      <c r="D1101" s="5" t="s">
        <v>42</v>
      </c>
      <c r="E1101" s="5" t="s">
        <v>44</v>
      </c>
      <c r="F1101" s="5" t="s">
        <v>252</v>
      </c>
      <c r="G1101" s="8">
        <v>2</v>
      </c>
      <c r="H1101" s="8">
        <v>14336</v>
      </c>
      <c r="I1101" s="5" t="s">
        <v>49</v>
      </c>
      <c r="J1101" s="8">
        <v>3</v>
      </c>
      <c r="K1101" s="8">
        <v>3</v>
      </c>
      <c r="L1101" s="8">
        <v>25</v>
      </c>
    </row>
    <row r="1102" spans="1:12" x14ac:dyDescent="0.8">
      <c r="A1102" s="5" t="s">
        <v>1173</v>
      </c>
      <c r="B1102" s="8">
        <v>43</v>
      </c>
      <c r="C1102" s="5" t="s">
        <v>49</v>
      </c>
      <c r="D1102" s="5" t="s">
        <v>42</v>
      </c>
      <c r="E1102" s="5" t="s">
        <v>44</v>
      </c>
      <c r="F1102" s="5" t="s">
        <v>45</v>
      </c>
      <c r="G1102" s="8">
        <v>4</v>
      </c>
      <c r="H1102" s="8">
        <v>2258</v>
      </c>
      <c r="I1102" s="5" t="s">
        <v>49</v>
      </c>
      <c r="J1102" s="8">
        <v>4</v>
      </c>
      <c r="K1102" s="8">
        <v>1</v>
      </c>
      <c r="L1102" s="8">
        <v>3</v>
      </c>
    </row>
    <row r="1103" spans="1:12" x14ac:dyDescent="0.8">
      <c r="A1103" s="5" t="s">
        <v>1174</v>
      </c>
      <c r="B1103" s="8">
        <v>43</v>
      </c>
      <c r="C1103" s="5" t="s">
        <v>49</v>
      </c>
      <c r="D1103" s="5" t="s">
        <v>42</v>
      </c>
      <c r="E1103" s="5" t="s">
        <v>53</v>
      </c>
      <c r="F1103" s="5" t="s">
        <v>161</v>
      </c>
      <c r="G1103" s="8">
        <v>3</v>
      </c>
      <c r="H1103" s="8">
        <v>4522</v>
      </c>
      <c r="I1103" s="5" t="s">
        <v>40</v>
      </c>
      <c r="J1103" s="8">
        <v>3</v>
      </c>
      <c r="K1103" s="8">
        <v>3</v>
      </c>
      <c r="L1103" s="8">
        <v>5</v>
      </c>
    </row>
    <row r="1104" spans="1:12" x14ac:dyDescent="0.8">
      <c r="A1104" s="5" t="s">
        <v>1175</v>
      </c>
      <c r="B1104" s="8">
        <v>43</v>
      </c>
      <c r="C1104" s="5" t="s">
        <v>49</v>
      </c>
      <c r="D1104" s="5" t="s">
        <v>42</v>
      </c>
      <c r="E1104" s="5" t="s">
        <v>44</v>
      </c>
      <c r="F1104" s="5" t="s">
        <v>252</v>
      </c>
      <c r="G1104" s="8">
        <v>4</v>
      </c>
      <c r="H1104" s="8">
        <v>16627</v>
      </c>
      <c r="I1104" s="5" t="s">
        <v>40</v>
      </c>
      <c r="J1104" s="8">
        <v>3</v>
      </c>
      <c r="K1104" s="8">
        <v>3</v>
      </c>
      <c r="L1104" s="8">
        <v>1</v>
      </c>
    </row>
    <row r="1105" spans="1:12" x14ac:dyDescent="0.8">
      <c r="A1105" s="5" t="s">
        <v>1176</v>
      </c>
      <c r="B1105" s="8">
        <v>43</v>
      </c>
      <c r="C1105" s="5" t="s">
        <v>49</v>
      </c>
      <c r="D1105" s="5" t="s">
        <v>42</v>
      </c>
      <c r="E1105" s="5" t="s">
        <v>44</v>
      </c>
      <c r="F1105" s="5" t="s">
        <v>45</v>
      </c>
      <c r="G1105" s="8">
        <v>3</v>
      </c>
      <c r="H1105" s="8">
        <v>5679</v>
      </c>
      <c r="I1105" s="5" t="s">
        <v>40</v>
      </c>
      <c r="J1105" s="8">
        <v>3</v>
      </c>
      <c r="K1105" s="8">
        <v>3</v>
      </c>
      <c r="L1105" s="8">
        <v>8</v>
      </c>
    </row>
    <row r="1106" spans="1:12" x14ac:dyDescent="0.8">
      <c r="A1106" s="5" t="s">
        <v>1177</v>
      </c>
      <c r="B1106" s="8">
        <v>43</v>
      </c>
      <c r="C1106" s="5" t="s">
        <v>49</v>
      </c>
      <c r="D1106" s="5" t="s">
        <v>51</v>
      </c>
      <c r="E1106" s="5" t="s">
        <v>44</v>
      </c>
      <c r="F1106" s="5" t="s">
        <v>137</v>
      </c>
      <c r="G1106" s="8">
        <v>4</v>
      </c>
      <c r="H1106" s="8">
        <v>6804</v>
      </c>
      <c r="I1106" s="5" t="s">
        <v>49</v>
      </c>
      <c r="J1106" s="8">
        <v>3</v>
      </c>
      <c r="K1106" s="8">
        <v>5</v>
      </c>
      <c r="L1106" s="8">
        <v>2</v>
      </c>
    </row>
    <row r="1107" spans="1:12" x14ac:dyDescent="0.8">
      <c r="A1107" s="5" t="s">
        <v>1178</v>
      </c>
      <c r="B1107" s="8">
        <v>43</v>
      </c>
      <c r="C1107" s="5" t="s">
        <v>49</v>
      </c>
      <c r="D1107" s="5" t="s">
        <v>42</v>
      </c>
      <c r="E1107" s="5" t="s">
        <v>44</v>
      </c>
      <c r="F1107" s="5" t="s">
        <v>252</v>
      </c>
      <c r="G1107" s="8">
        <v>1</v>
      </c>
      <c r="H1107" s="8">
        <v>17159</v>
      </c>
      <c r="I1107" s="5" t="s">
        <v>49</v>
      </c>
      <c r="J1107" s="8">
        <v>4</v>
      </c>
      <c r="K1107" s="8">
        <v>3</v>
      </c>
      <c r="L1107" s="8">
        <v>4</v>
      </c>
    </row>
    <row r="1108" spans="1:12" x14ac:dyDescent="0.8">
      <c r="A1108" s="5" t="s">
        <v>1179</v>
      </c>
      <c r="B1108" s="8">
        <v>43</v>
      </c>
      <c r="C1108" s="5" t="s">
        <v>49</v>
      </c>
      <c r="D1108" s="5" t="s">
        <v>42</v>
      </c>
      <c r="E1108" s="5" t="s">
        <v>53</v>
      </c>
      <c r="F1108" s="5" t="s">
        <v>161</v>
      </c>
      <c r="G1108" s="8">
        <v>4</v>
      </c>
      <c r="H1108" s="8">
        <v>5562</v>
      </c>
      <c r="I1108" s="5" t="s">
        <v>49</v>
      </c>
      <c r="J1108" s="8">
        <v>3</v>
      </c>
      <c r="K1108" s="8">
        <v>2</v>
      </c>
      <c r="L1108" s="8">
        <v>5</v>
      </c>
    </row>
    <row r="1109" spans="1:12" x14ac:dyDescent="0.8">
      <c r="A1109" s="5" t="s">
        <v>1180</v>
      </c>
      <c r="B1109" s="8">
        <v>43</v>
      </c>
      <c r="C1109" s="5" t="s">
        <v>49</v>
      </c>
      <c r="D1109" s="5" t="s">
        <v>42</v>
      </c>
      <c r="E1109" s="5" t="s">
        <v>53</v>
      </c>
      <c r="F1109" s="5" t="s">
        <v>112</v>
      </c>
      <c r="G1109" s="8">
        <v>2</v>
      </c>
      <c r="H1109" s="8">
        <v>4765</v>
      </c>
      <c r="I1109" s="5" t="s">
        <v>49</v>
      </c>
      <c r="J1109" s="8">
        <v>4</v>
      </c>
      <c r="K1109" s="8">
        <v>2</v>
      </c>
      <c r="L1109" s="8">
        <v>1</v>
      </c>
    </row>
    <row r="1110" spans="1:12" x14ac:dyDescent="0.8">
      <c r="A1110" s="5" t="s">
        <v>1181</v>
      </c>
      <c r="B1110" s="8">
        <v>43</v>
      </c>
      <c r="C1110" s="5" t="s">
        <v>49</v>
      </c>
      <c r="D1110" s="5" t="s">
        <v>51</v>
      </c>
      <c r="E1110" s="5" t="s">
        <v>44</v>
      </c>
      <c r="F1110" s="5" t="s">
        <v>137</v>
      </c>
      <c r="G1110" s="8">
        <v>4</v>
      </c>
      <c r="H1110" s="8">
        <v>10798</v>
      </c>
      <c r="I1110" s="5" t="s">
        <v>49</v>
      </c>
      <c r="J1110" s="8">
        <v>3</v>
      </c>
      <c r="K1110" s="8">
        <v>5</v>
      </c>
      <c r="L1110" s="8">
        <v>1</v>
      </c>
    </row>
    <row r="1111" spans="1:12" x14ac:dyDescent="0.8">
      <c r="A1111" s="5" t="s">
        <v>1182</v>
      </c>
      <c r="B1111" s="8">
        <v>43</v>
      </c>
      <c r="C1111" s="5" t="s">
        <v>49</v>
      </c>
      <c r="D1111" s="5" t="s">
        <v>42</v>
      </c>
      <c r="E1111" s="5" t="s">
        <v>53</v>
      </c>
      <c r="F1111" s="5" t="s">
        <v>112</v>
      </c>
      <c r="G1111" s="8">
        <v>1</v>
      </c>
      <c r="H1111" s="8">
        <v>10820</v>
      </c>
      <c r="I1111" s="5" t="s">
        <v>49</v>
      </c>
      <c r="J1111" s="8">
        <v>3</v>
      </c>
      <c r="K1111" s="8">
        <v>1</v>
      </c>
      <c r="L1111" s="8">
        <v>8</v>
      </c>
    </row>
    <row r="1112" spans="1:12" x14ac:dyDescent="0.8">
      <c r="A1112" s="5" t="s">
        <v>1183</v>
      </c>
      <c r="B1112" s="8">
        <v>43</v>
      </c>
      <c r="C1112" s="5" t="s">
        <v>40</v>
      </c>
      <c r="D1112" s="5" t="s">
        <v>51</v>
      </c>
      <c r="E1112" s="5" t="s">
        <v>53</v>
      </c>
      <c r="F1112" s="5" t="s">
        <v>137</v>
      </c>
      <c r="G1112" s="8">
        <v>3</v>
      </c>
      <c r="H1112" s="8">
        <v>5346</v>
      </c>
      <c r="I1112" s="5" t="s">
        <v>49</v>
      </c>
      <c r="J1112" s="8">
        <v>3</v>
      </c>
      <c r="K1112" s="8">
        <v>2</v>
      </c>
      <c r="L1112" s="8">
        <v>4</v>
      </c>
    </row>
    <row r="1113" spans="1:12" x14ac:dyDescent="0.8">
      <c r="A1113" s="5" t="s">
        <v>1184</v>
      </c>
      <c r="B1113" s="8">
        <v>43</v>
      </c>
      <c r="C1113" s="5" t="s">
        <v>49</v>
      </c>
      <c r="D1113" s="5" t="s">
        <v>42</v>
      </c>
      <c r="E1113" s="5" t="s">
        <v>44</v>
      </c>
      <c r="F1113" s="5" t="s">
        <v>252</v>
      </c>
      <c r="G1113" s="8">
        <v>4</v>
      </c>
      <c r="H1113" s="8">
        <v>19740</v>
      </c>
      <c r="I1113" s="5" t="s">
        <v>49</v>
      </c>
      <c r="J1113" s="8">
        <v>3</v>
      </c>
      <c r="K1113" s="8">
        <v>2</v>
      </c>
      <c r="L1113" s="8">
        <v>8</v>
      </c>
    </row>
    <row r="1114" spans="1:12" x14ac:dyDescent="0.8">
      <c r="A1114" s="5" t="s">
        <v>1185</v>
      </c>
      <c r="B1114" s="8">
        <v>43</v>
      </c>
      <c r="C1114" s="5" t="s">
        <v>49</v>
      </c>
      <c r="D1114" s="5" t="s">
        <v>51</v>
      </c>
      <c r="E1114" s="5" t="s">
        <v>53</v>
      </c>
      <c r="F1114" s="5" t="s">
        <v>137</v>
      </c>
      <c r="G1114" s="8">
        <v>4</v>
      </c>
      <c r="H1114" s="8">
        <v>10231</v>
      </c>
      <c r="I1114" s="5" t="s">
        <v>49</v>
      </c>
      <c r="J1114" s="8">
        <v>3</v>
      </c>
      <c r="K1114" s="8">
        <v>3</v>
      </c>
      <c r="L1114" s="8">
        <v>21</v>
      </c>
    </row>
    <row r="1115" spans="1:12" x14ac:dyDescent="0.8">
      <c r="A1115" s="5" t="s">
        <v>1186</v>
      </c>
      <c r="B1115" s="8">
        <v>43</v>
      </c>
      <c r="C1115" s="5" t="s">
        <v>49</v>
      </c>
      <c r="D1115" s="5" t="s">
        <v>42</v>
      </c>
      <c r="E1115" s="5" t="s">
        <v>53</v>
      </c>
      <c r="F1115" s="5" t="s">
        <v>60</v>
      </c>
      <c r="G1115" s="8">
        <v>3</v>
      </c>
      <c r="H1115" s="8">
        <v>4081</v>
      </c>
      <c r="I1115" s="5" t="s">
        <v>40</v>
      </c>
      <c r="J1115" s="8">
        <v>3</v>
      </c>
      <c r="K1115" s="8">
        <v>3</v>
      </c>
      <c r="L1115" s="8">
        <v>20</v>
      </c>
    </row>
    <row r="1116" spans="1:12" x14ac:dyDescent="0.8">
      <c r="A1116" s="5" t="s">
        <v>1187</v>
      </c>
      <c r="B1116" s="8">
        <v>43</v>
      </c>
      <c r="C1116" s="5" t="s">
        <v>49</v>
      </c>
      <c r="D1116" s="5" t="s">
        <v>42</v>
      </c>
      <c r="E1116" s="5" t="s">
        <v>44</v>
      </c>
      <c r="F1116" s="5" t="s">
        <v>45</v>
      </c>
      <c r="G1116" s="8">
        <v>2</v>
      </c>
      <c r="H1116" s="8">
        <v>4876</v>
      </c>
      <c r="I1116" s="5" t="s">
        <v>49</v>
      </c>
      <c r="J1116" s="8">
        <v>3</v>
      </c>
      <c r="K1116" s="8">
        <v>0</v>
      </c>
      <c r="L1116" s="8">
        <v>6</v>
      </c>
    </row>
    <row r="1117" spans="1:12" x14ac:dyDescent="0.8">
      <c r="A1117" s="5" t="s">
        <v>1188</v>
      </c>
      <c r="B1117" s="8">
        <v>43</v>
      </c>
      <c r="C1117" s="5" t="s">
        <v>49</v>
      </c>
      <c r="D1117" s="5" t="s">
        <v>42</v>
      </c>
      <c r="E1117" s="5" t="s">
        <v>44</v>
      </c>
      <c r="F1117" s="5" t="s">
        <v>252</v>
      </c>
      <c r="G1117" s="8">
        <v>3</v>
      </c>
      <c r="H1117" s="8">
        <v>17603</v>
      </c>
      <c r="I1117" s="5" t="s">
        <v>49</v>
      </c>
      <c r="J1117" s="8">
        <v>4</v>
      </c>
      <c r="K1117" s="8">
        <v>3</v>
      </c>
      <c r="L1117" s="8">
        <v>14</v>
      </c>
    </row>
    <row r="1118" spans="1:12" x14ac:dyDescent="0.8">
      <c r="A1118" s="5" t="s">
        <v>1189</v>
      </c>
      <c r="B1118" s="8">
        <v>43</v>
      </c>
      <c r="C1118" s="5" t="s">
        <v>49</v>
      </c>
      <c r="D1118" s="5" t="s">
        <v>51</v>
      </c>
      <c r="E1118" s="5" t="s">
        <v>44</v>
      </c>
      <c r="F1118" s="5" t="s">
        <v>137</v>
      </c>
      <c r="G1118" s="8">
        <v>4</v>
      </c>
      <c r="H1118" s="8">
        <v>7847</v>
      </c>
      <c r="I1118" s="5" t="s">
        <v>40</v>
      </c>
      <c r="J1118" s="8">
        <v>3</v>
      </c>
      <c r="K1118" s="8">
        <v>3</v>
      </c>
      <c r="L1118" s="8">
        <v>10</v>
      </c>
    </row>
    <row r="1119" spans="1:12" x14ac:dyDescent="0.8">
      <c r="A1119" s="5" t="s">
        <v>1190</v>
      </c>
      <c r="B1119" s="8">
        <v>43</v>
      </c>
      <c r="C1119" s="5" t="s">
        <v>40</v>
      </c>
      <c r="D1119" s="5" t="s">
        <v>42</v>
      </c>
      <c r="E1119" s="5" t="s">
        <v>44</v>
      </c>
      <c r="F1119" s="5" t="s">
        <v>60</v>
      </c>
      <c r="G1119" s="8">
        <v>3</v>
      </c>
      <c r="H1119" s="8">
        <v>2437</v>
      </c>
      <c r="I1119" s="5" t="s">
        <v>40</v>
      </c>
      <c r="J1119" s="8">
        <v>3</v>
      </c>
      <c r="K1119" s="8">
        <v>4</v>
      </c>
      <c r="L1119" s="8">
        <v>1</v>
      </c>
    </row>
    <row r="1120" spans="1:12" x14ac:dyDescent="0.8">
      <c r="A1120" s="5" t="s">
        <v>1191</v>
      </c>
      <c r="B1120" s="8">
        <v>43</v>
      </c>
      <c r="C1120" s="5" t="s">
        <v>49</v>
      </c>
      <c r="D1120" s="5" t="s">
        <v>71</v>
      </c>
      <c r="E1120" s="5" t="s">
        <v>44</v>
      </c>
      <c r="F1120" s="5" t="s">
        <v>71</v>
      </c>
      <c r="G1120" s="8">
        <v>4</v>
      </c>
      <c r="H1120" s="8">
        <v>3539</v>
      </c>
      <c r="I1120" s="5" t="s">
        <v>49</v>
      </c>
      <c r="J1120" s="8">
        <v>3</v>
      </c>
      <c r="K1120" s="8">
        <v>5</v>
      </c>
      <c r="L1120" s="8">
        <v>9</v>
      </c>
    </row>
    <row r="1121" spans="1:12" x14ac:dyDescent="0.8">
      <c r="A1121" s="5" t="s">
        <v>1192</v>
      </c>
      <c r="B1121" s="8">
        <v>43</v>
      </c>
      <c r="C1121" s="5" t="s">
        <v>49</v>
      </c>
      <c r="D1121" s="5" t="s">
        <v>42</v>
      </c>
      <c r="E1121" s="5" t="s">
        <v>44</v>
      </c>
      <c r="F1121" s="5" t="s">
        <v>60</v>
      </c>
      <c r="G1121" s="8">
        <v>3</v>
      </c>
      <c r="H1121" s="8">
        <v>2438</v>
      </c>
      <c r="I1121" s="5" t="s">
        <v>49</v>
      </c>
      <c r="J1121" s="8">
        <v>3</v>
      </c>
      <c r="K1121" s="8">
        <v>2</v>
      </c>
      <c r="L1121" s="8">
        <v>3</v>
      </c>
    </row>
    <row r="1122" spans="1:12" x14ac:dyDescent="0.8">
      <c r="A1122" s="5" t="s">
        <v>1193</v>
      </c>
      <c r="B1122" s="8">
        <v>43</v>
      </c>
      <c r="C1122" s="5" t="s">
        <v>49</v>
      </c>
      <c r="D1122" s="5" t="s">
        <v>51</v>
      </c>
      <c r="E1122" s="5" t="s">
        <v>44</v>
      </c>
      <c r="F1122" s="5" t="s">
        <v>137</v>
      </c>
      <c r="G1122" s="8">
        <v>4</v>
      </c>
      <c r="H1122" s="8">
        <v>5675</v>
      </c>
      <c r="I1122" s="5" t="s">
        <v>49</v>
      </c>
      <c r="J1122" s="8">
        <v>4</v>
      </c>
      <c r="K1122" s="8">
        <v>5</v>
      </c>
      <c r="L1122" s="8">
        <v>7</v>
      </c>
    </row>
    <row r="1123" spans="1:12" x14ac:dyDescent="0.8">
      <c r="A1123" s="5" t="s">
        <v>1194</v>
      </c>
      <c r="B1123" s="8">
        <v>43</v>
      </c>
      <c r="C1123" s="5" t="s">
        <v>49</v>
      </c>
      <c r="D1123" s="5" t="s">
        <v>42</v>
      </c>
      <c r="E1123" s="5" t="s">
        <v>53</v>
      </c>
      <c r="F1123" s="5" t="s">
        <v>442</v>
      </c>
      <c r="G1123" s="8">
        <v>3</v>
      </c>
      <c r="H1123" s="8">
        <v>19392</v>
      </c>
      <c r="I1123" s="5" t="s">
        <v>49</v>
      </c>
      <c r="J1123" s="8">
        <v>3</v>
      </c>
      <c r="K1123" s="8">
        <v>2</v>
      </c>
      <c r="L1123" s="8">
        <v>16</v>
      </c>
    </row>
    <row r="1124" spans="1:12" x14ac:dyDescent="0.8">
      <c r="A1124" s="5" t="s">
        <v>1195</v>
      </c>
      <c r="B1124" s="8">
        <v>43</v>
      </c>
      <c r="C1124" s="5" t="s">
        <v>49</v>
      </c>
      <c r="D1124" s="5" t="s">
        <v>42</v>
      </c>
      <c r="E1124" s="5" t="s">
        <v>44</v>
      </c>
      <c r="F1124" s="5" t="s">
        <v>161</v>
      </c>
      <c r="G1124" s="8">
        <v>3</v>
      </c>
      <c r="H1124" s="8">
        <v>7510</v>
      </c>
      <c r="I1124" s="5" t="s">
        <v>49</v>
      </c>
      <c r="J1124" s="8">
        <v>3</v>
      </c>
      <c r="K1124" s="8">
        <v>1</v>
      </c>
      <c r="L1124" s="8">
        <v>10</v>
      </c>
    </row>
    <row r="1125" spans="1:12" x14ac:dyDescent="0.8">
      <c r="A1125" s="5" t="s">
        <v>1196</v>
      </c>
      <c r="B1125" s="8">
        <v>44</v>
      </c>
      <c r="C1125" s="5" t="s">
        <v>49</v>
      </c>
      <c r="D1125" s="5" t="s">
        <v>42</v>
      </c>
      <c r="E1125" s="5" t="s">
        <v>53</v>
      </c>
      <c r="F1125" s="5" t="s">
        <v>161</v>
      </c>
      <c r="G1125" s="8">
        <v>4</v>
      </c>
      <c r="H1125" s="8">
        <v>10248</v>
      </c>
      <c r="I1125" s="5" t="s">
        <v>49</v>
      </c>
      <c r="J1125" s="8">
        <v>3</v>
      </c>
      <c r="K1125" s="8">
        <v>4</v>
      </c>
      <c r="L1125" s="8">
        <v>22</v>
      </c>
    </row>
    <row r="1126" spans="1:12" x14ac:dyDescent="0.8">
      <c r="A1126" s="5" t="s">
        <v>1197</v>
      </c>
      <c r="B1126" s="8">
        <v>44</v>
      </c>
      <c r="C1126" s="5" t="s">
        <v>49</v>
      </c>
      <c r="D1126" s="5" t="s">
        <v>42</v>
      </c>
      <c r="E1126" s="5" t="s">
        <v>44</v>
      </c>
      <c r="F1126" s="5" t="s">
        <v>161</v>
      </c>
      <c r="G1126" s="8">
        <v>4</v>
      </c>
      <c r="H1126" s="8">
        <v>6465</v>
      </c>
      <c r="I1126" s="5" t="s">
        <v>40</v>
      </c>
      <c r="J1126" s="8">
        <v>3</v>
      </c>
      <c r="K1126" s="8">
        <v>5</v>
      </c>
      <c r="L1126" s="8">
        <v>4</v>
      </c>
    </row>
    <row r="1127" spans="1:12" x14ac:dyDescent="0.8">
      <c r="A1127" s="5" t="s">
        <v>1198</v>
      </c>
      <c r="B1127" s="8">
        <v>44</v>
      </c>
      <c r="C1127" s="5" t="s">
        <v>49</v>
      </c>
      <c r="D1127" s="5" t="s">
        <v>51</v>
      </c>
      <c r="E1127" s="5" t="s">
        <v>53</v>
      </c>
      <c r="F1127" s="5" t="s">
        <v>137</v>
      </c>
      <c r="G1127" s="8">
        <v>1</v>
      </c>
      <c r="H1127" s="8">
        <v>5454</v>
      </c>
      <c r="I1127" s="5" t="s">
        <v>40</v>
      </c>
      <c r="J1127" s="8">
        <v>4</v>
      </c>
      <c r="K1127" s="8">
        <v>2</v>
      </c>
      <c r="L1127" s="8">
        <v>4</v>
      </c>
    </row>
    <row r="1128" spans="1:12" x14ac:dyDescent="0.8">
      <c r="A1128" s="5" t="s">
        <v>1199</v>
      </c>
      <c r="B1128" s="8">
        <v>44</v>
      </c>
      <c r="C1128" s="5" t="s">
        <v>49</v>
      </c>
      <c r="D1128" s="5" t="s">
        <v>42</v>
      </c>
      <c r="E1128" s="5" t="s">
        <v>44</v>
      </c>
      <c r="F1128" s="5" t="s">
        <v>45</v>
      </c>
      <c r="G1128" s="8">
        <v>2</v>
      </c>
      <c r="H1128" s="8">
        <v>2042</v>
      </c>
      <c r="I1128" s="5" t="s">
        <v>49</v>
      </c>
      <c r="J1128" s="8">
        <v>3</v>
      </c>
      <c r="K1128" s="8">
        <v>3</v>
      </c>
      <c r="L1128" s="8">
        <v>3</v>
      </c>
    </row>
    <row r="1129" spans="1:12" x14ac:dyDescent="0.8">
      <c r="A1129" s="5" t="s">
        <v>1200</v>
      </c>
      <c r="B1129" s="8">
        <v>44</v>
      </c>
      <c r="C1129" s="5" t="s">
        <v>40</v>
      </c>
      <c r="D1129" s="5" t="s">
        <v>42</v>
      </c>
      <c r="E1129" s="5" t="s">
        <v>44</v>
      </c>
      <c r="F1129" s="5" t="s">
        <v>45</v>
      </c>
      <c r="G1129" s="8">
        <v>3</v>
      </c>
      <c r="H1129" s="8">
        <v>3161</v>
      </c>
      <c r="I1129" s="5" t="s">
        <v>40</v>
      </c>
      <c r="J1129" s="8">
        <v>4</v>
      </c>
      <c r="K1129" s="8">
        <v>0</v>
      </c>
      <c r="L1129" s="8">
        <v>1</v>
      </c>
    </row>
    <row r="1130" spans="1:12" x14ac:dyDescent="0.8">
      <c r="A1130" s="5" t="s">
        <v>1201</v>
      </c>
      <c r="B1130" s="8">
        <v>44</v>
      </c>
      <c r="C1130" s="5" t="s">
        <v>49</v>
      </c>
      <c r="D1130" s="5" t="s">
        <v>71</v>
      </c>
      <c r="E1130" s="5" t="s">
        <v>53</v>
      </c>
      <c r="F1130" s="5" t="s">
        <v>71</v>
      </c>
      <c r="G1130" s="8">
        <v>3</v>
      </c>
      <c r="H1130" s="8">
        <v>5985</v>
      </c>
      <c r="I1130" s="5" t="s">
        <v>49</v>
      </c>
      <c r="J1130" s="8">
        <v>3</v>
      </c>
      <c r="K1130" s="8">
        <v>1</v>
      </c>
      <c r="L1130" s="8">
        <v>2</v>
      </c>
    </row>
    <row r="1131" spans="1:12" x14ac:dyDescent="0.8">
      <c r="A1131" s="5" t="s">
        <v>1202</v>
      </c>
      <c r="B1131" s="8">
        <v>44</v>
      </c>
      <c r="C1131" s="5" t="s">
        <v>49</v>
      </c>
      <c r="D1131" s="5" t="s">
        <v>42</v>
      </c>
      <c r="E1131" s="5" t="s">
        <v>44</v>
      </c>
      <c r="F1131" s="5" t="s">
        <v>442</v>
      </c>
      <c r="G1131" s="8">
        <v>4</v>
      </c>
      <c r="H1131" s="8">
        <v>19513</v>
      </c>
      <c r="I1131" s="5" t="s">
        <v>40</v>
      </c>
      <c r="J1131" s="8">
        <v>3</v>
      </c>
      <c r="K1131" s="8">
        <v>2</v>
      </c>
      <c r="L1131" s="8">
        <v>2</v>
      </c>
    </row>
    <row r="1132" spans="1:12" x14ac:dyDescent="0.8">
      <c r="A1132" s="5" t="s">
        <v>1203</v>
      </c>
      <c r="B1132" s="8">
        <v>44</v>
      </c>
      <c r="C1132" s="5" t="s">
        <v>49</v>
      </c>
      <c r="D1132" s="5" t="s">
        <v>42</v>
      </c>
      <c r="E1132" s="5" t="s">
        <v>44</v>
      </c>
      <c r="F1132" s="5" t="s">
        <v>45</v>
      </c>
      <c r="G1132" s="8">
        <v>3</v>
      </c>
      <c r="H1132" s="8">
        <v>3708</v>
      </c>
      <c r="I1132" s="5" t="s">
        <v>49</v>
      </c>
      <c r="J1132" s="8">
        <v>3</v>
      </c>
      <c r="K1132" s="8">
        <v>5</v>
      </c>
      <c r="L1132" s="8">
        <v>5</v>
      </c>
    </row>
    <row r="1133" spans="1:12" x14ac:dyDescent="0.8">
      <c r="A1133" s="5" t="s">
        <v>1204</v>
      </c>
      <c r="B1133" s="8">
        <v>44</v>
      </c>
      <c r="C1133" s="5" t="s">
        <v>49</v>
      </c>
      <c r="D1133" s="5" t="s">
        <v>42</v>
      </c>
      <c r="E1133" s="5" t="s">
        <v>44</v>
      </c>
      <c r="F1133" s="5" t="s">
        <v>161</v>
      </c>
      <c r="G1133" s="8">
        <v>2</v>
      </c>
      <c r="H1133" s="8">
        <v>5933</v>
      </c>
      <c r="I1133" s="5" t="s">
        <v>49</v>
      </c>
      <c r="J1133" s="8">
        <v>3</v>
      </c>
      <c r="K1133" s="8">
        <v>2</v>
      </c>
      <c r="L1133" s="8">
        <v>5</v>
      </c>
    </row>
    <row r="1134" spans="1:12" x14ac:dyDescent="0.8">
      <c r="A1134" s="5" t="s">
        <v>1205</v>
      </c>
      <c r="B1134" s="8">
        <v>44</v>
      </c>
      <c r="C1134" s="5" t="s">
        <v>49</v>
      </c>
      <c r="D1134" s="5" t="s">
        <v>42</v>
      </c>
      <c r="E1134" s="5" t="s">
        <v>44</v>
      </c>
      <c r="F1134" s="5" t="s">
        <v>45</v>
      </c>
      <c r="G1134" s="8">
        <v>4</v>
      </c>
      <c r="H1134" s="8">
        <v>2818</v>
      </c>
      <c r="I1134" s="5" t="s">
        <v>40</v>
      </c>
      <c r="J1134" s="8">
        <v>4</v>
      </c>
      <c r="K1134" s="8">
        <v>2</v>
      </c>
      <c r="L1134" s="8">
        <v>3</v>
      </c>
    </row>
    <row r="1135" spans="1:12" x14ac:dyDescent="0.8">
      <c r="A1135" s="5" t="s">
        <v>1206</v>
      </c>
      <c r="B1135" s="8">
        <v>44</v>
      </c>
      <c r="C1135" s="5" t="s">
        <v>49</v>
      </c>
      <c r="D1135" s="5" t="s">
        <v>42</v>
      </c>
      <c r="E1135" s="5" t="s">
        <v>44</v>
      </c>
      <c r="F1135" s="5" t="s">
        <v>60</v>
      </c>
      <c r="G1135" s="8">
        <v>1</v>
      </c>
      <c r="H1135" s="8">
        <v>2559</v>
      </c>
      <c r="I1135" s="5" t="s">
        <v>40</v>
      </c>
      <c r="J1135" s="8">
        <v>3</v>
      </c>
      <c r="K1135" s="8">
        <v>0</v>
      </c>
      <c r="L1135" s="8">
        <v>8</v>
      </c>
    </row>
    <row r="1136" spans="1:12" x14ac:dyDescent="0.8">
      <c r="A1136" s="5" t="s">
        <v>1207</v>
      </c>
      <c r="B1136" s="8">
        <v>44</v>
      </c>
      <c r="C1136" s="5" t="s">
        <v>49</v>
      </c>
      <c r="D1136" s="5" t="s">
        <v>51</v>
      </c>
      <c r="E1136" s="5" t="s">
        <v>53</v>
      </c>
      <c r="F1136" s="5" t="s">
        <v>137</v>
      </c>
      <c r="G1136" s="8">
        <v>4</v>
      </c>
      <c r="H1136" s="8">
        <v>13320</v>
      </c>
      <c r="I1136" s="5" t="s">
        <v>40</v>
      </c>
      <c r="J1136" s="8">
        <v>3</v>
      </c>
      <c r="K1136" s="8">
        <v>2</v>
      </c>
      <c r="L1136" s="8">
        <v>12</v>
      </c>
    </row>
    <row r="1137" spans="1:12" x14ac:dyDescent="0.8">
      <c r="A1137" s="5" t="s">
        <v>1208</v>
      </c>
      <c r="B1137" s="8">
        <v>44</v>
      </c>
      <c r="C1137" s="5" t="s">
        <v>40</v>
      </c>
      <c r="D1137" s="5" t="s">
        <v>71</v>
      </c>
      <c r="E1137" s="5" t="s">
        <v>44</v>
      </c>
      <c r="F1137" s="5" t="s">
        <v>71</v>
      </c>
      <c r="G1137" s="8">
        <v>1</v>
      </c>
      <c r="H1137" s="8">
        <v>10482</v>
      </c>
      <c r="I1137" s="5" t="s">
        <v>49</v>
      </c>
      <c r="J1137" s="8">
        <v>3</v>
      </c>
      <c r="K1137" s="8">
        <v>1</v>
      </c>
      <c r="L1137" s="8">
        <v>20</v>
      </c>
    </row>
    <row r="1138" spans="1:12" x14ac:dyDescent="0.8">
      <c r="A1138" s="5" t="s">
        <v>1209</v>
      </c>
      <c r="B1138" s="8">
        <v>44</v>
      </c>
      <c r="C1138" s="5" t="s">
        <v>40</v>
      </c>
      <c r="D1138" s="5" t="s">
        <v>42</v>
      </c>
      <c r="E1138" s="5" t="s">
        <v>44</v>
      </c>
      <c r="F1138" s="5" t="s">
        <v>60</v>
      </c>
      <c r="G1138" s="8">
        <v>3</v>
      </c>
      <c r="H1138" s="8">
        <v>2936</v>
      </c>
      <c r="I1138" s="5" t="s">
        <v>40</v>
      </c>
      <c r="J1138" s="8">
        <v>3</v>
      </c>
      <c r="K1138" s="8">
        <v>4</v>
      </c>
      <c r="L1138" s="8">
        <v>6</v>
      </c>
    </row>
    <row r="1139" spans="1:12" x14ac:dyDescent="0.8">
      <c r="A1139" s="5" t="s">
        <v>1210</v>
      </c>
      <c r="B1139" s="8">
        <v>44</v>
      </c>
      <c r="C1139" s="5" t="s">
        <v>49</v>
      </c>
      <c r="D1139" s="5" t="s">
        <v>42</v>
      </c>
      <c r="E1139" s="5" t="s">
        <v>44</v>
      </c>
      <c r="F1139" s="5" t="s">
        <v>60</v>
      </c>
      <c r="G1139" s="8">
        <v>3</v>
      </c>
      <c r="H1139" s="8">
        <v>2290</v>
      </c>
      <c r="I1139" s="5" t="s">
        <v>49</v>
      </c>
      <c r="J1139" s="8">
        <v>3</v>
      </c>
      <c r="K1139" s="8">
        <v>3</v>
      </c>
      <c r="L1139" s="8">
        <v>0</v>
      </c>
    </row>
    <row r="1140" spans="1:12" x14ac:dyDescent="0.8">
      <c r="A1140" s="5" t="s">
        <v>1211</v>
      </c>
      <c r="B1140" s="8">
        <v>44</v>
      </c>
      <c r="C1140" s="5" t="s">
        <v>49</v>
      </c>
      <c r="D1140" s="5" t="s">
        <v>42</v>
      </c>
      <c r="E1140" s="5" t="s">
        <v>44</v>
      </c>
      <c r="F1140" s="5" t="s">
        <v>60</v>
      </c>
      <c r="G1140" s="8">
        <v>4</v>
      </c>
      <c r="H1140" s="8">
        <v>4541</v>
      </c>
      <c r="I1140" s="5" t="s">
        <v>49</v>
      </c>
      <c r="J1140" s="8">
        <v>4</v>
      </c>
      <c r="K1140" s="8">
        <v>3</v>
      </c>
      <c r="L1140" s="8">
        <v>20</v>
      </c>
    </row>
    <row r="1141" spans="1:12" x14ac:dyDescent="0.8">
      <c r="A1141" s="5" t="s">
        <v>1212</v>
      </c>
      <c r="B1141" s="8">
        <v>44</v>
      </c>
      <c r="C1141" s="5" t="s">
        <v>49</v>
      </c>
      <c r="D1141" s="5" t="s">
        <v>42</v>
      </c>
      <c r="E1141" s="5" t="s">
        <v>53</v>
      </c>
      <c r="F1141" s="5" t="s">
        <v>60</v>
      </c>
      <c r="G1141" s="8">
        <v>4</v>
      </c>
      <c r="H1141" s="8">
        <v>2011</v>
      </c>
      <c r="I1141" s="5" t="s">
        <v>49</v>
      </c>
      <c r="J1141" s="8">
        <v>3</v>
      </c>
      <c r="K1141" s="8">
        <v>5</v>
      </c>
      <c r="L1141" s="8">
        <v>10</v>
      </c>
    </row>
    <row r="1142" spans="1:12" x14ac:dyDescent="0.8">
      <c r="A1142" s="5" t="s">
        <v>1213</v>
      </c>
      <c r="B1142" s="8">
        <v>44</v>
      </c>
      <c r="C1142" s="5" t="s">
        <v>49</v>
      </c>
      <c r="D1142" s="5" t="s">
        <v>51</v>
      </c>
      <c r="E1142" s="5" t="s">
        <v>44</v>
      </c>
      <c r="F1142" s="5" t="s">
        <v>442</v>
      </c>
      <c r="G1142" s="8">
        <v>2</v>
      </c>
      <c r="H1142" s="8">
        <v>18213</v>
      </c>
      <c r="I1142" s="5" t="s">
        <v>49</v>
      </c>
      <c r="J1142" s="8">
        <v>3</v>
      </c>
      <c r="K1142" s="8">
        <v>5</v>
      </c>
      <c r="L1142" s="8">
        <v>22</v>
      </c>
    </row>
    <row r="1143" spans="1:12" x14ac:dyDescent="0.8">
      <c r="A1143" s="5" t="s">
        <v>1214</v>
      </c>
      <c r="B1143" s="8">
        <v>44</v>
      </c>
      <c r="C1143" s="5" t="s">
        <v>49</v>
      </c>
      <c r="D1143" s="5" t="s">
        <v>42</v>
      </c>
      <c r="E1143" s="5" t="s">
        <v>44</v>
      </c>
      <c r="F1143" s="5" t="s">
        <v>442</v>
      </c>
      <c r="G1143" s="8">
        <v>1</v>
      </c>
      <c r="H1143" s="8">
        <v>19190</v>
      </c>
      <c r="I1143" s="5" t="s">
        <v>49</v>
      </c>
      <c r="J1143" s="8">
        <v>3</v>
      </c>
      <c r="K1143" s="8">
        <v>4</v>
      </c>
      <c r="L1143" s="8">
        <v>25</v>
      </c>
    </row>
    <row r="1144" spans="1:12" x14ac:dyDescent="0.8">
      <c r="A1144" s="5" t="s">
        <v>1215</v>
      </c>
      <c r="B1144" s="8">
        <v>44</v>
      </c>
      <c r="C1144" s="5" t="s">
        <v>40</v>
      </c>
      <c r="D1144" s="5" t="s">
        <v>42</v>
      </c>
      <c r="E1144" s="5" t="s">
        <v>53</v>
      </c>
      <c r="F1144" s="5" t="s">
        <v>161</v>
      </c>
      <c r="G1144" s="8">
        <v>4</v>
      </c>
      <c r="H1144" s="8">
        <v>7978</v>
      </c>
      <c r="I1144" s="5" t="s">
        <v>49</v>
      </c>
      <c r="J1144" s="8">
        <v>3</v>
      </c>
      <c r="K1144" s="8">
        <v>2</v>
      </c>
      <c r="L1144" s="8">
        <v>10</v>
      </c>
    </row>
    <row r="1145" spans="1:12" x14ac:dyDescent="0.8">
      <c r="A1145" s="5" t="s">
        <v>1216</v>
      </c>
      <c r="B1145" s="8">
        <v>44</v>
      </c>
      <c r="C1145" s="5" t="s">
        <v>40</v>
      </c>
      <c r="D1145" s="5" t="s">
        <v>42</v>
      </c>
      <c r="E1145" s="5" t="s">
        <v>44</v>
      </c>
      <c r="F1145" s="5" t="s">
        <v>45</v>
      </c>
      <c r="G1145" s="8">
        <v>1</v>
      </c>
      <c r="H1145" s="8">
        <v>2362</v>
      </c>
      <c r="I1145" s="5" t="s">
        <v>49</v>
      </c>
      <c r="J1145" s="8">
        <v>3</v>
      </c>
      <c r="K1145" s="8">
        <v>4</v>
      </c>
      <c r="L1145" s="8">
        <v>3</v>
      </c>
    </row>
    <row r="1146" spans="1:12" x14ac:dyDescent="0.8">
      <c r="A1146" s="5" t="s">
        <v>1217</v>
      </c>
      <c r="B1146" s="8">
        <v>44</v>
      </c>
      <c r="C1146" s="5" t="s">
        <v>49</v>
      </c>
      <c r="D1146" s="5" t="s">
        <v>42</v>
      </c>
      <c r="E1146" s="5" t="s">
        <v>44</v>
      </c>
      <c r="F1146" s="5" t="s">
        <v>45</v>
      </c>
      <c r="G1146" s="8">
        <v>3</v>
      </c>
      <c r="H1146" s="8">
        <v>3162</v>
      </c>
      <c r="I1146" s="5" t="s">
        <v>49</v>
      </c>
      <c r="J1146" s="8">
        <v>3</v>
      </c>
      <c r="K1146" s="8">
        <v>5</v>
      </c>
      <c r="L1146" s="8">
        <v>5</v>
      </c>
    </row>
    <row r="1147" spans="1:12" x14ac:dyDescent="0.8">
      <c r="A1147" s="5" t="s">
        <v>1218</v>
      </c>
      <c r="B1147" s="8">
        <v>44</v>
      </c>
      <c r="C1147" s="5" t="s">
        <v>49</v>
      </c>
      <c r="D1147" s="5" t="s">
        <v>42</v>
      </c>
      <c r="E1147" s="5" t="s">
        <v>44</v>
      </c>
      <c r="F1147" s="5" t="s">
        <v>60</v>
      </c>
      <c r="G1147" s="8">
        <v>2</v>
      </c>
      <c r="H1147" s="8">
        <v>3420</v>
      </c>
      <c r="I1147" s="5" t="s">
        <v>49</v>
      </c>
      <c r="J1147" s="8">
        <v>3</v>
      </c>
      <c r="K1147" s="8">
        <v>3</v>
      </c>
      <c r="L1147" s="8">
        <v>5</v>
      </c>
    </row>
    <row r="1148" spans="1:12" x14ac:dyDescent="0.8">
      <c r="A1148" s="5" t="s">
        <v>1219</v>
      </c>
      <c r="B1148" s="8">
        <v>44</v>
      </c>
      <c r="C1148" s="5" t="s">
        <v>49</v>
      </c>
      <c r="D1148" s="5" t="s">
        <v>51</v>
      </c>
      <c r="E1148" s="5" t="s">
        <v>53</v>
      </c>
      <c r="F1148" s="5" t="s">
        <v>137</v>
      </c>
      <c r="G1148" s="8">
        <v>3</v>
      </c>
      <c r="H1148" s="8">
        <v>4768</v>
      </c>
      <c r="I1148" s="5" t="s">
        <v>49</v>
      </c>
      <c r="J1148" s="8">
        <v>3</v>
      </c>
      <c r="K1148" s="8">
        <v>4</v>
      </c>
      <c r="L1148" s="8">
        <v>1</v>
      </c>
    </row>
    <row r="1149" spans="1:12" x14ac:dyDescent="0.8">
      <c r="A1149" s="5" t="s">
        <v>1220</v>
      </c>
      <c r="B1149" s="8">
        <v>44</v>
      </c>
      <c r="C1149" s="5" t="s">
        <v>49</v>
      </c>
      <c r="D1149" s="5" t="s">
        <v>42</v>
      </c>
      <c r="E1149" s="5" t="s">
        <v>44</v>
      </c>
      <c r="F1149" s="5" t="s">
        <v>112</v>
      </c>
      <c r="G1149" s="8">
        <v>3</v>
      </c>
      <c r="H1149" s="8">
        <v>10209</v>
      </c>
      <c r="I1149" s="5" t="s">
        <v>40</v>
      </c>
      <c r="J1149" s="8">
        <v>3</v>
      </c>
      <c r="K1149" s="8">
        <v>2</v>
      </c>
      <c r="L1149" s="8">
        <v>2</v>
      </c>
    </row>
    <row r="1150" spans="1:12" x14ac:dyDescent="0.8">
      <c r="A1150" s="5" t="s">
        <v>1221</v>
      </c>
      <c r="B1150" s="8">
        <v>44</v>
      </c>
      <c r="C1150" s="5" t="s">
        <v>49</v>
      </c>
      <c r="D1150" s="5" t="s">
        <v>42</v>
      </c>
      <c r="E1150" s="5" t="s">
        <v>44</v>
      </c>
      <c r="F1150" s="5" t="s">
        <v>252</v>
      </c>
      <c r="G1150" s="8">
        <v>1</v>
      </c>
      <c r="H1150" s="8">
        <v>16328</v>
      </c>
      <c r="I1150" s="5" t="s">
        <v>49</v>
      </c>
      <c r="J1150" s="8">
        <v>3</v>
      </c>
      <c r="K1150" s="8">
        <v>1</v>
      </c>
      <c r="L1150" s="8">
        <v>20</v>
      </c>
    </row>
    <row r="1151" spans="1:12" x14ac:dyDescent="0.8">
      <c r="A1151" s="5" t="s">
        <v>1222</v>
      </c>
      <c r="B1151" s="8">
        <v>44</v>
      </c>
      <c r="C1151" s="5" t="s">
        <v>49</v>
      </c>
      <c r="D1151" s="5" t="s">
        <v>42</v>
      </c>
      <c r="E1151" s="5" t="s">
        <v>53</v>
      </c>
      <c r="F1151" s="5" t="s">
        <v>252</v>
      </c>
      <c r="G1151" s="8">
        <v>4</v>
      </c>
      <c r="H1151" s="8">
        <v>19049</v>
      </c>
      <c r="I1151" s="5" t="s">
        <v>40</v>
      </c>
      <c r="J1151" s="8">
        <v>3</v>
      </c>
      <c r="K1151" s="8">
        <v>4</v>
      </c>
      <c r="L1151" s="8">
        <v>22</v>
      </c>
    </row>
    <row r="1152" spans="1:12" x14ac:dyDescent="0.8">
      <c r="A1152" s="5" t="s">
        <v>1223</v>
      </c>
      <c r="B1152" s="8">
        <v>44</v>
      </c>
      <c r="C1152" s="5" t="s">
        <v>49</v>
      </c>
      <c r="D1152" s="5" t="s">
        <v>71</v>
      </c>
      <c r="E1152" s="5" t="s">
        <v>44</v>
      </c>
      <c r="F1152" s="5" t="s">
        <v>71</v>
      </c>
      <c r="G1152" s="8">
        <v>4</v>
      </c>
      <c r="H1152" s="8">
        <v>5743</v>
      </c>
      <c r="I1152" s="5" t="s">
        <v>40</v>
      </c>
      <c r="J1152" s="8">
        <v>3</v>
      </c>
      <c r="K1152" s="8">
        <v>3</v>
      </c>
      <c r="L1152" s="8">
        <v>10</v>
      </c>
    </row>
    <row r="1153" spans="1:12" x14ac:dyDescent="0.8">
      <c r="A1153" s="5" t="s">
        <v>1224</v>
      </c>
      <c r="B1153" s="8">
        <v>44</v>
      </c>
      <c r="C1153" s="5" t="s">
        <v>49</v>
      </c>
      <c r="D1153" s="5" t="s">
        <v>71</v>
      </c>
      <c r="E1153" s="5" t="s">
        <v>53</v>
      </c>
      <c r="F1153" s="5" t="s">
        <v>71</v>
      </c>
      <c r="G1153" s="8">
        <v>4</v>
      </c>
      <c r="H1153" s="8">
        <v>3195</v>
      </c>
      <c r="I1153" s="5" t="s">
        <v>40</v>
      </c>
      <c r="J1153" s="8">
        <v>3</v>
      </c>
      <c r="K1153" s="8">
        <v>2</v>
      </c>
      <c r="L1153" s="8">
        <v>2</v>
      </c>
    </row>
    <row r="1154" spans="1:12" x14ac:dyDescent="0.8">
      <c r="A1154" s="5" t="s">
        <v>1225</v>
      </c>
      <c r="B1154" s="8">
        <v>44</v>
      </c>
      <c r="C1154" s="5" t="s">
        <v>49</v>
      </c>
      <c r="D1154" s="5" t="s">
        <v>42</v>
      </c>
      <c r="E1154" s="5" t="s">
        <v>53</v>
      </c>
      <c r="F1154" s="5" t="s">
        <v>161</v>
      </c>
      <c r="G1154" s="8">
        <v>4</v>
      </c>
      <c r="H1154" s="8">
        <v>7879</v>
      </c>
      <c r="I1154" s="5" t="s">
        <v>40</v>
      </c>
      <c r="J1154" s="8">
        <v>3</v>
      </c>
      <c r="K1154" s="8">
        <v>2</v>
      </c>
      <c r="L1154" s="8">
        <v>8</v>
      </c>
    </row>
    <row r="1155" spans="1:12" x14ac:dyDescent="0.8">
      <c r="A1155" s="5" t="s">
        <v>1226</v>
      </c>
      <c r="B1155" s="8">
        <v>44</v>
      </c>
      <c r="C1155" s="5" t="s">
        <v>40</v>
      </c>
      <c r="D1155" s="5" t="s">
        <v>42</v>
      </c>
      <c r="E1155" s="5" t="s">
        <v>44</v>
      </c>
      <c r="F1155" s="5" t="s">
        <v>60</v>
      </c>
      <c r="G1155" s="8">
        <v>2</v>
      </c>
      <c r="H1155" s="8">
        <v>2342</v>
      </c>
      <c r="I1155" s="5" t="s">
        <v>40</v>
      </c>
      <c r="J1155" s="8">
        <v>3</v>
      </c>
      <c r="K1155" s="8">
        <v>2</v>
      </c>
      <c r="L1155" s="8">
        <v>5</v>
      </c>
    </row>
    <row r="1156" spans="1:12" x14ac:dyDescent="0.8">
      <c r="A1156" s="5" t="s">
        <v>1227</v>
      </c>
      <c r="B1156" s="8">
        <v>44</v>
      </c>
      <c r="C1156" s="5" t="s">
        <v>49</v>
      </c>
      <c r="D1156" s="5" t="s">
        <v>42</v>
      </c>
      <c r="E1156" s="5" t="s">
        <v>44</v>
      </c>
      <c r="F1156" s="5" t="s">
        <v>161</v>
      </c>
      <c r="G1156" s="8">
        <v>1</v>
      </c>
      <c r="H1156" s="8">
        <v>5033</v>
      </c>
      <c r="I1156" s="5" t="s">
        <v>49</v>
      </c>
      <c r="J1156" s="8">
        <v>3</v>
      </c>
      <c r="K1156" s="8">
        <v>5</v>
      </c>
      <c r="L1156" s="8">
        <v>2</v>
      </c>
    </row>
    <row r="1157" spans="1:12" x14ac:dyDescent="0.8">
      <c r="A1157" s="5" t="s">
        <v>1228</v>
      </c>
      <c r="B1157" s="8">
        <v>44</v>
      </c>
      <c r="C1157" s="5" t="s">
        <v>49</v>
      </c>
      <c r="D1157" s="5" t="s">
        <v>42</v>
      </c>
      <c r="E1157" s="5" t="s">
        <v>44</v>
      </c>
      <c r="F1157" s="5" t="s">
        <v>60</v>
      </c>
      <c r="G1157" s="8">
        <v>4</v>
      </c>
      <c r="H1157" s="8">
        <v>2436</v>
      </c>
      <c r="I1157" s="5" t="s">
        <v>40</v>
      </c>
      <c r="J1157" s="8">
        <v>3</v>
      </c>
      <c r="K1157" s="8">
        <v>2</v>
      </c>
      <c r="L1157" s="8">
        <v>4</v>
      </c>
    </row>
    <row r="1158" spans="1:12" x14ac:dyDescent="0.8">
      <c r="A1158" s="5" t="s">
        <v>1229</v>
      </c>
      <c r="B1158" s="8">
        <v>45</v>
      </c>
      <c r="C1158" s="5" t="s">
        <v>49</v>
      </c>
      <c r="D1158" s="5" t="s">
        <v>42</v>
      </c>
      <c r="E1158" s="5" t="s">
        <v>44</v>
      </c>
      <c r="F1158" s="5" t="s">
        <v>60</v>
      </c>
      <c r="G1158" s="8">
        <v>1</v>
      </c>
      <c r="H1158" s="8">
        <v>9724</v>
      </c>
      <c r="I1158" s="5" t="s">
        <v>49</v>
      </c>
      <c r="J1158" s="8">
        <v>3</v>
      </c>
      <c r="K1158" s="8">
        <v>2</v>
      </c>
      <c r="L1158" s="8">
        <v>1</v>
      </c>
    </row>
    <row r="1159" spans="1:12" x14ac:dyDescent="0.8">
      <c r="A1159" s="5" t="s">
        <v>1230</v>
      </c>
      <c r="B1159" s="8">
        <v>45</v>
      </c>
      <c r="C1159" s="5" t="s">
        <v>49</v>
      </c>
      <c r="D1159" s="5" t="s">
        <v>42</v>
      </c>
      <c r="E1159" s="5" t="s">
        <v>44</v>
      </c>
      <c r="F1159" s="5" t="s">
        <v>252</v>
      </c>
      <c r="G1159" s="8">
        <v>1</v>
      </c>
      <c r="H1159" s="8">
        <v>13245</v>
      </c>
      <c r="I1159" s="5" t="s">
        <v>40</v>
      </c>
      <c r="J1159" s="8">
        <v>3</v>
      </c>
      <c r="K1159" s="8">
        <v>3</v>
      </c>
      <c r="L1159" s="8">
        <v>0</v>
      </c>
    </row>
    <row r="1160" spans="1:12" x14ac:dyDescent="0.8">
      <c r="A1160" s="5" t="s">
        <v>1231</v>
      </c>
      <c r="B1160" s="8">
        <v>45</v>
      </c>
      <c r="C1160" s="5" t="s">
        <v>49</v>
      </c>
      <c r="D1160" s="5" t="s">
        <v>42</v>
      </c>
      <c r="E1160" s="5" t="s">
        <v>44</v>
      </c>
      <c r="F1160" s="5" t="s">
        <v>60</v>
      </c>
      <c r="G1160" s="8">
        <v>4</v>
      </c>
      <c r="H1160" s="8">
        <v>3452</v>
      </c>
      <c r="I1160" s="5" t="s">
        <v>49</v>
      </c>
      <c r="J1160" s="8">
        <v>3</v>
      </c>
      <c r="K1160" s="8">
        <v>2</v>
      </c>
      <c r="L1160" s="8">
        <v>6</v>
      </c>
    </row>
    <row r="1161" spans="1:12" x14ac:dyDescent="0.8">
      <c r="A1161" s="5" t="s">
        <v>1232</v>
      </c>
      <c r="B1161" s="8">
        <v>45</v>
      </c>
      <c r="C1161" s="5" t="s">
        <v>49</v>
      </c>
      <c r="D1161" s="5" t="s">
        <v>42</v>
      </c>
      <c r="E1161" s="5" t="s">
        <v>44</v>
      </c>
      <c r="F1161" s="5" t="s">
        <v>45</v>
      </c>
      <c r="G1161" s="8">
        <v>2</v>
      </c>
      <c r="H1161" s="8">
        <v>2348</v>
      </c>
      <c r="I1161" s="5" t="s">
        <v>49</v>
      </c>
      <c r="J1161" s="8">
        <v>3</v>
      </c>
      <c r="K1161" s="8">
        <v>2</v>
      </c>
      <c r="L1161" s="8">
        <v>17</v>
      </c>
    </row>
    <row r="1162" spans="1:12" x14ac:dyDescent="0.8">
      <c r="A1162" s="5" t="s">
        <v>1233</v>
      </c>
      <c r="B1162" s="8">
        <v>45</v>
      </c>
      <c r="C1162" s="5" t="s">
        <v>49</v>
      </c>
      <c r="D1162" s="5" t="s">
        <v>51</v>
      </c>
      <c r="E1162" s="5" t="s">
        <v>53</v>
      </c>
      <c r="F1162" s="5" t="s">
        <v>137</v>
      </c>
      <c r="G1162" s="8">
        <v>1</v>
      </c>
      <c r="H1162" s="8">
        <v>5006</v>
      </c>
      <c r="I1162" s="5" t="s">
        <v>40</v>
      </c>
      <c r="J1162" s="8">
        <v>3</v>
      </c>
      <c r="K1162" s="8">
        <v>3</v>
      </c>
      <c r="L1162" s="8">
        <v>5</v>
      </c>
    </row>
    <row r="1163" spans="1:12" x14ac:dyDescent="0.8">
      <c r="A1163" s="5" t="s">
        <v>1234</v>
      </c>
      <c r="B1163" s="8">
        <v>45</v>
      </c>
      <c r="C1163" s="5" t="s">
        <v>49</v>
      </c>
      <c r="D1163" s="5" t="s">
        <v>42</v>
      </c>
      <c r="E1163" s="5" t="s">
        <v>44</v>
      </c>
      <c r="F1163" s="5" t="s">
        <v>442</v>
      </c>
      <c r="G1163" s="8">
        <v>4</v>
      </c>
      <c r="H1163" s="8">
        <v>16792</v>
      </c>
      <c r="I1163" s="5" t="s">
        <v>49</v>
      </c>
      <c r="J1163" s="8">
        <v>4</v>
      </c>
      <c r="K1163" s="8">
        <v>1</v>
      </c>
      <c r="L1163" s="8">
        <v>20</v>
      </c>
    </row>
    <row r="1164" spans="1:12" x14ac:dyDescent="0.8">
      <c r="A1164" s="5" t="s">
        <v>1235</v>
      </c>
      <c r="B1164" s="8">
        <v>45</v>
      </c>
      <c r="C1164" s="5" t="s">
        <v>49</v>
      </c>
      <c r="D1164" s="5" t="s">
        <v>51</v>
      </c>
      <c r="E1164" s="5" t="s">
        <v>53</v>
      </c>
      <c r="F1164" s="5" t="s">
        <v>137</v>
      </c>
      <c r="G1164" s="8">
        <v>4</v>
      </c>
      <c r="H1164" s="8">
        <v>8865</v>
      </c>
      <c r="I1164" s="5" t="s">
        <v>49</v>
      </c>
      <c r="J1164" s="8">
        <v>3</v>
      </c>
      <c r="K1164" s="8">
        <v>2</v>
      </c>
      <c r="L1164" s="8">
        <v>19</v>
      </c>
    </row>
    <row r="1165" spans="1:12" x14ac:dyDescent="0.8">
      <c r="A1165" s="5" t="s">
        <v>1236</v>
      </c>
      <c r="B1165" s="8">
        <v>45</v>
      </c>
      <c r="C1165" s="5" t="s">
        <v>49</v>
      </c>
      <c r="D1165" s="5" t="s">
        <v>42</v>
      </c>
      <c r="E1165" s="5" t="s">
        <v>44</v>
      </c>
      <c r="F1165" s="5" t="s">
        <v>442</v>
      </c>
      <c r="G1165" s="8">
        <v>4</v>
      </c>
      <c r="H1165" s="8">
        <v>19202</v>
      </c>
      <c r="I1165" s="5" t="s">
        <v>49</v>
      </c>
      <c r="J1165" s="8">
        <v>3</v>
      </c>
      <c r="K1165" s="8">
        <v>2</v>
      </c>
      <c r="L1165" s="8">
        <v>24</v>
      </c>
    </row>
    <row r="1166" spans="1:12" x14ac:dyDescent="0.8">
      <c r="A1166" s="5" t="s">
        <v>1237</v>
      </c>
      <c r="B1166" s="8">
        <v>45</v>
      </c>
      <c r="C1166" s="5" t="s">
        <v>49</v>
      </c>
      <c r="D1166" s="5" t="s">
        <v>42</v>
      </c>
      <c r="E1166" s="5" t="s">
        <v>44</v>
      </c>
      <c r="F1166" s="5" t="s">
        <v>112</v>
      </c>
      <c r="G1166" s="8">
        <v>3</v>
      </c>
      <c r="H1166" s="8">
        <v>6434</v>
      </c>
      <c r="I1166" s="5" t="s">
        <v>49</v>
      </c>
      <c r="J1166" s="8">
        <v>3</v>
      </c>
      <c r="K1166" s="8">
        <v>1</v>
      </c>
      <c r="L1166" s="8">
        <v>3</v>
      </c>
    </row>
    <row r="1167" spans="1:12" x14ac:dyDescent="0.8">
      <c r="A1167" s="5" t="s">
        <v>1238</v>
      </c>
      <c r="B1167" s="8">
        <v>45</v>
      </c>
      <c r="C1167" s="5" t="s">
        <v>49</v>
      </c>
      <c r="D1167" s="5" t="s">
        <v>42</v>
      </c>
      <c r="E1167" s="5" t="s">
        <v>44</v>
      </c>
      <c r="F1167" s="5" t="s">
        <v>161</v>
      </c>
      <c r="G1167" s="8">
        <v>4</v>
      </c>
      <c r="H1167" s="8">
        <v>13496</v>
      </c>
      <c r="I1167" s="5" t="s">
        <v>40</v>
      </c>
      <c r="J1167" s="8">
        <v>3</v>
      </c>
      <c r="K1167" s="8">
        <v>2</v>
      </c>
      <c r="L1167" s="8">
        <v>20</v>
      </c>
    </row>
    <row r="1168" spans="1:12" x14ac:dyDescent="0.8">
      <c r="A1168" s="5" t="s">
        <v>1239</v>
      </c>
      <c r="B1168" s="8">
        <v>45</v>
      </c>
      <c r="C1168" s="5" t="s">
        <v>49</v>
      </c>
      <c r="D1168" s="5" t="s">
        <v>42</v>
      </c>
      <c r="E1168" s="5" t="s">
        <v>44</v>
      </c>
      <c r="F1168" s="5" t="s">
        <v>45</v>
      </c>
      <c r="G1168" s="8">
        <v>1</v>
      </c>
      <c r="H1168" s="8">
        <v>5210</v>
      </c>
      <c r="I1168" s="5" t="s">
        <v>49</v>
      </c>
      <c r="J1168" s="8">
        <v>3</v>
      </c>
      <c r="K1168" s="8">
        <v>2</v>
      </c>
      <c r="L1168" s="8">
        <v>24</v>
      </c>
    </row>
    <row r="1169" spans="1:12" x14ac:dyDescent="0.8">
      <c r="A1169" s="5" t="s">
        <v>1240</v>
      </c>
      <c r="B1169" s="8">
        <v>45</v>
      </c>
      <c r="C1169" s="5" t="s">
        <v>49</v>
      </c>
      <c r="D1169" s="5" t="s">
        <v>42</v>
      </c>
      <c r="E1169" s="5" t="s">
        <v>44</v>
      </c>
      <c r="F1169" s="5" t="s">
        <v>60</v>
      </c>
      <c r="G1169" s="8">
        <v>4</v>
      </c>
      <c r="H1169" s="8">
        <v>3697</v>
      </c>
      <c r="I1169" s="5" t="s">
        <v>49</v>
      </c>
      <c r="J1169" s="8">
        <v>3</v>
      </c>
      <c r="K1169" s="8">
        <v>3</v>
      </c>
      <c r="L1169" s="8">
        <v>10</v>
      </c>
    </row>
    <row r="1170" spans="1:12" x14ac:dyDescent="0.8">
      <c r="A1170" s="5" t="s">
        <v>1241</v>
      </c>
      <c r="B1170" s="8">
        <v>45</v>
      </c>
      <c r="C1170" s="5" t="s">
        <v>49</v>
      </c>
      <c r="D1170" s="5" t="s">
        <v>42</v>
      </c>
      <c r="E1170" s="5" t="s">
        <v>44</v>
      </c>
      <c r="F1170" s="5" t="s">
        <v>60</v>
      </c>
      <c r="G1170" s="8">
        <v>4</v>
      </c>
      <c r="H1170" s="8">
        <v>2654</v>
      </c>
      <c r="I1170" s="5" t="s">
        <v>49</v>
      </c>
      <c r="J1170" s="8">
        <v>4</v>
      </c>
      <c r="K1170" s="8">
        <v>3</v>
      </c>
      <c r="L1170" s="8">
        <v>2</v>
      </c>
    </row>
    <row r="1171" spans="1:12" x14ac:dyDescent="0.8">
      <c r="A1171" s="5" t="s">
        <v>1242</v>
      </c>
      <c r="B1171" s="8">
        <v>45</v>
      </c>
      <c r="C1171" s="5" t="s">
        <v>49</v>
      </c>
      <c r="D1171" s="5" t="s">
        <v>51</v>
      </c>
      <c r="E1171" s="5" t="s">
        <v>44</v>
      </c>
      <c r="F1171" s="5" t="s">
        <v>137</v>
      </c>
      <c r="G1171" s="8">
        <v>2</v>
      </c>
      <c r="H1171" s="8">
        <v>4805</v>
      </c>
      <c r="I1171" s="5" t="s">
        <v>49</v>
      </c>
      <c r="J1171" s="8">
        <v>3</v>
      </c>
      <c r="K1171" s="8">
        <v>3</v>
      </c>
      <c r="L1171" s="8">
        <v>8</v>
      </c>
    </row>
    <row r="1172" spans="1:12" x14ac:dyDescent="0.8">
      <c r="A1172" s="5" t="s">
        <v>1243</v>
      </c>
      <c r="B1172" s="8">
        <v>45</v>
      </c>
      <c r="C1172" s="5" t="s">
        <v>40</v>
      </c>
      <c r="D1172" s="5" t="s">
        <v>51</v>
      </c>
      <c r="E1172" s="5" t="s">
        <v>53</v>
      </c>
      <c r="F1172" s="5" t="s">
        <v>137</v>
      </c>
      <c r="G1172" s="8">
        <v>1</v>
      </c>
      <c r="H1172" s="8">
        <v>4286</v>
      </c>
      <c r="I1172" s="5" t="s">
        <v>49</v>
      </c>
      <c r="J1172" s="8">
        <v>3</v>
      </c>
      <c r="K1172" s="8">
        <v>4</v>
      </c>
      <c r="L1172" s="8">
        <v>1</v>
      </c>
    </row>
    <row r="1173" spans="1:12" x14ac:dyDescent="0.8">
      <c r="A1173" s="5" t="s">
        <v>1244</v>
      </c>
      <c r="B1173" s="8">
        <v>45</v>
      </c>
      <c r="C1173" s="5" t="s">
        <v>49</v>
      </c>
      <c r="D1173" s="5" t="s">
        <v>51</v>
      </c>
      <c r="E1173" s="5" t="s">
        <v>44</v>
      </c>
      <c r="F1173" s="5" t="s">
        <v>54</v>
      </c>
      <c r="G1173" s="8">
        <v>3</v>
      </c>
      <c r="H1173" s="8">
        <v>6632</v>
      </c>
      <c r="I1173" s="5" t="s">
        <v>49</v>
      </c>
      <c r="J1173" s="8">
        <v>3</v>
      </c>
      <c r="K1173" s="8">
        <v>3</v>
      </c>
      <c r="L1173" s="8">
        <v>8</v>
      </c>
    </row>
    <row r="1174" spans="1:12" x14ac:dyDescent="0.8">
      <c r="A1174" s="5" t="s">
        <v>1245</v>
      </c>
      <c r="B1174" s="8">
        <v>45</v>
      </c>
      <c r="C1174" s="5" t="s">
        <v>49</v>
      </c>
      <c r="D1174" s="5" t="s">
        <v>42</v>
      </c>
      <c r="E1174" s="5" t="s">
        <v>53</v>
      </c>
      <c r="F1174" s="5" t="s">
        <v>60</v>
      </c>
      <c r="G1174" s="8">
        <v>3</v>
      </c>
      <c r="H1174" s="8">
        <v>2274</v>
      </c>
      <c r="I1174" s="5" t="s">
        <v>49</v>
      </c>
      <c r="J1174" s="8">
        <v>3</v>
      </c>
      <c r="K1174" s="8">
        <v>3</v>
      </c>
      <c r="L1174" s="8">
        <v>1</v>
      </c>
    </row>
    <row r="1175" spans="1:12" x14ac:dyDescent="0.8">
      <c r="A1175" s="5" t="s">
        <v>1246</v>
      </c>
      <c r="B1175" s="8">
        <v>45</v>
      </c>
      <c r="C1175" s="5" t="s">
        <v>49</v>
      </c>
      <c r="D1175" s="5" t="s">
        <v>51</v>
      </c>
      <c r="E1175" s="5" t="s">
        <v>44</v>
      </c>
      <c r="F1175" s="5" t="s">
        <v>137</v>
      </c>
      <c r="G1175" s="8">
        <v>1</v>
      </c>
      <c r="H1175" s="8">
        <v>10761</v>
      </c>
      <c r="I1175" s="5" t="s">
        <v>40</v>
      </c>
      <c r="J1175" s="8">
        <v>3</v>
      </c>
      <c r="K1175" s="8">
        <v>2</v>
      </c>
      <c r="L1175" s="8">
        <v>5</v>
      </c>
    </row>
    <row r="1176" spans="1:12" x14ac:dyDescent="0.8">
      <c r="A1176" s="5" t="s">
        <v>1247</v>
      </c>
      <c r="B1176" s="8">
        <v>45</v>
      </c>
      <c r="C1176" s="5" t="s">
        <v>49</v>
      </c>
      <c r="D1176" s="5" t="s">
        <v>42</v>
      </c>
      <c r="E1176" s="5" t="s">
        <v>44</v>
      </c>
      <c r="F1176" s="5" t="s">
        <v>45</v>
      </c>
      <c r="G1176" s="8">
        <v>2</v>
      </c>
      <c r="H1176" s="8">
        <v>4447</v>
      </c>
      <c r="I1176" s="5" t="s">
        <v>49</v>
      </c>
      <c r="J1176" s="8">
        <v>3</v>
      </c>
      <c r="K1176" s="8">
        <v>5</v>
      </c>
      <c r="L1176" s="8">
        <v>9</v>
      </c>
    </row>
    <row r="1177" spans="1:12" x14ac:dyDescent="0.8">
      <c r="A1177" s="5" t="s">
        <v>1248</v>
      </c>
      <c r="B1177" s="8">
        <v>45</v>
      </c>
      <c r="C1177" s="5" t="s">
        <v>49</v>
      </c>
      <c r="D1177" s="5" t="s">
        <v>42</v>
      </c>
      <c r="E1177" s="5" t="s">
        <v>53</v>
      </c>
      <c r="F1177" s="5" t="s">
        <v>45</v>
      </c>
      <c r="G1177" s="8">
        <v>4</v>
      </c>
      <c r="H1177" s="8">
        <v>2270</v>
      </c>
      <c r="I1177" s="5" t="s">
        <v>49</v>
      </c>
      <c r="J1177" s="8">
        <v>3</v>
      </c>
      <c r="K1177" s="8">
        <v>2</v>
      </c>
      <c r="L1177" s="8">
        <v>5</v>
      </c>
    </row>
    <row r="1178" spans="1:12" x14ac:dyDescent="0.8">
      <c r="A1178" s="5" t="s">
        <v>1249</v>
      </c>
      <c r="B1178" s="8">
        <v>45</v>
      </c>
      <c r="C1178" s="5" t="s">
        <v>49</v>
      </c>
      <c r="D1178" s="5" t="s">
        <v>42</v>
      </c>
      <c r="E1178" s="5" t="s">
        <v>44</v>
      </c>
      <c r="F1178" s="5" t="s">
        <v>45</v>
      </c>
      <c r="G1178" s="8">
        <v>1</v>
      </c>
      <c r="H1178" s="8">
        <v>3633</v>
      </c>
      <c r="I1178" s="5" t="s">
        <v>40</v>
      </c>
      <c r="J1178" s="8">
        <v>3</v>
      </c>
      <c r="K1178" s="8">
        <v>2</v>
      </c>
      <c r="L1178" s="8">
        <v>9</v>
      </c>
    </row>
    <row r="1179" spans="1:12" x14ac:dyDescent="0.8">
      <c r="A1179" s="5" t="s">
        <v>1250</v>
      </c>
      <c r="B1179" s="8">
        <v>45</v>
      </c>
      <c r="C1179" s="5" t="s">
        <v>49</v>
      </c>
      <c r="D1179" s="5" t="s">
        <v>51</v>
      </c>
      <c r="E1179" s="5" t="s">
        <v>53</v>
      </c>
      <c r="F1179" s="5" t="s">
        <v>442</v>
      </c>
      <c r="G1179" s="8">
        <v>4</v>
      </c>
      <c r="H1179" s="8">
        <v>17650</v>
      </c>
      <c r="I1179" s="5" t="s">
        <v>49</v>
      </c>
      <c r="J1179" s="8">
        <v>3</v>
      </c>
      <c r="K1179" s="8">
        <v>4</v>
      </c>
      <c r="L1179" s="8">
        <v>9</v>
      </c>
    </row>
    <row r="1180" spans="1:12" x14ac:dyDescent="0.8">
      <c r="A1180" s="5" t="s">
        <v>1251</v>
      </c>
      <c r="B1180" s="8">
        <v>45</v>
      </c>
      <c r="C1180" s="5" t="s">
        <v>49</v>
      </c>
      <c r="D1180" s="5" t="s">
        <v>71</v>
      </c>
      <c r="E1180" s="5" t="s">
        <v>44</v>
      </c>
      <c r="F1180" s="5" t="s">
        <v>71</v>
      </c>
      <c r="G1180" s="8">
        <v>2</v>
      </c>
      <c r="H1180" s="8">
        <v>2177</v>
      </c>
      <c r="I1180" s="5" t="s">
        <v>49</v>
      </c>
      <c r="J1180" s="8">
        <v>3</v>
      </c>
      <c r="K1180" s="8">
        <v>3</v>
      </c>
      <c r="L1180" s="8">
        <v>6</v>
      </c>
    </row>
    <row r="1181" spans="1:12" x14ac:dyDescent="0.8">
      <c r="A1181" s="5" t="s">
        <v>1252</v>
      </c>
      <c r="B1181" s="8">
        <v>45</v>
      </c>
      <c r="C1181" s="5" t="s">
        <v>49</v>
      </c>
      <c r="D1181" s="5" t="s">
        <v>51</v>
      </c>
      <c r="E1181" s="5" t="s">
        <v>53</v>
      </c>
      <c r="F1181" s="5" t="s">
        <v>137</v>
      </c>
      <c r="G1181" s="8">
        <v>3</v>
      </c>
      <c r="H1181" s="8">
        <v>5593</v>
      </c>
      <c r="I1181" s="5" t="s">
        <v>49</v>
      </c>
      <c r="J1181" s="8">
        <v>3</v>
      </c>
      <c r="K1181" s="8">
        <v>2</v>
      </c>
      <c r="L1181" s="8">
        <v>15</v>
      </c>
    </row>
    <row r="1182" spans="1:12" x14ac:dyDescent="0.8">
      <c r="A1182" s="5" t="s">
        <v>1253</v>
      </c>
      <c r="B1182" s="8">
        <v>45</v>
      </c>
      <c r="C1182" s="5" t="s">
        <v>49</v>
      </c>
      <c r="D1182" s="5" t="s">
        <v>42</v>
      </c>
      <c r="E1182" s="5" t="s">
        <v>53</v>
      </c>
      <c r="F1182" s="5" t="s">
        <v>60</v>
      </c>
      <c r="G1182" s="8">
        <v>3</v>
      </c>
      <c r="H1182" s="8">
        <v>4477</v>
      </c>
      <c r="I1182" s="5" t="s">
        <v>40</v>
      </c>
      <c r="J1182" s="8">
        <v>3</v>
      </c>
      <c r="K1182" s="8">
        <v>2</v>
      </c>
      <c r="L1182" s="8">
        <v>3</v>
      </c>
    </row>
    <row r="1183" spans="1:12" x14ac:dyDescent="0.8">
      <c r="A1183" s="5" t="s">
        <v>1254</v>
      </c>
      <c r="B1183" s="8">
        <v>45</v>
      </c>
      <c r="C1183" s="5" t="s">
        <v>40</v>
      </c>
      <c r="D1183" s="5" t="s">
        <v>51</v>
      </c>
      <c r="E1183" s="5" t="s">
        <v>53</v>
      </c>
      <c r="F1183" s="5" t="s">
        <v>442</v>
      </c>
      <c r="G1183" s="8">
        <v>2</v>
      </c>
      <c r="H1183" s="8">
        <v>18824</v>
      </c>
      <c r="I1183" s="5" t="s">
        <v>40</v>
      </c>
      <c r="J1183" s="8">
        <v>3</v>
      </c>
      <c r="K1183" s="8">
        <v>2</v>
      </c>
      <c r="L1183" s="8">
        <v>24</v>
      </c>
    </row>
    <row r="1184" spans="1:12" x14ac:dyDescent="0.8">
      <c r="A1184" s="5" t="s">
        <v>1255</v>
      </c>
      <c r="B1184" s="8">
        <v>45</v>
      </c>
      <c r="C1184" s="5" t="s">
        <v>49</v>
      </c>
      <c r="D1184" s="5" t="s">
        <v>42</v>
      </c>
      <c r="E1184" s="5" t="s">
        <v>53</v>
      </c>
      <c r="F1184" s="5" t="s">
        <v>442</v>
      </c>
      <c r="G1184" s="8">
        <v>2</v>
      </c>
      <c r="H1184" s="8">
        <v>18061</v>
      </c>
      <c r="I1184" s="5" t="s">
        <v>49</v>
      </c>
      <c r="J1184" s="8">
        <v>4</v>
      </c>
      <c r="K1184" s="8">
        <v>4</v>
      </c>
      <c r="L1184" s="8">
        <v>0</v>
      </c>
    </row>
    <row r="1185" spans="1:12" x14ac:dyDescent="0.8">
      <c r="A1185" s="5" t="s">
        <v>1256</v>
      </c>
      <c r="B1185" s="8">
        <v>45</v>
      </c>
      <c r="C1185" s="5" t="s">
        <v>49</v>
      </c>
      <c r="D1185" s="5" t="s">
        <v>42</v>
      </c>
      <c r="E1185" s="5" t="s">
        <v>44</v>
      </c>
      <c r="F1185" s="5" t="s">
        <v>161</v>
      </c>
      <c r="G1185" s="8">
        <v>1</v>
      </c>
      <c r="H1185" s="8">
        <v>10851</v>
      </c>
      <c r="I1185" s="5" t="s">
        <v>40</v>
      </c>
      <c r="J1185" s="8">
        <v>3</v>
      </c>
      <c r="K1185" s="8">
        <v>2</v>
      </c>
      <c r="L1185" s="8">
        <v>7</v>
      </c>
    </row>
    <row r="1186" spans="1:12" x14ac:dyDescent="0.8">
      <c r="A1186" s="5" t="s">
        <v>1257</v>
      </c>
      <c r="B1186" s="8">
        <v>45</v>
      </c>
      <c r="C1186" s="5" t="s">
        <v>49</v>
      </c>
      <c r="D1186" s="5" t="s">
        <v>42</v>
      </c>
      <c r="E1186" s="5" t="s">
        <v>44</v>
      </c>
      <c r="F1186" s="5" t="s">
        <v>112</v>
      </c>
      <c r="G1186" s="8">
        <v>4</v>
      </c>
      <c r="H1186" s="8">
        <v>9380</v>
      </c>
      <c r="I1186" s="5" t="s">
        <v>40</v>
      </c>
      <c r="J1186" s="8">
        <v>3</v>
      </c>
      <c r="K1186" s="8">
        <v>4</v>
      </c>
      <c r="L1186" s="8">
        <v>3</v>
      </c>
    </row>
    <row r="1187" spans="1:12" x14ac:dyDescent="0.8">
      <c r="A1187" s="5" t="s">
        <v>1258</v>
      </c>
      <c r="B1187" s="8">
        <v>45</v>
      </c>
      <c r="C1187" s="5" t="s">
        <v>49</v>
      </c>
      <c r="D1187" s="5" t="s">
        <v>42</v>
      </c>
      <c r="E1187" s="5" t="s">
        <v>44</v>
      </c>
      <c r="F1187" s="5" t="s">
        <v>60</v>
      </c>
      <c r="G1187" s="8">
        <v>4</v>
      </c>
      <c r="H1187" s="8">
        <v>2132</v>
      </c>
      <c r="I1187" s="5" t="s">
        <v>49</v>
      </c>
      <c r="J1187" s="8">
        <v>4</v>
      </c>
      <c r="K1187" s="8">
        <v>3</v>
      </c>
      <c r="L1187" s="8">
        <v>5</v>
      </c>
    </row>
    <row r="1188" spans="1:12" x14ac:dyDescent="0.8">
      <c r="A1188" s="5" t="s">
        <v>1259</v>
      </c>
      <c r="B1188" s="8">
        <v>45</v>
      </c>
      <c r="C1188" s="5" t="s">
        <v>49</v>
      </c>
      <c r="D1188" s="5" t="s">
        <v>42</v>
      </c>
      <c r="E1188" s="5" t="s">
        <v>44</v>
      </c>
      <c r="F1188" s="5" t="s">
        <v>161</v>
      </c>
      <c r="G1188" s="8">
        <v>2</v>
      </c>
      <c r="H1188" s="8">
        <v>7441</v>
      </c>
      <c r="I1188" s="5" t="s">
        <v>49</v>
      </c>
      <c r="J1188" s="8">
        <v>3</v>
      </c>
      <c r="K1188" s="8">
        <v>4</v>
      </c>
      <c r="L1188" s="8">
        <v>10</v>
      </c>
    </row>
    <row r="1189" spans="1:12" x14ac:dyDescent="0.8">
      <c r="A1189" s="5" t="s">
        <v>1260</v>
      </c>
      <c r="B1189" s="8">
        <v>45</v>
      </c>
      <c r="C1189" s="5" t="s">
        <v>49</v>
      </c>
      <c r="D1189" s="5" t="s">
        <v>42</v>
      </c>
      <c r="E1189" s="5" t="s">
        <v>53</v>
      </c>
      <c r="F1189" s="5" t="s">
        <v>45</v>
      </c>
      <c r="G1189" s="8">
        <v>1</v>
      </c>
      <c r="H1189" s="8">
        <v>5769</v>
      </c>
      <c r="I1189" s="5" t="s">
        <v>40</v>
      </c>
      <c r="J1189" s="8">
        <v>3</v>
      </c>
      <c r="K1189" s="8">
        <v>3</v>
      </c>
      <c r="L1189" s="8">
        <v>10</v>
      </c>
    </row>
    <row r="1190" spans="1:12" x14ac:dyDescent="0.8">
      <c r="A1190" s="5" t="s">
        <v>1261</v>
      </c>
      <c r="B1190" s="8">
        <v>45</v>
      </c>
      <c r="C1190" s="5" t="s">
        <v>49</v>
      </c>
      <c r="D1190" s="5" t="s">
        <v>51</v>
      </c>
      <c r="E1190" s="5" t="s">
        <v>44</v>
      </c>
      <c r="F1190" s="5" t="s">
        <v>137</v>
      </c>
      <c r="G1190" s="8">
        <v>1</v>
      </c>
      <c r="H1190" s="8">
        <v>4385</v>
      </c>
      <c r="I1190" s="5" t="s">
        <v>49</v>
      </c>
      <c r="J1190" s="8">
        <v>3</v>
      </c>
      <c r="K1190" s="8">
        <v>2</v>
      </c>
      <c r="L1190" s="8">
        <v>10</v>
      </c>
    </row>
    <row r="1191" spans="1:12" x14ac:dyDescent="0.8">
      <c r="A1191" s="5" t="s">
        <v>1262</v>
      </c>
      <c r="B1191" s="8">
        <v>45</v>
      </c>
      <c r="C1191" s="5" t="s">
        <v>49</v>
      </c>
      <c r="D1191" s="5" t="s">
        <v>42</v>
      </c>
      <c r="E1191" s="5" t="s">
        <v>53</v>
      </c>
      <c r="F1191" s="5" t="s">
        <v>112</v>
      </c>
      <c r="G1191" s="8">
        <v>4</v>
      </c>
      <c r="H1191" s="8">
        <v>5770</v>
      </c>
      <c r="I1191" s="5" t="s">
        <v>49</v>
      </c>
      <c r="J1191" s="8">
        <v>3</v>
      </c>
      <c r="K1191" s="8">
        <v>3</v>
      </c>
      <c r="L1191" s="8">
        <v>10</v>
      </c>
    </row>
    <row r="1192" spans="1:12" x14ac:dyDescent="0.8">
      <c r="A1192" s="5" t="s">
        <v>1263</v>
      </c>
      <c r="B1192" s="8">
        <v>45</v>
      </c>
      <c r="C1192" s="5" t="s">
        <v>49</v>
      </c>
      <c r="D1192" s="5" t="s">
        <v>42</v>
      </c>
      <c r="E1192" s="5" t="s">
        <v>44</v>
      </c>
      <c r="F1192" s="5" t="s">
        <v>161</v>
      </c>
      <c r="G1192" s="8">
        <v>3</v>
      </c>
      <c r="H1192" s="8">
        <v>10748</v>
      </c>
      <c r="I1192" s="5" t="s">
        <v>49</v>
      </c>
      <c r="J1192" s="8">
        <v>4</v>
      </c>
      <c r="K1192" s="8">
        <v>3</v>
      </c>
      <c r="L1192" s="8">
        <v>23</v>
      </c>
    </row>
    <row r="1193" spans="1:12" x14ac:dyDescent="0.8">
      <c r="A1193" s="5" t="s">
        <v>1264</v>
      </c>
      <c r="B1193" s="8">
        <v>45</v>
      </c>
      <c r="C1193" s="5" t="s">
        <v>49</v>
      </c>
      <c r="D1193" s="5" t="s">
        <v>42</v>
      </c>
      <c r="E1193" s="5" t="s">
        <v>53</v>
      </c>
      <c r="F1193" s="5" t="s">
        <v>252</v>
      </c>
      <c r="G1193" s="8">
        <v>2</v>
      </c>
      <c r="H1193" s="8">
        <v>16704</v>
      </c>
      <c r="I1193" s="5" t="s">
        <v>49</v>
      </c>
      <c r="J1193" s="8">
        <v>3</v>
      </c>
      <c r="K1193" s="8">
        <v>2</v>
      </c>
      <c r="L1193" s="8">
        <v>21</v>
      </c>
    </row>
    <row r="1194" spans="1:12" x14ac:dyDescent="0.8">
      <c r="A1194" s="5" t="s">
        <v>1265</v>
      </c>
      <c r="B1194" s="8">
        <v>45</v>
      </c>
      <c r="C1194" s="5" t="s">
        <v>49</v>
      </c>
      <c r="D1194" s="5" t="s">
        <v>71</v>
      </c>
      <c r="E1194" s="5" t="s">
        <v>53</v>
      </c>
      <c r="F1194" s="5" t="s">
        <v>71</v>
      </c>
      <c r="G1194" s="8">
        <v>3</v>
      </c>
      <c r="H1194" s="8">
        <v>9756</v>
      </c>
      <c r="I1194" s="5" t="s">
        <v>49</v>
      </c>
      <c r="J1194" s="8">
        <v>4</v>
      </c>
      <c r="K1194" s="8">
        <v>2</v>
      </c>
      <c r="L1194" s="8">
        <v>5</v>
      </c>
    </row>
    <row r="1195" spans="1:12" x14ac:dyDescent="0.8">
      <c r="A1195" s="5" t="s">
        <v>1266</v>
      </c>
      <c r="B1195" s="8">
        <v>45</v>
      </c>
      <c r="C1195" s="5" t="s">
        <v>49</v>
      </c>
      <c r="D1195" s="5" t="s">
        <v>51</v>
      </c>
      <c r="E1195" s="5" t="s">
        <v>53</v>
      </c>
      <c r="F1195" s="5" t="s">
        <v>137</v>
      </c>
      <c r="G1195" s="8">
        <v>3</v>
      </c>
      <c r="H1195" s="8">
        <v>5154</v>
      </c>
      <c r="I1195" s="5" t="s">
        <v>49</v>
      </c>
      <c r="J1195" s="8">
        <v>4</v>
      </c>
      <c r="K1195" s="8">
        <v>3</v>
      </c>
      <c r="L1195" s="8">
        <v>8</v>
      </c>
    </row>
    <row r="1196" spans="1:12" x14ac:dyDescent="0.8">
      <c r="A1196" s="5" t="s">
        <v>1267</v>
      </c>
      <c r="B1196" s="8">
        <v>45</v>
      </c>
      <c r="C1196" s="5" t="s">
        <v>49</v>
      </c>
      <c r="D1196" s="5" t="s">
        <v>42</v>
      </c>
      <c r="E1196" s="5" t="s">
        <v>53</v>
      </c>
      <c r="F1196" s="5" t="s">
        <v>112</v>
      </c>
      <c r="G1196" s="8">
        <v>4</v>
      </c>
      <c r="H1196" s="8">
        <v>5906</v>
      </c>
      <c r="I1196" s="5" t="s">
        <v>49</v>
      </c>
      <c r="J1196" s="8">
        <v>3</v>
      </c>
      <c r="K1196" s="8">
        <v>2</v>
      </c>
      <c r="L1196" s="8">
        <v>9</v>
      </c>
    </row>
    <row r="1197" spans="1:12" x14ac:dyDescent="0.8">
      <c r="A1197" s="5" t="s">
        <v>1268</v>
      </c>
      <c r="B1197" s="8">
        <v>45</v>
      </c>
      <c r="C1197" s="5" t="s">
        <v>49</v>
      </c>
      <c r="D1197" s="5" t="s">
        <v>42</v>
      </c>
      <c r="E1197" s="5" t="s">
        <v>44</v>
      </c>
      <c r="F1197" s="5" t="s">
        <v>161</v>
      </c>
      <c r="G1197" s="8">
        <v>3</v>
      </c>
      <c r="H1197" s="8">
        <v>5399</v>
      </c>
      <c r="I1197" s="5" t="s">
        <v>49</v>
      </c>
      <c r="J1197" s="8">
        <v>3</v>
      </c>
      <c r="K1197" s="8">
        <v>3</v>
      </c>
      <c r="L1197" s="8">
        <v>4</v>
      </c>
    </row>
    <row r="1198" spans="1:12" x14ac:dyDescent="0.8">
      <c r="A1198" s="5" t="s">
        <v>1269</v>
      </c>
      <c r="B1198" s="8">
        <v>45</v>
      </c>
      <c r="C1198" s="5" t="s">
        <v>49</v>
      </c>
      <c r="D1198" s="5" t="s">
        <v>51</v>
      </c>
      <c r="E1198" s="5" t="s">
        <v>53</v>
      </c>
      <c r="F1198" s="5" t="s">
        <v>137</v>
      </c>
      <c r="G1198" s="8">
        <v>3</v>
      </c>
      <c r="H1198" s="8">
        <v>4850</v>
      </c>
      <c r="I1198" s="5" t="s">
        <v>49</v>
      </c>
      <c r="J1198" s="8">
        <v>3</v>
      </c>
      <c r="K1198" s="8">
        <v>3</v>
      </c>
      <c r="L1198" s="8">
        <v>5</v>
      </c>
    </row>
    <row r="1199" spans="1:12" x14ac:dyDescent="0.8">
      <c r="A1199" s="5" t="s">
        <v>1270</v>
      </c>
      <c r="B1199" s="8">
        <v>46</v>
      </c>
      <c r="C1199" s="5" t="s">
        <v>49</v>
      </c>
      <c r="D1199" s="5" t="s">
        <v>51</v>
      </c>
      <c r="E1199" s="5" t="s">
        <v>53</v>
      </c>
      <c r="F1199" s="5" t="s">
        <v>442</v>
      </c>
      <c r="G1199" s="8">
        <v>1</v>
      </c>
      <c r="H1199" s="8">
        <v>18947</v>
      </c>
      <c r="I1199" s="5" t="s">
        <v>49</v>
      </c>
      <c r="J1199" s="8">
        <v>3</v>
      </c>
      <c r="K1199" s="8">
        <v>2</v>
      </c>
      <c r="L1199" s="8">
        <v>2</v>
      </c>
    </row>
    <row r="1200" spans="1:12" x14ac:dyDescent="0.8">
      <c r="A1200" s="5" t="s">
        <v>1272</v>
      </c>
      <c r="B1200" s="8">
        <v>46</v>
      </c>
      <c r="C1200" s="5" t="s">
        <v>49</v>
      </c>
      <c r="D1200" s="5" t="s">
        <v>51</v>
      </c>
      <c r="E1200" s="5" t="s">
        <v>44</v>
      </c>
      <c r="F1200" s="5" t="s">
        <v>137</v>
      </c>
      <c r="G1200" s="8">
        <v>4</v>
      </c>
      <c r="H1200" s="8">
        <v>5772</v>
      </c>
      <c r="I1200" s="5" t="s">
        <v>40</v>
      </c>
      <c r="J1200" s="8">
        <v>4</v>
      </c>
      <c r="K1200" s="8">
        <v>4</v>
      </c>
      <c r="L1200" s="8">
        <v>9</v>
      </c>
    </row>
    <row r="1201" spans="1:12" x14ac:dyDescent="0.8">
      <c r="A1201" s="5" t="s">
        <v>1273</v>
      </c>
      <c r="B1201" s="8">
        <v>46</v>
      </c>
      <c r="C1201" s="5" t="s">
        <v>49</v>
      </c>
      <c r="D1201" s="5" t="s">
        <v>71</v>
      </c>
      <c r="E1201" s="5" t="s">
        <v>44</v>
      </c>
      <c r="F1201" s="5" t="s">
        <v>71</v>
      </c>
      <c r="G1201" s="8">
        <v>2</v>
      </c>
      <c r="H1201" s="8">
        <v>5021</v>
      </c>
      <c r="I1201" s="5" t="s">
        <v>40</v>
      </c>
      <c r="J1201" s="8">
        <v>4</v>
      </c>
      <c r="K1201" s="8">
        <v>2</v>
      </c>
      <c r="L1201" s="8">
        <v>4</v>
      </c>
    </row>
    <row r="1202" spans="1:12" x14ac:dyDescent="0.8">
      <c r="A1202" s="5" t="s">
        <v>1274</v>
      </c>
      <c r="B1202" s="8">
        <v>46</v>
      </c>
      <c r="C1202" s="5" t="s">
        <v>40</v>
      </c>
      <c r="D1202" s="5" t="s">
        <v>51</v>
      </c>
      <c r="E1202" s="5" t="s">
        <v>44</v>
      </c>
      <c r="F1202" s="5" t="s">
        <v>137</v>
      </c>
      <c r="G1202" s="8">
        <v>4</v>
      </c>
      <c r="H1202" s="8">
        <v>9619</v>
      </c>
      <c r="I1202" s="5" t="s">
        <v>49</v>
      </c>
      <c r="J1202" s="8">
        <v>3</v>
      </c>
      <c r="K1202" s="8">
        <v>3</v>
      </c>
      <c r="L1202" s="8">
        <v>9</v>
      </c>
    </row>
    <row r="1203" spans="1:12" x14ac:dyDescent="0.8">
      <c r="A1203" s="5" t="s">
        <v>1275</v>
      </c>
      <c r="B1203" s="8">
        <v>46</v>
      </c>
      <c r="C1203" s="5" t="s">
        <v>49</v>
      </c>
      <c r="D1203" s="5" t="s">
        <v>42</v>
      </c>
      <c r="E1203" s="5" t="s">
        <v>44</v>
      </c>
      <c r="F1203" s="5" t="s">
        <v>161</v>
      </c>
      <c r="G1203" s="8">
        <v>1</v>
      </c>
      <c r="H1203" s="8">
        <v>10673</v>
      </c>
      <c r="I1203" s="5" t="s">
        <v>40</v>
      </c>
      <c r="J1203" s="8">
        <v>3</v>
      </c>
      <c r="K1203" s="8">
        <v>5</v>
      </c>
      <c r="L1203" s="8">
        <v>10</v>
      </c>
    </row>
    <row r="1204" spans="1:12" x14ac:dyDescent="0.8">
      <c r="A1204" s="5" t="s">
        <v>1276</v>
      </c>
      <c r="B1204" s="8">
        <v>46</v>
      </c>
      <c r="C1204" s="5" t="s">
        <v>49</v>
      </c>
      <c r="D1204" s="5" t="s">
        <v>51</v>
      </c>
      <c r="E1204" s="5" t="s">
        <v>53</v>
      </c>
      <c r="F1204" s="5" t="s">
        <v>137</v>
      </c>
      <c r="G1204" s="8">
        <v>1</v>
      </c>
      <c r="H1204" s="8">
        <v>10453</v>
      </c>
      <c r="I1204" s="5" t="s">
        <v>49</v>
      </c>
      <c r="J1204" s="8">
        <v>4</v>
      </c>
      <c r="K1204" s="8">
        <v>2</v>
      </c>
      <c r="L1204" s="8">
        <v>24</v>
      </c>
    </row>
    <row r="1205" spans="1:12" x14ac:dyDescent="0.8">
      <c r="A1205" s="5" t="s">
        <v>1277</v>
      </c>
      <c r="B1205" s="8">
        <v>46</v>
      </c>
      <c r="C1205" s="5" t="s">
        <v>49</v>
      </c>
      <c r="D1205" s="5" t="s">
        <v>42</v>
      </c>
      <c r="E1205" s="5" t="s">
        <v>44</v>
      </c>
      <c r="F1205" s="5" t="s">
        <v>161</v>
      </c>
      <c r="G1205" s="8">
        <v>1</v>
      </c>
      <c r="H1205" s="8">
        <v>9396</v>
      </c>
      <c r="I1205" s="5" t="s">
        <v>49</v>
      </c>
      <c r="J1205" s="8">
        <v>3</v>
      </c>
      <c r="K1205" s="8">
        <v>3</v>
      </c>
      <c r="L1205" s="8">
        <v>4</v>
      </c>
    </row>
    <row r="1206" spans="1:12" x14ac:dyDescent="0.8">
      <c r="A1206" s="5" t="s">
        <v>1278</v>
      </c>
      <c r="B1206" s="8">
        <v>46</v>
      </c>
      <c r="C1206" s="5" t="s">
        <v>49</v>
      </c>
      <c r="D1206" s="5" t="s">
        <v>51</v>
      </c>
      <c r="E1206" s="5" t="s">
        <v>53</v>
      </c>
      <c r="F1206" s="5" t="s">
        <v>442</v>
      </c>
      <c r="G1206" s="8">
        <v>2</v>
      </c>
      <c r="H1206" s="8">
        <v>16872</v>
      </c>
      <c r="I1206" s="5" t="s">
        <v>40</v>
      </c>
      <c r="J1206" s="8">
        <v>3</v>
      </c>
      <c r="K1206" s="8">
        <v>2</v>
      </c>
      <c r="L1206" s="8">
        <v>7</v>
      </c>
    </row>
    <row r="1207" spans="1:12" x14ac:dyDescent="0.8">
      <c r="A1207" s="5" t="s">
        <v>1279</v>
      </c>
      <c r="B1207" s="8">
        <v>46</v>
      </c>
      <c r="C1207" s="5" t="s">
        <v>49</v>
      </c>
      <c r="D1207" s="5" t="s">
        <v>42</v>
      </c>
      <c r="E1207" s="5" t="s">
        <v>53</v>
      </c>
      <c r="F1207" s="5" t="s">
        <v>112</v>
      </c>
      <c r="G1207" s="8">
        <v>3</v>
      </c>
      <c r="H1207" s="8">
        <v>5258</v>
      </c>
      <c r="I1207" s="5" t="s">
        <v>49</v>
      </c>
      <c r="J1207" s="8">
        <v>3</v>
      </c>
      <c r="K1207" s="8">
        <v>2</v>
      </c>
      <c r="L1207" s="8">
        <v>1</v>
      </c>
    </row>
    <row r="1208" spans="1:12" x14ac:dyDescent="0.8">
      <c r="A1208" s="5" t="s">
        <v>1280</v>
      </c>
      <c r="B1208" s="8">
        <v>46</v>
      </c>
      <c r="C1208" s="5" t="s">
        <v>49</v>
      </c>
      <c r="D1208" s="5" t="s">
        <v>42</v>
      </c>
      <c r="E1208" s="5" t="s">
        <v>53</v>
      </c>
      <c r="F1208" s="5" t="s">
        <v>112</v>
      </c>
      <c r="G1208" s="8">
        <v>3</v>
      </c>
      <c r="H1208" s="8">
        <v>4810</v>
      </c>
      <c r="I1208" s="5" t="s">
        <v>49</v>
      </c>
      <c r="J1208" s="8">
        <v>3</v>
      </c>
      <c r="K1208" s="8">
        <v>5</v>
      </c>
      <c r="L1208" s="8">
        <v>10</v>
      </c>
    </row>
    <row r="1209" spans="1:12" x14ac:dyDescent="0.8">
      <c r="A1209" s="5" t="s">
        <v>1281</v>
      </c>
      <c r="B1209" s="8">
        <v>46</v>
      </c>
      <c r="C1209" s="5" t="s">
        <v>49</v>
      </c>
      <c r="D1209" s="5" t="s">
        <v>42</v>
      </c>
      <c r="E1209" s="5" t="s">
        <v>44</v>
      </c>
      <c r="F1209" s="5" t="s">
        <v>252</v>
      </c>
      <c r="G1209" s="8">
        <v>3</v>
      </c>
      <c r="H1209" s="8">
        <v>17861</v>
      </c>
      <c r="I1209" s="5" t="s">
        <v>49</v>
      </c>
      <c r="J1209" s="8">
        <v>3</v>
      </c>
      <c r="K1209" s="8">
        <v>2</v>
      </c>
      <c r="L1209" s="8">
        <v>3</v>
      </c>
    </row>
    <row r="1210" spans="1:12" x14ac:dyDescent="0.8">
      <c r="A1210" s="5" t="s">
        <v>1282</v>
      </c>
      <c r="B1210" s="8">
        <v>46</v>
      </c>
      <c r="C1210" s="5" t="s">
        <v>49</v>
      </c>
      <c r="D1210" s="5" t="s">
        <v>51</v>
      </c>
      <c r="E1210" s="5" t="s">
        <v>53</v>
      </c>
      <c r="F1210" s="5" t="s">
        <v>137</v>
      </c>
      <c r="G1210" s="8">
        <v>4</v>
      </c>
      <c r="H1210" s="8">
        <v>9071</v>
      </c>
      <c r="I1210" s="5" t="s">
        <v>40</v>
      </c>
      <c r="J1210" s="8">
        <v>3</v>
      </c>
      <c r="K1210" s="8">
        <v>3</v>
      </c>
      <c r="L1210" s="8">
        <v>3</v>
      </c>
    </row>
    <row r="1211" spans="1:12" x14ac:dyDescent="0.8">
      <c r="A1211" s="5" t="s">
        <v>1283</v>
      </c>
      <c r="B1211" s="8">
        <v>46</v>
      </c>
      <c r="C1211" s="5" t="s">
        <v>49</v>
      </c>
      <c r="D1211" s="5" t="s">
        <v>42</v>
      </c>
      <c r="E1211" s="5" t="s">
        <v>53</v>
      </c>
      <c r="F1211" s="5" t="s">
        <v>161</v>
      </c>
      <c r="G1211" s="8">
        <v>3</v>
      </c>
      <c r="H1211" s="8">
        <v>10527</v>
      </c>
      <c r="I1211" s="5" t="s">
        <v>49</v>
      </c>
      <c r="J1211" s="8">
        <v>3</v>
      </c>
      <c r="K1211" s="8">
        <v>3</v>
      </c>
      <c r="L1211" s="8">
        <v>2</v>
      </c>
    </row>
    <row r="1212" spans="1:12" x14ac:dyDescent="0.8">
      <c r="A1212" s="5" t="s">
        <v>1284</v>
      </c>
      <c r="B1212" s="8">
        <v>46</v>
      </c>
      <c r="C1212" s="5" t="s">
        <v>49</v>
      </c>
      <c r="D1212" s="5" t="s">
        <v>42</v>
      </c>
      <c r="E1212" s="5" t="s">
        <v>44</v>
      </c>
      <c r="F1212" s="5" t="s">
        <v>112</v>
      </c>
      <c r="G1212" s="8">
        <v>3</v>
      </c>
      <c r="H1212" s="8">
        <v>10845</v>
      </c>
      <c r="I1212" s="5" t="s">
        <v>49</v>
      </c>
      <c r="J1212" s="8">
        <v>3</v>
      </c>
      <c r="K1212" s="8">
        <v>3</v>
      </c>
      <c r="L1212" s="8">
        <v>8</v>
      </c>
    </row>
    <row r="1213" spans="1:12" x14ac:dyDescent="0.8">
      <c r="A1213" s="5" t="s">
        <v>1285</v>
      </c>
      <c r="B1213" s="8">
        <v>46</v>
      </c>
      <c r="C1213" s="5" t="s">
        <v>49</v>
      </c>
      <c r="D1213" s="5" t="s">
        <v>42</v>
      </c>
      <c r="E1213" s="5" t="s">
        <v>44</v>
      </c>
      <c r="F1213" s="5" t="s">
        <v>252</v>
      </c>
      <c r="G1213" s="8">
        <v>4</v>
      </c>
      <c r="H1213" s="8">
        <v>19627</v>
      </c>
      <c r="I1213" s="5" t="s">
        <v>49</v>
      </c>
      <c r="J1213" s="8">
        <v>3</v>
      </c>
      <c r="K1213" s="8">
        <v>0</v>
      </c>
      <c r="L1213" s="8">
        <v>2</v>
      </c>
    </row>
    <row r="1214" spans="1:12" x14ac:dyDescent="0.8">
      <c r="A1214" s="5" t="s">
        <v>1286</v>
      </c>
      <c r="B1214" s="8">
        <v>46</v>
      </c>
      <c r="C1214" s="5" t="s">
        <v>49</v>
      </c>
      <c r="D1214" s="5" t="s">
        <v>42</v>
      </c>
      <c r="E1214" s="5" t="s">
        <v>53</v>
      </c>
      <c r="F1214" s="5" t="s">
        <v>60</v>
      </c>
      <c r="G1214" s="8">
        <v>1</v>
      </c>
      <c r="H1214" s="8">
        <v>4615</v>
      </c>
      <c r="I1214" s="5" t="s">
        <v>40</v>
      </c>
      <c r="J1214" s="8">
        <v>4</v>
      </c>
      <c r="K1214" s="8">
        <v>2</v>
      </c>
      <c r="L1214" s="8">
        <v>16</v>
      </c>
    </row>
    <row r="1215" spans="1:12" x14ac:dyDescent="0.8">
      <c r="A1215" s="5" t="s">
        <v>1287</v>
      </c>
      <c r="B1215" s="8">
        <v>46</v>
      </c>
      <c r="C1215" s="5" t="s">
        <v>49</v>
      </c>
      <c r="D1215" s="5" t="s">
        <v>51</v>
      </c>
      <c r="E1215" s="5" t="s">
        <v>44</v>
      </c>
      <c r="F1215" s="5" t="s">
        <v>442</v>
      </c>
      <c r="G1215" s="8">
        <v>3</v>
      </c>
      <c r="H1215" s="8">
        <v>17465</v>
      </c>
      <c r="I1215" s="5" t="s">
        <v>49</v>
      </c>
      <c r="J1215" s="8">
        <v>3</v>
      </c>
      <c r="K1215" s="8">
        <v>3</v>
      </c>
      <c r="L1215" s="8">
        <v>12</v>
      </c>
    </row>
    <row r="1216" spans="1:12" x14ac:dyDescent="0.8">
      <c r="A1216" s="5" t="s">
        <v>1288</v>
      </c>
      <c r="B1216" s="8">
        <v>46</v>
      </c>
      <c r="C1216" s="5" t="s">
        <v>49</v>
      </c>
      <c r="D1216" s="5" t="s">
        <v>51</v>
      </c>
      <c r="E1216" s="5" t="s">
        <v>53</v>
      </c>
      <c r="F1216" s="5" t="s">
        <v>442</v>
      </c>
      <c r="G1216" s="8">
        <v>1</v>
      </c>
      <c r="H1216" s="8">
        <v>17048</v>
      </c>
      <c r="I1216" s="5" t="s">
        <v>49</v>
      </c>
      <c r="J1216" s="8">
        <v>4</v>
      </c>
      <c r="K1216" s="8">
        <v>2</v>
      </c>
      <c r="L1216" s="8">
        <v>26</v>
      </c>
    </row>
    <row r="1217" spans="1:12" x14ac:dyDescent="0.8">
      <c r="A1217" s="5" t="s">
        <v>1289</v>
      </c>
      <c r="B1217" s="8">
        <v>46</v>
      </c>
      <c r="C1217" s="5" t="s">
        <v>49</v>
      </c>
      <c r="D1217" s="5" t="s">
        <v>42</v>
      </c>
      <c r="E1217" s="5" t="s">
        <v>44</v>
      </c>
      <c r="F1217" s="5" t="s">
        <v>252</v>
      </c>
      <c r="G1217" s="8">
        <v>2</v>
      </c>
      <c r="H1217" s="8">
        <v>19081</v>
      </c>
      <c r="I1217" s="5" t="s">
        <v>49</v>
      </c>
      <c r="J1217" s="8">
        <v>3</v>
      </c>
      <c r="K1217" s="8">
        <v>2</v>
      </c>
      <c r="L1217" s="8">
        <v>4</v>
      </c>
    </row>
    <row r="1218" spans="1:12" x14ac:dyDescent="0.8">
      <c r="A1218" s="5" t="s">
        <v>1290</v>
      </c>
      <c r="B1218" s="8">
        <v>46</v>
      </c>
      <c r="C1218" s="5" t="s">
        <v>49</v>
      </c>
      <c r="D1218" s="5" t="s">
        <v>42</v>
      </c>
      <c r="E1218" s="5" t="s">
        <v>44</v>
      </c>
      <c r="F1218" s="5" t="s">
        <v>112</v>
      </c>
      <c r="G1218" s="8">
        <v>4</v>
      </c>
      <c r="H1218" s="8">
        <v>7379</v>
      </c>
      <c r="I1218" s="5" t="s">
        <v>49</v>
      </c>
      <c r="J1218" s="8">
        <v>3</v>
      </c>
      <c r="K1218" s="8">
        <v>3</v>
      </c>
      <c r="L1218" s="8">
        <v>6</v>
      </c>
    </row>
    <row r="1219" spans="1:12" x14ac:dyDescent="0.8">
      <c r="A1219" s="5" t="s">
        <v>1291</v>
      </c>
      <c r="B1219" s="8">
        <v>46</v>
      </c>
      <c r="C1219" s="5" t="s">
        <v>49</v>
      </c>
      <c r="D1219" s="5" t="s">
        <v>51</v>
      </c>
      <c r="E1219" s="5" t="s">
        <v>53</v>
      </c>
      <c r="F1219" s="5" t="s">
        <v>442</v>
      </c>
      <c r="G1219" s="8">
        <v>2</v>
      </c>
      <c r="H1219" s="8">
        <v>18789</v>
      </c>
      <c r="I1219" s="5" t="s">
        <v>49</v>
      </c>
      <c r="J1219" s="8">
        <v>3</v>
      </c>
      <c r="K1219" s="8">
        <v>2</v>
      </c>
      <c r="L1219" s="8">
        <v>11</v>
      </c>
    </row>
    <row r="1220" spans="1:12" x14ac:dyDescent="0.8">
      <c r="A1220" s="5" t="s">
        <v>1292</v>
      </c>
      <c r="B1220" s="8">
        <v>46</v>
      </c>
      <c r="C1220" s="5" t="s">
        <v>49</v>
      </c>
      <c r="D1220" s="5" t="s">
        <v>71</v>
      </c>
      <c r="E1220" s="5" t="s">
        <v>53</v>
      </c>
      <c r="F1220" s="5" t="s">
        <v>71</v>
      </c>
      <c r="G1220" s="8">
        <v>1</v>
      </c>
      <c r="H1220" s="8">
        <v>3423</v>
      </c>
      <c r="I1220" s="5" t="s">
        <v>49</v>
      </c>
      <c r="J1220" s="8">
        <v>3</v>
      </c>
      <c r="K1220" s="8">
        <v>3</v>
      </c>
      <c r="L1220" s="8">
        <v>7</v>
      </c>
    </row>
    <row r="1221" spans="1:12" x14ac:dyDescent="0.8">
      <c r="A1221" s="5" t="s">
        <v>1293</v>
      </c>
      <c r="B1221" s="8">
        <v>46</v>
      </c>
      <c r="C1221" s="5" t="s">
        <v>40</v>
      </c>
      <c r="D1221" s="5" t="s">
        <v>51</v>
      </c>
      <c r="E1221" s="5" t="s">
        <v>44</v>
      </c>
      <c r="F1221" s="5" t="s">
        <v>137</v>
      </c>
      <c r="G1221" s="8">
        <v>4</v>
      </c>
      <c r="H1221" s="8">
        <v>10096</v>
      </c>
      <c r="I1221" s="5" t="s">
        <v>49</v>
      </c>
      <c r="J1221" s="8">
        <v>3</v>
      </c>
      <c r="K1221" s="8">
        <v>1</v>
      </c>
      <c r="L1221" s="8">
        <v>7</v>
      </c>
    </row>
    <row r="1222" spans="1:12" x14ac:dyDescent="0.8">
      <c r="A1222" s="5" t="s">
        <v>1294</v>
      </c>
      <c r="B1222" s="8">
        <v>46</v>
      </c>
      <c r="C1222" s="5" t="s">
        <v>49</v>
      </c>
      <c r="D1222" s="5" t="s">
        <v>51</v>
      </c>
      <c r="E1222" s="5" t="s">
        <v>53</v>
      </c>
      <c r="F1222" s="5" t="s">
        <v>442</v>
      </c>
      <c r="G1222" s="8">
        <v>2</v>
      </c>
      <c r="H1222" s="8">
        <v>16606</v>
      </c>
      <c r="I1222" s="5" t="s">
        <v>49</v>
      </c>
      <c r="J1222" s="8">
        <v>3</v>
      </c>
      <c r="K1222" s="8">
        <v>2</v>
      </c>
      <c r="L1222" s="8">
        <v>13</v>
      </c>
    </row>
    <row r="1223" spans="1:12" x14ac:dyDescent="0.8">
      <c r="A1223" s="5" t="s">
        <v>1295</v>
      </c>
      <c r="B1223" s="8">
        <v>46</v>
      </c>
      <c r="C1223" s="5" t="s">
        <v>49</v>
      </c>
      <c r="D1223" s="5" t="s">
        <v>51</v>
      </c>
      <c r="E1223" s="5" t="s">
        <v>44</v>
      </c>
      <c r="F1223" s="5" t="s">
        <v>442</v>
      </c>
      <c r="G1223" s="8">
        <v>1</v>
      </c>
      <c r="H1223" s="8">
        <v>17567</v>
      </c>
      <c r="I1223" s="5" t="s">
        <v>49</v>
      </c>
      <c r="J1223" s="8">
        <v>3</v>
      </c>
      <c r="K1223" s="8">
        <v>5</v>
      </c>
      <c r="L1223" s="8">
        <v>26</v>
      </c>
    </row>
    <row r="1224" spans="1:12" x14ac:dyDescent="0.8">
      <c r="A1224" s="5" t="s">
        <v>1296</v>
      </c>
      <c r="B1224" s="8">
        <v>46</v>
      </c>
      <c r="C1224" s="5" t="s">
        <v>49</v>
      </c>
      <c r="D1224" s="5" t="s">
        <v>42</v>
      </c>
      <c r="E1224" s="5" t="s">
        <v>44</v>
      </c>
      <c r="F1224" s="5" t="s">
        <v>161</v>
      </c>
      <c r="G1224" s="8">
        <v>2</v>
      </c>
      <c r="H1224" s="8">
        <v>5562</v>
      </c>
      <c r="I1224" s="5" t="s">
        <v>49</v>
      </c>
      <c r="J1224" s="8">
        <v>3</v>
      </c>
      <c r="K1224" s="8">
        <v>3</v>
      </c>
      <c r="L1224" s="8">
        <v>10</v>
      </c>
    </row>
    <row r="1225" spans="1:12" x14ac:dyDescent="0.8">
      <c r="A1225" s="5" t="s">
        <v>1297</v>
      </c>
      <c r="B1225" s="8">
        <v>46</v>
      </c>
      <c r="C1225" s="5" t="s">
        <v>49</v>
      </c>
      <c r="D1225" s="5" t="s">
        <v>51</v>
      </c>
      <c r="E1225" s="5" t="s">
        <v>44</v>
      </c>
      <c r="F1225" s="5" t="s">
        <v>137</v>
      </c>
      <c r="G1225" s="8">
        <v>4</v>
      </c>
      <c r="H1225" s="8">
        <v>10368</v>
      </c>
      <c r="I1225" s="5" t="s">
        <v>40</v>
      </c>
      <c r="J1225" s="8">
        <v>3</v>
      </c>
      <c r="K1225" s="8">
        <v>5</v>
      </c>
      <c r="L1225" s="8">
        <v>10</v>
      </c>
    </row>
    <row r="1226" spans="1:12" x14ac:dyDescent="0.8">
      <c r="A1226" s="5" t="s">
        <v>1298</v>
      </c>
      <c r="B1226" s="8">
        <v>46</v>
      </c>
      <c r="C1226" s="5" t="s">
        <v>49</v>
      </c>
      <c r="D1226" s="5" t="s">
        <v>42</v>
      </c>
      <c r="E1226" s="5" t="s">
        <v>44</v>
      </c>
      <c r="F1226" s="5" t="s">
        <v>252</v>
      </c>
      <c r="G1226" s="8">
        <v>4</v>
      </c>
      <c r="H1226" s="8">
        <v>19328</v>
      </c>
      <c r="I1226" s="5" t="s">
        <v>40</v>
      </c>
      <c r="J1226" s="8">
        <v>3</v>
      </c>
      <c r="K1226" s="8">
        <v>3</v>
      </c>
      <c r="L1226" s="8">
        <v>2</v>
      </c>
    </row>
    <row r="1227" spans="1:12" x14ac:dyDescent="0.8">
      <c r="A1227" s="5" t="s">
        <v>1299</v>
      </c>
      <c r="B1227" s="8">
        <v>46</v>
      </c>
      <c r="C1227" s="5" t="s">
        <v>49</v>
      </c>
      <c r="D1227" s="5" t="s">
        <v>51</v>
      </c>
      <c r="E1227" s="5" t="s">
        <v>44</v>
      </c>
      <c r="F1227" s="5" t="s">
        <v>137</v>
      </c>
      <c r="G1227" s="8">
        <v>2</v>
      </c>
      <c r="H1227" s="8">
        <v>7991</v>
      </c>
      <c r="I1227" s="5" t="s">
        <v>49</v>
      </c>
      <c r="J1227" s="8">
        <v>3</v>
      </c>
      <c r="K1227" s="8">
        <v>3</v>
      </c>
      <c r="L1227" s="8">
        <v>2</v>
      </c>
    </row>
    <row r="1228" spans="1:12" x14ac:dyDescent="0.8">
      <c r="A1228" s="5" t="s">
        <v>1300</v>
      </c>
      <c r="B1228" s="8">
        <v>46</v>
      </c>
      <c r="C1228" s="5" t="s">
        <v>40</v>
      </c>
      <c r="D1228" s="5" t="s">
        <v>42</v>
      </c>
      <c r="E1228" s="5" t="s">
        <v>53</v>
      </c>
      <c r="F1228" s="5" t="s">
        <v>161</v>
      </c>
      <c r="G1228" s="8">
        <v>2</v>
      </c>
      <c r="H1228" s="8">
        <v>8926</v>
      </c>
      <c r="I1228" s="5" t="s">
        <v>49</v>
      </c>
      <c r="J1228" s="8">
        <v>4</v>
      </c>
      <c r="K1228" s="8">
        <v>2</v>
      </c>
      <c r="L1228" s="8">
        <v>9</v>
      </c>
    </row>
    <row r="1229" spans="1:12" x14ac:dyDescent="0.8">
      <c r="A1229" s="5" t="s">
        <v>1301</v>
      </c>
      <c r="B1229" s="8">
        <v>46</v>
      </c>
      <c r="C1229" s="5" t="s">
        <v>49</v>
      </c>
      <c r="D1229" s="5" t="s">
        <v>42</v>
      </c>
      <c r="E1229" s="5" t="s">
        <v>44</v>
      </c>
      <c r="F1229" s="5" t="s">
        <v>112</v>
      </c>
      <c r="G1229" s="8">
        <v>4</v>
      </c>
      <c r="H1229" s="8">
        <v>8578</v>
      </c>
      <c r="I1229" s="5" t="s">
        <v>49</v>
      </c>
      <c r="J1229" s="8">
        <v>3</v>
      </c>
      <c r="K1229" s="8">
        <v>4</v>
      </c>
      <c r="L1229" s="8">
        <v>9</v>
      </c>
    </row>
    <row r="1230" spans="1:12" x14ac:dyDescent="0.8">
      <c r="A1230" s="5" t="s">
        <v>1302</v>
      </c>
      <c r="B1230" s="8">
        <v>46</v>
      </c>
      <c r="C1230" s="5" t="s">
        <v>49</v>
      </c>
      <c r="D1230" s="5" t="s">
        <v>51</v>
      </c>
      <c r="E1230" s="5" t="s">
        <v>53</v>
      </c>
      <c r="F1230" s="5" t="s">
        <v>137</v>
      </c>
      <c r="G1230" s="8">
        <v>1</v>
      </c>
      <c r="H1230" s="8">
        <v>13225</v>
      </c>
      <c r="I1230" s="5" t="s">
        <v>49</v>
      </c>
      <c r="J1230" s="8">
        <v>3</v>
      </c>
      <c r="K1230" s="8">
        <v>5</v>
      </c>
      <c r="L1230" s="8">
        <v>19</v>
      </c>
    </row>
    <row r="1231" spans="1:12" x14ac:dyDescent="0.8">
      <c r="A1231" s="5" t="s">
        <v>1303</v>
      </c>
      <c r="B1231" s="8">
        <v>46</v>
      </c>
      <c r="C1231" s="5" t="s">
        <v>40</v>
      </c>
      <c r="D1231" s="5" t="s">
        <v>51</v>
      </c>
      <c r="E1231" s="5" t="s">
        <v>53</v>
      </c>
      <c r="F1231" s="5" t="s">
        <v>137</v>
      </c>
      <c r="G1231" s="8">
        <v>2</v>
      </c>
      <c r="H1231" s="8">
        <v>7314</v>
      </c>
      <c r="I1231" s="5" t="s">
        <v>49</v>
      </c>
      <c r="J1231" s="8">
        <v>4</v>
      </c>
      <c r="K1231" s="8">
        <v>2</v>
      </c>
      <c r="L1231" s="8">
        <v>8</v>
      </c>
    </row>
    <row r="1232" spans="1:12" x14ac:dyDescent="0.8">
      <c r="A1232" s="5" t="s">
        <v>1304</v>
      </c>
      <c r="B1232" s="8">
        <v>47</v>
      </c>
      <c r="C1232" s="5" t="s">
        <v>40</v>
      </c>
      <c r="D1232" s="5" t="s">
        <v>42</v>
      </c>
      <c r="E1232" s="5" t="s">
        <v>44</v>
      </c>
      <c r="F1232" s="5" t="s">
        <v>442</v>
      </c>
      <c r="G1232" s="8">
        <v>2</v>
      </c>
      <c r="H1232" s="8">
        <v>11849</v>
      </c>
      <c r="I1232" s="5" t="s">
        <v>40</v>
      </c>
      <c r="J1232" s="8">
        <v>3</v>
      </c>
      <c r="K1232" s="8">
        <v>2</v>
      </c>
      <c r="L1232" s="8">
        <v>10</v>
      </c>
    </row>
    <row r="1233" spans="1:12" x14ac:dyDescent="0.8">
      <c r="A1233" s="5" t="s">
        <v>1305</v>
      </c>
      <c r="B1233" s="8">
        <v>47</v>
      </c>
      <c r="C1233" s="5" t="s">
        <v>49</v>
      </c>
      <c r="D1233" s="5" t="s">
        <v>42</v>
      </c>
      <c r="E1233" s="5" t="s">
        <v>44</v>
      </c>
      <c r="F1233" s="5" t="s">
        <v>252</v>
      </c>
      <c r="G1233" s="8">
        <v>3</v>
      </c>
      <c r="H1233" s="8">
        <v>18300</v>
      </c>
      <c r="I1233" s="5" t="s">
        <v>49</v>
      </c>
      <c r="J1233" s="8">
        <v>3</v>
      </c>
      <c r="K1233" s="8">
        <v>2</v>
      </c>
      <c r="L1233" s="8">
        <v>3</v>
      </c>
    </row>
    <row r="1234" spans="1:12" x14ac:dyDescent="0.8">
      <c r="A1234" s="5" t="s">
        <v>1306</v>
      </c>
      <c r="B1234" s="8">
        <v>47</v>
      </c>
      <c r="C1234" s="5" t="s">
        <v>49</v>
      </c>
      <c r="D1234" s="5" t="s">
        <v>51</v>
      </c>
      <c r="E1234" s="5" t="s">
        <v>44</v>
      </c>
      <c r="F1234" s="5" t="s">
        <v>54</v>
      </c>
      <c r="G1234" s="8">
        <v>3</v>
      </c>
      <c r="H1234" s="8">
        <v>2976</v>
      </c>
      <c r="I1234" s="5" t="s">
        <v>49</v>
      </c>
      <c r="J1234" s="8">
        <v>3</v>
      </c>
      <c r="K1234" s="8">
        <v>3</v>
      </c>
      <c r="L1234" s="8">
        <v>0</v>
      </c>
    </row>
    <row r="1235" spans="1:12" x14ac:dyDescent="0.8">
      <c r="A1235" s="5" t="s">
        <v>1307</v>
      </c>
      <c r="B1235" s="8">
        <v>47</v>
      </c>
      <c r="C1235" s="5" t="s">
        <v>49</v>
      </c>
      <c r="D1235" s="5" t="s">
        <v>42</v>
      </c>
      <c r="E1235" s="5" t="s">
        <v>53</v>
      </c>
      <c r="F1235" s="5" t="s">
        <v>112</v>
      </c>
      <c r="G1235" s="8">
        <v>4</v>
      </c>
      <c r="H1235" s="8">
        <v>5070</v>
      </c>
      <c r="I1235" s="5" t="s">
        <v>49</v>
      </c>
      <c r="J1235" s="8">
        <v>3</v>
      </c>
      <c r="K1235" s="8">
        <v>2</v>
      </c>
      <c r="L1235" s="8">
        <v>5</v>
      </c>
    </row>
    <row r="1236" spans="1:12" x14ac:dyDescent="0.8">
      <c r="A1236" s="5" t="s">
        <v>1308</v>
      </c>
      <c r="B1236" s="8">
        <v>47</v>
      </c>
      <c r="C1236" s="5" t="s">
        <v>49</v>
      </c>
      <c r="D1236" s="5" t="s">
        <v>51</v>
      </c>
      <c r="E1236" s="5" t="s">
        <v>44</v>
      </c>
      <c r="F1236" s="5" t="s">
        <v>137</v>
      </c>
      <c r="G1236" s="8">
        <v>1</v>
      </c>
      <c r="H1236" s="8">
        <v>4960</v>
      </c>
      <c r="I1236" s="5" t="s">
        <v>49</v>
      </c>
      <c r="J1236" s="8">
        <v>3</v>
      </c>
      <c r="K1236" s="8">
        <v>2</v>
      </c>
      <c r="L1236" s="8">
        <v>7</v>
      </c>
    </row>
    <row r="1237" spans="1:12" x14ac:dyDescent="0.8">
      <c r="A1237" s="5" t="s">
        <v>1309</v>
      </c>
      <c r="B1237" s="8">
        <v>47</v>
      </c>
      <c r="C1237" s="5" t="s">
        <v>49</v>
      </c>
      <c r="D1237" s="5" t="s">
        <v>51</v>
      </c>
      <c r="E1237" s="5" t="s">
        <v>53</v>
      </c>
      <c r="F1237" s="5" t="s">
        <v>137</v>
      </c>
      <c r="G1237" s="8">
        <v>3</v>
      </c>
      <c r="H1237" s="8">
        <v>13770</v>
      </c>
      <c r="I1237" s="5" t="s">
        <v>40</v>
      </c>
      <c r="J1237" s="8">
        <v>3</v>
      </c>
      <c r="K1237" s="8">
        <v>2</v>
      </c>
      <c r="L1237" s="8">
        <v>22</v>
      </c>
    </row>
    <row r="1238" spans="1:12" x14ac:dyDescent="0.8">
      <c r="A1238" s="5" t="s">
        <v>1310</v>
      </c>
      <c r="B1238" s="8">
        <v>47</v>
      </c>
      <c r="C1238" s="5" t="s">
        <v>40</v>
      </c>
      <c r="D1238" s="5" t="s">
        <v>51</v>
      </c>
      <c r="E1238" s="5" t="s">
        <v>53</v>
      </c>
      <c r="F1238" s="5" t="s">
        <v>137</v>
      </c>
      <c r="G1238" s="8">
        <v>3</v>
      </c>
      <c r="H1238" s="8">
        <v>6397</v>
      </c>
      <c r="I1238" s="5" t="s">
        <v>40</v>
      </c>
      <c r="J1238" s="8">
        <v>3</v>
      </c>
      <c r="K1238" s="8">
        <v>2</v>
      </c>
      <c r="L1238" s="8">
        <v>5</v>
      </c>
    </row>
    <row r="1239" spans="1:12" x14ac:dyDescent="0.8">
      <c r="A1239" s="5" t="s">
        <v>1311</v>
      </c>
      <c r="B1239" s="8">
        <v>47</v>
      </c>
      <c r="C1239" s="5" t="s">
        <v>49</v>
      </c>
      <c r="D1239" s="5" t="s">
        <v>42</v>
      </c>
      <c r="E1239" s="5" t="s">
        <v>53</v>
      </c>
      <c r="F1239" s="5" t="s">
        <v>442</v>
      </c>
      <c r="G1239" s="8">
        <v>4</v>
      </c>
      <c r="H1239" s="8">
        <v>16752</v>
      </c>
      <c r="I1239" s="5" t="s">
        <v>40</v>
      </c>
      <c r="J1239" s="8">
        <v>3</v>
      </c>
      <c r="K1239" s="8">
        <v>3</v>
      </c>
      <c r="L1239" s="8">
        <v>26</v>
      </c>
    </row>
    <row r="1240" spans="1:12" x14ac:dyDescent="0.8">
      <c r="A1240" s="5" t="s">
        <v>1312</v>
      </c>
      <c r="B1240" s="8">
        <v>47</v>
      </c>
      <c r="C1240" s="5" t="s">
        <v>49</v>
      </c>
      <c r="D1240" s="5" t="s">
        <v>51</v>
      </c>
      <c r="E1240" s="5" t="s">
        <v>53</v>
      </c>
      <c r="F1240" s="5" t="s">
        <v>137</v>
      </c>
      <c r="G1240" s="8">
        <v>4</v>
      </c>
      <c r="H1240" s="8">
        <v>4537</v>
      </c>
      <c r="I1240" s="5" t="s">
        <v>40</v>
      </c>
      <c r="J1240" s="8">
        <v>4</v>
      </c>
      <c r="K1240" s="8">
        <v>2</v>
      </c>
      <c r="L1240" s="8">
        <v>7</v>
      </c>
    </row>
    <row r="1241" spans="1:12" x14ac:dyDescent="0.8">
      <c r="A1241" s="5" t="s">
        <v>1313</v>
      </c>
      <c r="B1241" s="8">
        <v>47</v>
      </c>
      <c r="C1241" s="5" t="s">
        <v>49</v>
      </c>
      <c r="D1241" s="5" t="s">
        <v>51</v>
      </c>
      <c r="E1241" s="5" t="s">
        <v>53</v>
      </c>
      <c r="F1241" s="5" t="s">
        <v>54</v>
      </c>
      <c r="G1241" s="8">
        <v>4</v>
      </c>
      <c r="H1241" s="8">
        <v>3294</v>
      </c>
      <c r="I1241" s="5" t="s">
        <v>40</v>
      </c>
      <c r="J1241" s="8">
        <v>3</v>
      </c>
      <c r="K1241" s="8">
        <v>3</v>
      </c>
      <c r="L1241" s="8">
        <v>3</v>
      </c>
    </row>
    <row r="1242" spans="1:12" x14ac:dyDescent="0.8">
      <c r="A1242" s="5" t="s">
        <v>1314</v>
      </c>
      <c r="B1242" s="8">
        <v>47</v>
      </c>
      <c r="C1242" s="5" t="s">
        <v>49</v>
      </c>
      <c r="D1242" s="5" t="s">
        <v>42</v>
      </c>
      <c r="E1242" s="5" t="s">
        <v>44</v>
      </c>
      <c r="F1242" s="5" t="s">
        <v>112</v>
      </c>
      <c r="G1242" s="8">
        <v>3</v>
      </c>
      <c r="H1242" s="8">
        <v>5067</v>
      </c>
      <c r="I1242" s="5" t="s">
        <v>40</v>
      </c>
      <c r="J1242" s="8">
        <v>3</v>
      </c>
      <c r="K1242" s="8">
        <v>3</v>
      </c>
      <c r="L1242" s="8">
        <v>19</v>
      </c>
    </row>
    <row r="1243" spans="1:12" x14ac:dyDescent="0.8">
      <c r="A1243" s="5" t="s">
        <v>1315</v>
      </c>
      <c r="B1243" s="8">
        <v>47</v>
      </c>
      <c r="C1243" s="5" t="s">
        <v>49</v>
      </c>
      <c r="D1243" s="5" t="s">
        <v>51</v>
      </c>
      <c r="E1243" s="5" t="s">
        <v>53</v>
      </c>
      <c r="F1243" s="5" t="s">
        <v>137</v>
      </c>
      <c r="G1243" s="8">
        <v>4</v>
      </c>
      <c r="H1243" s="8">
        <v>4163</v>
      </c>
      <c r="I1243" s="5" t="s">
        <v>40</v>
      </c>
      <c r="J1243" s="8">
        <v>3</v>
      </c>
      <c r="K1243" s="8">
        <v>0</v>
      </c>
      <c r="L1243" s="8">
        <v>9</v>
      </c>
    </row>
    <row r="1244" spans="1:12" x14ac:dyDescent="0.8">
      <c r="A1244" s="5" t="s">
        <v>1316</v>
      </c>
      <c r="B1244" s="8">
        <v>47</v>
      </c>
      <c r="C1244" s="5" t="s">
        <v>49</v>
      </c>
      <c r="D1244" s="5" t="s">
        <v>42</v>
      </c>
      <c r="E1244" s="5" t="s">
        <v>44</v>
      </c>
      <c r="F1244" s="5" t="s">
        <v>60</v>
      </c>
      <c r="G1244" s="8">
        <v>4</v>
      </c>
      <c r="H1244" s="8">
        <v>3420</v>
      </c>
      <c r="I1244" s="5" t="s">
        <v>49</v>
      </c>
      <c r="J1244" s="8">
        <v>3</v>
      </c>
      <c r="K1244" s="8">
        <v>2</v>
      </c>
      <c r="L1244" s="8">
        <v>6</v>
      </c>
    </row>
    <row r="1245" spans="1:12" x14ac:dyDescent="0.8">
      <c r="A1245" s="5" t="s">
        <v>1317</v>
      </c>
      <c r="B1245" s="8">
        <v>47</v>
      </c>
      <c r="C1245" s="5" t="s">
        <v>49</v>
      </c>
      <c r="D1245" s="5" t="s">
        <v>42</v>
      </c>
      <c r="E1245" s="5" t="s">
        <v>53</v>
      </c>
      <c r="F1245" s="5" t="s">
        <v>252</v>
      </c>
      <c r="G1245" s="8">
        <v>3</v>
      </c>
      <c r="H1245" s="8">
        <v>17169</v>
      </c>
      <c r="I1245" s="5" t="s">
        <v>49</v>
      </c>
      <c r="J1245" s="8">
        <v>3</v>
      </c>
      <c r="K1245" s="8">
        <v>2</v>
      </c>
      <c r="L1245" s="8">
        <v>20</v>
      </c>
    </row>
    <row r="1246" spans="1:12" x14ac:dyDescent="0.8">
      <c r="A1246" s="5" t="s">
        <v>1318</v>
      </c>
      <c r="B1246" s="8">
        <v>47</v>
      </c>
      <c r="C1246" s="5" t="s">
        <v>49</v>
      </c>
      <c r="D1246" s="5" t="s">
        <v>51</v>
      </c>
      <c r="E1246" s="5" t="s">
        <v>53</v>
      </c>
      <c r="F1246" s="5" t="s">
        <v>137</v>
      </c>
      <c r="G1246" s="8">
        <v>3</v>
      </c>
      <c r="H1246" s="8">
        <v>4591</v>
      </c>
      <c r="I1246" s="5" t="s">
        <v>40</v>
      </c>
      <c r="J1246" s="8">
        <v>3</v>
      </c>
      <c r="K1246" s="8">
        <v>4</v>
      </c>
      <c r="L1246" s="8">
        <v>5</v>
      </c>
    </row>
    <row r="1247" spans="1:12" x14ac:dyDescent="0.8">
      <c r="A1247" s="5" t="s">
        <v>1319</v>
      </c>
      <c r="B1247" s="8">
        <v>47</v>
      </c>
      <c r="C1247" s="5" t="s">
        <v>49</v>
      </c>
      <c r="D1247" s="5" t="s">
        <v>71</v>
      </c>
      <c r="E1247" s="5" t="s">
        <v>53</v>
      </c>
      <c r="F1247" s="5" t="s">
        <v>442</v>
      </c>
      <c r="G1247" s="8">
        <v>3</v>
      </c>
      <c r="H1247" s="8">
        <v>19658</v>
      </c>
      <c r="I1247" s="5" t="s">
        <v>49</v>
      </c>
      <c r="J1247" s="8">
        <v>3</v>
      </c>
      <c r="K1247" s="8">
        <v>2</v>
      </c>
      <c r="L1247" s="8">
        <v>5</v>
      </c>
    </row>
    <row r="1248" spans="1:12" x14ac:dyDescent="0.8">
      <c r="A1248" s="5" t="s">
        <v>1320</v>
      </c>
      <c r="B1248" s="8">
        <v>47</v>
      </c>
      <c r="C1248" s="5" t="s">
        <v>49</v>
      </c>
      <c r="D1248" s="5" t="s">
        <v>51</v>
      </c>
      <c r="E1248" s="5" t="s">
        <v>53</v>
      </c>
      <c r="F1248" s="5" t="s">
        <v>442</v>
      </c>
      <c r="G1248" s="8">
        <v>2</v>
      </c>
      <c r="H1248" s="8">
        <v>15972</v>
      </c>
      <c r="I1248" s="5" t="s">
        <v>49</v>
      </c>
      <c r="J1248" s="8">
        <v>3</v>
      </c>
      <c r="K1248" s="8">
        <v>2</v>
      </c>
      <c r="L1248" s="8">
        <v>3</v>
      </c>
    </row>
    <row r="1249" spans="1:12" x14ac:dyDescent="0.8">
      <c r="A1249" s="5" t="s">
        <v>1321</v>
      </c>
      <c r="B1249" s="8">
        <v>47</v>
      </c>
      <c r="C1249" s="5" t="s">
        <v>40</v>
      </c>
      <c r="D1249" s="5" t="s">
        <v>51</v>
      </c>
      <c r="E1249" s="5" t="s">
        <v>44</v>
      </c>
      <c r="F1249" s="5" t="s">
        <v>137</v>
      </c>
      <c r="G1249" s="8">
        <v>3</v>
      </c>
      <c r="H1249" s="8">
        <v>12936</v>
      </c>
      <c r="I1249" s="5" t="s">
        <v>49</v>
      </c>
      <c r="J1249" s="8">
        <v>3</v>
      </c>
      <c r="K1249" s="8">
        <v>3</v>
      </c>
      <c r="L1249" s="8">
        <v>23</v>
      </c>
    </row>
    <row r="1250" spans="1:12" x14ac:dyDescent="0.8">
      <c r="A1250" s="5" t="s">
        <v>1322</v>
      </c>
      <c r="B1250" s="8">
        <v>47</v>
      </c>
      <c r="C1250" s="5" t="s">
        <v>49</v>
      </c>
      <c r="D1250" s="5" t="s">
        <v>51</v>
      </c>
      <c r="E1250" s="5" t="s">
        <v>44</v>
      </c>
      <c r="F1250" s="5" t="s">
        <v>137</v>
      </c>
      <c r="G1250" s="8">
        <v>2</v>
      </c>
      <c r="H1250" s="8">
        <v>4978</v>
      </c>
      <c r="I1250" s="5" t="s">
        <v>49</v>
      </c>
      <c r="J1250" s="8">
        <v>3</v>
      </c>
      <c r="K1250" s="8">
        <v>3</v>
      </c>
      <c r="L1250" s="8">
        <v>1</v>
      </c>
    </row>
    <row r="1251" spans="1:12" x14ac:dyDescent="0.8">
      <c r="A1251" s="5" t="s">
        <v>1323</v>
      </c>
      <c r="B1251" s="8">
        <v>47</v>
      </c>
      <c r="C1251" s="5" t="s">
        <v>49</v>
      </c>
      <c r="D1251" s="5" t="s">
        <v>42</v>
      </c>
      <c r="E1251" s="5" t="s">
        <v>53</v>
      </c>
      <c r="F1251" s="5" t="s">
        <v>112</v>
      </c>
      <c r="G1251" s="8">
        <v>2</v>
      </c>
      <c r="H1251" s="8">
        <v>10333</v>
      </c>
      <c r="I1251" s="5" t="s">
        <v>40</v>
      </c>
      <c r="J1251" s="8">
        <v>3</v>
      </c>
      <c r="K1251" s="8">
        <v>4</v>
      </c>
      <c r="L1251" s="8">
        <v>22</v>
      </c>
    </row>
    <row r="1252" spans="1:12" x14ac:dyDescent="0.8">
      <c r="A1252" s="5" t="s">
        <v>1324</v>
      </c>
      <c r="B1252" s="8">
        <v>47</v>
      </c>
      <c r="C1252" s="5" t="s">
        <v>49</v>
      </c>
      <c r="D1252" s="5" t="s">
        <v>42</v>
      </c>
      <c r="E1252" s="5" t="s">
        <v>53</v>
      </c>
      <c r="F1252" s="5" t="s">
        <v>45</v>
      </c>
      <c r="G1252" s="8">
        <v>3</v>
      </c>
      <c r="H1252" s="8">
        <v>2105</v>
      </c>
      <c r="I1252" s="5" t="s">
        <v>49</v>
      </c>
      <c r="J1252" s="8">
        <v>3</v>
      </c>
      <c r="K1252" s="8">
        <v>2</v>
      </c>
      <c r="L1252" s="8">
        <v>2</v>
      </c>
    </row>
    <row r="1253" spans="1:12" x14ac:dyDescent="0.8">
      <c r="A1253" s="5" t="s">
        <v>1325</v>
      </c>
      <c r="B1253" s="8">
        <v>47</v>
      </c>
      <c r="C1253" s="5" t="s">
        <v>49</v>
      </c>
      <c r="D1253" s="5" t="s">
        <v>42</v>
      </c>
      <c r="E1253" s="5" t="s">
        <v>44</v>
      </c>
      <c r="F1253" s="5" t="s">
        <v>60</v>
      </c>
      <c r="G1253" s="8">
        <v>2</v>
      </c>
      <c r="H1253" s="8">
        <v>5467</v>
      </c>
      <c r="I1253" s="5" t="s">
        <v>49</v>
      </c>
      <c r="J1253" s="8">
        <v>3</v>
      </c>
      <c r="K1253" s="8">
        <v>4</v>
      </c>
      <c r="L1253" s="8">
        <v>8</v>
      </c>
    </row>
    <row r="1254" spans="1:12" x14ac:dyDescent="0.8">
      <c r="A1254" s="5" t="s">
        <v>1326</v>
      </c>
      <c r="B1254" s="8">
        <v>47</v>
      </c>
      <c r="C1254" s="5" t="s">
        <v>49</v>
      </c>
      <c r="D1254" s="5" t="s">
        <v>42</v>
      </c>
      <c r="E1254" s="5" t="s">
        <v>44</v>
      </c>
      <c r="F1254" s="5" t="s">
        <v>161</v>
      </c>
      <c r="G1254" s="8">
        <v>3</v>
      </c>
      <c r="H1254" s="8">
        <v>8633</v>
      </c>
      <c r="I1254" s="5" t="s">
        <v>49</v>
      </c>
      <c r="J1254" s="8">
        <v>4</v>
      </c>
      <c r="K1254" s="8">
        <v>3</v>
      </c>
      <c r="L1254" s="8">
        <v>17</v>
      </c>
    </row>
    <row r="1255" spans="1:12" x14ac:dyDescent="0.8">
      <c r="A1255" s="5" t="s">
        <v>1327</v>
      </c>
      <c r="B1255" s="8">
        <v>47</v>
      </c>
      <c r="C1255" s="5" t="s">
        <v>49</v>
      </c>
      <c r="D1255" s="5" t="s">
        <v>42</v>
      </c>
      <c r="E1255" s="5" t="s">
        <v>53</v>
      </c>
      <c r="F1255" s="5" t="s">
        <v>252</v>
      </c>
      <c r="G1255" s="8">
        <v>2</v>
      </c>
      <c r="H1255" s="8">
        <v>11957</v>
      </c>
      <c r="I1255" s="5" t="s">
        <v>49</v>
      </c>
      <c r="J1255" s="8">
        <v>3</v>
      </c>
      <c r="K1255" s="8">
        <v>3</v>
      </c>
      <c r="L1255" s="8">
        <v>13</v>
      </c>
    </row>
    <row r="1256" spans="1:12" x14ac:dyDescent="0.8">
      <c r="A1256" s="5" t="s">
        <v>1328</v>
      </c>
      <c r="B1256" s="8">
        <v>48</v>
      </c>
      <c r="C1256" s="5" t="s">
        <v>40</v>
      </c>
      <c r="D1256" s="5" t="s">
        <v>42</v>
      </c>
      <c r="E1256" s="5" t="s">
        <v>44</v>
      </c>
      <c r="F1256" s="5" t="s">
        <v>45</v>
      </c>
      <c r="G1256" s="8">
        <v>3</v>
      </c>
      <c r="H1256" s="8">
        <v>5381</v>
      </c>
      <c r="I1256" s="5" t="s">
        <v>40</v>
      </c>
      <c r="J1256" s="8">
        <v>3</v>
      </c>
      <c r="K1256" s="8">
        <v>2</v>
      </c>
      <c r="L1256" s="8">
        <v>1</v>
      </c>
    </row>
    <row r="1257" spans="1:12" x14ac:dyDescent="0.8">
      <c r="A1257" s="5" t="s">
        <v>1329</v>
      </c>
      <c r="B1257" s="8">
        <v>48</v>
      </c>
      <c r="C1257" s="5" t="s">
        <v>49</v>
      </c>
      <c r="D1257" s="5" t="s">
        <v>51</v>
      </c>
      <c r="E1257" s="5" t="s">
        <v>53</v>
      </c>
      <c r="F1257" s="5" t="s">
        <v>442</v>
      </c>
      <c r="G1257" s="8">
        <v>3</v>
      </c>
      <c r="H1257" s="8">
        <v>12504</v>
      </c>
      <c r="I1257" s="5" t="s">
        <v>49</v>
      </c>
      <c r="J1257" s="8">
        <v>4</v>
      </c>
      <c r="K1257" s="8">
        <v>3</v>
      </c>
      <c r="L1257" s="8">
        <v>0</v>
      </c>
    </row>
    <row r="1258" spans="1:12" x14ac:dyDescent="0.8">
      <c r="A1258" s="5" t="s">
        <v>1330</v>
      </c>
      <c r="B1258" s="8">
        <v>48</v>
      </c>
      <c r="C1258" s="5" t="s">
        <v>49</v>
      </c>
      <c r="D1258" s="5" t="s">
        <v>51</v>
      </c>
      <c r="E1258" s="5" t="s">
        <v>53</v>
      </c>
      <c r="F1258" s="5" t="s">
        <v>137</v>
      </c>
      <c r="G1258" s="8">
        <v>4</v>
      </c>
      <c r="H1258" s="8">
        <v>4051</v>
      </c>
      <c r="I1258" s="5" t="s">
        <v>49</v>
      </c>
      <c r="J1258" s="8">
        <v>3</v>
      </c>
      <c r="K1258" s="8">
        <v>2</v>
      </c>
      <c r="L1258" s="8">
        <v>9</v>
      </c>
    </row>
    <row r="1259" spans="1:12" x14ac:dyDescent="0.8">
      <c r="A1259" s="5" t="s">
        <v>1331</v>
      </c>
      <c r="B1259" s="8">
        <v>48</v>
      </c>
      <c r="C1259" s="5" t="s">
        <v>49</v>
      </c>
      <c r="D1259" s="5" t="s">
        <v>42</v>
      </c>
      <c r="E1259" s="5" t="s">
        <v>53</v>
      </c>
      <c r="F1259" s="5" t="s">
        <v>442</v>
      </c>
      <c r="G1259" s="8">
        <v>1</v>
      </c>
      <c r="H1259" s="8">
        <v>15402</v>
      </c>
      <c r="I1259" s="5" t="s">
        <v>49</v>
      </c>
      <c r="J1259" s="8">
        <v>3</v>
      </c>
      <c r="K1259" s="8">
        <v>3</v>
      </c>
      <c r="L1259" s="8">
        <v>3</v>
      </c>
    </row>
    <row r="1260" spans="1:12" x14ac:dyDescent="0.8">
      <c r="A1260" s="5" t="s">
        <v>1332</v>
      </c>
      <c r="B1260" s="8">
        <v>48</v>
      </c>
      <c r="C1260" s="5" t="s">
        <v>49</v>
      </c>
      <c r="D1260" s="5" t="s">
        <v>51</v>
      </c>
      <c r="E1260" s="5" t="s">
        <v>44</v>
      </c>
      <c r="F1260" s="5" t="s">
        <v>137</v>
      </c>
      <c r="G1260" s="8">
        <v>2</v>
      </c>
      <c r="H1260" s="8">
        <v>8120</v>
      </c>
      <c r="I1260" s="5" t="s">
        <v>49</v>
      </c>
      <c r="J1260" s="8">
        <v>3</v>
      </c>
      <c r="K1260" s="8">
        <v>3</v>
      </c>
      <c r="L1260" s="8">
        <v>2</v>
      </c>
    </row>
    <row r="1261" spans="1:12" x14ac:dyDescent="0.8">
      <c r="A1261" s="5" t="s">
        <v>1333</v>
      </c>
      <c r="B1261" s="8">
        <v>48</v>
      </c>
      <c r="C1261" s="5" t="s">
        <v>49</v>
      </c>
      <c r="D1261" s="5" t="s">
        <v>42</v>
      </c>
      <c r="E1261" s="5" t="s">
        <v>44</v>
      </c>
      <c r="F1261" s="5" t="s">
        <v>60</v>
      </c>
      <c r="G1261" s="8">
        <v>3</v>
      </c>
      <c r="H1261" s="8">
        <v>2259</v>
      </c>
      <c r="I1261" s="5" t="s">
        <v>49</v>
      </c>
      <c r="J1261" s="8">
        <v>3</v>
      </c>
      <c r="K1261" s="8">
        <v>2</v>
      </c>
      <c r="L1261" s="8">
        <v>0</v>
      </c>
    </row>
    <row r="1262" spans="1:12" x14ac:dyDescent="0.8">
      <c r="A1262" s="5" t="s">
        <v>1334</v>
      </c>
      <c r="B1262" s="8">
        <v>48</v>
      </c>
      <c r="C1262" s="5" t="s">
        <v>49</v>
      </c>
      <c r="D1262" s="5" t="s">
        <v>42</v>
      </c>
      <c r="E1262" s="5" t="s">
        <v>44</v>
      </c>
      <c r="F1262" s="5" t="s">
        <v>161</v>
      </c>
      <c r="G1262" s="8">
        <v>3</v>
      </c>
      <c r="H1262" s="8">
        <v>4240</v>
      </c>
      <c r="I1262" s="5" t="s">
        <v>49</v>
      </c>
      <c r="J1262" s="8">
        <v>3</v>
      </c>
      <c r="K1262" s="8">
        <v>0</v>
      </c>
      <c r="L1262" s="8">
        <v>2</v>
      </c>
    </row>
    <row r="1263" spans="1:12" x14ac:dyDescent="0.8">
      <c r="A1263" s="5" t="s">
        <v>1335</v>
      </c>
      <c r="B1263" s="8">
        <v>48</v>
      </c>
      <c r="C1263" s="5" t="s">
        <v>49</v>
      </c>
      <c r="D1263" s="5" t="s">
        <v>42</v>
      </c>
      <c r="E1263" s="5" t="s">
        <v>44</v>
      </c>
      <c r="F1263" s="5" t="s">
        <v>161</v>
      </c>
      <c r="G1263" s="8">
        <v>3</v>
      </c>
      <c r="H1263" s="8">
        <v>10999</v>
      </c>
      <c r="I1263" s="5" t="s">
        <v>49</v>
      </c>
      <c r="J1263" s="8">
        <v>3</v>
      </c>
      <c r="K1263" s="8">
        <v>3</v>
      </c>
      <c r="L1263" s="8">
        <v>15</v>
      </c>
    </row>
    <row r="1264" spans="1:12" x14ac:dyDescent="0.8">
      <c r="A1264" s="5" t="s">
        <v>1336</v>
      </c>
      <c r="B1264" s="8">
        <v>48</v>
      </c>
      <c r="C1264" s="5" t="s">
        <v>49</v>
      </c>
      <c r="D1264" s="5" t="s">
        <v>42</v>
      </c>
      <c r="E1264" s="5" t="s">
        <v>44</v>
      </c>
      <c r="F1264" s="5" t="s">
        <v>442</v>
      </c>
      <c r="G1264" s="8">
        <v>4</v>
      </c>
      <c r="H1264" s="8">
        <v>16885</v>
      </c>
      <c r="I1264" s="5" t="s">
        <v>49</v>
      </c>
      <c r="J1264" s="8">
        <v>4</v>
      </c>
      <c r="K1264" s="8">
        <v>3</v>
      </c>
      <c r="L1264" s="8">
        <v>5</v>
      </c>
    </row>
    <row r="1265" spans="1:12" x14ac:dyDescent="0.8">
      <c r="A1265" s="5" t="s">
        <v>1337</v>
      </c>
      <c r="B1265" s="8">
        <v>48</v>
      </c>
      <c r="C1265" s="5" t="s">
        <v>49</v>
      </c>
      <c r="D1265" s="5" t="s">
        <v>42</v>
      </c>
      <c r="E1265" s="5" t="s">
        <v>44</v>
      </c>
      <c r="F1265" s="5" t="s">
        <v>45</v>
      </c>
      <c r="G1265" s="8">
        <v>2</v>
      </c>
      <c r="H1265" s="8">
        <v>2559</v>
      </c>
      <c r="I1265" s="5" t="s">
        <v>49</v>
      </c>
      <c r="J1265" s="8">
        <v>3</v>
      </c>
      <c r="K1265" s="8">
        <v>4</v>
      </c>
      <c r="L1265" s="8">
        <v>1</v>
      </c>
    </row>
    <row r="1266" spans="1:12" x14ac:dyDescent="0.8">
      <c r="A1266" s="5" t="s">
        <v>1338</v>
      </c>
      <c r="B1266" s="8">
        <v>48</v>
      </c>
      <c r="C1266" s="5" t="s">
        <v>49</v>
      </c>
      <c r="D1266" s="5" t="s">
        <v>42</v>
      </c>
      <c r="E1266" s="5" t="s">
        <v>44</v>
      </c>
      <c r="F1266" s="5" t="s">
        <v>252</v>
      </c>
      <c r="G1266" s="8">
        <v>4</v>
      </c>
      <c r="H1266" s="8">
        <v>18265</v>
      </c>
      <c r="I1266" s="5" t="s">
        <v>49</v>
      </c>
      <c r="J1266" s="8">
        <v>3</v>
      </c>
      <c r="K1266" s="8">
        <v>3</v>
      </c>
      <c r="L1266" s="8">
        <v>1</v>
      </c>
    </row>
    <row r="1267" spans="1:12" x14ac:dyDescent="0.8">
      <c r="A1267" s="5" t="s">
        <v>1339</v>
      </c>
      <c r="B1267" s="8">
        <v>48</v>
      </c>
      <c r="C1267" s="5" t="s">
        <v>49</v>
      </c>
      <c r="D1267" s="5" t="s">
        <v>42</v>
      </c>
      <c r="E1267" s="5" t="s">
        <v>44</v>
      </c>
      <c r="F1267" s="5" t="s">
        <v>112</v>
      </c>
      <c r="G1267" s="8">
        <v>4</v>
      </c>
      <c r="H1267" s="8">
        <v>7898</v>
      </c>
      <c r="I1267" s="5" t="s">
        <v>49</v>
      </c>
      <c r="J1267" s="8">
        <v>3</v>
      </c>
      <c r="K1267" s="8">
        <v>2</v>
      </c>
      <c r="L1267" s="8">
        <v>10</v>
      </c>
    </row>
    <row r="1268" spans="1:12" x14ac:dyDescent="0.8">
      <c r="A1268" s="5" t="s">
        <v>1340</v>
      </c>
      <c r="B1268" s="8">
        <v>48</v>
      </c>
      <c r="C1268" s="5" t="s">
        <v>49</v>
      </c>
      <c r="D1268" s="5" t="s">
        <v>51</v>
      </c>
      <c r="E1268" s="5" t="s">
        <v>44</v>
      </c>
      <c r="F1268" s="5" t="s">
        <v>137</v>
      </c>
      <c r="G1268" s="8">
        <v>1</v>
      </c>
      <c r="H1268" s="8">
        <v>5486</v>
      </c>
      <c r="I1268" s="5" t="s">
        <v>49</v>
      </c>
      <c r="J1268" s="8">
        <v>3</v>
      </c>
      <c r="K1268" s="8">
        <v>3</v>
      </c>
      <c r="L1268" s="8">
        <v>2</v>
      </c>
    </row>
    <row r="1269" spans="1:12" x14ac:dyDescent="0.8">
      <c r="A1269" s="5" t="s">
        <v>1341</v>
      </c>
      <c r="B1269" s="8">
        <v>48</v>
      </c>
      <c r="C1269" s="5" t="s">
        <v>49</v>
      </c>
      <c r="D1269" s="5" t="s">
        <v>51</v>
      </c>
      <c r="E1269" s="5" t="s">
        <v>53</v>
      </c>
      <c r="F1269" s="5" t="s">
        <v>137</v>
      </c>
      <c r="G1269" s="8">
        <v>3</v>
      </c>
      <c r="H1269" s="8">
        <v>6439</v>
      </c>
      <c r="I1269" s="5" t="s">
        <v>49</v>
      </c>
      <c r="J1269" s="8">
        <v>3</v>
      </c>
      <c r="K1269" s="8">
        <v>2</v>
      </c>
      <c r="L1269" s="8">
        <v>8</v>
      </c>
    </row>
    <row r="1270" spans="1:12" x14ac:dyDescent="0.8">
      <c r="A1270" s="5" t="s">
        <v>1342</v>
      </c>
      <c r="B1270" s="8">
        <v>48</v>
      </c>
      <c r="C1270" s="5" t="s">
        <v>49</v>
      </c>
      <c r="D1270" s="5" t="s">
        <v>42</v>
      </c>
      <c r="E1270" s="5" t="s">
        <v>53</v>
      </c>
      <c r="F1270" s="5" t="s">
        <v>60</v>
      </c>
      <c r="G1270" s="8">
        <v>1</v>
      </c>
      <c r="H1270" s="8">
        <v>2367</v>
      </c>
      <c r="I1270" s="5" t="s">
        <v>49</v>
      </c>
      <c r="J1270" s="8">
        <v>3</v>
      </c>
      <c r="K1270" s="8">
        <v>3</v>
      </c>
      <c r="L1270" s="8">
        <v>8</v>
      </c>
    </row>
    <row r="1271" spans="1:12" x14ac:dyDescent="0.8">
      <c r="A1271" s="5" t="s">
        <v>1343</v>
      </c>
      <c r="B1271" s="8">
        <v>48</v>
      </c>
      <c r="C1271" s="5" t="s">
        <v>49</v>
      </c>
      <c r="D1271" s="5" t="s">
        <v>42</v>
      </c>
      <c r="E1271" s="5" t="s">
        <v>44</v>
      </c>
      <c r="F1271" s="5" t="s">
        <v>442</v>
      </c>
      <c r="G1271" s="8">
        <v>4</v>
      </c>
      <c r="H1271" s="8">
        <v>15202</v>
      </c>
      <c r="I1271" s="5" t="s">
        <v>49</v>
      </c>
      <c r="J1271" s="8">
        <v>4</v>
      </c>
      <c r="K1271" s="8">
        <v>3</v>
      </c>
      <c r="L1271" s="8">
        <v>2</v>
      </c>
    </row>
    <row r="1272" spans="1:12" x14ac:dyDescent="0.8">
      <c r="A1272" s="5" t="s">
        <v>1344</v>
      </c>
      <c r="B1272" s="8">
        <v>48</v>
      </c>
      <c r="C1272" s="5" t="s">
        <v>40</v>
      </c>
      <c r="D1272" s="5" t="s">
        <v>51</v>
      </c>
      <c r="E1272" s="5" t="s">
        <v>53</v>
      </c>
      <c r="F1272" s="5" t="s">
        <v>54</v>
      </c>
      <c r="G1272" s="8">
        <v>3</v>
      </c>
      <c r="H1272" s="8">
        <v>2655</v>
      </c>
      <c r="I1272" s="5" t="s">
        <v>40</v>
      </c>
      <c r="J1272" s="8">
        <v>3</v>
      </c>
      <c r="K1272" s="8">
        <v>3</v>
      </c>
      <c r="L1272" s="8">
        <v>9</v>
      </c>
    </row>
    <row r="1273" spans="1:12" x14ac:dyDescent="0.8">
      <c r="A1273" s="5" t="s">
        <v>1345</v>
      </c>
      <c r="B1273" s="8">
        <v>48</v>
      </c>
      <c r="C1273" s="5" t="s">
        <v>49</v>
      </c>
      <c r="D1273" s="5" t="s">
        <v>42</v>
      </c>
      <c r="E1273" s="5" t="s">
        <v>44</v>
      </c>
      <c r="F1273" s="5" t="s">
        <v>252</v>
      </c>
      <c r="G1273" s="8">
        <v>2</v>
      </c>
      <c r="H1273" s="8">
        <v>19665</v>
      </c>
      <c r="I1273" s="5" t="s">
        <v>49</v>
      </c>
      <c r="J1273" s="8">
        <v>3</v>
      </c>
      <c r="K1273" s="8">
        <v>3</v>
      </c>
      <c r="L1273" s="8">
        <v>22</v>
      </c>
    </row>
    <row r="1274" spans="1:12" x14ac:dyDescent="0.8">
      <c r="A1274" s="5" t="s">
        <v>1346</v>
      </c>
      <c r="B1274" s="8">
        <v>48</v>
      </c>
      <c r="C1274" s="5" t="s">
        <v>49</v>
      </c>
      <c r="D1274" s="5" t="s">
        <v>42</v>
      </c>
      <c r="E1274" s="5" t="s">
        <v>53</v>
      </c>
      <c r="F1274" s="5" t="s">
        <v>442</v>
      </c>
      <c r="G1274" s="8">
        <v>4</v>
      </c>
      <c r="H1274" s="8">
        <v>17174</v>
      </c>
      <c r="I1274" s="5" t="s">
        <v>49</v>
      </c>
      <c r="J1274" s="8">
        <v>3</v>
      </c>
      <c r="K1274" s="8">
        <v>3</v>
      </c>
      <c r="L1274" s="8">
        <v>22</v>
      </c>
    </row>
    <row r="1275" spans="1:12" x14ac:dyDescent="0.8">
      <c r="A1275" s="5" t="s">
        <v>1347</v>
      </c>
      <c r="B1275" s="8">
        <v>49</v>
      </c>
      <c r="C1275" s="5" t="s">
        <v>49</v>
      </c>
      <c r="D1275" s="5" t="s">
        <v>42</v>
      </c>
      <c r="E1275" s="5" t="s">
        <v>44</v>
      </c>
      <c r="F1275" s="5" t="s">
        <v>60</v>
      </c>
      <c r="G1275" s="8">
        <v>2</v>
      </c>
      <c r="H1275" s="8">
        <v>5130</v>
      </c>
      <c r="I1275" s="5" t="s">
        <v>49</v>
      </c>
      <c r="J1275" s="8">
        <v>4</v>
      </c>
      <c r="K1275" s="8">
        <v>3</v>
      </c>
      <c r="L1275" s="8">
        <v>10</v>
      </c>
    </row>
    <row r="1276" spans="1:12" x14ac:dyDescent="0.8">
      <c r="A1276" s="5" t="s">
        <v>1348</v>
      </c>
      <c r="B1276" s="8">
        <v>49</v>
      </c>
      <c r="C1276" s="5" t="s">
        <v>49</v>
      </c>
      <c r="D1276" s="5" t="s">
        <v>42</v>
      </c>
      <c r="E1276" s="5" t="s">
        <v>53</v>
      </c>
      <c r="F1276" s="5" t="s">
        <v>112</v>
      </c>
      <c r="G1276" s="8">
        <v>1</v>
      </c>
      <c r="H1276" s="8">
        <v>6567</v>
      </c>
      <c r="I1276" s="5" t="s">
        <v>49</v>
      </c>
      <c r="J1276" s="8">
        <v>3</v>
      </c>
      <c r="K1276" s="8">
        <v>2</v>
      </c>
      <c r="L1276" s="8">
        <v>15</v>
      </c>
    </row>
    <row r="1277" spans="1:12" x14ac:dyDescent="0.8">
      <c r="A1277" s="5" t="s">
        <v>1349</v>
      </c>
      <c r="B1277" s="8">
        <v>49</v>
      </c>
      <c r="C1277" s="5" t="s">
        <v>49</v>
      </c>
      <c r="D1277" s="5" t="s">
        <v>42</v>
      </c>
      <c r="E1277" s="5" t="s">
        <v>44</v>
      </c>
      <c r="F1277" s="5" t="s">
        <v>112</v>
      </c>
      <c r="G1277" s="8">
        <v>4</v>
      </c>
      <c r="H1277" s="8">
        <v>6804</v>
      </c>
      <c r="I1277" s="5" t="s">
        <v>40</v>
      </c>
      <c r="J1277" s="8">
        <v>3</v>
      </c>
      <c r="K1277" s="8">
        <v>0</v>
      </c>
      <c r="L1277" s="8">
        <v>7</v>
      </c>
    </row>
    <row r="1278" spans="1:12" x14ac:dyDescent="0.8">
      <c r="A1278" s="5" t="s">
        <v>1350</v>
      </c>
      <c r="B1278" s="8">
        <v>49</v>
      </c>
      <c r="C1278" s="5" t="s">
        <v>49</v>
      </c>
      <c r="D1278" s="5" t="s">
        <v>42</v>
      </c>
      <c r="E1278" s="5" t="s">
        <v>53</v>
      </c>
      <c r="F1278" s="5" t="s">
        <v>252</v>
      </c>
      <c r="G1278" s="8">
        <v>1</v>
      </c>
      <c r="H1278" s="8">
        <v>18665</v>
      </c>
      <c r="I1278" s="5" t="s">
        <v>40</v>
      </c>
      <c r="J1278" s="8">
        <v>3</v>
      </c>
      <c r="K1278" s="8">
        <v>4</v>
      </c>
      <c r="L1278" s="8">
        <v>3</v>
      </c>
    </row>
    <row r="1279" spans="1:12" x14ac:dyDescent="0.8">
      <c r="A1279" s="5" t="s">
        <v>1351</v>
      </c>
      <c r="B1279" s="8">
        <v>49</v>
      </c>
      <c r="C1279" s="5" t="s">
        <v>49</v>
      </c>
      <c r="D1279" s="5" t="s">
        <v>42</v>
      </c>
      <c r="E1279" s="5" t="s">
        <v>53</v>
      </c>
      <c r="F1279" s="5" t="s">
        <v>161</v>
      </c>
      <c r="G1279" s="8">
        <v>3</v>
      </c>
      <c r="H1279" s="8">
        <v>13964</v>
      </c>
      <c r="I1279" s="5" t="s">
        <v>40</v>
      </c>
      <c r="J1279" s="8">
        <v>3</v>
      </c>
      <c r="K1279" s="8">
        <v>2</v>
      </c>
      <c r="L1279" s="8">
        <v>7</v>
      </c>
    </row>
    <row r="1280" spans="1:12" x14ac:dyDescent="0.8">
      <c r="A1280" s="5" t="s">
        <v>1352</v>
      </c>
      <c r="B1280" s="8">
        <v>49</v>
      </c>
      <c r="C1280" s="5" t="s">
        <v>49</v>
      </c>
      <c r="D1280" s="5" t="s">
        <v>42</v>
      </c>
      <c r="E1280" s="5" t="s">
        <v>44</v>
      </c>
      <c r="F1280" s="5" t="s">
        <v>161</v>
      </c>
      <c r="G1280" s="8">
        <v>3</v>
      </c>
      <c r="H1280" s="8">
        <v>10965</v>
      </c>
      <c r="I1280" s="5" t="s">
        <v>49</v>
      </c>
      <c r="J1280" s="8">
        <v>4</v>
      </c>
      <c r="K1280" s="8">
        <v>2</v>
      </c>
      <c r="L1280" s="8">
        <v>5</v>
      </c>
    </row>
    <row r="1281" spans="1:12" x14ac:dyDescent="0.8">
      <c r="A1281" s="5" t="s">
        <v>1353</v>
      </c>
      <c r="B1281" s="8">
        <v>49</v>
      </c>
      <c r="C1281" s="5" t="s">
        <v>49</v>
      </c>
      <c r="D1281" s="5" t="s">
        <v>42</v>
      </c>
      <c r="E1281" s="5" t="s">
        <v>44</v>
      </c>
      <c r="F1281" s="5" t="s">
        <v>252</v>
      </c>
      <c r="G1281" s="8">
        <v>3</v>
      </c>
      <c r="H1281" s="8">
        <v>19502</v>
      </c>
      <c r="I1281" s="5" t="s">
        <v>40</v>
      </c>
      <c r="J1281" s="8">
        <v>3</v>
      </c>
      <c r="K1281" s="8">
        <v>5</v>
      </c>
      <c r="L1281" s="8">
        <v>31</v>
      </c>
    </row>
    <row r="1282" spans="1:12" x14ac:dyDescent="0.8">
      <c r="A1282" s="5" t="s">
        <v>1354</v>
      </c>
      <c r="B1282" s="8">
        <v>49</v>
      </c>
      <c r="C1282" s="5" t="s">
        <v>40</v>
      </c>
      <c r="D1282" s="5" t="s">
        <v>51</v>
      </c>
      <c r="E1282" s="5" t="s">
        <v>53</v>
      </c>
      <c r="F1282" s="5" t="s">
        <v>137</v>
      </c>
      <c r="G1282" s="8">
        <v>4</v>
      </c>
      <c r="H1282" s="8">
        <v>7654</v>
      </c>
      <c r="I1282" s="5" t="s">
        <v>49</v>
      </c>
      <c r="J1282" s="8">
        <v>3</v>
      </c>
      <c r="K1282" s="8">
        <v>3</v>
      </c>
      <c r="L1282" s="8">
        <v>9</v>
      </c>
    </row>
    <row r="1283" spans="1:12" x14ac:dyDescent="0.8">
      <c r="A1283" s="5" t="s">
        <v>1355</v>
      </c>
      <c r="B1283" s="8">
        <v>49</v>
      </c>
      <c r="C1283" s="5" t="s">
        <v>49</v>
      </c>
      <c r="D1283" s="5" t="s">
        <v>42</v>
      </c>
      <c r="E1283" s="5" t="s">
        <v>53</v>
      </c>
      <c r="F1283" s="5" t="s">
        <v>60</v>
      </c>
      <c r="G1283" s="8">
        <v>1</v>
      </c>
      <c r="H1283" s="8">
        <v>3580</v>
      </c>
      <c r="I1283" s="5" t="s">
        <v>49</v>
      </c>
      <c r="J1283" s="8">
        <v>3</v>
      </c>
      <c r="K1283" s="8">
        <v>2</v>
      </c>
      <c r="L1283" s="8">
        <v>4</v>
      </c>
    </row>
    <row r="1284" spans="1:12" x14ac:dyDescent="0.8">
      <c r="A1284" s="5" t="s">
        <v>1356</v>
      </c>
      <c r="B1284" s="8">
        <v>49</v>
      </c>
      <c r="C1284" s="5" t="s">
        <v>49</v>
      </c>
      <c r="D1284" s="5" t="s">
        <v>42</v>
      </c>
      <c r="E1284" s="5" t="s">
        <v>53</v>
      </c>
      <c r="F1284" s="5" t="s">
        <v>45</v>
      </c>
      <c r="G1284" s="8">
        <v>2</v>
      </c>
      <c r="H1284" s="8">
        <v>7403</v>
      </c>
      <c r="I1284" s="5" t="s">
        <v>49</v>
      </c>
      <c r="J1284" s="8">
        <v>3</v>
      </c>
      <c r="K1284" s="8">
        <v>3</v>
      </c>
      <c r="L1284" s="8">
        <v>26</v>
      </c>
    </row>
    <row r="1285" spans="1:12" x14ac:dyDescent="0.8">
      <c r="A1285" s="5" t="s">
        <v>1357</v>
      </c>
      <c r="B1285" s="8">
        <v>49</v>
      </c>
      <c r="C1285" s="5" t="s">
        <v>49</v>
      </c>
      <c r="D1285" s="5" t="s">
        <v>51</v>
      </c>
      <c r="E1285" s="5" t="s">
        <v>44</v>
      </c>
      <c r="F1285" s="5" t="s">
        <v>137</v>
      </c>
      <c r="G1285" s="8">
        <v>2</v>
      </c>
      <c r="H1285" s="8">
        <v>13120</v>
      </c>
      <c r="I1285" s="5" t="s">
        <v>49</v>
      </c>
      <c r="J1285" s="8">
        <v>3</v>
      </c>
      <c r="K1285" s="8">
        <v>3</v>
      </c>
      <c r="L1285" s="8">
        <v>9</v>
      </c>
    </row>
    <row r="1286" spans="1:12" x14ac:dyDescent="0.8">
      <c r="A1286" s="5" t="s">
        <v>1358</v>
      </c>
      <c r="B1286" s="8">
        <v>49</v>
      </c>
      <c r="C1286" s="5" t="s">
        <v>49</v>
      </c>
      <c r="D1286" s="5" t="s">
        <v>42</v>
      </c>
      <c r="E1286" s="5" t="s">
        <v>44</v>
      </c>
      <c r="F1286" s="5" t="s">
        <v>442</v>
      </c>
      <c r="G1286" s="8">
        <v>3</v>
      </c>
      <c r="H1286" s="8">
        <v>18711</v>
      </c>
      <c r="I1286" s="5" t="s">
        <v>49</v>
      </c>
      <c r="J1286" s="8">
        <v>3</v>
      </c>
      <c r="K1286" s="8">
        <v>2</v>
      </c>
      <c r="L1286" s="8">
        <v>1</v>
      </c>
    </row>
    <row r="1287" spans="1:12" x14ac:dyDescent="0.8">
      <c r="A1287" s="5" t="s">
        <v>1359</v>
      </c>
      <c r="B1287" s="8">
        <v>49</v>
      </c>
      <c r="C1287" s="5" t="s">
        <v>40</v>
      </c>
      <c r="D1287" s="5" t="s">
        <v>42</v>
      </c>
      <c r="E1287" s="5" t="s">
        <v>44</v>
      </c>
      <c r="F1287" s="5" t="s">
        <v>45</v>
      </c>
      <c r="G1287" s="8">
        <v>1</v>
      </c>
      <c r="H1287" s="8">
        <v>4284</v>
      </c>
      <c r="I1287" s="5" t="s">
        <v>49</v>
      </c>
      <c r="J1287" s="8">
        <v>4</v>
      </c>
      <c r="K1287" s="8">
        <v>2</v>
      </c>
      <c r="L1287" s="8">
        <v>4</v>
      </c>
    </row>
    <row r="1288" spans="1:12" x14ac:dyDescent="0.8">
      <c r="A1288" s="5" t="s">
        <v>1360</v>
      </c>
      <c r="B1288" s="8">
        <v>49</v>
      </c>
      <c r="C1288" s="5" t="s">
        <v>49</v>
      </c>
      <c r="D1288" s="5" t="s">
        <v>42</v>
      </c>
      <c r="E1288" s="5" t="s">
        <v>44</v>
      </c>
      <c r="F1288" s="5" t="s">
        <v>161</v>
      </c>
      <c r="G1288" s="8">
        <v>3</v>
      </c>
      <c r="H1288" s="8">
        <v>6651</v>
      </c>
      <c r="I1288" s="5" t="s">
        <v>49</v>
      </c>
      <c r="J1288" s="8">
        <v>3</v>
      </c>
      <c r="K1288" s="8">
        <v>0</v>
      </c>
      <c r="L1288" s="8">
        <v>3</v>
      </c>
    </row>
    <row r="1289" spans="1:12" x14ac:dyDescent="0.8">
      <c r="A1289" s="5" t="s">
        <v>1361</v>
      </c>
      <c r="B1289" s="8">
        <v>49</v>
      </c>
      <c r="C1289" s="5" t="s">
        <v>49</v>
      </c>
      <c r="D1289" s="5" t="s">
        <v>42</v>
      </c>
      <c r="E1289" s="5" t="s">
        <v>44</v>
      </c>
      <c r="F1289" s="5" t="s">
        <v>161</v>
      </c>
      <c r="G1289" s="8">
        <v>2</v>
      </c>
      <c r="H1289" s="8">
        <v>10466</v>
      </c>
      <c r="I1289" s="5" t="s">
        <v>49</v>
      </c>
      <c r="J1289" s="8">
        <v>3</v>
      </c>
      <c r="K1289" s="8">
        <v>3</v>
      </c>
      <c r="L1289" s="8">
        <v>8</v>
      </c>
    </row>
    <row r="1290" spans="1:12" x14ac:dyDescent="0.8">
      <c r="A1290" s="5" t="s">
        <v>1362</v>
      </c>
      <c r="B1290" s="8">
        <v>49</v>
      </c>
      <c r="C1290" s="5" t="s">
        <v>49</v>
      </c>
      <c r="D1290" s="5" t="s">
        <v>42</v>
      </c>
      <c r="E1290" s="5" t="s">
        <v>53</v>
      </c>
      <c r="F1290" s="5" t="s">
        <v>45</v>
      </c>
      <c r="G1290" s="8">
        <v>1</v>
      </c>
      <c r="H1290" s="8">
        <v>4789</v>
      </c>
      <c r="I1290" s="5" t="s">
        <v>49</v>
      </c>
      <c r="J1290" s="8">
        <v>4</v>
      </c>
      <c r="K1290" s="8">
        <v>3</v>
      </c>
      <c r="L1290" s="8">
        <v>3</v>
      </c>
    </row>
    <row r="1291" spans="1:12" x14ac:dyDescent="0.8">
      <c r="A1291" s="5" t="s">
        <v>1363</v>
      </c>
      <c r="B1291" s="8">
        <v>49</v>
      </c>
      <c r="C1291" s="5" t="s">
        <v>49</v>
      </c>
      <c r="D1291" s="5" t="s">
        <v>42</v>
      </c>
      <c r="E1291" s="5" t="s">
        <v>53</v>
      </c>
      <c r="F1291" s="5" t="s">
        <v>45</v>
      </c>
      <c r="G1291" s="8">
        <v>1</v>
      </c>
      <c r="H1291" s="8">
        <v>3211</v>
      </c>
      <c r="I1291" s="5" t="s">
        <v>49</v>
      </c>
      <c r="J1291" s="8">
        <v>3</v>
      </c>
      <c r="K1291" s="8">
        <v>3</v>
      </c>
      <c r="L1291" s="8">
        <v>9</v>
      </c>
    </row>
    <row r="1292" spans="1:12" x14ac:dyDescent="0.8">
      <c r="A1292" s="5" t="s">
        <v>1364</v>
      </c>
      <c r="B1292" s="8">
        <v>49</v>
      </c>
      <c r="C1292" s="5" t="s">
        <v>49</v>
      </c>
      <c r="D1292" s="5" t="s">
        <v>42</v>
      </c>
      <c r="E1292" s="5" t="s">
        <v>53</v>
      </c>
      <c r="F1292" s="5" t="s">
        <v>252</v>
      </c>
      <c r="G1292" s="8">
        <v>2</v>
      </c>
      <c r="H1292" s="8">
        <v>16413</v>
      </c>
      <c r="I1292" s="5" t="s">
        <v>49</v>
      </c>
      <c r="J1292" s="8">
        <v>3</v>
      </c>
      <c r="K1292" s="8">
        <v>2</v>
      </c>
      <c r="L1292" s="8">
        <v>4</v>
      </c>
    </row>
    <row r="1293" spans="1:12" x14ac:dyDescent="0.8">
      <c r="A1293" s="5" t="s">
        <v>1365</v>
      </c>
      <c r="B1293" s="8">
        <v>49</v>
      </c>
      <c r="C1293" s="5" t="s">
        <v>49</v>
      </c>
      <c r="D1293" s="5" t="s">
        <v>42</v>
      </c>
      <c r="E1293" s="5" t="s">
        <v>53</v>
      </c>
      <c r="F1293" s="5" t="s">
        <v>161</v>
      </c>
      <c r="G1293" s="8">
        <v>3</v>
      </c>
      <c r="H1293" s="8">
        <v>13966</v>
      </c>
      <c r="I1293" s="5" t="s">
        <v>40</v>
      </c>
      <c r="J1293" s="8">
        <v>3</v>
      </c>
      <c r="K1293" s="8">
        <v>3</v>
      </c>
      <c r="L1293" s="8">
        <v>15</v>
      </c>
    </row>
    <row r="1294" spans="1:12" x14ac:dyDescent="0.8">
      <c r="A1294" s="5" t="s">
        <v>1366</v>
      </c>
      <c r="B1294" s="8">
        <v>49</v>
      </c>
      <c r="C1294" s="5" t="s">
        <v>49</v>
      </c>
      <c r="D1294" s="5" t="s">
        <v>42</v>
      </c>
      <c r="E1294" s="5" t="s">
        <v>53</v>
      </c>
      <c r="F1294" s="5" t="s">
        <v>45</v>
      </c>
      <c r="G1294" s="8">
        <v>1</v>
      </c>
      <c r="H1294" s="8">
        <v>2587</v>
      </c>
      <c r="I1294" s="5" t="s">
        <v>40</v>
      </c>
      <c r="J1294" s="8">
        <v>3</v>
      </c>
      <c r="K1294" s="8">
        <v>2</v>
      </c>
      <c r="L1294" s="8">
        <v>2</v>
      </c>
    </row>
    <row r="1295" spans="1:12" x14ac:dyDescent="0.8">
      <c r="A1295" s="5" t="s">
        <v>1367</v>
      </c>
      <c r="B1295" s="8">
        <v>49</v>
      </c>
      <c r="C1295" s="5" t="s">
        <v>49</v>
      </c>
      <c r="D1295" s="5" t="s">
        <v>42</v>
      </c>
      <c r="E1295" s="5" t="s">
        <v>44</v>
      </c>
      <c r="F1295" s="5" t="s">
        <v>442</v>
      </c>
      <c r="G1295" s="8">
        <v>3</v>
      </c>
      <c r="H1295" s="8">
        <v>15379</v>
      </c>
      <c r="I1295" s="5" t="s">
        <v>49</v>
      </c>
      <c r="J1295" s="8">
        <v>3</v>
      </c>
      <c r="K1295" s="8">
        <v>2</v>
      </c>
      <c r="L1295" s="8">
        <v>8</v>
      </c>
    </row>
    <row r="1296" spans="1:12" x14ac:dyDescent="0.8">
      <c r="A1296" s="5" t="s">
        <v>1368</v>
      </c>
      <c r="B1296" s="8">
        <v>49</v>
      </c>
      <c r="C1296" s="5" t="s">
        <v>49</v>
      </c>
      <c r="D1296" s="5" t="s">
        <v>51</v>
      </c>
      <c r="E1296" s="5" t="s">
        <v>53</v>
      </c>
      <c r="F1296" s="5" t="s">
        <v>137</v>
      </c>
      <c r="G1296" s="8">
        <v>4</v>
      </c>
      <c r="H1296" s="8">
        <v>4507</v>
      </c>
      <c r="I1296" s="5" t="s">
        <v>49</v>
      </c>
      <c r="J1296" s="8">
        <v>3</v>
      </c>
      <c r="K1296" s="8">
        <v>1</v>
      </c>
      <c r="L1296" s="8">
        <v>5</v>
      </c>
    </row>
    <row r="1297" spans="1:12" x14ac:dyDescent="0.8">
      <c r="A1297" s="5" t="s">
        <v>1369</v>
      </c>
      <c r="B1297" s="8">
        <v>49</v>
      </c>
      <c r="C1297" s="5" t="s">
        <v>49</v>
      </c>
      <c r="D1297" s="5" t="s">
        <v>42</v>
      </c>
      <c r="E1297" s="5" t="s">
        <v>44</v>
      </c>
      <c r="F1297" s="5" t="s">
        <v>252</v>
      </c>
      <c r="G1297" s="8">
        <v>4</v>
      </c>
      <c r="H1297" s="8">
        <v>19161</v>
      </c>
      <c r="I1297" s="5" t="s">
        <v>49</v>
      </c>
      <c r="J1297" s="8">
        <v>3</v>
      </c>
      <c r="K1297" s="8">
        <v>3</v>
      </c>
      <c r="L1297" s="8">
        <v>5</v>
      </c>
    </row>
    <row r="1298" spans="1:12" x14ac:dyDescent="0.8">
      <c r="A1298" s="5" t="s">
        <v>1370</v>
      </c>
      <c r="B1298" s="8">
        <v>49</v>
      </c>
      <c r="C1298" s="5" t="s">
        <v>49</v>
      </c>
      <c r="D1298" s="5" t="s">
        <v>51</v>
      </c>
      <c r="E1298" s="5" t="s">
        <v>44</v>
      </c>
      <c r="F1298" s="5" t="s">
        <v>137</v>
      </c>
      <c r="G1298" s="8">
        <v>2</v>
      </c>
      <c r="H1298" s="8">
        <v>5390</v>
      </c>
      <c r="I1298" s="5" t="s">
        <v>49</v>
      </c>
      <c r="J1298" s="8">
        <v>3</v>
      </c>
      <c r="K1298" s="8">
        <v>3</v>
      </c>
      <c r="L1298" s="8">
        <v>9</v>
      </c>
    </row>
    <row r="1299" spans="1:12" x14ac:dyDescent="0.8">
      <c r="A1299" s="5" t="s">
        <v>1371</v>
      </c>
      <c r="B1299" s="8">
        <v>50</v>
      </c>
      <c r="C1299" s="5" t="s">
        <v>40</v>
      </c>
      <c r="D1299" s="5" t="s">
        <v>51</v>
      </c>
      <c r="E1299" s="5" t="s">
        <v>44</v>
      </c>
      <c r="F1299" s="5" t="s">
        <v>54</v>
      </c>
      <c r="G1299" s="8">
        <v>3</v>
      </c>
      <c r="H1299" s="8">
        <v>2683</v>
      </c>
      <c r="I1299" s="5" t="s">
        <v>40</v>
      </c>
      <c r="J1299" s="8">
        <v>3</v>
      </c>
      <c r="K1299" s="8">
        <v>2</v>
      </c>
      <c r="L1299" s="8">
        <v>3</v>
      </c>
    </row>
    <row r="1300" spans="1:12" x14ac:dyDescent="0.8">
      <c r="A1300" s="5" t="s">
        <v>1372</v>
      </c>
      <c r="B1300" s="8">
        <v>50</v>
      </c>
      <c r="C1300" s="5" t="s">
        <v>49</v>
      </c>
      <c r="D1300" s="5" t="s">
        <v>42</v>
      </c>
      <c r="E1300" s="5" t="s">
        <v>53</v>
      </c>
      <c r="F1300" s="5" t="s">
        <v>252</v>
      </c>
      <c r="G1300" s="8">
        <v>3</v>
      </c>
      <c r="H1300" s="8">
        <v>18740</v>
      </c>
      <c r="I1300" s="5" t="s">
        <v>40</v>
      </c>
      <c r="J1300" s="8">
        <v>3</v>
      </c>
      <c r="K1300" s="8">
        <v>2</v>
      </c>
      <c r="L1300" s="8">
        <v>27</v>
      </c>
    </row>
    <row r="1301" spans="1:12" x14ac:dyDescent="0.8">
      <c r="A1301" s="5" t="s">
        <v>1373</v>
      </c>
      <c r="B1301" s="8">
        <v>50</v>
      </c>
      <c r="C1301" s="5" t="s">
        <v>49</v>
      </c>
      <c r="D1301" s="5" t="s">
        <v>42</v>
      </c>
      <c r="E1301" s="5" t="s">
        <v>53</v>
      </c>
      <c r="F1301" s="5" t="s">
        <v>252</v>
      </c>
      <c r="G1301" s="8">
        <v>2</v>
      </c>
      <c r="H1301" s="8">
        <v>18172</v>
      </c>
      <c r="I1301" s="5" t="s">
        <v>40</v>
      </c>
      <c r="J1301" s="8">
        <v>3</v>
      </c>
      <c r="K1301" s="8">
        <v>1</v>
      </c>
      <c r="L1301" s="8">
        <v>8</v>
      </c>
    </row>
    <row r="1302" spans="1:12" x14ac:dyDescent="0.8">
      <c r="A1302" s="5" t="s">
        <v>1374</v>
      </c>
      <c r="B1302" s="8">
        <v>50</v>
      </c>
      <c r="C1302" s="5" t="s">
        <v>49</v>
      </c>
      <c r="D1302" s="5" t="s">
        <v>51</v>
      </c>
      <c r="E1302" s="5" t="s">
        <v>53</v>
      </c>
      <c r="F1302" s="5" t="s">
        <v>137</v>
      </c>
      <c r="G1302" s="8">
        <v>4</v>
      </c>
      <c r="H1302" s="8">
        <v>9208</v>
      </c>
      <c r="I1302" s="5" t="s">
        <v>49</v>
      </c>
      <c r="J1302" s="8">
        <v>3</v>
      </c>
      <c r="K1302" s="8">
        <v>3</v>
      </c>
      <c r="L1302" s="8">
        <v>2</v>
      </c>
    </row>
    <row r="1303" spans="1:12" x14ac:dyDescent="0.8">
      <c r="A1303" s="5" t="s">
        <v>1375</v>
      </c>
      <c r="B1303" s="8">
        <v>50</v>
      </c>
      <c r="C1303" s="5" t="s">
        <v>49</v>
      </c>
      <c r="D1303" s="5" t="s">
        <v>42</v>
      </c>
      <c r="E1303" s="5" t="s">
        <v>53</v>
      </c>
      <c r="F1303" s="5" t="s">
        <v>442</v>
      </c>
      <c r="G1303" s="8">
        <v>2</v>
      </c>
      <c r="H1303" s="8">
        <v>19926</v>
      </c>
      <c r="I1303" s="5" t="s">
        <v>49</v>
      </c>
      <c r="J1303" s="8">
        <v>3</v>
      </c>
      <c r="K1303" s="8">
        <v>5</v>
      </c>
      <c r="L1303" s="8">
        <v>5</v>
      </c>
    </row>
    <row r="1304" spans="1:12" x14ac:dyDescent="0.8">
      <c r="A1304" s="5" t="s">
        <v>1376</v>
      </c>
      <c r="B1304" s="8">
        <v>50</v>
      </c>
      <c r="C1304" s="5" t="s">
        <v>49</v>
      </c>
      <c r="D1304" s="5" t="s">
        <v>42</v>
      </c>
      <c r="E1304" s="5" t="s">
        <v>44</v>
      </c>
      <c r="F1304" s="5" t="s">
        <v>45</v>
      </c>
      <c r="G1304" s="8">
        <v>3</v>
      </c>
      <c r="H1304" s="8">
        <v>3690</v>
      </c>
      <c r="I1304" s="5" t="s">
        <v>49</v>
      </c>
      <c r="J1304" s="8">
        <v>3</v>
      </c>
      <c r="K1304" s="8">
        <v>2</v>
      </c>
      <c r="L1304" s="8">
        <v>3</v>
      </c>
    </row>
    <row r="1305" spans="1:12" x14ac:dyDescent="0.8">
      <c r="A1305" s="5" t="s">
        <v>1377</v>
      </c>
      <c r="B1305" s="8">
        <v>50</v>
      </c>
      <c r="C1305" s="5" t="s">
        <v>49</v>
      </c>
      <c r="D1305" s="5" t="s">
        <v>51</v>
      </c>
      <c r="E1305" s="5" t="s">
        <v>53</v>
      </c>
      <c r="F1305" s="5" t="s">
        <v>442</v>
      </c>
      <c r="G1305" s="8">
        <v>4</v>
      </c>
      <c r="H1305" s="8">
        <v>19517</v>
      </c>
      <c r="I1305" s="5" t="s">
        <v>49</v>
      </c>
      <c r="J1305" s="8">
        <v>3</v>
      </c>
      <c r="K1305" s="8">
        <v>3</v>
      </c>
      <c r="L1305" s="8">
        <v>7</v>
      </c>
    </row>
    <row r="1306" spans="1:12" x14ac:dyDescent="0.8">
      <c r="A1306" s="5" t="s">
        <v>1378</v>
      </c>
      <c r="B1306" s="8">
        <v>50</v>
      </c>
      <c r="C1306" s="5" t="s">
        <v>49</v>
      </c>
      <c r="D1306" s="5" t="s">
        <v>42</v>
      </c>
      <c r="E1306" s="5" t="s">
        <v>44</v>
      </c>
      <c r="F1306" s="5" t="s">
        <v>252</v>
      </c>
      <c r="G1306" s="8">
        <v>2</v>
      </c>
      <c r="H1306" s="8">
        <v>19144</v>
      </c>
      <c r="I1306" s="5" t="s">
        <v>49</v>
      </c>
      <c r="J1306" s="8">
        <v>3</v>
      </c>
      <c r="K1306" s="8">
        <v>4</v>
      </c>
      <c r="L1306" s="8">
        <v>10</v>
      </c>
    </row>
    <row r="1307" spans="1:12" x14ac:dyDescent="0.8">
      <c r="A1307" s="5" t="s">
        <v>1379</v>
      </c>
      <c r="B1307" s="8">
        <v>50</v>
      </c>
      <c r="C1307" s="5" t="s">
        <v>49</v>
      </c>
      <c r="D1307" s="5" t="s">
        <v>42</v>
      </c>
      <c r="E1307" s="5" t="s">
        <v>44</v>
      </c>
      <c r="F1307" s="5" t="s">
        <v>161</v>
      </c>
      <c r="G1307" s="8">
        <v>4</v>
      </c>
      <c r="H1307" s="8">
        <v>10496</v>
      </c>
      <c r="I1307" s="5" t="s">
        <v>49</v>
      </c>
      <c r="J1307" s="8">
        <v>3</v>
      </c>
      <c r="K1307" s="8">
        <v>2</v>
      </c>
      <c r="L1307" s="8">
        <v>4</v>
      </c>
    </row>
    <row r="1308" spans="1:12" x14ac:dyDescent="0.8">
      <c r="A1308" s="5" t="s">
        <v>1380</v>
      </c>
      <c r="B1308" s="8">
        <v>50</v>
      </c>
      <c r="C1308" s="5" t="s">
        <v>49</v>
      </c>
      <c r="D1308" s="5" t="s">
        <v>42</v>
      </c>
      <c r="E1308" s="5" t="s">
        <v>44</v>
      </c>
      <c r="F1308" s="5" t="s">
        <v>442</v>
      </c>
      <c r="G1308" s="8">
        <v>3</v>
      </c>
      <c r="H1308" s="8">
        <v>17046</v>
      </c>
      <c r="I1308" s="5" t="s">
        <v>49</v>
      </c>
      <c r="J1308" s="8">
        <v>3</v>
      </c>
      <c r="K1308" s="8">
        <v>2</v>
      </c>
      <c r="L1308" s="8">
        <v>27</v>
      </c>
    </row>
    <row r="1309" spans="1:12" x14ac:dyDescent="0.8">
      <c r="A1309" s="5" t="s">
        <v>1381</v>
      </c>
      <c r="B1309" s="8">
        <v>50</v>
      </c>
      <c r="C1309" s="5" t="s">
        <v>49</v>
      </c>
      <c r="D1309" s="5" t="s">
        <v>71</v>
      </c>
      <c r="E1309" s="5" t="s">
        <v>44</v>
      </c>
      <c r="F1309" s="5" t="s">
        <v>442</v>
      </c>
      <c r="G1309" s="8">
        <v>2</v>
      </c>
      <c r="H1309" s="8">
        <v>18200</v>
      </c>
      <c r="I1309" s="5" t="s">
        <v>49</v>
      </c>
      <c r="J1309" s="8">
        <v>3</v>
      </c>
      <c r="K1309" s="8">
        <v>2</v>
      </c>
      <c r="L1309" s="8">
        <v>32</v>
      </c>
    </row>
    <row r="1310" spans="1:12" x14ac:dyDescent="0.8">
      <c r="A1310" s="5" t="s">
        <v>1382</v>
      </c>
      <c r="B1310" s="8">
        <v>50</v>
      </c>
      <c r="C1310" s="5" t="s">
        <v>49</v>
      </c>
      <c r="D1310" s="5" t="s">
        <v>42</v>
      </c>
      <c r="E1310" s="5" t="s">
        <v>44</v>
      </c>
      <c r="F1310" s="5" t="s">
        <v>45</v>
      </c>
      <c r="G1310" s="8">
        <v>3</v>
      </c>
      <c r="H1310" s="8">
        <v>3221</v>
      </c>
      <c r="I1310" s="5" t="s">
        <v>40</v>
      </c>
      <c r="J1310" s="8">
        <v>3</v>
      </c>
      <c r="K1310" s="8">
        <v>3</v>
      </c>
      <c r="L1310" s="8">
        <v>20</v>
      </c>
    </row>
    <row r="1311" spans="1:12" x14ac:dyDescent="0.8">
      <c r="A1311" s="5" t="s">
        <v>1383</v>
      </c>
      <c r="B1311" s="8">
        <v>50</v>
      </c>
      <c r="C1311" s="5" t="s">
        <v>40</v>
      </c>
      <c r="D1311" s="5" t="s">
        <v>51</v>
      </c>
      <c r="E1311" s="5" t="s">
        <v>44</v>
      </c>
      <c r="F1311" s="5" t="s">
        <v>137</v>
      </c>
      <c r="G1311" s="8">
        <v>3</v>
      </c>
      <c r="H1311" s="8">
        <v>6796</v>
      </c>
      <c r="I1311" s="5" t="s">
        <v>40</v>
      </c>
      <c r="J1311" s="8">
        <v>3</v>
      </c>
      <c r="K1311" s="8">
        <v>4</v>
      </c>
      <c r="L1311" s="8">
        <v>4</v>
      </c>
    </row>
    <row r="1312" spans="1:12" x14ac:dyDescent="0.8">
      <c r="A1312" s="5" t="s">
        <v>1384</v>
      </c>
      <c r="B1312" s="8">
        <v>50</v>
      </c>
      <c r="C1312" s="5" t="s">
        <v>49</v>
      </c>
      <c r="D1312" s="5" t="s">
        <v>51</v>
      </c>
      <c r="E1312" s="5" t="s">
        <v>44</v>
      </c>
      <c r="F1312" s="5" t="s">
        <v>54</v>
      </c>
      <c r="G1312" s="8">
        <v>2</v>
      </c>
      <c r="H1312" s="8">
        <v>3875</v>
      </c>
      <c r="I1312" s="5" t="s">
        <v>49</v>
      </c>
      <c r="J1312" s="8">
        <v>3</v>
      </c>
      <c r="K1312" s="8">
        <v>2</v>
      </c>
      <c r="L1312" s="8">
        <v>2</v>
      </c>
    </row>
    <row r="1313" spans="1:12" x14ac:dyDescent="0.8">
      <c r="A1313" s="5" t="s">
        <v>1385</v>
      </c>
      <c r="B1313" s="8">
        <v>50</v>
      </c>
      <c r="C1313" s="5" t="s">
        <v>49</v>
      </c>
      <c r="D1313" s="5" t="s">
        <v>42</v>
      </c>
      <c r="E1313" s="5" t="s">
        <v>44</v>
      </c>
      <c r="F1313" s="5" t="s">
        <v>252</v>
      </c>
      <c r="G1313" s="8">
        <v>3</v>
      </c>
      <c r="H1313" s="8">
        <v>17639</v>
      </c>
      <c r="I1313" s="5" t="s">
        <v>49</v>
      </c>
      <c r="J1313" s="8">
        <v>3</v>
      </c>
      <c r="K1313" s="8">
        <v>3</v>
      </c>
      <c r="L1313" s="8">
        <v>4</v>
      </c>
    </row>
    <row r="1314" spans="1:12" x14ac:dyDescent="0.8">
      <c r="A1314" s="5" t="s">
        <v>1386</v>
      </c>
      <c r="B1314" s="8">
        <v>50</v>
      </c>
      <c r="C1314" s="5" t="s">
        <v>49</v>
      </c>
      <c r="D1314" s="5" t="s">
        <v>42</v>
      </c>
      <c r="E1314" s="5" t="s">
        <v>44</v>
      </c>
      <c r="F1314" s="5" t="s">
        <v>442</v>
      </c>
      <c r="G1314" s="8">
        <v>1</v>
      </c>
      <c r="H1314" s="8">
        <v>17924</v>
      </c>
      <c r="I1314" s="5" t="s">
        <v>49</v>
      </c>
      <c r="J1314" s="8">
        <v>3</v>
      </c>
      <c r="K1314" s="8">
        <v>3</v>
      </c>
      <c r="L1314" s="8">
        <v>31</v>
      </c>
    </row>
    <row r="1315" spans="1:12" x14ac:dyDescent="0.8">
      <c r="A1315" s="5" t="s">
        <v>1387</v>
      </c>
      <c r="B1315" s="8">
        <v>50</v>
      </c>
      <c r="C1315" s="5" t="s">
        <v>49</v>
      </c>
      <c r="D1315" s="5" t="s">
        <v>42</v>
      </c>
      <c r="E1315" s="5" t="s">
        <v>44</v>
      </c>
      <c r="F1315" s="5" t="s">
        <v>252</v>
      </c>
      <c r="G1315" s="8">
        <v>4</v>
      </c>
      <c r="H1315" s="8">
        <v>17399</v>
      </c>
      <c r="I1315" s="5" t="s">
        <v>49</v>
      </c>
      <c r="J1315" s="8">
        <v>4</v>
      </c>
      <c r="K1315" s="8">
        <v>1</v>
      </c>
      <c r="L1315" s="8">
        <v>5</v>
      </c>
    </row>
    <row r="1316" spans="1:12" x14ac:dyDescent="0.8">
      <c r="A1316" s="5" t="s">
        <v>1388</v>
      </c>
      <c r="B1316" s="8">
        <v>50</v>
      </c>
      <c r="C1316" s="5" t="s">
        <v>49</v>
      </c>
      <c r="D1316" s="5" t="s">
        <v>42</v>
      </c>
      <c r="E1316" s="5" t="s">
        <v>44</v>
      </c>
      <c r="F1316" s="5" t="s">
        <v>112</v>
      </c>
      <c r="G1316" s="8">
        <v>3</v>
      </c>
      <c r="H1316" s="8">
        <v>13973</v>
      </c>
      <c r="I1316" s="5" t="s">
        <v>40</v>
      </c>
      <c r="J1316" s="8">
        <v>3</v>
      </c>
      <c r="K1316" s="8">
        <v>2</v>
      </c>
      <c r="L1316" s="8">
        <v>12</v>
      </c>
    </row>
    <row r="1317" spans="1:12" x14ac:dyDescent="0.8">
      <c r="A1317" s="5" t="s">
        <v>1389</v>
      </c>
      <c r="B1317" s="8">
        <v>50</v>
      </c>
      <c r="C1317" s="5" t="s">
        <v>49</v>
      </c>
      <c r="D1317" s="5" t="s">
        <v>42</v>
      </c>
      <c r="E1317" s="5" t="s">
        <v>44</v>
      </c>
      <c r="F1317" s="5" t="s">
        <v>45</v>
      </c>
      <c r="G1317" s="8">
        <v>4</v>
      </c>
      <c r="H1317" s="8">
        <v>2380</v>
      </c>
      <c r="I1317" s="5" t="s">
        <v>49</v>
      </c>
      <c r="J1317" s="8">
        <v>3</v>
      </c>
      <c r="K1317" s="8">
        <v>5</v>
      </c>
      <c r="L1317" s="8">
        <v>1</v>
      </c>
    </row>
    <row r="1318" spans="1:12" x14ac:dyDescent="0.8">
      <c r="A1318" s="5" t="s">
        <v>1390</v>
      </c>
      <c r="B1318" s="8">
        <v>50</v>
      </c>
      <c r="C1318" s="5" t="s">
        <v>49</v>
      </c>
      <c r="D1318" s="5" t="s">
        <v>51</v>
      </c>
      <c r="E1318" s="5" t="s">
        <v>53</v>
      </c>
      <c r="F1318" s="5" t="s">
        <v>137</v>
      </c>
      <c r="G1318" s="8">
        <v>3</v>
      </c>
      <c r="H1318" s="8">
        <v>6347</v>
      </c>
      <c r="I1318" s="5" t="s">
        <v>49</v>
      </c>
      <c r="J1318" s="8">
        <v>3</v>
      </c>
      <c r="K1318" s="8">
        <v>3</v>
      </c>
      <c r="L1318" s="8">
        <v>18</v>
      </c>
    </row>
    <row r="1319" spans="1:12" x14ac:dyDescent="0.8">
      <c r="A1319" s="5" t="s">
        <v>1391</v>
      </c>
      <c r="B1319" s="8">
        <v>50</v>
      </c>
      <c r="C1319" s="5" t="s">
        <v>49</v>
      </c>
      <c r="D1319" s="5" t="s">
        <v>42</v>
      </c>
      <c r="E1319" s="5" t="s">
        <v>44</v>
      </c>
      <c r="F1319" s="5" t="s">
        <v>252</v>
      </c>
      <c r="G1319" s="8">
        <v>3</v>
      </c>
      <c r="H1319" s="8">
        <v>19237</v>
      </c>
      <c r="I1319" s="5" t="s">
        <v>40</v>
      </c>
      <c r="J1319" s="8">
        <v>3</v>
      </c>
      <c r="K1319" s="8">
        <v>2</v>
      </c>
      <c r="L1319" s="8">
        <v>8</v>
      </c>
    </row>
    <row r="1320" spans="1:12" x14ac:dyDescent="0.8">
      <c r="A1320" s="5" t="s">
        <v>1392</v>
      </c>
      <c r="B1320" s="8">
        <v>50</v>
      </c>
      <c r="C1320" s="5" t="s">
        <v>40</v>
      </c>
      <c r="D1320" s="5" t="s">
        <v>51</v>
      </c>
      <c r="E1320" s="5" t="s">
        <v>44</v>
      </c>
      <c r="F1320" s="5" t="s">
        <v>137</v>
      </c>
      <c r="G1320" s="8">
        <v>3</v>
      </c>
      <c r="H1320" s="8">
        <v>4728</v>
      </c>
      <c r="I1320" s="5" t="s">
        <v>40</v>
      </c>
      <c r="J1320" s="8">
        <v>3</v>
      </c>
      <c r="K1320" s="8">
        <v>4</v>
      </c>
      <c r="L1320" s="8">
        <v>0</v>
      </c>
    </row>
    <row r="1321" spans="1:12" x14ac:dyDescent="0.8">
      <c r="A1321" s="5" t="s">
        <v>1393</v>
      </c>
      <c r="B1321" s="8">
        <v>50</v>
      </c>
      <c r="C1321" s="5" t="s">
        <v>49</v>
      </c>
      <c r="D1321" s="5" t="s">
        <v>42</v>
      </c>
      <c r="E1321" s="5" t="s">
        <v>53</v>
      </c>
      <c r="F1321" s="5" t="s">
        <v>442</v>
      </c>
      <c r="G1321" s="8">
        <v>1</v>
      </c>
      <c r="H1321" s="8">
        <v>17856</v>
      </c>
      <c r="I1321" s="5" t="s">
        <v>49</v>
      </c>
      <c r="J1321" s="8">
        <v>4</v>
      </c>
      <c r="K1321" s="8">
        <v>3</v>
      </c>
      <c r="L1321" s="8">
        <v>2</v>
      </c>
    </row>
    <row r="1322" spans="1:12" x14ac:dyDescent="0.8">
      <c r="A1322" s="5" t="s">
        <v>1394</v>
      </c>
      <c r="B1322" s="8">
        <v>50</v>
      </c>
      <c r="C1322" s="5" t="s">
        <v>49</v>
      </c>
      <c r="D1322" s="5" t="s">
        <v>42</v>
      </c>
      <c r="E1322" s="5" t="s">
        <v>53</v>
      </c>
      <c r="F1322" s="5" t="s">
        <v>252</v>
      </c>
      <c r="G1322" s="8">
        <v>1</v>
      </c>
      <c r="H1322" s="8">
        <v>16880</v>
      </c>
      <c r="I1322" s="5" t="s">
        <v>40</v>
      </c>
      <c r="J1322" s="8">
        <v>3</v>
      </c>
      <c r="K1322" s="8">
        <v>2</v>
      </c>
      <c r="L1322" s="8">
        <v>3</v>
      </c>
    </row>
    <row r="1323" spans="1:12" x14ac:dyDescent="0.8">
      <c r="A1323" s="5" t="s">
        <v>1395</v>
      </c>
      <c r="B1323" s="8">
        <v>50</v>
      </c>
      <c r="C1323" s="5" t="s">
        <v>49</v>
      </c>
      <c r="D1323" s="5" t="s">
        <v>42</v>
      </c>
      <c r="E1323" s="5" t="s">
        <v>44</v>
      </c>
      <c r="F1323" s="5" t="s">
        <v>252</v>
      </c>
      <c r="G1323" s="8">
        <v>4</v>
      </c>
      <c r="H1323" s="8">
        <v>14411</v>
      </c>
      <c r="I1323" s="5" t="s">
        <v>40</v>
      </c>
      <c r="J1323" s="8">
        <v>3</v>
      </c>
      <c r="K1323" s="8">
        <v>2</v>
      </c>
      <c r="L1323" s="8">
        <v>32</v>
      </c>
    </row>
    <row r="1324" spans="1:12" x14ac:dyDescent="0.8">
      <c r="A1324" s="5" t="s">
        <v>1396</v>
      </c>
      <c r="B1324" s="8">
        <v>50</v>
      </c>
      <c r="C1324" s="5" t="s">
        <v>49</v>
      </c>
      <c r="D1324" s="5" t="s">
        <v>51</v>
      </c>
      <c r="E1324" s="5" t="s">
        <v>44</v>
      </c>
      <c r="F1324" s="5" t="s">
        <v>442</v>
      </c>
      <c r="G1324" s="8">
        <v>3</v>
      </c>
      <c r="H1324" s="8">
        <v>19331</v>
      </c>
      <c r="I1324" s="5" t="s">
        <v>40</v>
      </c>
      <c r="J1324" s="8">
        <v>3</v>
      </c>
      <c r="K1324" s="8">
        <v>2</v>
      </c>
      <c r="L1324" s="8">
        <v>1</v>
      </c>
    </row>
    <row r="1325" spans="1:12" x14ac:dyDescent="0.8">
      <c r="A1325" s="5" t="s">
        <v>1397</v>
      </c>
      <c r="B1325" s="8">
        <v>50</v>
      </c>
      <c r="C1325" s="5" t="s">
        <v>49</v>
      </c>
      <c r="D1325" s="5" t="s">
        <v>42</v>
      </c>
      <c r="E1325" s="5" t="s">
        <v>44</v>
      </c>
      <c r="F1325" s="5" t="s">
        <v>161</v>
      </c>
      <c r="G1325" s="8">
        <v>3</v>
      </c>
      <c r="H1325" s="8">
        <v>11245</v>
      </c>
      <c r="I1325" s="5" t="s">
        <v>40</v>
      </c>
      <c r="J1325" s="8">
        <v>3</v>
      </c>
      <c r="K1325" s="8">
        <v>3</v>
      </c>
      <c r="L1325" s="8">
        <v>30</v>
      </c>
    </row>
    <row r="1326" spans="1:12" x14ac:dyDescent="0.8">
      <c r="A1326" s="5" t="s">
        <v>1398</v>
      </c>
      <c r="B1326" s="8">
        <v>50</v>
      </c>
      <c r="C1326" s="5" t="s">
        <v>49</v>
      </c>
      <c r="D1326" s="5" t="s">
        <v>42</v>
      </c>
      <c r="E1326" s="5" t="s">
        <v>53</v>
      </c>
      <c r="F1326" s="5" t="s">
        <v>252</v>
      </c>
      <c r="G1326" s="8">
        <v>1</v>
      </c>
      <c r="H1326" s="8">
        <v>13269</v>
      </c>
      <c r="I1326" s="5" t="s">
        <v>49</v>
      </c>
      <c r="J1326" s="8">
        <v>3</v>
      </c>
      <c r="K1326" s="8">
        <v>3</v>
      </c>
      <c r="L1326" s="8">
        <v>14</v>
      </c>
    </row>
    <row r="1327" spans="1:12" x14ac:dyDescent="0.8">
      <c r="A1327" s="5" t="s">
        <v>1399</v>
      </c>
      <c r="B1327" s="8">
        <v>50</v>
      </c>
      <c r="C1327" s="5" t="s">
        <v>40</v>
      </c>
      <c r="D1327" s="5" t="s">
        <v>51</v>
      </c>
      <c r="E1327" s="5" t="s">
        <v>44</v>
      </c>
      <c r="F1327" s="5" t="s">
        <v>137</v>
      </c>
      <c r="G1327" s="8">
        <v>3</v>
      </c>
      <c r="H1327" s="8">
        <v>6728</v>
      </c>
      <c r="I1327" s="5" t="s">
        <v>49</v>
      </c>
      <c r="J1327" s="8">
        <v>3</v>
      </c>
      <c r="K1327" s="8">
        <v>3</v>
      </c>
      <c r="L1327" s="8">
        <v>6</v>
      </c>
    </row>
    <row r="1328" spans="1:12" x14ac:dyDescent="0.8">
      <c r="A1328" s="5" t="s">
        <v>1400</v>
      </c>
      <c r="B1328" s="8">
        <v>50</v>
      </c>
      <c r="C1328" s="5" t="s">
        <v>40</v>
      </c>
      <c r="D1328" s="5" t="s">
        <v>51</v>
      </c>
      <c r="E1328" s="5" t="s">
        <v>44</v>
      </c>
      <c r="F1328" s="5" t="s">
        <v>137</v>
      </c>
      <c r="G1328" s="8">
        <v>1</v>
      </c>
      <c r="H1328" s="8">
        <v>10854</v>
      </c>
      <c r="I1328" s="5" t="s">
        <v>40</v>
      </c>
      <c r="J1328" s="8">
        <v>3</v>
      </c>
      <c r="K1328" s="8">
        <v>3</v>
      </c>
      <c r="L1328" s="8">
        <v>3</v>
      </c>
    </row>
    <row r="1329" spans="1:12" x14ac:dyDescent="0.8">
      <c r="A1329" s="5" t="s">
        <v>1401</v>
      </c>
      <c r="B1329" s="8">
        <v>51</v>
      </c>
      <c r="C1329" s="5" t="s">
        <v>49</v>
      </c>
      <c r="D1329" s="5" t="s">
        <v>42</v>
      </c>
      <c r="E1329" s="5" t="s">
        <v>44</v>
      </c>
      <c r="F1329" s="5" t="s">
        <v>45</v>
      </c>
      <c r="G1329" s="8">
        <v>4</v>
      </c>
      <c r="H1329" s="8">
        <v>2075</v>
      </c>
      <c r="I1329" s="5" t="s">
        <v>49</v>
      </c>
      <c r="J1329" s="8">
        <v>4</v>
      </c>
      <c r="K1329" s="8">
        <v>4</v>
      </c>
      <c r="L1329" s="8">
        <v>4</v>
      </c>
    </row>
    <row r="1330" spans="1:12" x14ac:dyDescent="0.8">
      <c r="A1330" s="5" t="s">
        <v>1402</v>
      </c>
      <c r="B1330" s="8">
        <v>51</v>
      </c>
      <c r="C1330" s="5" t="s">
        <v>49</v>
      </c>
      <c r="D1330" s="5" t="s">
        <v>51</v>
      </c>
      <c r="E1330" s="5" t="s">
        <v>44</v>
      </c>
      <c r="F1330" s="5" t="s">
        <v>137</v>
      </c>
      <c r="G1330" s="8">
        <v>4</v>
      </c>
      <c r="H1330" s="8">
        <v>5441</v>
      </c>
      <c r="I1330" s="5" t="s">
        <v>40</v>
      </c>
      <c r="J1330" s="8">
        <v>4</v>
      </c>
      <c r="K1330" s="8">
        <v>2</v>
      </c>
      <c r="L1330" s="8">
        <v>10</v>
      </c>
    </row>
    <row r="1331" spans="1:12" x14ac:dyDescent="0.8">
      <c r="A1331" s="5" t="s">
        <v>1403</v>
      </c>
      <c r="B1331" s="8">
        <v>51</v>
      </c>
      <c r="C1331" s="5" t="s">
        <v>49</v>
      </c>
      <c r="D1331" s="5" t="s">
        <v>42</v>
      </c>
      <c r="E1331" s="5" t="s">
        <v>53</v>
      </c>
      <c r="F1331" s="5" t="s">
        <v>161</v>
      </c>
      <c r="G1331" s="8">
        <v>1</v>
      </c>
      <c r="H1331" s="8">
        <v>7484</v>
      </c>
      <c r="I1331" s="5" t="s">
        <v>49</v>
      </c>
      <c r="J1331" s="8">
        <v>4</v>
      </c>
      <c r="K1331" s="8">
        <v>1</v>
      </c>
      <c r="L1331" s="8">
        <v>13</v>
      </c>
    </row>
    <row r="1332" spans="1:12" x14ac:dyDescent="0.8">
      <c r="A1332" s="5" t="s">
        <v>1404</v>
      </c>
      <c r="B1332" s="8">
        <v>51</v>
      </c>
      <c r="C1332" s="5" t="s">
        <v>49</v>
      </c>
      <c r="D1332" s="5" t="s">
        <v>42</v>
      </c>
      <c r="E1332" s="5" t="s">
        <v>44</v>
      </c>
      <c r="F1332" s="5" t="s">
        <v>252</v>
      </c>
      <c r="G1332" s="8">
        <v>3</v>
      </c>
      <c r="H1332" s="8">
        <v>19537</v>
      </c>
      <c r="I1332" s="5" t="s">
        <v>49</v>
      </c>
      <c r="J1332" s="8">
        <v>3</v>
      </c>
      <c r="K1332" s="8">
        <v>5</v>
      </c>
      <c r="L1332" s="8">
        <v>20</v>
      </c>
    </row>
    <row r="1333" spans="1:12" x14ac:dyDescent="0.8">
      <c r="A1333" s="5" t="s">
        <v>1405</v>
      </c>
      <c r="B1333" s="8">
        <v>51</v>
      </c>
      <c r="C1333" s="5" t="s">
        <v>40</v>
      </c>
      <c r="D1333" s="5" t="s">
        <v>42</v>
      </c>
      <c r="E1333" s="5" t="s">
        <v>44</v>
      </c>
      <c r="F1333" s="5" t="s">
        <v>112</v>
      </c>
      <c r="G1333" s="8">
        <v>4</v>
      </c>
      <c r="H1333" s="8">
        <v>10650</v>
      </c>
      <c r="I1333" s="5" t="s">
        <v>49</v>
      </c>
      <c r="J1333" s="8">
        <v>3</v>
      </c>
      <c r="K1333" s="8">
        <v>2</v>
      </c>
      <c r="L1333" s="8">
        <v>4</v>
      </c>
    </row>
    <row r="1334" spans="1:12" x14ac:dyDescent="0.8">
      <c r="A1334" s="5" t="s">
        <v>1406</v>
      </c>
      <c r="B1334" s="8">
        <v>51</v>
      </c>
      <c r="C1334" s="5" t="s">
        <v>49</v>
      </c>
      <c r="D1334" s="5" t="s">
        <v>42</v>
      </c>
      <c r="E1334" s="5" t="s">
        <v>44</v>
      </c>
      <c r="F1334" s="5" t="s">
        <v>112</v>
      </c>
      <c r="G1334" s="8">
        <v>3</v>
      </c>
      <c r="H1334" s="8">
        <v>6132</v>
      </c>
      <c r="I1334" s="5" t="s">
        <v>49</v>
      </c>
      <c r="J1334" s="8">
        <v>3</v>
      </c>
      <c r="K1334" s="8">
        <v>2</v>
      </c>
      <c r="L1334" s="8">
        <v>1</v>
      </c>
    </row>
    <row r="1335" spans="1:12" x14ac:dyDescent="0.8">
      <c r="A1335" s="5" t="s">
        <v>1407</v>
      </c>
      <c r="B1335" s="8">
        <v>51</v>
      </c>
      <c r="C1335" s="5" t="s">
        <v>49</v>
      </c>
      <c r="D1335" s="5" t="s">
        <v>42</v>
      </c>
      <c r="E1335" s="5" t="s">
        <v>53</v>
      </c>
      <c r="F1335" s="5" t="s">
        <v>161</v>
      </c>
      <c r="G1335" s="8">
        <v>2</v>
      </c>
      <c r="H1335" s="8">
        <v>13734</v>
      </c>
      <c r="I1335" s="5" t="s">
        <v>49</v>
      </c>
      <c r="J1335" s="8">
        <v>3</v>
      </c>
      <c r="K1335" s="8">
        <v>6</v>
      </c>
      <c r="L1335" s="8">
        <v>7</v>
      </c>
    </row>
    <row r="1336" spans="1:12" x14ac:dyDescent="0.8">
      <c r="A1336" s="5" t="s">
        <v>1408</v>
      </c>
      <c r="B1336" s="8">
        <v>51</v>
      </c>
      <c r="C1336" s="5" t="s">
        <v>49</v>
      </c>
      <c r="D1336" s="5" t="s">
        <v>42</v>
      </c>
      <c r="E1336" s="5" t="s">
        <v>44</v>
      </c>
      <c r="F1336" s="5" t="s">
        <v>252</v>
      </c>
      <c r="G1336" s="8">
        <v>2</v>
      </c>
      <c r="H1336" s="8">
        <v>12490</v>
      </c>
      <c r="I1336" s="5" t="s">
        <v>49</v>
      </c>
      <c r="J1336" s="8">
        <v>3</v>
      </c>
      <c r="K1336" s="8">
        <v>5</v>
      </c>
      <c r="L1336" s="8">
        <v>10</v>
      </c>
    </row>
    <row r="1337" spans="1:12" x14ac:dyDescent="0.8">
      <c r="A1337" s="5" t="s">
        <v>1409</v>
      </c>
      <c r="B1337" s="8">
        <v>51</v>
      </c>
      <c r="C1337" s="5" t="s">
        <v>49</v>
      </c>
      <c r="D1337" s="5" t="s">
        <v>42</v>
      </c>
      <c r="E1337" s="5" t="s">
        <v>44</v>
      </c>
      <c r="F1337" s="5" t="s">
        <v>60</v>
      </c>
      <c r="G1337" s="8">
        <v>4</v>
      </c>
      <c r="H1337" s="8">
        <v>2723</v>
      </c>
      <c r="I1337" s="5" t="s">
        <v>49</v>
      </c>
      <c r="J1337" s="8">
        <v>3</v>
      </c>
      <c r="K1337" s="8">
        <v>0</v>
      </c>
      <c r="L1337" s="8">
        <v>1</v>
      </c>
    </row>
    <row r="1338" spans="1:12" x14ac:dyDescent="0.8">
      <c r="A1338" s="5" t="s">
        <v>1410</v>
      </c>
      <c r="B1338" s="8">
        <v>51</v>
      </c>
      <c r="C1338" s="5" t="s">
        <v>49</v>
      </c>
      <c r="D1338" s="5" t="s">
        <v>42</v>
      </c>
      <c r="E1338" s="5" t="s">
        <v>44</v>
      </c>
      <c r="F1338" s="5" t="s">
        <v>112</v>
      </c>
      <c r="G1338" s="8">
        <v>2</v>
      </c>
      <c r="H1338" s="8">
        <v>5482</v>
      </c>
      <c r="I1338" s="5" t="s">
        <v>49</v>
      </c>
      <c r="J1338" s="8">
        <v>3</v>
      </c>
      <c r="K1338" s="8">
        <v>3</v>
      </c>
      <c r="L1338" s="8">
        <v>4</v>
      </c>
    </row>
    <row r="1339" spans="1:12" x14ac:dyDescent="0.8">
      <c r="A1339" s="5" t="s">
        <v>1411</v>
      </c>
      <c r="B1339" s="8">
        <v>51</v>
      </c>
      <c r="C1339" s="5" t="s">
        <v>49</v>
      </c>
      <c r="D1339" s="5" t="s">
        <v>51</v>
      </c>
      <c r="E1339" s="5" t="s">
        <v>53</v>
      </c>
      <c r="F1339" s="5" t="s">
        <v>137</v>
      </c>
      <c r="G1339" s="8">
        <v>4</v>
      </c>
      <c r="H1339" s="8">
        <v>4936</v>
      </c>
      <c r="I1339" s="5" t="s">
        <v>49</v>
      </c>
      <c r="J1339" s="8">
        <v>3</v>
      </c>
      <c r="K1339" s="8">
        <v>2</v>
      </c>
      <c r="L1339" s="8">
        <v>7</v>
      </c>
    </row>
    <row r="1340" spans="1:12" x14ac:dyDescent="0.8">
      <c r="A1340" s="5" t="s">
        <v>1412</v>
      </c>
      <c r="B1340" s="8">
        <v>51</v>
      </c>
      <c r="C1340" s="5" t="s">
        <v>49</v>
      </c>
      <c r="D1340" s="5" t="s">
        <v>51</v>
      </c>
      <c r="E1340" s="5" t="s">
        <v>53</v>
      </c>
      <c r="F1340" s="5" t="s">
        <v>442</v>
      </c>
      <c r="G1340" s="8">
        <v>3</v>
      </c>
      <c r="H1340" s="8">
        <v>16307</v>
      </c>
      <c r="I1340" s="5" t="s">
        <v>49</v>
      </c>
      <c r="J1340" s="8">
        <v>3</v>
      </c>
      <c r="K1340" s="8">
        <v>2</v>
      </c>
      <c r="L1340" s="8">
        <v>20</v>
      </c>
    </row>
    <row r="1341" spans="1:12" x14ac:dyDescent="0.8">
      <c r="A1341" s="5" t="s">
        <v>1413</v>
      </c>
      <c r="B1341" s="8">
        <v>51</v>
      </c>
      <c r="C1341" s="5" t="s">
        <v>40</v>
      </c>
      <c r="D1341" s="5" t="s">
        <v>42</v>
      </c>
      <c r="E1341" s="5" t="s">
        <v>44</v>
      </c>
      <c r="F1341" s="5" t="s">
        <v>60</v>
      </c>
      <c r="G1341" s="8">
        <v>3</v>
      </c>
      <c r="H1341" s="8">
        <v>2461</v>
      </c>
      <c r="I1341" s="5" t="s">
        <v>40</v>
      </c>
      <c r="J1341" s="8">
        <v>3</v>
      </c>
      <c r="K1341" s="8">
        <v>2</v>
      </c>
      <c r="L1341" s="8">
        <v>10</v>
      </c>
    </row>
    <row r="1342" spans="1:12" x14ac:dyDescent="0.8">
      <c r="A1342" s="5" t="s">
        <v>1414</v>
      </c>
      <c r="B1342" s="8">
        <v>51</v>
      </c>
      <c r="C1342" s="5" t="s">
        <v>49</v>
      </c>
      <c r="D1342" s="5" t="s">
        <v>51</v>
      </c>
      <c r="E1342" s="5" t="s">
        <v>44</v>
      </c>
      <c r="F1342" s="5" t="s">
        <v>442</v>
      </c>
      <c r="G1342" s="8">
        <v>2</v>
      </c>
      <c r="H1342" s="8">
        <v>19847</v>
      </c>
      <c r="I1342" s="5" t="s">
        <v>40</v>
      </c>
      <c r="J1342" s="8">
        <v>4</v>
      </c>
      <c r="K1342" s="8">
        <v>5</v>
      </c>
      <c r="L1342" s="8">
        <v>29</v>
      </c>
    </row>
    <row r="1343" spans="1:12" x14ac:dyDescent="0.8">
      <c r="A1343" s="5" t="s">
        <v>1415</v>
      </c>
      <c r="B1343" s="8">
        <v>51</v>
      </c>
      <c r="C1343" s="5" t="s">
        <v>49</v>
      </c>
      <c r="D1343" s="5" t="s">
        <v>42</v>
      </c>
      <c r="E1343" s="5" t="s">
        <v>53</v>
      </c>
      <c r="F1343" s="5" t="s">
        <v>45</v>
      </c>
      <c r="G1343" s="8">
        <v>3</v>
      </c>
      <c r="H1343" s="8">
        <v>2838</v>
      </c>
      <c r="I1343" s="5" t="s">
        <v>49</v>
      </c>
      <c r="J1343" s="8">
        <v>3</v>
      </c>
      <c r="K1343" s="8">
        <v>6</v>
      </c>
      <c r="L1343" s="8">
        <v>7</v>
      </c>
    </row>
    <row r="1344" spans="1:12" x14ac:dyDescent="0.8">
      <c r="A1344" s="5" t="s">
        <v>1416</v>
      </c>
      <c r="B1344" s="8">
        <v>51</v>
      </c>
      <c r="C1344" s="5" t="s">
        <v>49</v>
      </c>
      <c r="D1344" s="5" t="s">
        <v>71</v>
      </c>
      <c r="E1344" s="5" t="s">
        <v>44</v>
      </c>
      <c r="F1344" s="5" t="s">
        <v>442</v>
      </c>
      <c r="G1344" s="8">
        <v>2</v>
      </c>
      <c r="H1344" s="8">
        <v>14026</v>
      </c>
      <c r="I1344" s="5" t="s">
        <v>40</v>
      </c>
      <c r="J1344" s="8">
        <v>3</v>
      </c>
      <c r="K1344" s="8">
        <v>2</v>
      </c>
      <c r="L1344" s="8">
        <v>33</v>
      </c>
    </row>
    <row r="1345" spans="1:12" x14ac:dyDescent="0.8">
      <c r="A1345" s="5" t="s">
        <v>1417</v>
      </c>
      <c r="B1345" s="8">
        <v>51</v>
      </c>
      <c r="C1345" s="5" t="s">
        <v>49</v>
      </c>
      <c r="D1345" s="5" t="s">
        <v>42</v>
      </c>
      <c r="E1345" s="5" t="s">
        <v>53</v>
      </c>
      <c r="F1345" s="5" t="s">
        <v>112</v>
      </c>
      <c r="G1345" s="8">
        <v>2</v>
      </c>
      <c r="H1345" s="8">
        <v>13142</v>
      </c>
      <c r="I1345" s="5" t="s">
        <v>49</v>
      </c>
      <c r="J1345" s="8">
        <v>3</v>
      </c>
      <c r="K1345" s="8">
        <v>1</v>
      </c>
      <c r="L1345" s="8">
        <v>5</v>
      </c>
    </row>
    <row r="1346" spans="1:12" x14ac:dyDescent="0.8">
      <c r="A1346" s="5" t="s">
        <v>1418</v>
      </c>
      <c r="B1346" s="8">
        <v>51</v>
      </c>
      <c r="C1346" s="5" t="s">
        <v>49</v>
      </c>
      <c r="D1346" s="5" t="s">
        <v>51</v>
      </c>
      <c r="E1346" s="5" t="s">
        <v>44</v>
      </c>
      <c r="F1346" s="5" t="s">
        <v>137</v>
      </c>
      <c r="G1346" s="8">
        <v>2</v>
      </c>
      <c r="H1346" s="8">
        <v>10596</v>
      </c>
      <c r="I1346" s="5" t="s">
        <v>49</v>
      </c>
      <c r="J1346" s="8">
        <v>3</v>
      </c>
      <c r="K1346" s="8">
        <v>5</v>
      </c>
      <c r="L1346" s="8">
        <v>4</v>
      </c>
    </row>
    <row r="1347" spans="1:12" x14ac:dyDescent="0.8">
      <c r="A1347" s="5" t="s">
        <v>1419</v>
      </c>
      <c r="B1347" s="8">
        <v>51</v>
      </c>
      <c r="C1347" s="5" t="s">
        <v>49</v>
      </c>
      <c r="D1347" s="5" t="s">
        <v>42</v>
      </c>
      <c r="E1347" s="5" t="s">
        <v>53</v>
      </c>
      <c r="F1347" s="5" t="s">
        <v>442</v>
      </c>
      <c r="G1347" s="8">
        <v>3</v>
      </c>
      <c r="H1347" s="8">
        <v>13116</v>
      </c>
      <c r="I1347" s="5" t="s">
        <v>49</v>
      </c>
      <c r="J1347" s="8">
        <v>3</v>
      </c>
      <c r="K1347" s="8">
        <v>2</v>
      </c>
      <c r="L1347" s="8">
        <v>2</v>
      </c>
    </row>
    <row r="1348" spans="1:12" x14ac:dyDescent="0.8">
      <c r="A1348" s="5" t="s">
        <v>1420</v>
      </c>
      <c r="B1348" s="8">
        <v>52</v>
      </c>
      <c r="C1348" s="5" t="s">
        <v>49</v>
      </c>
      <c r="D1348" s="5" t="s">
        <v>42</v>
      </c>
      <c r="E1348" s="5" t="s">
        <v>44</v>
      </c>
      <c r="F1348" s="5" t="s">
        <v>442</v>
      </c>
      <c r="G1348" s="8">
        <v>3</v>
      </c>
      <c r="H1348" s="8">
        <v>19999</v>
      </c>
      <c r="I1348" s="5" t="s">
        <v>49</v>
      </c>
      <c r="J1348" s="8">
        <v>3</v>
      </c>
      <c r="K1348" s="8">
        <v>5</v>
      </c>
      <c r="L1348" s="8">
        <v>33</v>
      </c>
    </row>
    <row r="1349" spans="1:12" x14ac:dyDescent="0.8">
      <c r="A1349" s="5" t="s">
        <v>1421</v>
      </c>
      <c r="B1349" s="8">
        <v>52</v>
      </c>
      <c r="C1349" s="5" t="s">
        <v>49</v>
      </c>
      <c r="D1349" s="5" t="s">
        <v>42</v>
      </c>
      <c r="E1349" s="5" t="s">
        <v>53</v>
      </c>
      <c r="F1349" s="5" t="s">
        <v>45</v>
      </c>
      <c r="G1349" s="8">
        <v>4</v>
      </c>
      <c r="H1349" s="8">
        <v>3212</v>
      </c>
      <c r="I1349" s="5" t="s">
        <v>49</v>
      </c>
      <c r="J1349" s="8">
        <v>3</v>
      </c>
      <c r="K1349" s="8">
        <v>3</v>
      </c>
      <c r="L1349" s="8">
        <v>2</v>
      </c>
    </row>
    <row r="1350" spans="1:12" x14ac:dyDescent="0.8">
      <c r="A1350" s="5" t="s">
        <v>1422</v>
      </c>
      <c r="B1350" s="8">
        <v>52</v>
      </c>
      <c r="C1350" s="5" t="s">
        <v>49</v>
      </c>
      <c r="D1350" s="5" t="s">
        <v>51</v>
      </c>
      <c r="E1350" s="5" t="s">
        <v>44</v>
      </c>
      <c r="F1350" s="5" t="s">
        <v>442</v>
      </c>
      <c r="G1350" s="8">
        <v>3</v>
      </c>
      <c r="H1350" s="8">
        <v>19068</v>
      </c>
      <c r="I1350" s="5" t="s">
        <v>40</v>
      </c>
      <c r="J1350" s="8">
        <v>3</v>
      </c>
      <c r="K1350" s="8">
        <v>2</v>
      </c>
      <c r="L1350" s="8">
        <v>33</v>
      </c>
    </row>
    <row r="1351" spans="1:12" x14ac:dyDescent="0.8">
      <c r="A1351" s="5" t="s">
        <v>1423</v>
      </c>
      <c r="B1351" s="8">
        <v>52</v>
      </c>
      <c r="C1351" s="5" t="s">
        <v>40</v>
      </c>
      <c r="D1351" s="5" t="s">
        <v>42</v>
      </c>
      <c r="E1351" s="5" t="s">
        <v>44</v>
      </c>
      <c r="F1351" s="5" t="s">
        <v>60</v>
      </c>
      <c r="G1351" s="8">
        <v>2</v>
      </c>
      <c r="H1351" s="8">
        <v>4941</v>
      </c>
      <c r="I1351" s="5" t="s">
        <v>49</v>
      </c>
      <c r="J1351" s="8">
        <v>3</v>
      </c>
      <c r="K1351" s="8">
        <v>3</v>
      </c>
      <c r="L1351" s="8">
        <v>8</v>
      </c>
    </row>
    <row r="1352" spans="1:12" x14ac:dyDescent="0.8">
      <c r="A1352" s="5" t="s">
        <v>1424</v>
      </c>
      <c r="B1352" s="8">
        <v>52</v>
      </c>
      <c r="C1352" s="5" t="s">
        <v>49</v>
      </c>
      <c r="D1352" s="5" t="s">
        <v>42</v>
      </c>
      <c r="E1352" s="5" t="s">
        <v>44</v>
      </c>
      <c r="F1352" s="5" t="s">
        <v>112</v>
      </c>
      <c r="G1352" s="8">
        <v>3</v>
      </c>
      <c r="H1352" s="8">
        <v>7969</v>
      </c>
      <c r="I1352" s="5" t="s">
        <v>40</v>
      </c>
      <c r="J1352" s="8">
        <v>3</v>
      </c>
      <c r="K1352" s="8">
        <v>4</v>
      </c>
      <c r="L1352" s="8">
        <v>5</v>
      </c>
    </row>
    <row r="1353" spans="1:12" x14ac:dyDescent="0.8">
      <c r="A1353" s="5" t="s">
        <v>1425</v>
      </c>
      <c r="B1353" s="8">
        <v>52</v>
      </c>
      <c r="C1353" s="5" t="s">
        <v>49</v>
      </c>
      <c r="D1353" s="5" t="s">
        <v>42</v>
      </c>
      <c r="E1353" s="5" t="s">
        <v>53</v>
      </c>
      <c r="F1353" s="5" t="s">
        <v>442</v>
      </c>
      <c r="G1353" s="8">
        <v>4</v>
      </c>
      <c r="H1353" s="8">
        <v>16555</v>
      </c>
      <c r="I1353" s="5" t="s">
        <v>49</v>
      </c>
      <c r="J1353" s="8">
        <v>3</v>
      </c>
      <c r="K1353" s="8">
        <v>2</v>
      </c>
      <c r="L1353" s="8">
        <v>5</v>
      </c>
    </row>
    <row r="1354" spans="1:12" x14ac:dyDescent="0.8">
      <c r="A1354" s="5" t="s">
        <v>1426</v>
      </c>
      <c r="B1354" s="8">
        <v>52</v>
      </c>
      <c r="C1354" s="5" t="s">
        <v>49</v>
      </c>
      <c r="D1354" s="5" t="s">
        <v>42</v>
      </c>
      <c r="E1354" s="5" t="s">
        <v>44</v>
      </c>
      <c r="F1354" s="5" t="s">
        <v>60</v>
      </c>
      <c r="G1354" s="8">
        <v>1</v>
      </c>
      <c r="H1354" s="8">
        <v>5577</v>
      </c>
      <c r="I1354" s="5" t="s">
        <v>40</v>
      </c>
      <c r="J1354" s="8">
        <v>3</v>
      </c>
      <c r="K1354" s="8">
        <v>3</v>
      </c>
      <c r="L1354" s="8">
        <v>10</v>
      </c>
    </row>
    <row r="1355" spans="1:12" x14ac:dyDescent="0.8">
      <c r="A1355" s="5" t="s">
        <v>1427</v>
      </c>
      <c r="B1355" s="8">
        <v>52</v>
      </c>
      <c r="C1355" s="5" t="s">
        <v>49</v>
      </c>
      <c r="D1355" s="5" t="s">
        <v>51</v>
      </c>
      <c r="E1355" s="5" t="s">
        <v>44</v>
      </c>
      <c r="F1355" s="5" t="s">
        <v>442</v>
      </c>
      <c r="G1355" s="8">
        <v>1</v>
      </c>
      <c r="H1355" s="8">
        <v>16856</v>
      </c>
      <c r="I1355" s="5" t="s">
        <v>49</v>
      </c>
      <c r="J1355" s="8">
        <v>3</v>
      </c>
      <c r="K1355" s="8">
        <v>3</v>
      </c>
      <c r="L1355" s="8">
        <v>34</v>
      </c>
    </row>
    <row r="1356" spans="1:12" x14ac:dyDescent="0.8">
      <c r="A1356" s="5" t="s">
        <v>1428</v>
      </c>
      <c r="B1356" s="8">
        <v>52</v>
      </c>
      <c r="C1356" s="5" t="s">
        <v>49</v>
      </c>
      <c r="D1356" s="5" t="s">
        <v>42</v>
      </c>
      <c r="E1356" s="5" t="s">
        <v>44</v>
      </c>
      <c r="F1356" s="5" t="s">
        <v>60</v>
      </c>
      <c r="G1356" s="8">
        <v>4</v>
      </c>
      <c r="H1356" s="8">
        <v>4258</v>
      </c>
      <c r="I1356" s="5" t="s">
        <v>49</v>
      </c>
      <c r="J1356" s="8">
        <v>3</v>
      </c>
      <c r="K1356" s="8">
        <v>3</v>
      </c>
      <c r="L1356" s="8">
        <v>4</v>
      </c>
    </row>
    <row r="1357" spans="1:12" x14ac:dyDescent="0.8">
      <c r="A1357" s="5" t="s">
        <v>1429</v>
      </c>
      <c r="B1357" s="8">
        <v>52</v>
      </c>
      <c r="C1357" s="5" t="s">
        <v>49</v>
      </c>
      <c r="D1357" s="5" t="s">
        <v>42</v>
      </c>
      <c r="E1357" s="5" t="s">
        <v>53</v>
      </c>
      <c r="F1357" s="5" t="s">
        <v>45</v>
      </c>
      <c r="G1357" s="8">
        <v>3</v>
      </c>
      <c r="H1357" s="8">
        <v>3149</v>
      </c>
      <c r="I1357" s="5" t="s">
        <v>49</v>
      </c>
      <c r="J1357" s="8">
        <v>4</v>
      </c>
      <c r="K1357" s="8">
        <v>3</v>
      </c>
      <c r="L1357" s="8">
        <v>5</v>
      </c>
    </row>
    <row r="1358" spans="1:12" x14ac:dyDescent="0.8">
      <c r="A1358" s="5" t="s">
        <v>1430</v>
      </c>
      <c r="B1358" s="8">
        <v>52</v>
      </c>
      <c r="C1358" s="5" t="s">
        <v>49</v>
      </c>
      <c r="D1358" s="5" t="s">
        <v>42</v>
      </c>
      <c r="E1358" s="5" t="s">
        <v>53</v>
      </c>
      <c r="F1358" s="5" t="s">
        <v>112</v>
      </c>
      <c r="G1358" s="8">
        <v>4</v>
      </c>
      <c r="H1358" s="8">
        <v>13826</v>
      </c>
      <c r="I1358" s="5" t="s">
        <v>49</v>
      </c>
      <c r="J1358" s="8">
        <v>4</v>
      </c>
      <c r="K1358" s="8">
        <v>3</v>
      </c>
      <c r="L1358" s="8">
        <v>9</v>
      </c>
    </row>
    <row r="1359" spans="1:12" x14ac:dyDescent="0.8">
      <c r="A1359" s="5" t="s">
        <v>1431</v>
      </c>
      <c r="B1359" s="8">
        <v>52</v>
      </c>
      <c r="C1359" s="5" t="s">
        <v>49</v>
      </c>
      <c r="D1359" s="5" t="s">
        <v>42</v>
      </c>
      <c r="E1359" s="5" t="s">
        <v>44</v>
      </c>
      <c r="F1359" s="5" t="s">
        <v>442</v>
      </c>
      <c r="G1359" s="8">
        <v>4</v>
      </c>
      <c r="H1359" s="8">
        <v>17099</v>
      </c>
      <c r="I1359" s="5" t="s">
        <v>49</v>
      </c>
      <c r="J1359" s="8">
        <v>3</v>
      </c>
      <c r="K1359" s="8">
        <v>2</v>
      </c>
      <c r="L1359" s="8">
        <v>9</v>
      </c>
    </row>
    <row r="1360" spans="1:12" x14ac:dyDescent="0.8">
      <c r="A1360" s="5" t="s">
        <v>1432</v>
      </c>
      <c r="B1360" s="8">
        <v>52</v>
      </c>
      <c r="C1360" s="5" t="s">
        <v>40</v>
      </c>
      <c r="D1360" s="5" t="s">
        <v>51</v>
      </c>
      <c r="E1360" s="5" t="s">
        <v>53</v>
      </c>
      <c r="F1360" s="5" t="s">
        <v>442</v>
      </c>
      <c r="G1360" s="8">
        <v>4</v>
      </c>
      <c r="H1360" s="8">
        <v>19845</v>
      </c>
      <c r="I1360" s="5" t="s">
        <v>49</v>
      </c>
      <c r="J1360" s="8">
        <v>3</v>
      </c>
      <c r="K1360" s="8">
        <v>3</v>
      </c>
      <c r="L1360" s="8">
        <v>32</v>
      </c>
    </row>
    <row r="1361" spans="1:12" x14ac:dyDescent="0.8">
      <c r="A1361" s="5" t="s">
        <v>1433</v>
      </c>
      <c r="B1361" s="8">
        <v>52</v>
      </c>
      <c r="C1361" s="5" t="s">
        <v>49</v>
      </c>
      <c r="D1361" s="5" t="s">
        <v>42</v>
      </c>
      <c r="E1361" s="5" t="s">
        <v>44</v>
      </c>
      <c r="F1361" s="5" t="s">
        <v>161</v>
      </c>
      <c r="G1361" s="8">
        <v>2</v>
      </c>
      <c r="H1361" s="8">
        <v>10445</v>
      </c>
      <c r="I1361" s="5" t="s">
        <v>49</v>
      </c>
      <c r="J1361" s="8">
        <v>3</v>
      </c>
      <c r="K1361" s="8">
        <v>4</v>
      </c>
      <c r="L1361" s="8">
        <v>8</v>
      </c>
    </row>
    <row r="1362" spans="1:12" x14ac:dyDescent="0.8">
      <c r="A1362" s="5" t="s">
        <v>1434</v>
      </c>
      <c r="B1362" s="8">
        <v>52</v>
      </c>
      <c r="C1362" s="5" t="s">
        <v>40</v>
      </c>
      <c r="D1362" s="5" t="s">
        <v>51</v>
      </c>
      <c r="E1362" s="5" t="s">
        <v>44</v>
      </c>
      <c r="F1362" s="5" t="s">
        <v>137</v>
      </c>
      <c r="G1362" s="8">
        <v>2</v>
      </c>
      <c r="H1362" s="8">
        <v>8446</v>
      </c>
      <c r="I1362" s="5" t="s">
        <v>40</v>
      </c>
      <c r="J1362" s="8">
        <v>3</v>
      </c>
      <c r="K1362" s="8">
        <v>2</v>
      </c>
      <c r="L1362" s="8">
        <v>8</v>
      </c>
    </row>
    <row r="1363" spans="1:12" x14ac:dyDescent="0.8">
      <c r="A1363" s="5" t="s">
        <v>1435</v>
      </c>
      <c r="B1363" s="8">
        <v>52</v>
      </c>
      <c r="C1363" s="5" t="s">
        <v>49</v>
      </c>
      <c r="D1363" s="5" t="s">
        <v>42</v>
      </c>
      <c r="E1363" s="5" t="s">
        <v>53</v>
      </c>
      <c r="F1363" s="5" t="s">
        <v>112</v>
      </c>
      <c r="G1363" s="8">
        <v>3</v>
      </c>
      <c r="H1363" s="8">
        <v>13247</v>
      </c>
      <c r="I1363" s="5" t="s">
        <v>40</v>
      </c>
      <c r="J1363" s="8">
        <v>3</v>
      </c>
      <c r="K1363" s="8">
        <v>3</v>
      </c>
      <c r="L1363" s="8">
        <v>5</v>
      </c>
    </row>
    <row r="1364" spans="1:12" x14ac:dyDescent="0.8">
      <c r="A1364" s="5" t="s">
        <v>1436</v>
      </c>
      <c r="B1364" s="8">
        <v>52</v>
      </c>
      <c r="C1364" s="5" t="s">
        <v>49</v>
      </c>
      <c r="D1364" s="5" t="s">
        <v>42</v>
      </c>
      <c r="E1364" s="5" t="s">
        <v>53</v>
      </c>
      <c r="F1364" s="5" t="s">
        <v>45</v>
      </c>
      <c r="G1364" s="8">
        <v>1</v>
      </c>
      <c r="H1364" s="8">
        <v>2950</v>
      </c>
      <c r="I1364" s="5" t="s">
        <v>49</v>
      </c>
      <c r="J1364" s="8">
        <v>3</v>
      </c>
      <c r="K1364" s="8">
        <v>2</v>
      </c>
      <c r="L1364" s="8">
        <v>5</v>
      </c>
    </row>
    <row r="1365" spans="1:12" x14ac:dyDescent="0.8">
      <c r="A1365" s="5" t="s">
        <v>1437</v>
      </c>
      <c r="B1365" s="8">
        <v>52</v>
      </c>
      <c r="C1365" s="5" t="s">
        <v>49</v>
      </c>
      <c r="D1365" s="5" t="s">
        <v>51</v>
      </c>
      <c r="E1365" s="5" t="s">
        <v>44</v>
      </c>
      <c r="F1365" s="5" t="s">
        <v>54</v>
      </c>
      <c r="G1365" s="8">
        <v>4</v>
      </c>
      <c r="H1365" s="8">
        <v>3482</v>
      </c>
      <c r="I1365" s="5" t="s">
        <v>49</v>
      </c>
      <c r="J1365" s="8">
        <v>3</v>
      </c>
      <c r="K1365" s="8">
        <v>3</v>
      </c>
      <c r="L1365" s="8">
        <v>9</v>
      </c>
    </row>
    <row r="1366" spans="1:12" x14ac:dyDescent="0.8">
      <c r="A1366" s="5" t="s">
        <v>1438</v>
      </c>
      <c r="B1366" s="8">
        <v>53</v>
      </c>
      <c r="C1366" s="5" t="s">
        <v>49</v>
      </c>
      <c r="D1366" s="5" t="s">
        <v>51</v>
      </c>
      <c r="E1366" s="5" t="s">
        <v>53</v>
      </c>
      <c r="F1366" s="5" t="s">
        <v>442</v>
      </c>
      <c r="G1366" s="8">
        <v>4</v>
      </c>
      <c r="H1366" s="8">
        <v>15427</v>
      </c>
      <c r="I1366" s="5" t="s">
        <v>49</v>
      </c>
      <c r="J1366" s="8">
        <v>3</v>
      </c>
      <c r="K1366" s="8">
        <v>3</v>
      </c>
      <c r="L1366" s="8">
        <v>25</v>
      </c>
    </row>
    <row r="1367" spans="1:12" x14ac:dyDescent="0.8">
      <c r="A1367" s="5" t="s">
        <v>1439</v>
      </c>
      <c r="B1367" s="8">
        <v>53</v>
      </c>
      <c r="C1367" s="5" t="s">
        <v>49</v>
      </c>
      <c r="D1367" s="5" t="s">
        <v>42</v>
      </c>
      <c r="E1367" s="5" t="s">
        <v>53</v>
      </c>
      <c r="F1367" s="5" t="s">
        <v>442</v>
      </c>
      <c r="G1367" s="8">
        <v>3</v>
      </c>
      <c r="H1367" s="8">
        <v>19094</v>
      </c>
      <c r="I1367" s="5" t="s">
        <v>49</v>
      </c>
      <c r="J1367" s="8">
        <v>3</v>
      </c>
      <c r="K1367" s="8">
        <v>3</v>
      </c>
      <c r="L1367" s="8">
        <v>14</v>
      </c>
    </row>
    <row r="1368" spans="1:12" x14ac:dyDescent="0.8">
      <c r="A1368" s="5" t="s">
        <v>1440</v>
      </c>
      <c r="B1368" s="8">
        <v>53</v>
      </c>
      <c r="C1368" s="5" t="s">
        <v>49</v>
      </c>
      <c r="D1368" s="5" t="s">
        <v>51</v>
      </c>
      <c r="E1368" s="5" t="s">
        <v>44</v>
      </c>
      <c r="F1368" s="5" t="s">
        <v>54</v>
      </c>
      <c r="G1368" s="8">
        <v>3</v>
      </c>
      <c r="H1368" s="8">
        <v>2306</v>
      </c>
      <c r="I1368" s="5" t="s">
        <v>40</v>
      </c>
      <c r="J1368" s="8">
        <v>4</v>
      </c>
      <c r="K1368" s="8">
        <v>3</v>
      </c>
      <c r="L1368" s="8">
        <v>7</v>
      </c>
    </row>
    <row r="1369" spans="1:12" x14ac:dyDescent="0.8">
      <c r="A1369" s="5" t="s">
        <v>1441</v>
      </c>
      <c r="B1369" s="8">
        <v>53</v>
      </c>
      <c r="C1369" s="5" t="s">
        <v>49</v>
      </c>
      <c r="D1369" s="5" t="s">
        <v>42</v>
      </c>
      <c r="E1369" s="5" t="s">
        <v>53</v>
      </c>
      <c r="F1369" s="5" t="s">
        <v>112</v>
      </c>
      <c r="G1369" s="8">
        <v>1</v>
      </c>
      <c r="H1369" s="8">
        <v>4450</v>
      </c>
      <c r="I1369" s="5" t="s">
        <v>49</v>
      </c>
      <c r="J1369" s="8">
        <v>3</v>
      </c>
      <c r="K1369" s="8">
        <v>3</v>
      </c>
      <c r="L1369" s="8">
        <v>4</v>
      </c>
    </row>
    <row r="1370" spans="1:12" x14ac:dyDescent="0.8">
      <c r="A1370" s="5" t="s">
        <v>1442</v>
      </c>
      <c r="B1370" s="8">
        <v>53</v>
      </c>
      <c r="C1370" s="5" t="s">
        <v>49</v>
      </c>
      <c r="D1370" s="5" t="s">
        <v>42</v>
      </c>
      <c r="E1370" s="5" t="s">
        <v>44</v>
      </c>
      <c r="F1370" s="5" t="s">
        <v>252</v>
      </c>
      <c r="G1370" s="8">
        <v>3</v>
      </c>
      <c r="H1370" s="8">
        <v>17584</v>
      </c>
      <c r="I1370" s="5" t="s">
        <v>40</v>
      </c>
      <c r="J1370" s="8">
        <v>3</v>
      </c>
      <c r="K1370" s="8">
        <v>5</v>
      </c>
      <c r="L1370" s="8">
        <v>5</v>
      </c>
    </row>
    <row r="1371" spans="1:12" x14ac:dyDescent="0.8">
      <c r="A1371" s="5" t="s">
        <v>1443</v>
      </c>
      <c r="B1371" s="8">
        <v>53</v>
      </c>
      <c r="C1371" s="5" t="s">
        <v>49</v>
      </c>
      <c r="D1371" s="5" t="s">
        <v>51</v>
      </c>
      <c r="E1371" s="5" t="s">
        <v>53</v>
      </c>
      <c r="F1371" s="5" t="s">
        <v>137</v>
      </c>
      <c r="G1371" s="8">
        <v>1</v>
      </c>
      <c r="H1371" s="8">
        <v>8381</v>
      </c>
      <c r="I1371" s="5" t="s">
        <v>49</v>
      </c>
      <c r="J1371" s="8">
        <v>4</v>
      </c>
      <c r="K1371" s="8">
        <v>2</v>
      </c>
      <c r="L1371" s="8">
        <v>14</v>
      </c>
    </row>
    <row r="1372" spans="1:12" x14ac:dyDescent="0.8">
      <c r="A1372" s="5" t="s">
        <v>1444</v>
      </c>
      <c r="B1372" s="8">
        <v>53</v>
      </c>
      <c r="C1372" s="5" t="s">
        <v>49</v>
      </c>
      <c r="D1372" s="5" t="s">
        <v>42</v>
      </c>
      <c r="E1372" s="5" t="s">
        <v>44</v>
      </c>
      <c r="F1372" s="5" t="s">
        <v>252</v>
      </c>
      <c r="G1372" s="8">
        <v>3</v>
      </c>
      <c r="H1372" s="8">
        <v>14814</v>
      </c>
      <c r="I1372" s="5" t="s">
        <v>49</v>
      </c>
      <c r="J1372" s="8">
        <v>3</v>
      </c>
      <c r="K1372" s="8">
        <v>3</v>
      </c>
      <c r="L1372" s="8">
        <v>5</v>
      </c>
    </row>
    <row r="1373" spans="1:12" x14ac:dyDescent="0.8">
      <c r="A1373" s="5" t="s">
        <v>1445</v>
      </c>
      <c r="B1373" s="8">
        <v>53</v>
      </c>
      <c r="C1373" s="5" t="s">
        <v>49</v>
      </c>
      <c r="D1373" s="5" t="s">
        <v>42</v>
      </c>
      <c r="E1373" s="5" t="s">
        <v>44</v>
      </c>
      <c r="F1373" s="5" t="s">
        <v>45</v>
      </c>
      <c r="G1373" s="8">
        <v>4</v>
      </c>
      <c r="H1373" s="8">
        <v>2450</v>
      </c>
      <c r="I1373" s="5" t="s">
        <v>49</v>
      </c>
      <c r="J1373" s="8">
        <v>3</v>
      </c>
      <c r="K1373" s="8">
        <v>4</v>
      </c>
      <c r="L1373" s="8">
        <v>2</v>
      </c>
    </row>
    <row r="1374" spans="1:12" x14ac:dyDescent="0.8">
      <c r="A1374" s="5" t="s">
        <v>1446</v>
      </c>
      <c r="B1374" s="8">
        <v>53</v>
      </c>
      <c r="C1374" s="5" t="s">
        <v>49</v>
      </c>
      <c r="D1374" s="5" t="s">
        <v>51</v>
      </c>
      <c r="E1374" s="5" t="s">
        <v>53</v>
      </c>
      <c r="F1374" s="5" t="s">
        <v>137</v>
      </c>
      <c r="G1374" s="8">
        <v>4</v>
      </c>
      <c r="H1374" s="8">
        <v>10934</v>
      </c>
      <c r="I1374" s="5" t="s">
        <v>40</v>
      </c>
      <c r="J1374" s="8">
        <v>3</v>
      </c>
      <c r="K1374" s="8">
        <v>3</v>
      </c>
      <c r="L1374" s="8">
        <v>5</v>
      </c>
    </row>
    <row r="1375" spans="1:12" x14ac:dyDescent="0.8">
      <c r="A1375" s="5" t="s">
        <v>1447</v>
      </c>
      <c r="B1375" s="8">
        <v>53</v>
      </c>
      <c r="C1375" s="5" t="s">
        <v>49</v>
      </c>
      <c r="D1375" s="5" t="s">
        <v>51</v>
      </c>
      <c r="E1375" s="5" t="s">
        <v>44</v>
      </c>
      <c r="F1375" s="5" t="s">
        <v>137</v>
      </c>
      <c r="G1375" s="8">
        <v>4</v>
      </c>
      <c r="H1375" s="8">
        <v>11836</v>
      </c>
      <c r="I1375" s="5" t="s">
        <v>49</v>
      </c>
      <c r="J1375" s="8">
        <v>3</v>
      </c>
      <c r="K1375" s="8">
        <v>3</v>
      </c>
      <c r="L1375" s="8">
        <v>2</v>
      </c>
    </row>
    <row r="1376" spans="1:12" x14ac:dyDescent="0.8">
      <c r="A1376" s="5" t="s">
        <v>1448</v>
      </c>
      <c r="B1376" s="8">
        <v>53</v>
      </c>
      <c r="C1376" s="5" t="s">
        <v>49</v>
      </c>
      <c r="D1376" s="5" t="s">
        <v>42</v>
      </c>
      <c r="E1376" s="5" t="s">
        <v>53</v>
      </c>
      <c r="F1376" s="5" t="s">
        <v>252</v>
      </c>
      <c r="G1376" s="8">
        <v>4</v>
      </c>
      <c r="H1376" s="8">
        <v>14275</v>
      </c>
      <c r="I1376" s="5" t="s">
        <v>49</v>
      </c>
      <c r="J1376" s="8">
        <v>3</v>
      </c>
      <c r="K1376" s="8">
        <v>0</v>
      </c>
      <c r="L1376" s="8">
        <v>12</v>
      </c>
    </row>
    <row r="1377" spans="1:12" x14ac:dyDescent="0.8">
      <c r="A1377" s="5" t="s">
        <v>1449</v>
      </c>
      <c r="B1377" s="8">
        <v>53</v>
      </c>
      <c r="C1377" s="5" t="s">
        <v>49</v>
      </c>
      <c r="D1377" s="5" t="s">
        <v>51</v>
      </c>
      <c r="E1377" s="5" t="s">
        <v>44</v>
      </c>
      <c r="F1377" s="5" t="s">
        <v>442</v>
      </c>
      <c r="G1377" s="8">
        <v>3</v>
      </c>
      <c r="H1377" s="8">
        <v>14852</v>
      </c>
      <c r="I1377" s="5" t="s">
        <v>49</v>
      </c>
      <c r="J1377" s="8">
        <v>3</v>
      </c>
      <c r="K1377" s="8">
        <v>3</v>
      </c>
      <c r="L1377" s="8">
        <v>17</v>
      </c>
    </row>
    <row r="1378" spans="1:12" x14ac:dyDescent="0.8">
      <c r="A1378" s="5" t="s">
        <v>1450</v>
      </c>
      <c r="B1378" s="8">
        <v>53</v>
      </c>
      <c r="C1378" s="5" t="s">
        <v>49</v>
      </c>
      <c r="D1378" s="5" t="s">
        <v>51</v>
      </c>
      <c r="E1378" s="5" t="s">
        <v>53</v>
      </c>
      <c r="F1378" s="5" t="s">
        <v>137</v>
      </c>
      <c r="G1378" s="8">
        <v>2</v>
      </c>
      <c r="H1378" s="8">
        <v>7525</v>
      </c>
      <c r="I1378" s="5" t="s">
        <v>49</v>
      </c>
      <c r="J1378" s="8">
        <v>3</v>
      </c>
      <c r="K1378" s="8">
        <v>2</v>
      </c>
      <c r="L1378" s="8">
        <v>15</v>
      </c>
    </row>
    <row r="1379" spans="1:12" x14ac:dyDescent="0.8">
      <c r="A1379" s="5" t="s">
        <v>1451</v>
      </c>
      <c r="B1379" s="8">
        <v>53</v>
      </c>
      <c r="C1379" s="5" t="s">
        <v>49</v>
      </c>
      <c r="D1379" s="5" t="s">
        <v>42</v>
      </c>
      <c r="E1379" s="5" t="s">
        <v>53</v>
      </c>
      <c r="F1379" s="5" t="s">
        <v>442</v>
      </c>
      <c r="G1379" s="8">
        <v>3</v>
      </c>
      <c r="H1379" s="8">
        <v>18606</v>
      </c>
      <c r="I1379" s="5" t="s">
        <v>49</v>
      </c>
      <c r="J1379" s="8">
        <v>3</v>
      </c>
      <c r="K1379" s="8">
        <v>6</v>
      </c>
      <c r="L1379" s="8">
        <v>7</v>
      </c>
    </row>
    <row r="1380" spans="1:12" x14ac:dyDescent="0.8">
      <c r="A1380" s="5" t="s">
        <v>1452</v>
      </c>
      <c r="B1380" s="8">
        <v>53</v>
      </c>
      <c r="C1380" s="5" t="s">
        <v>49</v>
      </c>
      <c r="D1380" s="5" t="s">
        <v>42</v>
      </c>
      <c r="E1380" s="5" t="s">
        <v>44</v>
      </c>
      <c r="F1380" s="5" t="s">
        <v>252</v>
      </c>
      <c r="G1380" s="8">
        <v>2</v>
      </c>
      <c r="H1380" s="8">
        <v>16598</v>
      </c>
      <c r="I1380" s="5" t="s">
        <v>49</v>
      </c>
      <c r="J1380" s="8">
        <v>3</v>
      </c>
      <c r="K1380" s="8">
        <v>2</v>
      </c>
      <c r="L1380" s="8">
        <v>9</v>
      </c>
    </row>
    <row r="1381" spans="1:12" x14ac:dyDescent="0.8">
      <c r="A1381" s="5" t="s">
        <v>1453</v>
      </c>
      <c r="B1381" s="8">
        <v>53</v>
      </c>
      <c r="C1381" s="5" t="s">
        <v>40</v>
      </c>
      <c r="D1381" s="5" t="s">
        <v>42</v>
      </c>
      <c r="E1381" s="5" t="s">
        <v>53</v>
      </c>
      <c r="F1381" s="5" t="s">
        <v>112</v>
      </c>
      <c r="G1381" s="8">
        <v>4</v>
      </c>
      <c r="H1381" s="8">
        <v>10169</v>
      </c>
      <c r="I1381" s="5" t="s">
        <v>49</v>
      </c>
      <c r="J1381" s="8">
        <v>3</v>
      </c>
      <c r="K1381" s="8">
        <v>4</v>
      </c>
      <c r="L1381" s="8">
        <v>33</v>
      </c>
    </row>
    <row r="1382" spans="1:12" x14ac:dyDescent="0.8">
      <c r="A1382" s="5" t="s">
        <v>1454</v>
      </c>
      <c r="B1382" s="8">
        <v>53</v>
      </c>
      <c r="C1382" s="5" t="s">
        <v>49</v>
      </c>
      <c r="D1382" s="5" t="s">
        <v>42</v>
      </c>
      <c r="E1382" s="5" t="s">
        <v>44</v>
      </c>
      <c r="F1382" s="5" t="s">
        <v>161</v>
      </c>
      <c r="G1382" s="8">
        <v>4</v>
      </c>
      <c r="H1382" s="8">
        <v>7005</v>
      </c>
      <c r="I1382" s="5" t="s">
        <v>49</v>
      </c>
      <c r="J1382" s="8">
        <v>3</v>
      </c>
      <c r="K1382" s="8">
        <v>2</v>
      </c>
      <c r="L1382" s="8">
        <v>4</v>
      </c>
    </row>
    <row r="1383" spans="1:12" x14ac:dyDescent="0.8">
      <c r="A1383" s="5" t="s">
        <v>1455</v>
      </c>
      <c r="B1383" s="8">
        <v>53</v>
      </c>
      <c r="C1383" s="5" t="s">
        <v>49</v>
      </c>
      <c r="D1383" s="5" t="s">
        <v>42</v>
      </c>
      <c r="E1383" s="5" t="s">
        <v>53</v>
      </c>
      <c r="F1383" s="5" t="s">
        <v>112</v>
      </c>
      <c r="G1383" s="8">
        <v>3</v>
      </c>
      <c r="H1383" s="8">
        <v>12965</v>
      </c>
      <c r="I1383" s="5" t="s">
        <v>40</v>
      </c>
      <c r="J1383" s="8">
        <v>4</v>
      </c>
      <c r="K1383" s="8">
        <v>2</v>
      </c>
      <c r="L1383" s="8">
        <v>3</v>
      </c>
    </row>
    <row r="1384" spans="1:12" x14ac:dyDescent="0.8">
      <c r="A1384" s="5" t="s">
        <v>1456</v>
      </c>
      <c r="B1384" s="8">
        <v>53</v>
      </c>
      <c r="C1384" s="5" t="s">
        <v>40</v>
      </c>
      <c r="D1384" s="5" t="s">
        <v>51</v>
      </c>
      <c r="E1384" s="5" t="s">
        <v>44</v>
      </c>
      <c r="F1384" s="5" t="s">
        <v>137</v>
      </c>
      <c r="G1384" s="8">
        <v>1</v>
      </c>
      <c r="H1384" s="8">
        <v>10448</v>
      </c>
      <c r="I1384" s="5" t="s">
        <v>40</v>
      </c>
      <c r="J1384" s="8">
        <v>3</v>
      </c>
      <c r="K1384" s="8">
        <v>2</v>
      </c>
      <c r="L1384" s="8">
        <v>2</v>
      </c>
    </row>
    <row r="1385" spans="1:12" x14ac:dyDescent="0.8">
      <c r="A1385" s="5" t="s">
        <v>1457</v>
      </c>
      <c r="B1385" s="8">
        <v>54</v>
      </c>
      <c r="C1385" s="5" t="s">
        <v>49</v>
      </c>
      <c r="D1385" s="5" t="s">
        <v>42</v>
      </c>
      <c r="E1385" s="5" t="s">
        <v>53</v>
      </c>
      <c r="F1385" s="5" t="s">
        <v>252</v>
      </c>
      <c r="G1385" s="8">
        <v>3</v>
      </c>
      <c r="H1385" s="8">
        <v>13549</v>
      </c>
      <c r="I1385" s="5" t="s">
        <v>49</v>
      </c>
      <c r="J1385" s="8">
        <v>3</v>
      </c>
      <c r="K1385" s="8">
        <v>5</v>
      </c>
      <c r="L1385" s="8">
        <v>4</v>
      </c>
    </row>
    <row r="1386" spans="1:12" x14ac:dyDescent="0.8">
      <c r="A1386" s="5" t="s">
        <v>1458</v>
      </c>
      <c r="B1386" s="8">
        <v>54</v>
      </c>
      <c r="C1386" s="5" t="s">
        <v>49</v>
      </c>
      <c r="D1386" s="5" t="s">
        <v>71</v>
      </c>
      <c r="E1386" s="5" t="s">
        <v>53</v>
      </c>
      <c r="F1386" s="5" t="s">
        <v>442</v>
      </c>
      <c r="G1386" s="8">
        <v>4</v>
      </c>
      <c r="H1386" s="8">
        <v>17328</v>
      </c>
      <c r="I1386" s="5" t="s">
        <v>40</v>
      </c>
      <c r="J1386" s="8">
        <v>3</v>
      </c>
      <c r="K1386" s="8">
        <v>3</v>
      </c>
      <c r="L1386" s="8">
        <v>5</v>
      </c>
    </row>
    <row r="1387" spans="1:12" x14ac:dyDescent="0.8">
      <c r="A1387" s="5" t="s">
        <v>1459</v>
      </c>
      <c r="B1387" s="8">
        <v>54</v>
      </c>
      <c r="C1387" s="5" t="s">
        <v>49</v>
      </c>
      <c r="D1387" s="5" t="s">
        <v>51</v>
      </c>
      <c r="E1387" s="5" t="s">
        <v>53</v>
      </c>
      <c r="F1387" s="5" t="s">
        <v>137</v>
      </c>
      <c r="G1387" s="8">
        <v>1</v>
      </c>
      <c r="H1387" s="8">
        <v>5940</v>
      </c>
      <c r="I1387" s="5" t="s">
        <v>49</v>
      </c>
      <c r="J1387" s="8">
        <v>3</v>
      </c>
      <c r="K1387" s="8">
        <v>4</v>
      </c>
      <c r="L1387" s="8">
        <v>6</v>
      </c>
    </row>
    <row r="1388" spans="1:12" x14ac:dyDescent="0.8">
      <c r="A1388" s="5" t="s">
        <v>1460</v>
      </c>
      <c r="B1388" s="8">
        <v>54</v>
      </c>
      <c r="C1388" s="5" t="s">
        <v>49</v>
      </c>
      <c r="D1388" s="5" t="s">
        <v>42</v>
      </c>
      <c r="E1388" s="5" t="s">
        <v>53</v>
      </c>
      <c r="F1388" s="5" t="s">
        <v>60</v>
      </c>
      <c r="G1388" s="8">
        <v>3</v>
      </c>
      <c r="H1388" s="8">
        <v>4869</v>
      </c>
      <c r="I1388" s="5" t="s">
        <v>49</v>
      </c>
      <c r="J1388" s="8">
        <v>3</v>
      </c>
      <c r="K1388" s="8">
        <v>4</v>
      </c>
      <c r="L1388" s="8">
        <v>4</v>
      </c>
    </row>
    <row r="1389" spans="1:12" x14ac:dyDescent="0.8">
      <c r="A1389" s="5" t="s">
        <v>1461</v>
      </c>
      <c r="B1389" s="8">
        <v>54</v>
      </c>
      <c r="C1389" s="5" t="s">
        <v>49</v>
      </c>
      <c r="D1389" s="5" t="s">
        <v>42</v>
      </c>
      <c r="E1389" s="5" t="s">
        <v>44</v>
      </c>
      <c r="F1389" s="5" t="s">
        <v>252</v>
      </c>
      <c r="G1389" s="8">
        <v>1</v>
      </c>
      <c r="H1389" s="8">
        <v>19406</v>
      </c>
      <c r="I1389" s="5" t="s">
        <v>49</v>
      </c>
      <c r="J1389" s="8">
        <v>3</v>
      </c>
      <c r="K1389" s="8">
        <v>4</v>
      </c>
      <c r="L1389" s="8">
        <v>4</v>
      </c>
    </row>
    <row r="1390" spans="1:12" x14ac:dyDescent="0.8">
      <c r="A1390" s="5" t="s">
        <v>1462</v>
      </c>
      <c r="B1390" s="8">
        <v>54</v>
      </c>
      <c r="C1390" s="5" t="s">
        <v>49</v>
      </c>
      <c r="D1390" s="5" t="s">
        <v>42</v>
      </c>
      <c r="E1390" s="5" t="s">
        <v>53</v>
      </c>
      <c r="F1390" s="5" t="s">
        <v>45</v>
      </c>
      <c r="G1390" s="8">
        <v>3</v>
      </c>
      <c r="H1390" s="8">
        <v>3780</v>
      </c>
      <c r="I1390" s="5" t="s">
        <v>49</v>
      </c>
      <c r="J1390" s="8">
        <v>3</v>
      </c>
      <c r="K1390" s="8">
        <v>3</v>
      </c>
      <c r="L1390" s="8">
        <v>1</v>
      </c>
    </row>
    <row r="1391" spans="1:12" x14ac:dyDescent="0.8">
      <c r="A1391" s="5" t="s">
        <v>1463</v>
      </c>
      <c r="B1391" s="8">
        <v>54</v>
      </c>
      <c r="C1391" s="5" t="s">
        <v>49</v>
      </c>
      <c r="D1391" s="5" t="s">
        <v>71</v>
      </c>
      <c r="E1391" s="5" t="s">
        <v>44</v>
      </c>
      <c r="F1391" s="5" t="s">
        <v>71</v>
      </c>
      <c r="G1391" s="8">
        <v>2</v>
      </c>
      <c r="H1391" s="8">
        <v>10725</v>
      </c>
      <c r="I1391" s="5" t="s">
        <v>49</v>
      </c>
      <c r="J1391" s="8">
        <v>3</v>
      </c>
      <c r="K1391" s="8">
        <v>1</v>
      </c>
      <c r="L1391" s="8">
        <v>9</v>
      </c>
    </row>
    <row r="1392" spans="1:12" x14ac:dyDescent="0.8">
      <c r="A1392" s="5" t="s">
        <v>1464</v>
      </c>
      <c r="B1392" s="8">
        <v>54</v>
      </c>
      <c r="C1392" s="5" t="s">
        <v>49</v>
      </c>
      <c r="D1392" s="5" t="s">
        <v>42</v>
      </c>
      <c r="E1392" s="5" t="s">
        <v>53</v>
      </c>
      <c r="F1392" s="5" t="s">
        <v>112</v>
      </c>
      <c r="G1392" s="8">
        <v>1</v>
      </c>
      <c r="H1392" s="8">
        <v>5485</v>
      </c>
      <c r="I1392" s="5" t="s">
        <v>40</v>
      </c>
      <c r="J1392" s="8">
        <v>3</v>
      </c>
      <c r="K1392" s="8">
        <v>4</v>
      </c>
      <c r="L1392" s="8">
        <v>5</v>
      </c>
    </row>
    <row r="1393" spans="1:12" x14ac:dyDescent="0.8">
      <c r="A1393" s="5" t="s">
        <v>1465</v>
      </c>
      <c r="B1393" s="8">
        <v>54</v>
      </c>
      <c r="C1393" s="5" t="s">
        <v>49</v>
      </c>
      <c r="D1393" s="5" t="s">
        <v>42</v>
      </c>
      <c r="E1393" s="5" t="s">
        <v>53</v>
      </c>
      <c r="F1393" s="5" t="s">
        <v>112</v>
      </c>
      <c r="G1393" s="8">
        <v>3</v>
      </c>
      <c r="H1393" s="8">
        <v>10739</v>
      </c>
      <c r="I1393" s="5" t="s">
        <v>49</v>
      </c>
      <c r="J1393" s="8">
        <v>3</v>
      </c>
      <c r="K1393" s="8">
        <v>2</v>
      </c>
      <c r="L1393" s="8">
        <v>10</v>
      </c>
    </row>
    <row r="1394" spans="1:12" x14ac:dyDescent="0.8">
      <c r="A1394" s="5" t="s">
        <v>1466</v>
      </c>
      <c r="B1394" s="8">
        <v>54</v>
      </c>
      <c r="C1394" s="5" t="s">
        <v>49</v>
      </c>
      <c r="D1394" s="5" t="s">
        <v>51</v>
      </c>
      <c r="E1394" s="5" t="s">
        <v>53</v>
      </c>
      <c r="F1394" s="5" t="s">
        <v>137</v>
      </c>
      <c r="G1394" s="8">
        <v>3</v>
      </c>
      <c r="H1394" s="8">
        <v>10686</v>
      </c>
      <c r="I1394" s="5" t="s">
        <v>49</v>
      </c>
      <c r="J1394" s="8">
        <v>3</v>
      </c>
      <c r="K1394" s="8">
        <v>4</v>
      </c>
      <c r="L1394" s="8">
        <v>9</v>
      </c>
    </row>
    <row r="1395" spans="1:12" x14ac:dyDescent="0.8">
      <c r="A1395" s="5" t="s">
        <v>1467</v>
      </c>
      <c r="B1395" s="8">
        <v>54</v>
      </c>
      <c r="C1395" s="5" t="s">
        <v>49</v>
      </c>
      <c r="D1395" s="5" t="s">
        <v>42</v>
      </c>
      <c r="E1395" s="5" t="s">
        <v>53</v>
      </c>
      <c r="F1395" s="5" t="s">
        <v>112</v>
      </c>
      <c r="G1395" s="8">
        <v>3</v>
      </c>
      <c r="H1395" s="8">
        <v>10502</v>
      </c>
      <c r="I1395" s="5" t="s">
        <v>49</v>
      </c>
      <c r="J1395" s="8">
        <v>3</v>
      </c>
      <c r="K1395" s="8">
        <v>2</v>
      </c>
      <c r="L1395" s="8">
        <v>5</v>
      </c>
    </row>
    <row r="1396" spans="1:12" x14ac:dyDescent="0.8">
      <c r="A1396" s="5" t="s">
        <v>1468</v>
      </c>
      <c r="B1396" s="8">
        <v>54</v>
      </c>
      <c r="C1396" s="5" t="s">
        <v>49</v>
      </c>
      <c r="D1396" s="5" t="s">
        <v>42</v>
      </c>
      <c r="E1396" s="5" t="s">
        <v>44</v>
      </c>
      <c r="F1396" s="5" t="s">
        <v>252</v>
      </c>
      <c r="G1396" s="8">
        <v>4</v>
      </c>
      <c r="H1396" s="8">
        <v>17779</v>
      </c>
      <c r="I1396" s="5" t="s">
        <v>49</v>
      </c>
      <c r="J1396" s="8">
        <v>3</v>
      </c>
      <c r="K1396" s="8">
        <v>2</v>
      </c>
      <c r="L1396" s="8">
        <v>10</v>
      </c>
    </row>
    <row r="1397" spans="1:12" x14ac:dyDescent="0.8">
      <c r="A1397" s="5" t="s">
        <v>1469</v>
      </c>
      <c r="B1397" s="8">
        <v>54</v>
      </c>
      <c r="C1397" s="5" t="s">
        <v>49</v>
      </c>
      <c r="D1397" s="5" t="s">
        <v>42</v>
      </c>
      <c r="E1397" s="5" t="s">
        <v>53</v>
      </c>
      <c r="F1397" s="5" t="s">
        <v>252</v>
      </c>
      <c r="G1397" s="8">
        <v>4</v>
      </c>
      <c r="H1397" s="8">
        <v>17328</v>
      </c>
      <c r="I1397" s="5" t="s">
        <v>49</v>
      </c>
      <c r="J1397" s="8">
        <v>3</v>
      </c>
      <c r="K1397" s="8">
        <v>3</v>
      </c>
      <c r="L1397" s="8">
        <v>20</v>
      </c>
    </row>
    <row r="1398" spans="1:12" x14ac:dyDescent="0.8">
      <c r="A1398" s="5" t="s">
        <v>1470</v>
      </c>
      <c r="B1398" s="8">
        <v>54</v>
      </c>
      <c r="C1398" s="5" t="s">
        <v>49</v>
      </c>
      <c r="D1398" s="5" t="s">
        <v>42</v>
      </c>
      <c r="E1398" s="5" t="s">
        <v>53</v>
      </c>
      <c r="F1398" s="5" t="s">
        <v>442</v>
      </c>
      <c r="G1398" s="8">
        <v>4</v>
      </c>
      <c r="H1398" s="8">
        <v>16032</v>
      </c>
      <c r="I1398" s="5" t="s">
        <v>49</v>
      </c>
      <c r="J1398" s="8">
        <v>4</v>
      </c>
      <c r="K1398" s="8">
        <v>2</v>
      </c>
      <c r="L1398" s="8">
        <v>14</v>
      </c>
    </row>
    <row r="1399" spans="1:12" x14ac:dyDescent="0.8">
      <c r="A1399" s="5" t="s">
        <v>1471</v>
      </c>
      <c r="B1399" s="8">
        <v>54</v>
      </c>
      <c r="C1399" s="5" t="s">
        <v>49</v>
      </c>
      <c r="D1399" s="5" t="s">
        <v>42</v>
      </c>
      <c r="E1399" s="5" t="s">
        <v>53</v>
      </c>
      <c r="F1399" s="5" t="s">
        <v>442</v>
      </c>
      <c r="G1399" s="8">
        <v>3</v>
      </c>
      <c r="H1399" s="8">
        <v>17426</v>
      </c>
      <c r="I1399" s="5" t="s">
        <v>49</v>
      </c>
      <c r="J1399" s="8">
        <v>4</v>
      </c>
      <c r="K1399" s="8">
        <v>6</v>
      </c>
      <c r="L1399" s="8">
        <v>10</v>
      </c>
    </row>
    <row r="1400" spans="1:12" x14ac:dyDescent="0.8">
      <c r="A1400" s="5" t="s">
        <v>1472</v>
      </c>
      <c r="B1400" s="8">
        <v>54</v>
      </c>
      <c r="C1400" s="5" t="s">
        <v>49</v>
      </c>
      <c r="D1400" s="5" t="s">
        <v>42</v>
      </c>
      <c r="E1400" s="5" t="s">
        <v>53</v>
      </c>
      <c r="F1400" s="5" t="s">
        <v>60</v>
      </c>
      <c r="G1400" s="8">
        <v>4</v>
      </c>
      <c r="H1400" s="8">
        <v>6854</v>
      </c>
      <c r="I1400" s="5" t="s">
        <v>49</v>
      </c>
      <c r="J1400" s="8">
        <v>3</v>
      </c>
      <c r="K1400" s="8">
        <v>2</v>
      </c>
      <c r="L1400" s="8">
        <v>7</v>
      </c>
    </row>
    <row r="1401" spans="1:12" x14ac:dyDescent="0.8">
      <c r="A1401" s="5" t="s">
        <v>1473</v>
      </c>
      <c r="B1401" s="8">
        <v>54</v>
      </c>
      <c r="C1401" s="5" t="s">
        <v>49</v>
      </c>
      <c r="D1401" s="5" t="s">
        <v>42</v>
      </c>
      <c r="E1401" s="5" t="s">
        <v>53</v>
      </c>
      <c r="F1401" s="5" t="s">
        <v>60</v>
      </c>
      <c r="G1401" s="8">
        <v>3</v>
      </c>
      <c r="H1401" s="8">
        <v>2897</v>
      </c>
      <c r="I1401" s="5" t="s">
        <v>49</v>
      </c>
      <c r="J1401" s="8">
        <v>3</v>
      </c>
      <c r="K1401" s="8">
        <v>6</v>
      </c>
      <c r="L1401" s="8">
        <v>4</v>
      </c>
    </row>
    <row r="1402" spans="1:12" x14ac:dyDescent="0.8">
      <c r="A1402" s="5" t="s">
        <v>1474</v>
      </c>
      <c r="B1402" s="8">
        <v>54</v>
      </c>
      <c r="C1402" s="5" t="s">
        <v>49</v>
      </c>
      <c r="D1402" s="5" t="s">
        <v>42</v>
      </c>
      <c r="E1402" s="5" t="s">
        <v>53</v>
      </c>
      <c r="F1402" s="5" t="s">
        <v>112</v>
      </c>
      <c r="G1402" s="8">
        <v>1</v>
      </c>
      <c r="H1402" s="8">
        <v>4440</v>
      </c>
      <c r="I1402" s="5" t="s">
        <v>40</v>
      </c>
      <c r="J1402" s="8">
        <v>3</v>
      </c>
      <c r="K1402" s="8">
        <v>3</v>
      </c>
      <c r="L1402" s="8">
        <v>5</v>
      </c>
    </row>
    <row r="1403" spans="1:12" x14ac:dyDescent="0.8">
      <c r="A1403" s="5" t="s">
        <v>1475</v>
      </c>
      <c r="B1403" s="8">
        <v>55</v>
      </c>
      <c r="C1403" s="5" t="s">
        <v>49</v>
      </c>
      <c r="D1403" s="5" t="s">
        <v>42</v>
      </c>
      <c r="E1403" s="5" t="s">
        <v>53</v>
      </c>
      <c r="F1403" s="5" t="s">
        <v>442</v>
      </c>
      <c r="G1403" s="8">
        <v>3</v>
      </c>
      <c r="H1403" s="8">
        <v>14756</v>
      </c>
      <c r="I1403" s="5" t="s">
        <v>40</v>
      </c>
      <c r="J1403" s="8">
        <v>3</v>
      </c>
      <c r="K1403" s="8">
        <v>2</v>
      </c>
      <c r="L1403" s="8">
        <v>5</v>
      </c>
    </row>
    <row r="1404" spans="1:12" x14ac:dyDescent="0.8">
      <c r="A1404" s="5" t="s">
        <v>1476</v>
      </c>
      <c r="B1404" s="8">
        <v>55</v>
      </c>
      <c r="C1404" s="5" t="s">
        <v>49</v>
      </c>
      <c r="D1404" s="5" t="s">
        <v>51</v>
      </c>
      <c r="E1404" s="5" t="s">
        <v>44</v>
      </c>
      <c r="F1404" s="5" t="s">
        <v>137</v>
      </c>
      <c r="G1404" s="8">
        <v>4</v>
      </c>
      <c r="H1404" s="8">
        <v>10239</v>
      </c>
      <c r="I1404" s="5" t="s">
        <v>49</v>
      </c>
      <c r="J1404" s="8">
        <v>3</v>
      </c>
      <c r="K1404" s="8">
        <v>4</v>
      </c>
      <c r="L1404" s="8">
        <v>1</v>
      </c>
    </row>
    <row r="1405" spans="1:12" x14ac:dyDescent="0.8">
      <c r="A1405" s="5" t="s">
        <v>1477</v>
      </c>
      <c r="B1405" s="8">
        <v>55</v>
      </c>
      <c r="C1405" s="5" t="s">
        <v>49</v>
      </c>
      <c r="D1405" s="5" t="s">
        <v>42</v>
      </c>
      <c r="E1405" s="5" t="s">
        <v>44</v>
      </c>
      <c r="F1405" s="5" t="s">
        <v>252</v>
      </c>
      <c r="G1405" s="8">
        <v>2</v>
      </c>
      <c r="H1405" s="8">
        <v>18722</v>
      </c>
      <c r="I1405" s="5" t="s">
        <v>49</v>
      </c>
      <c r="J1405" s="8">
        <v>3</v>
      </c>
      <c r="K1405" s="8">
        <v>3</v>
      </c>
      <c r="L1405" s="8">
        <v>24</v>
      </c>
    </row>
    <row r="1406" spans="1:12" x14ac:dyDescent="0.8">
      <c r="A1406" s="5" t="s">
        <v>1478</v>
      </c>
      <c r="B1406" s="8">
        <v>55</v>
      </c>
      <c r="C1406" s="5" t="s">
        <v>49</v>
      </c>
      <c r="D1406" s="5" t="s">
        <v>42</v>
      </c>
      <c r="E1406" s="5" t="s">
        <v>44</v>
      </c>
      <c r="F1406" s="5" t="s">
        <v>442</v>
      </c>
      <c r="G1406" s="8">
        <v>1</v>
      </c>
      <c r="H1406" s="8">
        <v>19045</v>
      </c>
      <c r="I1406" s="5" t="s">
        <v>40</v>
      </c>
      <c r="J1406" s="8">
        <v>3</v>
      </c>
      <c r="K1406" s="8">
        <v>2</v>
      </c>
      <c r="L1406" s="8">
        <v>36</v>
      </c>
    </row>
    <row r="1407" spans="1:12" x14ac:dyDescent="0.8">
      <c r="A1407" s="5" t="s">
        <v>1479</v>
      </c>
      <c r="B1407" s="8">
        <v>55</v>
      </c>
      <c r="C1407" s="5" t="s">
        <v>49</v>
      </c>
      <c r="D1407" s="5" t="s">
        <v>42</v>
      </c>
      <c r="E1407" s="5" t="s">
        <v>44</v>
      </c>
      <c r="F1407" s="5" t="s">
        <v>45</v>
      </c>
      <c r="G1407" s="8">
        <v>4</v>
      </c>
      <c r="H1407" s="8">
        <v>5415</v>
      </c>
      <c r="I1407" s="5" t="s">
        <v>40</v>
      </c>
      <c r="J1407" s="8">
        <v>3</v>
      </c>
      <c r="K1407" s="8">
        <v>4</v>
      </c>
      <c r="L1407" s="8">
        <v>10</v>
      </c>
    </row>
    <row r="1408" spans="1:12" x14ac:dyDescent="0.8">
      <c r="A1408" s="5" t="s">
        <v>1480</v>
      </c>
      <c r="B1408" s="8">
        <v>55</v>
      </c>
      <c r="C1408" s="5" t="s">
        <v>49</v>
      </c>
      <c r="D1408" s="5" t="s">
        <v>42</v>
      </c>
      <c r="E1408" s="5" t="s">
        <v>53</v>
      </c>
      <c r="F1408" s="5" t="s">
        <v>442</v>
      </c>
      <c r="G1408" s="8">
        <v>4</v>
      </c>
      <c r="H1408" s="8">
        <v>16659</v>
      </c>
      <c r="I1408" s="5" t="s">
        <v>40</v>
      </c>
      <c r="J1408" s="8">
        <v>3</v>
      </c>
      <c r="K1408" s="8">
        <v>2</v>
      </c>
      <c r="L1408" s="8">
        <v>5</v>
      </c>
    </row>
    <row r="1409" spans="1:12" x14ac:dyDescent="0.8">
      <c r="A1409" s="5" t="s">
        <v>1481</v>
      </c>
      <c r="B1409" s="8">
        <v>55</v>
      </c>
      <c r="C1409" s="5" t="s">
        <v>49</v>
      </c>
      <c r="D1409" s="5" t="s">
        <v>51</v>
      </c>
      <c r="E1409" s="5" t="s">
        <v>53</v>
      </c>
      <c r="F1409" s="5" t="s">
        <v>442</v>
      </c>
      <c r="G1409" s="8">
        <v>2</v>
      </c>
      <c r="H1409" s="8">
        <v>16835</v>
      </c>
      <c r="I1409" s="5" t="s">
        <v>49</v>
      </c>
      <c r="J1409" s="8">
        <v>4</v>
      </c>
      <c r="K1409" s="8">
        <v>2</v>
      </c>
      <c r="L1409" s="8">
        <v>10</v>
      </c>
    </row>
    <row r="1410" spans="1:12" x14ac:dyDescent="0.8">
      <c r="A1410" s="5" t="s">
        <v>1482</v>
      </c>
      <c r="B1410" s="8">
        <v>55</v>
      </c>
      <c r="C1410" s="5" t="s">
        <v>40</v>
      </c>
      <c r="D1410" s="5" t="s">
        <v>42</v>
      </c>
      <c r="E1410" s="5" t="s">
        <v>44</v>
      </c>
      <c r="F1410" s="5" t="s">
        <v>442</v>
      </c>
      <c r="G1410" s="8">
        <v>1</v>
      </c>
      <c r="H1410" s="8">
        <v>19859</v>
      </c>
      <c r="I1410" s="5" t="s">
        <v>40</v>
      </c>
      <c r="J1410" s="8">
        <v>3</v>
      </c>
      <c r="K1410" s="8">
        <v>2</v>
      </c>
      <c r="L1410" s="8">
        <v>5</v>
      </c>
    </row>
    <row r="1411" spans="1:12" x14ac:dyDescent="0.8">
      <c r="A1411" s="5" t="s">
        <v>1483</v>
      </c>
      <c r="B1411" s="8">
        <v>55</v>
      </c>
      <c r="C1411" s="5" t="s">
        <v>40</v>
      </c>
      <c r="D1411" s="5" t="s">
        <v>51</v>
      </c>
      <c r="E1411" s="5" t="s">
        <v>44</v>
      </c>
      <c r="F1411" s="5" t="s">
        <v>137</v>
      </c>
      <c r="G1411" s="8">
        <v>4</v>
      </c>
      <c r="H1411" s="8">
        <v>5160</v>
      </c>
      <c r="I1411" s="5" t="s">
        <v>49</v>
      </c>
      <c r="J1411" s="8">
        <v>3</v>
      </c>
      <c r="K1411" s="8">
        <v>3</v>
      </c>
      <c r="L1411" s="8">
        <v>9</v>
      </c>
    </row>
    <row r="1412" spans="1:12" x14ac:dyDescent="0.8">
      <c r="A1412" s="5" t="s">
        <v>1484</v>
      </c>
      <c r="B1412" s="8">
        <v>55</v>
      </c>
      <c r="C1412" s="5" t="s">
        <v>49</v>
      </c>
      <c r="D1412" s="5" t="s">
        <v>42</v>
      </c>
      <c r="E1412" s="5" t="s">
        <v>44</v>
      </c>
      <c r="F1412" s="5" t="s">
        <v>161</v>
      </c>
      <c r="G1412" s="8">
        <v>2</v>
      </c>
      <c r="H1412" s="8">
        <v>6385</v>
      </c>
      <c r="I1412" s="5" t="s">
        <v>40</v>
      </c>
      <c r="J1412" s="8">
        <v>3</v>
      </c>
      <c r="K1412" s="8">
        <v>3</v>
      </c>
      <c r="L1412" s="8">
        <v>8</v>
      </c>
    </row>
    <row r="1413" spans="1:12" x14ac:dyDescent="0.8">
      <c r="A1413" s="5" t="s">
        <v>1485</v>
      </c>
      <c r="B1413" s="8">
        <v>55</v>
      </c>
      <c r="C1413" s="5" t="s">
        <v>49</v>
      </c>
      <c r="D1413" s="5" t="s">
        <v>42</v>
      </c>
      <c r="E1413" s="5" t="s">
        <v>44</v>
      </c>
      <c r="F1413" s="5" t="s">
        <v>442</v>
      </c>
      <c r="G1413" s="8">
        <v>1</v>
      </c>
      <c r="H1413" s="8">
        <v>16756</v>
      </c>
      <c r="I1413" s="5" t="s">
        <v>49</v>
      </c>
      <c r="J1413" s="8">
        <v>3</v>
      </c>
      <c r="K1413" s="8">
        <v>3</v>
      </c>
      <c r="L1413" s="8">
        <v>9</v>
      </c>
    </row>
    <row r="1414" spans="1:12" x14ac:dyDescent="0.8">
      <c r="A1414" s="5" t="s">
        <v>1486</v>
      </c>
      <c r="B1414" s="8">
        <v>55</v>
      </c>
      <c r="C1414" s="5" t="s">
        <v>49</v>
      </c>
      <c r="D1414" s="5" t="s">
        <v>42</v>
      </c>
      <c r="E1414" s="5" t="s">
        <v>44</v>
      </c>
      <c r="F1414" s="5" t="s">
        <v>112</v>
      </c>
      <c r="G1414" s="8">
        <v>2</v>
      </c>
      <c r="H1414" s="8">
        <v>10976</v>
      </c>
      <c r="I1414" s="5" t="s">
        <v>49</v>
      </c>
      <c r="J1414" s="8">
        <v>3</v>
      </c>
      <c r="K1414" s="8">
        <v>4</v>
      </c>
      <c r="L1414" s="8">
        <v>3</v>
      </c>
    </row>
    <row r="1415" spans="1:12" x14ac:dyDescent="0.8">
      <c r="A1415" s="5" t="s">
        <v>1487</v>
      </c>
      <c r="B1415" s="8">
        <v>55</v>
      </c>
      <c r="C1415" s="5" t="s">
        <v>49</v>
      </c>
      <c r="D1415" s="5" t="s">
        <v>42</v>
      </c>
      <c r="E1415" s="5" t="s">
        <v>44</v>
      </c>
      <c r="F1415" s="5" t="s">
        <v>161</v>
      </c>
      <c r="G1415" s="8">
        <v>2</v>
      </c>
      <c r="H1415" s="8">
        <v>13577</v>
      </c>
      <c r="I1415" s="5" t="s">
        <v>40</v>
      </c>
      <c r="J1415" s="8">
        <v>3</v>
      </c>
      <c r="K1415" s="8">
        <v>3</v>
      </c>
      <c r="L1415" s="8">
        <v>33</v>
      </c>
    </row>
    <row r="1416" spans="1:12" x14ac:dyDescent="0.8">
      <c r="A1416" s="5" t="s">
        <v>1488</v>
      </c>
      <c r="B1416" s="8">
        <v>55</v>
      </c>
      <c r="C1416" s="5" t="s">
        <v>49</v>
      </c>
      <c r="D1416" s="5" t="s">
        <v>42</v>
      </c>
      <c r="E1416" s="5" t="s">
        <v>53</v>
      </c>
      <c r="F1416" s="5" t="s">
        <v>442</v>
      </c>
      <c r="G1416" s="8">
        <v>3</v>
      </c>
      <c r="H1416" s="8">
        <v>19187</v>
      </c>
      <c r="I1416" s="5" t="s">
        <v>49</v>
      </c>
      <c r="J1416" s="8">
        <v>3</v>
      </c>
      <c r="K1416" s="8">
        <v>5</v>
      </c>
      <c r="L1416" s="8">
        <v>19</v>
      </c>
    </row>
    <row r="1417" spans="1:12" x14ac:dyDescent="0.8">
      <c r="A1417" s="5" t="s">
        <v>1489</v>
      </c>
      <c r="B1417" s="8">
        <v>55</v>
      </c>
      <c r="C1417" s="5" t="s">
        <v>40</v>
      </c>
      <c r="D1417" s="5" t="s">
        <v>51</v>
      </c>
      <c r="E1417" s="5" t="s">
        <v>44</v>
      </c>
      <c r="F1417" s="5" t="s">
        <v>137</v>
      </c>
      <c r="G1417" s="8">
        <v>3</v>
      </c>
      <c r="H1417" s="8">
        <v>13695</v>
      </c>
      <c r="I1417" s="5" t="s">
        <v>40</v>
      </c>
      <c r="J1417" s="8">
        <v>3</v>
      </c>
      <c r="K1417" s="8">
        <v>2</v>
      </c>
      <c r="L1417" s="8">
        <v>19</v>
      </c>
    </row>
    <row r="1418" spans="1:12" x14ac:dyDescent="0.8">
      <c r="A1418" s="5" t="s">
        <v>1490</v>
      </c>
      <c r="B1418" s="8">
        <v>55</v>
      </c>
      <c r="C1418" s="5" t="s">
        <v>49</v>
      </c>
      <c r="D1418" s="5" t="s">
        <v>42</v>
      </c>
      <c r="E1418" s="5" t="s">
        <v>44</v>
      </c>
      <c r="F1418" s="5" t="s">
        <v>252</v>
      </c>
      <c r="G1418" s="8">
        <v>4</v>
      </c>
      <c r="H1418" s="8">
        <v>14732</v>
      </c>
      <c r="I1418" s="5" t="s">
        <v>49</v>
      </c>
      <c r="J1418" s="8">
        <v>3</v>
      </c>
      <c r="K1418" s="8">
        <v>4</v>
      </c>
      <c r="L1418" s="8">
        <v>7</v>
      </c>
    </row>
    <row r="1419" spans="1:12" x14ac:dyDescent="0.8">
      <c r="A1419" s="5" t="s">
        <v>1491</v>
      </c>
      <c r="B1419" s="8">
        <v>55</v>
      </c>
      <c r="C1419" s="5" t="s">
        <v>49</v>
      </c>
      <c r="D1419" s="5" t="s">
        <v>42</v>
      </c>
      <c r="E1419" s="5" t="s">
        <v>44</v>
      </c>
      <c r="F1419" s="5" t="s">
        <v>161</v>
      </c>
      <c r="G1419" s="8">
        <v>3</v>
      </c>
      <c r="H1419" s="8">
        <v>4035</v>
      </c>
      <c r="I1419" s="5" t="s">
        <v>40</v>
      </c>
      <c r="J1419" s="8">
        <v>3</v>
      </c>
      <c r="K1419" s="8">
        <v>2</v>
      </c>
      <c r="L1419" s="8">
        <v>3</v>
      </c>
    </row>
    <row r="1420" spans="1:12" x14ac:dyDescent="0.8">
      <c r="A1420" s="5" t="s">
        <v>1492</v>
      </c>
      <c r="B1420" s="8">
        <v>55</v>
      </c>
      <c r="C1420" s="5" t="s">
        <v>49</v>
      </c>
      <c r="D1420" s="5" t="s">
        <v>51</v>
      </c>
      <c r="E1420" s="5" t="s">
        <v>44</v>
      </c>
      <c r="F1420" s="5" t="s">
        <v>442</v>
      </c>
      <c r="G1420" s="8">
        <v>4</v>
      </c>
      <c r="H1420" s="8">
        <v>19586</v>
      </c>
      <c r="I1420" s="5" t="s">
        <v>49</v>
      </c>
      <c r="J1420" s="8">
        <v>4</v>
      </c>
      <c r="K1420" s="8">
        <v>3</v>
      </c>
      <c r="L1420" s="8">
        <v>36</v>
      </c>
    </row>
    <row r="1421" spans="1:12" x14ac:dyDescent="0.8">
      <c r="A1421" s="5" t="s">
        <v>1493</v>
      </c>
      <c r="B1421" s="8">
        <v>55</v>
      </c>
      <c r="C1421" s="5" t="s">
        <v>49</v>
      </c>
      <c r="D1421" s="5" t="s">
        <v>42</v>
      </c>
      <c r="E1421" s="5" t="s">
        <v>44</v>
      </c>
      <c r="F1421" s="5" t="s">
        <v>60</v>
      </c>
      <c r="G1421" s="8">
        <v>2</v>
      </c>
      <c r="H1421" s="8">
        <v>3537</v>
      </c>
      <c r="I1421" s="5" t="s">
        <v>49</v>
      </c>
      <c r="J1421" s="8">
        <v>3</v>
      </c>
      <c r="K1421" s="8">
        <v>1</v>
      </c>
      <c r="L1421" s="8">
        <v>4</v>
      </c>
    </row>
    <row r="1422" spans="1:12" x14ac:dyDescent="0.8">
      <c r="A1422" s="5" t="s">
        <v>1494</v>
      </c>
      <c r="B1422" s="8">
        <v>55</v>
      </c>
      <c r="C1422" s="5" t="s">
        <v>49</v>
      </c>
      <c r="D1422" s="5" t="s">
        <v>42</v>
      </c>
      <c r="E1422" s="5" t="s">
        <v>44</v>
      </c>
      <c r="F1422" s="5" t="s">
        <v>252</v>
      </c>
      <c r="G1422" s="8">
        <v>1</v>
      </c>
      <c r="H1422" s="8">
        <v>19038</v>
      </c>
      <c r="I1422" s="5" t="s">
        <v>49</v>
      </c>
      <c r="J1422" s="8">
        <v>3</v>
      </c>
      <c r="K1422" s="8">
        <v>2</v>
      </c>
      <c r="L1422" s="8">
        <v>1</v>
      </c>
    </row>
    <row r="1423" spans="1:12" x14ac:dyDescent="0.8">
      <c r="A1423" s="5" t="s">
        <v>1495</v>
      </c>
      <c r="B1423" s="8">
        <v>55</v>
      </c>
      <c r="C1423" s="5" t="s">
        <v>49</v>
      </c>
      <c r="D1423" s="5" t="s">
        <v>42</v>
      </c>
      <c r="E1423" s="5" t="s">
        <v>44</v>
      </c>
      <c r="F1423" s="5" t="s">
        <v>60</v>
      </c>
      <c r="G1423" s="8">
        <v>4</v>
      </c>
      <c r="H1423" s="8">
        <v>2662</v>
      </c>
      <c r="I1423" s="5" t="s">
        <v>49</v>
      </c>
      <c r="J1423" s="8">
        <v>4</v>
      </c>
      <c r="K1423" s="8">
        <v>2</v>
      </c>
      <c r="L1423" s="8">
        <v>5</v>
      </c>
    </row>
    <row r="1424" spans="1:12" x14ac:dyDescent="0.8">
      <c r="A1424" s="5" t="s">
        <v>1496</v>
      </c>
      <c r="B1424" s="8">
        <v>55</v>
      </c>
      <c r="C1424" s="5" t="s">
        <v>49</v>
      </c>
      <c r="D1424" s="5" t="s">
        <v>71</v>
      </c>
      <c r="E1424" s="5" t="s">
        <v>44</v>
      </c>
      <c r="F1424" s="5" t="s">
        <v>442</v>
      </c>
      <c r="G1424" s="8">
        <v>2</v>
      </c>
      <c r="H1424" s="8">
        <v>19636</v>
      </c>
      <c r="I1424" s="5" t="s">
        <v>40</v>
      </c>
      <c r="J1424" s="8">
        <v>3</v>
      </c>
      <c r="K1424" s="8">
        <v>0</v>
      </c>
      <c r="L1424" s="8">
        <v>10</v>
      </c>
    </row>
    <row r="1425" spans="1:12" x14ac:dyDescent="0.8">
      <c r="A1425" s="5" t="s">
        <v>1497</v>
      </c>
      <c r="B1425" s="8">
        <v>56</v>
      </c>
      <c r="C1425" s="5" t="s">
        <v>49</v>
      </c>
      <c r="D1425" s="5" t="s">
        <v>42</v>
      </c>
      <c r="E1425" s="5" t="s">
        <v>44</v>
      </c>
      <c r="F1425" s="5" t="s">
        <v>112</v>
      </c>
      <c r="G1425" s="8">
        <v>4</v>
      </c>
      <c r="H1425" s="8">
        <v>7260</v>
      </c>
      <c r="I1425" s="5" t="s">
        <v>49</v>
      </c>
      <c r="J1425" s="8">
        <v>3</v>
      </c>
      <c r="K1425" s="8">
        <v>3</v>
      </c>
      <c r="L1425" s="8">
        <v>6</v>
      </c>
    </row>
    <row r="1426" spans="1:12" x14ac:dyDescent="0.8">
      <c r="A1426" s="5" t="s">
        <v>1499</v>
      </c>
      <c r="B1426" s="8">
        <v>56</v>
      </c>
      <c r="C1426" s="5" t="s">
        <v>40</v>
      </c>
      <c r="D1426" s="5" t="s">
        <v>42</v>
      </c>
      <c r="E1426" s="5" t="s">
        <v>53</v>
      </c>
      <c r="F1426" s="5" t="s">
        <v>60</v>
      </c>
      <c r="G1426" s="8">
        <v>2</v>
      </c>
      <c r="H1426" s="8">
        <v>4963</v>
      </c>
      <c r="I1426" s="5" t="s">
        <v>40</v>
      </c>
      <c r="J1426" s="8">
        <v>3</v>
      </c>
      <c r="K1426" s="8">
        <v>2</v>
      </c>
      <c r="L1426" s="8">
        <v>5</v>
      </c>
    </row>
    <row r="1427" spans="1:12" x14ac:dyDescent="0.8">
      <c r="A1427" s="5" t="s">
        <v>1500</v>
      </c>
      <c r="B1427" s="8">
        <v>56</v>
      </c>
      <c r="C1427" s="5" t="s">
        <v>49</v>
      </c>
      <c r="D1427" s="5" t="s">
        <v>42</v>
      </c>
      <c r="E1427" s="5" t="s">
        <v>53</v>
      </c>
      <c r="F1427" s="5" t="s">
        <v>60</v>
      </c>
      <c r="G1427" s="8">
        <v>1</v>
      </c>
      <c r="H1427" s="8">
        <v>4257</v>
      </c>
      <c r="I1427" s="5" t="s">
        <v>40</v>
      </c>
      <c r="J1427" s="8">
        <v>3</v>
      </c>
      <c r="K1427" s="8">
        <v>3</v>
      </c>
      <c r="L1427" s="8">
        <v>2</v>
      </c>
    </row>
    <row r="1428" spans="1:12" x14ac:dyDescent="0.8">
      <c r="A1428" s="5" t="s">
        <v>1501</v>
      </c>
      <c r="B1428" s="8">
        <v>56</v>
      </c>
      <c r="C1428" s="5" t="s">
        <v>49</v>
      </c>
      <c r="D1428" s="5" t="s">
        <v>51</v>
      </c>
      <c r="E1428" s="5" t="s">
        <v>53</v>
      </c>
      <c r="F1428" s="5" t="s">
        <v>137</v>
      </c>
      <c r="G1428" s="8">
        <v>1</v>
      </c>
      <c r="H1428" s="8">
        <v>13212</v>
      </c>
      <c r="I1428" s="5" t="s">
        <v>49</v>
      </c>
      <c r="J1428" s="8">
        <v>3</v>
      </c>
      <c r="K1428" s="8">
        <v>0</v>
      </c>
      <c r="L1428" s="8">
        <v>7</v>
      </c>
    </row>
    <row r="1429" spans="1:12" x14ac:dyDescent="0.8">
      <c r="A1429" s="5" t="s">
        <v>1502</v>
      </c>
      <c r="B1429" s="8">
        <v>56</v>
      </c>
      <c r="C1429" s="5" t="s">
        <v>49</v>
      </c>
      <c r="D1429" s="5" t="s">
        <v>42</v>
      </c>
      <c r="E1429" s="5" t="s">
        <v>44</v>
      </c>
      <c r="F1429" s="5" t="s">
        <v>161</v>
      </c>
      <c r="G1429" s="8">
        <v>4</v>
      </c>
      <c r="H1429" s="8">
        <v>11103</v>
      </c>
      <c r="I1429" s="5" t="s">
        <v>49</v>
      </c>
      <c r="J1429" s="8">
        <v>3</v>
      </c>
      <c r="K1429" s="8">
        <v>1</v>
      </c>
      <c r="L1429" s="8">
        <v>10</v>
      </c>
    </row>
    <row r="1430" spans="1:12" x14ac:dyDescent="0.8">
      <c r="A1430" s="5" t="s">
        <v>1503</v>
      </c>
      <c r="B1430" s="8">
        <v>56</v>
      </c>
      <c r="C1430" s="5" t="s">
        <v>49</v>
      </c>
      <c r="D1430" s="5" t="s">
        <v>42</v>
      </c>
      <c r="E1430" s="5" t="s">
        <v>53</v>
      </c>
      <c r="F1430" s="5" t="s">
        <v>60</v>
      </c>
      <c r="G1430" s="8">
        <v>3</v>
      </c>
      <c r="H1430" s="8">
        <v>2942</v>
      </c>
      <c r="I1430" s="5" t="s">
        <v>49</v>
      </c>
      <c r="J1430" s="8">
        <v>3</v>
      </c>
      <c r="K1430" s="8">
        <v>4</v>
      </c>
      <c r="L1430" s="8">
        <v>5</v>
      </c>
    </row>
    <row r="1431" spans="1:12" x14ac:dyDescent="0.8">
      <c r="A1431" s="5" t="s">
        <v>1504</v>
      </c>
      <c r="B1431" s="8">
        <v>56</v>
      </c>
      <c r="C1431" s="5" t="s">
        <v>49</v>
      </c>
      <c r="D1431" s="5" t="s">
        <v>42</v>
      </c>
      <c r="E1431" s="5" t="s">
        <v>53</v>
      </c>
      <c r="F1431" s="5" t="s">
        <v>442</v>
      </c>
      <c r="G1431" s="8">
        <v>1</v>
      </c>
      <c r="H1431" s="8">
        <v>19943</v>
      </c>
      <c r="I1431" s="5" t="s">
        <v>49</v>
      </c>
      <c r="J1431" s="8">
        <v>3</v>
      </c>
      <c r="K1431" s="8">
        <v>2</v>
      </c>
      <c r="L1431" s="8">
        <v>5</v>
      </c>
    </row>
    <row r="1432" spans="1:12" x14ac:dyDescent="0.8">
      <c r="A1432" s="5" t="s">
        <v>1505</v>
      </c>
      <c r="B1432" s="8">
        <v>56</v>
      </c>
      <c r="C1432" s="5" t="s">
        <v>49</v>
      </c>
      <c r="D1432" s="5" t="s">
        <v>71</v>
      </c>
      <c r="E1432" s="5" t="s">
        <v>44</v>
      </c>
      <c r="F1432" s="5" t="s">
        <v>442</v>
      </c>
      <c r="G1432" s="8">
        <v>2</v>
      </c>
      <c r="H1432" s="8">
        <v>19717</v>
      </c>
      <c r="I1432" s="5" t="s">
        <v>49</v>
      </c>
      <c r="J1432" s="8">
        <v>3</v>
      </c>
      <c r="K1432" s="8">
        <v>4</v>
      </c>
      <c r="L1432" s="8">
        <v>7</v>
      </c>
    </row>
    <row r="1433" spans="1:12" x14ac:dyDescent="0.8">
      <c r="A1433" s="5" t="s">
        <v>1506</v>
      </c>
      <c r="B1433" s="8">
        <v>56</v>
      </c>
      <c r="C1433" s="5" t="s">
        <v>49</v>
      </c>
      <c r="D1433" s="5" t="s">
        <v>42</v>
      </c>
      <c r="E1433" s="5" t="s">
        <v>44</v>
      </c>
      <c r="F1433" s="5" t="s">
        <v>112</v>
      </c>
      <c r="G1433" s="8">
        <v>2</v>
      </c>
      <c r="H1433" s="8">
        <v>13402</v>
      </c>
      <c r="I1433" s="5" t="s">
        <v>40</v>
      </c>
      <c r="J1433" s="8">
        <v>3</v>
      </c>
      <c r="K1433" s="8">
        <v>0</v>
      </c>
      <c r="L1433" s="8">
        <v>19</v>
      </c>
    </row>
    <row r="1434" spans="1:12" x14ac:dyDescent="0.8">
      <c r="A1434" s="5" t="s">
        <v>1507</v>
      </c>
      <c r="B1434" s="8">
        <v>56</v>
      </c>
      <c r="C1434" s="5" t="s">
        <v>49</v>
      </c>
      <c r="D1434" s="5" t="s">
        <v>42</v>
      </c>
      <c r="E1434" s="5" t="s">
        <v>53</v>
      </c>
      <c r="F1434" s="5" t="s">
        <v>60</v>
      </c>
      <c r="G1434" s="8">
        <v>1</v>
      </c>
      <c r="H1434" s="8">
        <v>2066</v>
      </c>
      <c r="I1434" s="5" t="s">
        <v>49</v>
      </c>
      <c r="J1434" s="8">
        <v>4</v>
      </c>
      <c r="K1434" s="8">
        <v>3</v>
      </c>
      <c r="L1434" s="8">
        <v>3</v>
      </c>
    </row>
    <row r="1435" spans="1:12" x14ac:dyDescent="0.8">
      <c r="A1435" s="5" t="s">
        <v>1508</v>
      </c>
      <c r="B1435" s="8">
        <v>56</v>
      </c>
      <c r="C1435" s="5" t="s">
        <v>40</v>
      </c>
      <c r="D1435" s="5" t="s">
        <v>42</v>
      </c>
      <c r="E1435" s="5" t="s">
        <v>44</v>
      </c>
      <c r="F1435" s="5" t="s">
        <v>45</v>
      </c>
      <c r="G1435" s="8">
        <v>4</v>
      </c>
      <c r="H1435" s="8">
        <v>2587</v>
      </c>
      <c r="I1435" s="5" t="s">
        <v>49</v>
      </c>
      <c r="J1435" s="8">
        <v>3</v>
      </c>
      <c r="K1435" s="8">
        <v>3</v>
      </c>
      <c r="L1435" s="8">
        <v>4</v>
      </c>
    </row>
    <row r="1436" spans="1:12" x14ac:dyDescent="0.8">
      <c r="A1436" s="5" t="s">
        <v>1509</v>
      </c>
      <c r="B1436" s="8">
        <v>56</v>
      </c>
      <c r="C1436" s="5" t="s">
        <v>49</v>
      </c>
      <c r="D1436" s="5" t="s">
        <v>51</v>
      </c>
      <c r="E1436" s="5" t="s">
        <v>53</v>
      </c>
      <c r="F1436" s="5" t="s">
        <v>137</v>
      </c>
      <c r="G1436" s="8">
        <v>1</v>
      </c>
      <c r="H1436" s="8">
        <v>5380</v>
      </c>
      <c r="I1436" s="5" t="s">
        <v>49</v>
      </c>
      <c r="J1436" s="8">
        <v>3</v>
      </c>
      <c r="K1436" s="8">
        <v>3</v>
      </c>
      <c r="L1436" s="8">
        <v>0</v>
      </c>
    </row>
    <row r="1437" spans="1:12" x14ac:dyDescent="0.8">
      <c r="A1437" s="5" t="s">
        <v>1510</v>
      </c>
      <c r="B1437" s="8">
        <v>56</v>
      </c>
      <c r="C1437" s="5" t="s">
        <v>49</v>
      </c>
      <c r="D1437" s="5" t="s">
        <v>42</v>
      </c>
      <c r="E1437" s="5" t="s">
        <v>44</v>
      </c>
      <c r="F1437" s="5" t="s">
        <v>161</v>
      </c>
      <c r="G1437" s="8">
        <v>3</v>
      </c>
      <c r="H1437" s="8">
        <v>6306</v>
      </c>
      <c r="I1437" s="5" t="s">
        <v>49</v>
      </c>
      <c r="J1437" s="8">
        <v>4</v>
      </c>
      <c r="K1437" s="8">
        <v>2</v>
      </c>
      <c r="L1437" s="8">
        <v>13</v>
      </c>
    </row>
    <row r="1438" spans="1:12" x14ac:dyDescent="0.8">
      <c r="A1438" s="5" t="s">
        <v>1511</v>
      </c>
      <c r="B1438" s="8">
        <v>56</v>
      </c>
      <c r="C1438" s="5" t="s">
        <v>40</v>
      </c>
      <c r="D1438" s="5" t="s">
        <v>42</v>
      </c>
      <c r="E1438" s="5" t="s">
        <v>44</v>
      </c>
      <c r="F1438" s="5" t="s">
        <v>45</v>
      </c>
      <c r="G1438" s="8">
        <v>3</v>
      </c>
      <c r="H1438" s="8">
        <v>2339</v>
      </c>
      <c r="I1438" s="5" t="s">
        <v>49</v>
      </c>
      <c r="J1438" s="8">
        <v>3</v>
      </c>
      <c r="K1438" s="8">
        <v>4</v>
      </c>
      <c r="L1438" s="8">
        <v>10</v>
      </c>
    </row>
    <row r="1439" spans="1:12" x14ac:dyDescent="0.8">
      <c r="A1439" s="5" t="s">
        <v>1512</v>
      </c>
      <c r="B1439" s="8">
        <v>57</v>
      </c>
      <c r="C1439" s="5" t="s">
        <v>49</v>
      </c>
      <c r="D1439" s="5" t="s">
        <v>42</v>
      </c>
      <c r="E1439" s="5" t="s">
        <v>44</v>
      </c>
      <c r="F1439" s="5" t="s">
        <v>161</v>
      </c>
      <c r="G1439" s="8">
        <v>4</v>
      </c>
      <c r="H1439" s="8">
        <v>9439</v>
      </c>
      <c r="I1439" s="5" t="s">
        <v>40</v>
      </c>
      <c r="J1439" s="8">
        <v>3</v>
      </c>
      <c r="K1439" s="8">
        <v>2</v>
      </c>
      <c r="L1439" s="8">
        <v>5</v>
      </c>
    </row>
    <row r="1440" spans="1:12" x14ac:dyDescent="0.8">
      <c r="A1440" s="5" t="s">
        <v>1513</v>
      </c>
      <c r="B1440" s="8">
        <v>57</v>
      </c>
      <c r="C1440" s="5" t="s">
        <v>49</v>
      </c>
      <c r="D1440" s="5" t="s">
        <v>42</v>
      </c>
      <c r="E1440" s="5" t="s">
        <v>44</v>
      </c>
      <c r="F1440" s="5" t="s">
        <v>161</v>
      </c>
      <c r="G1440" s="8">
        <v>3</v>
      </c>
      <c r="H1440" s="8">
        <v>6755</v>
      </c>
      <c r="I1440" s="5" t="s">
        <v>49</v>
      </c>
      <c r="J1440" s="8">
        <v>3</v>
      </c>
      <c r="K1440" s="8">
        <v>2</v>
      </c>
      <c r="L1440" s="8">
        <v>3</v>
      </c>
    </row>
    <row r="1441" spans="1:12" x14ac:dyDescent="0.8">
      <c r="A1441" s="5" t="s">
        <v>1514</v>
      </c>
      <c r="B1441" s="8">
        <v>57</v>
      </c>
      <c r="C1441" s="5" t="s">
        <v>49</v>
      </c>
      <c r="D1441" s="5" t="s">
        <v>51</v>
      </c>
      <c r="E1441" s="5" t="s">
        <v>44</v>
      </c>
      <c r="F1441" s="5" t="s">
        <v>442</v>
      </c>
      <c r="G1441" s="8">
        <v>4</v>
      </c>
      <c r="H1441" s="8">
        <v>14118</v>
      </c>
      <c r="I1441" s="5" t="s">
        <v>49</v>
      </c>
      <c r="J1441" s="8">
        <v>3</v>
      </c>
      <c r="K1441" s="8">
        <v>3</v>
      </c>
      <c r="L1441" s="8">
        <v>1</v>
      </c>
    </row>
    <row r="1442" spans="1:12" x14ac:dyDescent="0.8">
      <c r="A1442" s="5" t="s">
        <v>1515</v>
      </c>
      <c r="B1442" s="8">
        <v>57</v>
      </c>
      <c r="C1442" s="5" t="s">
        <v>49</v>
      </c>
      <c r="D1442" s="5" t="s">
        <v>42</v>
      </c>
      <c r="E1442" s="5" t="s">
        <v>44</v>
      </c>
      <c r="F1442" s="5" t="s">
        <v>60</v>
      </c>
      <c r="G1442" s="8">
        <v>3</v>
      </c>
      <c r="H1442" s="8">
        <v>4900</v>
      </c>
      <c r="I1442" s="5" t="s">
        <v>49</v>
      </c>
      <c r="J1442" s="8">
        <v>4</v>
      </c>
      <c r="K1442" s="8">
        <v>2</v>
      </c>
      <c r="L1442" s="8">
        <v>12</v>
      </c>
    </row>
    <row r="1443" spans="1:12" x14ac:dyDescent="0.8">
      <c r="A1443" s="5" t="s">
        <v>1516</v>
      </c>
      <c r="B1443" s="8">
        <v>58</v>
      </c>
      <c r="C1443" s="5" t="s">
        <v>49</v>
      </c>
      <c r="D1443" s="5" t="s">
        <v>51</v>
      </c>
      <c r="E1443" s="5" t="s">
        <v>44</v>
      </c>
      <c r="F1443" s="5" t="s">
        <v>137</v>
      </c>
      <c r="G1443" s="8">
        <v>3</v>
      </c>
      <c r="H1443" s="8">
        <v>13872</v>
      </c>
      <c r="I1443" s="5" t="s">
        <v>49</v>
      </c>
      <c r="J1443" s="8">
        <v>3</v>
      </c>
      <c r="K1443" s="8">
        <v>1</v>
      </c>
      <c r="L1443" s="8">
        <v>37</v>
      </c>
    </row>
    <row r="1444" spans="1:12" x14ac:dyDescent="0.8">
      <c r="A1444" s="5" t="s">
        <v>1517</v>
      </c>
      <c r="B1444" s="8">
        <v>58</v>
      </c>
      <c r="C1444" s="5" t="s">
        <v>40</v>
      </c>
      <c r="D1444" s="5" t="s">
        <v>42</v>
      </c>
      <c r="E1444" s="5" t="s">
        <v>53</v>
      </c>
      <c r="F1444" s="5" t="s">
        <v>161</v>
      </c>
      <c r="G1444" s="8">
        <v>4</v>
      </c>
      <c r="H1444" s="8">
        <v>10312</v>
      </c>
      <c r="I1444" s="5" t="s">
        <v>49</v>
      </c>
      <c r="J1444" s="8">
        <v>3</v>
      </c>
      <c r="K1444" s="8">
        <v>3</v>
      </c>
      <c r="L1444" s="8">
        <v>40</v>
      </c>
    </row>
    <row r="1445" spans="1:12" x14ac:dyDescent="0.8">
      <c r="A1445" s="5" t="s">
        <v>1518</v>
      </c>
      <c r="B1445" s="8">
        <v>58</v>
      </c>
      <c r="C1445" s="5" t="s">
        <v>49</v>
      </c>
      <c r="D1445" s="5" t="s">
        <v>42</v>
      </c>
      <c r="E1445" s="5" t="s">
        <v>53</v>
      </c>
      <c r="F1445" s="5" t="s">
        <v>60</v>
      </c>
      <c r="G1445" s="8">
        <v>2</v>
      </c>
      <c r="H1445" s="8">
        <v>3346</v>
      </c>
      <c r="I1445" s="5" t="s">
        <v>40</v>
      </c>
      <c r="J1445" s="8">
        <v>4</v>
      </c>
      <c r="K1445" s="8">
        <v>3</v>
      </c>
      <c r="L1445" s="8">
        <v>1</v>
      </c>
    </row>
    <row r="1446" spans="1:12" x14ac:dyDescent="0.8">
      <c r="A1446" s="5" t="s">
        <v>1519</v>
      </c>
      <c r="B1446" s="8">
        <v>58</v>
      </c>
      <c r="C1446" s="5" t="s">
        <v>49</v>
      </c>
      <c r="D1446" s="5" t="s">
        <v>42</v>
      </c>
      <c r="E1446" s="5" t="s">
        <v>44</v>
      </c>
      <c r="F1446" s="5" t="s">
        <v>161</v>
      </c>
      <c r="G1446" s="8">
        <v>3</v>
      </c>
      <c r="H1446" s="8">
        <v>5660</v>
      </c>
      <c r="I1446" s="5" t="s">
        <v>40</v>
      </c>
      <c r="J1446" s="8">
        <v>3</v>
      </c>
      <c r="K1446" s="8">
        <v>2</v>
      </c>
      <c r="L1446" s="8">
        <v>5</v>
      </c>
    </row>
    <row r="1447" spans="1:12" x14ac:dyDescent="0.8">
      <c r="A1447" s="5" t="s">
        <v>1520</v>
      </c>
      <c r="B1447" s="8">
        <v>58</v>
      </c>
      <c r="C1447" s="5" t="s">
        <v>40</v>
      </c>
      <c r="D1447" s="5" t="s">
        <v>42</v>
      </c>
      <c r="E1447" s="5" t="s">
        <v>44</v>
      </c>
      <c r="F1447" s="5" t="s">
        <v>252</v>
      </c>
      <c r="G1447" s="8">
        <v>2</v>
      </c>
      <c r="H1447" s="8">
        <v>19246</v>
      </c>
      <c r="I1447" s="5" t="s">
        <v>40</v>
      </c>
      <c r="J1447" s="8">
        <v>3</v>
      </c>
      <c r="K1447" s="8">
        <v>2</v>
      </c>
      <c r="L1447" s="8">
        <v>31</v>
      </c>
    </row>
    <row r="1448" spans="1:12" x14ac:dyDescent="0.8">
      <c r="A1448" s="5" t="s">
        <v>1521</v>
      </c>
      <c r="B1448" s="8">
        <v>58</v>
      </c>
      <c r="C1448" s="5" t="s">
        <v>40</v>
      </c>
      <c r="D1448" s="5" t="s">
        <v>42</v>
      </c>
      <c r="E1448" s="5" t="s">
        <v>44</v>
      </c>
      <c r="F1448" s="5" t="s">
        <v>45</v>
      </c>
      <c r="G1448" s="8">
        <v>4</v>
      </c>
      <c r="H1448" s="8">
        <v>2380</v>
      </c>
      <c r="I1448" s="5" t="s">
        <v>40</v>
      </c>
      <c r="J1448" s="8">
        <v>3</v>
      </c>
      <c r="K1448" s="8">
        <v>3</v>
      </c>
      <c r="L1448" s="8">
        <v>1</v>
      </c>
    </row>
    <row r="1449" spans="1:12" x14ac:dyDescent="0.8">
      <c r="A1449" s="5" t="s">
        <v>1522</v>
      </c>
      <c r="B1449" s="8">
        <v>58</v>
      </c>
      <c r="C1449" s="5" t="s">
        <v>49</v>
      </c>
      <c r="D1449" s="5" t="s">
        <v>42</v>
      </c>
      <c r="E1449" s="5" t="s">
        <v>53</v>
      </c>
      <c r="F1449" s="5" t="s">
        <v>161</v>
      </c>
      <c r="G1449" s="8">
        <v>2</v>
      </c>
      <c r="H1449" s="8">
        <v>10552</v>
      </c>
      <c r="I1449" s="5" t="s">
        <v>40</v>
      </c>
      <c r="J1449" s="8">
        <v>3</v>
      </c>
      <c r="K1449" s="8">
        <v>3</v>
      </c>
      <c r="L1449" s="8">
        <v>6</v>
      </c>
    </row>
    <row r="1450" spans="1:12" x14ac:dyDescent="0.8">
      <c r="A1450" s="5" t="s">
        <v>1523</v>
      </c>
      <c r="B1450" s="8">
        <v>58</v>
      </c>
      <c r="C1450" s="5" t="s">
        <v>40</v>
      </c>
      <c r="D1450" s="5" t="s">
        <v>42</v>
      </c>
      <c r="E1450" s="5" t="s">
        <v>44</v>
      </c>
      <c r="F1450" s="5" t="s">
        <v>60</v>
      </c>
      <c r="G1450" s="8">
        <v>3</v>
      </c>
      <c r="H1450" s="8">
        <v>2479</v>
      </c>
      <c r="I1450" s="5" t="s">
        <v>49</v>
      </c>
      <c r="J1450" s="8">
        <v>4</v>
      </c>
      <c r="K1450" s="8">
        <v>4</v>
      </c>
      <c r="L1450" s="8">
        <v>1</v>
      </c>
    </row>
    <row r="1451" spans="1:12" x14ac:dyDescent="0.8">
      <c r="A1451" s="5" t="s">
        <v>1524</v>
      </c>
      <c r="B1451" s="8">
        <v>58</v>
      </c>
      <c r="C1451" s="5" t="s">
        <v>49</v>
      </c>
      <c r="D1451" s="5" t="s">
        <v>42</v>
      </c>
      <c r="E1451" s="5" t="s">
        <v>44</v>
      </c>
      <c r="F1451" s="5" t="s">
        <v>60</v>
      </c>
      <c r="G1451" s="8">
        <v>3</v>
      </c>
      <c r="H1451" s="8">
        <v>2372</v>
      </c>
      <c r="I1451" s="5" t="s">
        <v>49</v>
      </c>
      <c r="J1451" s="8">
        <v>3</v>
      </c>
      <c r="K1451" s="8">
        <v>3</v>
      </c>
      <c r="L1451" s="8">
        <v>2</v>
      </c>
    </row>
    <row r="1452" spans="1:12" x14ac:dyDescent="0.8">
      <c r="A1452" s="5" t="s">
        <v>1525</v>
      </c>
      <c r="B1452" s="8">
        <v>58</v>
      </c>
      <c r="C1452" s="5" t="s">
        <v>40</v>
      </c>
      <c r="D1452" s="5" t="s">
        <v>42</v>
      </c>
      <c r="E1452" s="5" t="s">
        <v>53</v>
      </c>
      <c r="F1452" s="5" t="s">
        <v>112</v>
      </c>
      <c r="G1452" s="8">
        <v>1</v>
      </c>
      <c r="H1452" s="8">
        <v>10008</v>
      </c>
      <c r="I1452" s="5" t="s">
        <v>40</v>
      </c>
      <c r="J1452" s="8">
        <v>3</v>
      </c>
      <c r="K1452" s="8">
        <v>0</v>
      </c>
      <c r="L1452" s="8">
        <v>10</v>
      </c>
    </row>
    <row r="1453" spans="1:12" x14ac:dyDescent="0.8">
      <c r="A1453" s="5" t="s">
        <v>1526</v>
      </c>
      <c r="B1453" s="8">
        <v>58</v>
      </c>
      <c r="C1453" s="5" t="s">
        <v>49</v>
      </c>
      <c r="D1453" s="5" t="s">
        <v>42</v>
      </c>
      <c r="E1453" s="5" t="s">
        <v>53</v>
      </c>
      <c r="F1453" s="5" t="s">
        <v>252</v>
      </c>
      <c r="G1453" s="8">
        <v>1</v>
      </c>
      <c r="H1453" s="8">
        <v>19701</v>
      </c>
      <c r="I1453" s="5" t="s">
        <v>40</v>
      </c>
      <c r="J1453" s="8">
        <v>4</v>
      </c>
      <c r="K1453" s="8">
        <v>3</v>
      </c>
      <c r="L1453" s="8">
        <v>9</v>
      </c>
    </row>
    <row r="1454" spans="1:12" x14ac:dyDescent="0.8">
      <c r="A1454" s="5" t="s">
        <v>1527</v>
      </c>
      <c r="B1454" s="8">
        <v>58</v>
      </c>
      <c r="C1454" s="5" t="s">
        <v>49</v>
      </c>
      <c r="D1454" s="5" t="s">
        <v>51</v>
      </c>
      <c r="E1454" s="5" t="s">
        <v>44</v>
      </c>
      <c r="F1454" s="5" t="s">
        <v>442</v>
      </c>
      <c r="G1454" s="8">
        <v>2</v>
      </c>
      <c r="H1454" s="8">
        <v>16291</v>
      </c>
      <c r="I1454" s="5" t="s">
        <v>49</v>
      </c>
      <c r="J1454" s="8">
        <v>4</v>
      </c>
      <c r="K1454" s="8">
        <v>0</v>
      </c>
      <c r="L1454" s="8">
        <v>16</v>
      </c>
    </row>
    <row r="1455" spans="1:12" x14ac:dyDescent="0.8">
      <c r="A1455" s="5" t="s">
        <v>1528</v>
      </c>
      <c r="B1455" s="8">
        <v>58</v>
      </c>
      <c r="C1455" s="5" t="s">
        <v>49</v>
      </c>
      <c r="D1455" s="5" t="s">
        <v>42</v>
      </c>
      <c r="E1455" s="5" t="s">
        <v>44</v>
      </c>
      <c r="F1455" s="5" t="s">
        <v>252</v>
      </c>
      <c r="G1455" s="8">
        <v>3</v>
      </c>
      <c r="H1455" s="8">
        <v>15787</v>
      </c>
      <c r="I1455" s="5" t="s">
        <v>40</v>
      </c>
      <c r="J1455" s="8">
        <v>3</v>
      </c>
      <c r="K1455" s="8">
        <v>3</v>
      </c>
      <c r="L1455" s="8">
        <v>2</v>
      </c>
    </row>
    <row r="1456" spans="1:12" x14ac:dyDescent="0.8">
      <c r="A1456" s="5" t="s">
        <v>1529</v>
      </c>
      <c r="B1456" s="8">
        <v>58</v>
      </c>
      <c r="C1456" s="5" t="s">
        <v>49</v>
      </c>
      <c r="D1456" s="5" t="s">
        <v>51</v>
      </c>
      <c r="E1456" s="5" t="s">
        <v>53</v>
      </c>
      <c r="F1456" s="5" t="s">
        <v>442</v>
      </c>
      <c r="G1456" s="8">
        <v>4</v>
      </c>
      <c r="H1456" s="8">
        <v>17875</v>
      </c>
      <c r="I1456" s="5" t="s">
        <v>40</v>
      </c>
      <c r="J1456" s="8">
        <v>3</v>
      </c>
      <c r="K1456" s="8">
        <v>2</v>
      </c>
      <c r="L1456" s="8">
        <v>1</v>
      </c>
    </row>
    <row r="1457" spans="1:12" x14ac:dyDescent="0.8">
      <c r="A1457" s="5" t="s">
        <v>1530</v>
      </c>
      <c r="B1457" s="8">
        <v>59</v>
      </c>
      <c r="C1457" s="5" t="s">
        <v>49</v>
      </c>
      <c r="D1457" s="5" t="s">
        <v>42</v>
      </c>
      <c r="E1457" s="5" t="s">
        <v>53</v>
      </c>
      <c r="F1457" s="5" t="s">
        <v>45</v>
      </c>
      <c r="G1457" s="8">
        <v>1</v>
      </c>
      <c r="H1457" s="8">
        <v>2670</v>
      </c>
      <c r="I1457" s="5" t="s">
        <v>40</v>
      </c>
      <c r="J1457" s="8">
        <v>4</v>
      </c>
      <c r="K1457" s="8">
        <v>3</v>
      </c>
      <c r="L1457" s="8">
        <v>1</v>
      </c>
    </row>
    <row r="1458" spans="1:12" x14ac:dyDescent="0.8">
      <c r="A1458" s="5" t="s">
        <v>1531</v>
      </c>
      <c r="B1458" s="8">
        <v>59</v>
      </c>
      <c r="C1458" s="5" t="s">
        <v>49</v>
      </c>
      <c r="D1458" s="5" t="s">
        <v>51</v>
      </c>
      <c r="E1458" s="5" t="s">
        <v>53</v>
      </c>
      <c r="F1458" s="5" t="s">
        <v>137</v>
      </c>
      <c r="G1458" s="8">
        <v>1</v>
      </c>
      <c r="H1458" s="8">
        <v>7637</v>
      </c>
      <c r="I1458" s="5" t="s">
        <v>49</v>
      </c>
      <c r="J1458" s="8">
        <v>3</v>
      </c>
      <c r="K1458" s="8">
        <v>3</v>
      </c>
      <c r="L1458" s="8">
        <v>21</v>
      </c>
    </row>
    <row r="1459" spans="1:12" x14ac:dyDescent="0.8">
      <c r="A1459" s="5" t="s">
        <v>1532</v>
      </c>
      <c r="B1459" s="8">
        <v>59</v>
      </c>
      <c r="C1459" s="5" t="s">
        <v>49</v>
      </c>
      <c r="D1459" s="5" t="s">
        <v>51</v>
      </c>
      <c r="E1459" s="5" t="s">
        <v>53</v>
      </c>
      <c r="F1459" s="5" t="s">
        <v>137</v>
      </c>
      <c r="G1459" s="8">
        <v>3</v>
      </c>
      <c r="H1459" s="8">
        <v>5473</v>
      </c>
      <c r="I1459" s="5" t="s">
        <v>49</v>
      </c>
      <c r="J1459" s="8">
        <v>3</v>
      </c>
      <c r="K1459" s="8">
        <v>2</v>
      </c>
      <c r="L1459" s="8">
        <v>4</v>
      </c>
    </row>
    <row r="1460" spans="1:12" x14ac:dyDescent="0.8">
      <c r="A1460" s="5" t="s">
        <v>1533</v>
      </c>
      <c r="B1460" s="8">
        <v>59</v>
      </c>
      <c r="C1460" s="5" t="s">
        <v>49</v>
      </c>
      <c r="D1460" s="5" t="s">
        <v>71</v>
      </c>
      <c r="E1460" s="5" t="s">
        <v>53</v>
      </c>
      <c r="F1460" s="5" t="s">
        <v>442</v>
      </c>
      <c r="G1460" s="8">
        <v>4</v>
      </c>
      <c r="H1460" s="8">
        <v>18844</v>
      </c>
      <c r="I1460" s="5" t="s">
        <v>49</v>
      </c>
      <c r="J1460" s="8">
        <v>4</v>
      </c>
      <c r="K1460" s="8">
        <v>3</v>
      </c>
      <c r="L1460" s="8">
        <v>3</v>
      </c>
    </row>
    <row r="1461" spans="1:12" x14ac:dyDescent="0.8">
      <c r="A1461" s="5" t="s">
        <v>1534</v>
      </c>
      <c r="B1461" s="8">
        <v>59</v>
      </c>
      <c r="C1461" s="5" t="s">
        <v>49</v>
      </c>
      <c r="D1461" s="5" t="s">
        <v>42</v>
      </c>
      <c r="E1461" s="5" t="s">
        <v>44</v>
      </c>
      <c r="F1461" s="5" t="s">
        <v>60</v>
      </c>
      <c r="G1461" s="8">
        <v>4</v>
      </c>
      <c r="H1461" s="8">
        <v>2177</v>
      </c>
      <c r="I1461" s="5" t="s">
        <v>49</v>
      </c>
      <c r="J1461" s="8">
        <v>3</v>
      </c>
      <c r="K1461" s="8">
        <v>6</v>
      </c>
      <c r="L1461" s="8">
        <v>1</v>
      </c>
    </row>
    <row r="1462" spans="1:12" x14ac:dyDescent="0.8">
      <c r="A1462" s="5" t="s">
        <v>1535</v>
      </c>
      <c r="B1462" s="8">
        <v>59</v>
      </c>
      <c r="C1462" s="5" t="s">
        <v>49</v>
      </c>
      <c r="D1462" s="5" t="s">
        <v>71</v>
      </c>
      <c r="E1462" s="5" t="s">
        <v>44</v>
      </c>
      <c r="F1462" s="5" t="s">
        <v>71</v>
      </c>
      <c r="G1462" s="8">
        <v>3</v>
      </c>
      <c r="H1462" s="8">
        <v>2267</v>
      </c>
      <c r="I1462" s="5" t="s">
        <v>49</v>
      </c>
      <c r="J1462" s="8">
        <v>3</v>
      </c>
      <c r="K1462" s="8">
        <v>2</v>
      </c>
      <c r="L1462" s="8">
        <v>2</v>
      </c>
    </row>
    <row r="1463" spans="1:12" x14ac:dyDescent="0.8">
      <c r="A1463" s="5" t="s">
        <v>1536</v>
      </c>
      <c r="B1463" s="8">
        <v>59</v>
      </c>
      <c r="C1463" s="5" t="s">
        <v>49</v>
      </c>
      <c r="D1463" s="5" t="s">
        <v>42</v>
      </c>
      <c r="E1463" s="5" t="s">
        <v>53</v>
      </c>
      <c r="F1463" s="5" t="s">
        <v>112</v>
      </c>
      <c r="G1463" s="8">
        <v>4</v>
      </c>
      <c r="H1463" s="8">
        <v>13726</v>
      </c>
      <c r="I1463" s="5" t="s">
        <v>40</v>
      </c>
      <c r="J1463" s="8">
        <v>3</v>
      </c>
      <c r="K1463" s="8">
        <v>4</v>
      </c>
      <c r="L1463" s="8">
        <v>5</v>
      </c>
    </row>
    <row r="1464" spans="1:12" x14ac:dyDescent="0.8">
      <c r="A1464" s="5" t="s">
        <v>1537</v>
      </c>
      <c r="B1464" s="8">
        <v>59</v>
      </c>
      <c r="C1464" s="5" t="s">
        <v>49</v>
      </c>
      <c r="D1464" s="5" t="s">
        <v>51</v>
      </c>
      <c r="E1464" s="5" t="s">
        <v>44</v>
      </c>
      <c r="F1464" s="5" t="s">
        <v>442</v>
      </c>
      <c r="G1464" s="8">
        <v>4</v>
      </c>
      <c r="H1464" s="8">
        <v>11904</v>
      </c>
      <c r="I1464" s="5" t="s">
        <v>40</v>
      </c>
      <c r="J1464" s="8">
        <v>3</v>
      </c>
      <c r="K1464" s="8">
        <v>1</v>
      </c>
      <c r="L1464" s="8">
        <v>6</v>
      </c>
    </row>
    <row r="1465" spans="1:12" x14ac:dyDescent="0.8">
      <c r="A1465" s="5" t="s">
        <v>1538</v>
      </c>
      <c r="B1465" s="8">
        <v>59</v>
      </c>
      <c r="C1465" s="5" t="s">
        <v>49</v>
      </c>
      <c r="D1465" s="5" t="s">
        <v>51</v>
      </c>
      <c r="E1465" s="5" t="s">
        <v>53</v>
      </c>
      <c r="F1465" s="5" t="s">
        <v>137</v>
      </c>
      <c r="G1465" s="8">
        <v>4</v>
      </c>
      <c r="H1465" s="8">
        <v>5171</v>
      </c>
      <c r="I1465" s="5" t="s">
        <v>49</v>
      </c>
      <c r="J1465" s="8">
        <v>3</v>
      </c>
      <c r="K1465" s="8">
        <v>2</v>
      </c>
      <c r="L1465" s="8">
        <v>6</v>
      </c>
    </row>
    <row r="1466" spans="1:12" x14ac:dyDescent="0.8">
      <c r="A1466" s="5" t="s">
        <v>1539</v>
      </c>
      <c r="B1466" s="8">
        <v>59</v>
      </c>
      <c r="C1466" s="5" t="s">
        <v>49</v>
      </c>
      <c r="D1466" s="5" t="s">
        <v>42</v>
      </c>
      <c r="E1466" s="5" t="s">
        <v>44</v>
      </c>
      <c r="F1466" s="5" t="s">
        <v>112</v>
      </c>
      <c r="G1466" s="8">
        <v>4</v>
      </c>
      <c r="H1466" s="8">
        <v>10512</v>
      </c>
      <c r="I1466" s="5" t="s">
        <v>49</v>
      </c>
      <c r="J1466" s="8">
        <v>3</v>
      </c>
      <c r="K1466" s="8">
        <v>6</v>
      </c>
      <c r="L1466" s="8">
        <v>9</v>
      </c>
    </row>
    <row r="1467" spans="1:12" x14ac:dyDescent="0.8">
      <c r="A1467" s="5" t="s">
        <v>1540</v>
      </c>
      <c r="B1467" s="8">
        <v>60</v>
      </c>
      <c r="C1467" s="5" t="s">
        <v>49</v>
      </c>
      <c r="D1467" s="5" t="s">
        <v>42</v>
      </c>
      <c r="E1467" s="5" t="s">
        <v>53</v>
      </c>
      <c r="F1467" s="5" t="s">
        <v>442</v>
      </c>
      <c r="G1467" s="8">
        <v>1</v>
      </c>
      <c r="H1467" s="8">
        <v>19566</v>
      </c>
      <c r="I1467" s="5" t="s">
        <v>49</v>
      </c>
      <c r="J1467" s="8">
        <v>3</v>
      </c>
      <c r="K1467" s="8">
        <v>5</v>
      </c>
      <c r="L1467" s="8">
        <v>29</v>
      </c>
    </row>
    <row r="1468" spans="1:12" x14ac:dyDescent="0.8">
      <c r="A1468" s="5" t="s">
        <v>1541</v>
      </c>
      <c r="B1468" s="8">
        <v>60</v>
      </c>
      <c r="C1468" s="5" t="s">
        <v>49</v>
      </c>
      <c r="D1468" s="5" t="s">
        <v>51</v>
      </c>
      <c r="E1468" s="5" t="s">
        <v>53</v>
      </c>
      <c r="F1468" s="5" t="s">
        <v>137</v>
      </c>
      <c r="G1468" s="8">
        <v>1</v>
      </c>
      <c r="H1468" s="8">
        <v>10266</v>
      </c>
      <c r="I1468" s="5" t="s">
        <v>49</v>
      </c>
      <c r="J1468" s="8">
        <v>3</v>
      </c>
      <c r="K1468" s="8">
        <v>5</v>
      </c>
      <c r="L1468" s="8">
        <v>18</v>
      </c>
    </row>
    <row r="1469" spans="1:12" x14ac:dyDescent="0.8">
      <c r="A1469" s="5" t="s">
        <v>1542</v>
      </c>
      <c r="B1469" s="8">
        <v>60</v>
      </c>
      <c r="C1469" s="5" t="s">
        <v>49</v>
      </c>
      <c r="D1469" s="5" t="s">
        <v>51</v>
      </c>
      <c r="E1469" s="5" t="s">
        <v>44</v>
      </c>
      <c r="F1469" s="5" t="s">
        <v>137</v>
      </c>
      <c r="G1469" s="8">
        <v>1</v>
      </c>
      <c r="H1469" s="8">
        <v>5405</v>
      </c>
      <c r="I1469" s="5" t="s">
        <v>49</v>
      </c>
      <c r="J1469" s="8">
        <v>3</v>
      </c>
      <c r="K1469" s="8">
        <v>1</v>
      </c>
      <c r="L1469" s="8">
        <v>2</v>
      </c>
    </row>
    <row r="1470" spans="1:12" x14ac:dyDescent="0.8">
      <c r="A1470" s="5" t="s">
        <v>1543</v>
      </c>
      <c r="B1470" s="8">
        <v>60</v>
      </c>
      <c r="C1470" s="5" t="s">
        <v>49</v>
      </c>
      <c r="D1470" s="5" t="s">
        <v>51</v>
      </c>
      <c r="E1470" s="5" t="s">
        <v>44</v>
      </c>
      <c r="F1470" s="5" t="s">
        <v>137</v>
      </c>
      <c r="G1470" s="8">
        <v>4</v>
      </c>
      <c r="H1470" s="8">
        <v>5220</v>
      </c>
      <c r="I1470" s="5" t="s">
        <v>40</v>
      </c>
      <c r="J1470" s="8">
        <v>3</v>
      </c>
      <c r="K1470" s="8">
        <v>3</v>
      </c>
      <c r="L1470" s="8">
        <v>11</v>
      </c>
    </row>
    <row r="1471" spans="1:12" x14ac:dyDescent="0.8">
      <c r="A1471" s="5" t="s">
        <v>1544</v>
      </c>
      <c r="B1471" s="8">
        <v>60</v>
      </c>
      <c r="C1471" s="5" t="s">
        <v>49</v>
      </c>
      <c r="D1471" s="5" t="s">
        <v>42</v>
      </c>
      <c r="E1471" s="5" t="s">
        <v>44</v>
      </c>
      <c r="F1471" s="5" t="s">
        <v>161</v>
      </c>
      <c r="G1471" s="8">
        <v>4</v>
      </c>
      <c r="H1471" s="8">
        <v>10883</v>
      </c>
      <c r="I1471" s="5" t="s">
        <v>49</v>
      </c>
      <c r="J1471" s="8">
        <v>4</v>
      </c>
      <c r="K1471" s="8">
        <v>2</v>
      </c>
      <c r="L1471" s="8">
        <v>1</v>
      </c>
    </row>
    <row r="1472" spans="1:12" x14ac:dyDescent="0.8">
      <c r="A1472" s="12"/>
      <c r="B1472" s="10"/>
      <c r="C1472" s="12"/>
      <c r="D1472" s="12"/>
      <c r="E1472" s="12"/>
      <c r="F1472" s="12"/>
      <c r="G1472" s="10"/>
      <c r="H1472" s="10"/>
      <c r="I1472" s="12"/>
      <c r="J1472" s="10"/>
      <c r="K1472" s="10"/>
      <c r="L1472" s="10"/>
    </row>
    <row r="1473" spans="1:12" x14ac:dyDescent="0.8">
      <c r="A1473" s="12"/>
      <c r="B1473" s="10"/>
      <c r="C1473" s="12"/>
      <c r="D1473" s="12"/>
      <c r="E1473" s="12"/>
      <c r="F1473" s="12"/>
      <c r="G1473" s="10"/>
      <c r="H1473" s="10"/>
      <c r="I1473" s="12"/>
      <c r="J1473" s="10"/>
      <c r="K1473" s="10"/>
      <c r="L1473" s="10"/>
    </row>
    <row r="1474" spans="1:12" x14ac:dyDescent="0.8">
      <c r="A1474" s="12"/>
      <c r="B1474" s="10"/>
      <c r="C1474" s="12"/>
      <c r="D1474" s="12"/>
      <c r="E1474" s="12"/>
      <c r="F1474" s="12"/>
      <c r="G1474" s="10"/>
      <c r="H1474" s="10"/>
      <c r="I1474" s="12"/>
      <c r="J1474" s="10"/>
      <c r="K1474" s="10"/>
      <c r="L1474" s="10"/>
    </row>
    <row r="1475" spans="1:12" x14ac:dyDescent="0.8">
      <c r="A1475" s="12"/>
      <c r="B1475" s="10"/>
      <c r="C1475" s="12"/>
      <c r="D1475" s="12"/>
      <c r="E1475" s="12"/>
      <c r="F1475" s="12"/>
      <c r="G1475" s="10"/>
      <c r="H1475" s="10"/>
      <c r="I1475" s="12"/>
      <c r="J1475" s="10"/>
      <c r="K1475" s="10"/>
      <c r="L1475" s="10"/>
    </row>
    <row r="1476" spans="1:12" x14ac:dyDescent="0.8">
      <c r="A1476" s="12"/>
      <c r="B1476" s="10"/>
      <c r="C1476" s="12"/>
      <c r="D1476" s="12"/>
      <c r="E1476" s="12"/>
      <c r="F1476" s="12"/>
      <c r="G1476" s="10"/>
      <c r="H1476" s="10"/>
      <c r="I1476" s="12"/>
      <c r="J1476" s="10"/>
      <c r="K1476" s="10"/>
      <c r="L1476" s="10"/>
    </row>
    <row r="1477" spans="1:12" x14ac:dyDescent="0.8">
      <c r="A1477" s="12"/>
      <c r="B1477" s="10"/>
      <c r="C1477" s="12"/>
      <c r="D1477" s="12"/>
      <c r="E1477" s="12"/>
      <c r="F1477" s="12"/>
      <c r="G1477" s="10"/>
      <c r="H1477" s="10"/>
      <c r="I1477" s="12"/>
      <c r="J1477" s="10"/>
      <c r="K1477" s="10"/>
      <c r="L1477" s="10"/>
    </row>
    <row r="1478" spans="1:12" x14ac:dyDescent="0.8">
      <c r="A1478" s="12"/>
      <c r="B1478" s="10"/>
      <c r="C1478" s="12"/>
      <c r="D1478" s="12"/>
      <c r="E1478" s="12"/>
      <c r="F1478" s="12"/>
      <c r="G1478" s="10"/>
      <c r="H1478" s="10"/>
      <c r="I1478" s="12"/>
      <c r="J1478" s="10"/>
      <c r="K1478" s="10"/>
      <c r="L1478" s="10"/>
    </row>
    <row r="1479" spans="1:12" x14ac:dyDescent="0.8">
      <c r="A1479" s="12"/>
      <c r="B1479" s="10"/>
      <c r="C1479" s="12"/>
      <c r="D1479" s="12"/>
      <c r="E1479" s="12"/>
      <c r="F1479" s="12"/>
      <c r="G1479" s="10"/>
      <c r="H1479" s="10"/>
      <c r="I1479" s="12"/>
      <c r="J1479" s="10"/>
      <c r="K1479" s="10"/>
      <c r="L1479" s="10"/>
    </row>
    <row r="1480" spans="1:12" x14ac:dyDescent="0.8">
      <c r="A1480" s="12"/>
      <c r="B1480" s="10"/>
      <c r="C1480" s="12"/>
      <c r="D1480" s="12"/>
      <c r="E1480" s="12"/>
      <c r="F1480" s="12"/>
      <c r="G1480" s="10"/>
      <c r="H1480" s="10"/>
      <c r="I1480" s="12"/>
      <c r="J1480" s="10"/>
      <c r="K1480" s="10"/>
      <c r="L1480" s="10"/>
    </row>
    <row r="1481" spans="1:12" x14ac:dyDescent="0.8">
      <c r="A1481" s="12"/>
      <c r="B1481" s="10"/>
      <c r="C1481" s="12"/>
      <c r="D1481" s="12"/>
      <c r="E1481" s="12"/>
      <c r="F1481" s="12"/>
      <c r="G1481" s="10"/>
      <c r="H1481" s="10"/>
      <c r="I1481" s="12"/>
      <c r="J1481" s="10"/>
      <c r="K1481" s="10"/>
      <c r="L1481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E2DB-AC5D-4C33-8CFE-57DB20FD40F8}">
  <dimension ref="A1:AL1481"/>
  <sheetViews>
    <sheetView workbookViewId="0">
      <selection activeCell="AG1" sqref="AG1"/>
    </sheetView>
  </sheetViews>
  <sheetFormatPr defaultRowHeight="24" x14ac:dyDescent="0.8"/>
  <cols>
    <col min="1" max="1" width="8.8984375" bestFit="1" customWidth="1"/>
    <col min="2" max="2" width="6.3984375" bestFit="1" customWidth="1"/>
    <col min="3" max="3" width="11.8984375" bestFit="1" customWidth="1"/>
    <col min="4" max="4" width="9.8984375" bestFit="1" customWidth="1"/>
    <col min="5" max="5" width="16.69921875" bestFit="1" customWidth="1"/>
    <col min="6" max="6" width="11.59765625" bestFit="1" customWidth="1"/>
    <col min="7" max="7" width="22.59765625" bestFit="1" customWidth="1"/>
    <col min="8" max="8" width="20.69921875" bestFit="1" customWidth="1"/>
    <col min="9" max="9" width="11.796875" bestFit="1" customWidth="1"/>
    <col min="10" max="10" width="16.3984375" bestFit="1" customWidth="1"/>
    <col min="11" max="11" width="17.09765625" bestFit="1" customWidth="1"/>
    <col min="12" max="12" width="18.796875" bestFit="1" customWidth="1"/>
    <col min="13" max="13" width="24.8984375" bestFit="1" customWidth="1"/>
    <col min="14" max="14" width="9.5" bestFit="1" customWidth="1"/>
    <col min="15" max="15" width="12.8984375" bestFit="1" customWidth="1"/>
    <col min="16" max="16" width="17" bestFit="1" customWidth="1"/>
    <col min="17" max="17" width="10.8984375" bestFit="1" customWidth="1"/>
    <col min="18" max="18" width="22.8984375" bestFit="1" customWidth="1"/>
    <col min="19" max="19" width="16.69921875" bestFit="1" customWidth="1"/>
    <col min="20" max="20" width="14.69921875" bestFit="1" customWidth="1"/>
    <col min="21" max="21" width="16.5" bestFit="1" customWidth="1"/>
    <col min="22" max="22" width="12.59765625" bestFit="1" customWidth="1"/>
    <col min="23" max="23" width="14.09765625" bestFit="1" customWidth="1"/>
    <col min="24" max="24" width="24.09765625" bestFit="1" customWidth="1"/>
    <col min="25" max="25" width="9.19921875" bestFit="1" customWidth="1"/>
    <col min="26" max="26" width="11.59765625" bestFit="1" customWidth="1"/>
    <col min="27" max="27" width="19.69921875" bestFit="1" customWidth="1"/>
    <col min="28" max="28" width="20.296875" bestFit="1" customWidth="1"/>
    <col min="29" max="29" width="24.796875" bestFit="1" customWidth="1"/>
    <col min="30" max="30" width="16.3984375" bestFit="1" customWidth="1"/>
    <col min="31" max="31" width="18.69921875" bestFit="1" customWidth="1"/>
    <col min="32" max="32" width="20.09765625" bestFit="1" customWidth="1"/>
    <col min="33" max="33" width="23.8984375" bestFit="1" customWidth="1"/>
    <col min="34" max="34" width="18.09765625" bestFit="1" customWidth="1"/>
    <col min="35" max="35" width="18.5" bestFit="1" customWidth="1"/>
    <col min="36" max="36" width="20.796875" bestFit="1" customWidth="1"/>
    <col min="37" max="37" width="26.296875" bestFit="1" customWidth="1"/>
    <col min="38" max="38" width="24.09765625" bestFit="1" customWidth="1"/>
  </cols>
  <sheetData>
    <row r="1" spans="1:38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8">
      <c r="A2" s="1" t="s">
        <v>38</v>
      </c>
      <c r="B2">
        <v>18</v>
      </c>
      <c r="C2" s="1" t="s">
        <v>39</v>
      </c>
      <c r="D2" s="1" t="s">
        <v>40</v>
      </c>
      <c r="E2" s="1" t="s">
        <v>41</v>
      </c>
      <c r="F2">
        <v>230</v>
      </c>
      <c r="G2" s="1" t="s">
        <v>42</v>
      </c>
      <c r="H2">
        <v>3</v>
      </c>
      <c r="I2">
        <v>3</v>
      </c>
      <c r="J2" s="1" t="s">
        <v>43</v>
      </c>
      <c r="K2">
        <v>1</v>
      </c>
      <c r="L2">
        <v>405</v>
      </c>
      <c r="M2">
        <v>3</v>
      </c>
      <c r="N2" s="1" t="s">
        <v>44</v>
      </c>
      <c r="O2">
        <v>54</v>
      </c>
      <c r="P2">
        <v>3</v>
      </c>
      <c r="Q2">
        <v>1</v>
      </c>
      <c r="R2" s="1" t="s">
        <v>45</v>
      </c>
      <c r="S2">
        <v>3</v>
      </c>
      <c r="T2" s="1" t="s">
        <v>46</v>
      </c>
      <c r="U2">
        <v>1420</v>
      </c>
      <c r="V2" s="1" t="s">
        <v>47</v>
      </c>
      <c r="W2">
        <v>25233</v>
      </c>
      <c r="X2">
        <v>1</v>
      </c>
      <c r="Y2" s="1" t="s">
        <v>48</v>
      </c>
      <c r="Z2" s="1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8">
      <c r="A3" s="1" t="s">
        <v>50</v>
      </c>
      <c r="B3">
        <v>18</v>
      </c>
      <c r="C3" s="1" t="s">
        <v>39</v>
      </c>
      <c r="D3" s="1" t="s">
        <v>49</v>
      </c>
      <c r="E3" s="1" t="s">
        <v>41</v>
      </c>
      <c r="F3">
        <v>812</v>
      </c>
      <c r="G3" s="1" t="s">
        <v>51</v>
      </c>
      <c r="H3">
        <v>10</v>
      </c>
      <c r="I3">
        <v>3</v>
      </c>
      <c r="J3" s="1" t="s">
        <v>52</v>
      </c>
      <c r="K3">
        <v>1</v>
      </c>
      <c r="L3">
        <v>411</v>
      </c>
      <c r="M3">
        <v>4</v>
      </c>
      <c r="N3" s="1" t="s">
        <v>53</v>
      </c>
      <c r="O3">
        <v>69</v>
      </c>
      <c r="P3">
        <v>2</v>
      </c>
      <c r="Q3">
        <v>1</v>
      </c>
      <c r="R3" s="1" t="s">
        <v>54</v>
      </c>
      <c r="S3">
        <v>3</v>
      </c>
      <c r="T3" s="1" t="s">
        <v>46</v>
      </c>
      <c r="U3">
        <v>1200</v>
      </c>
      <c r="V3" s="1" t="s">
        <v>47</v>
      </c>
      <c r="W3">
        <v>9724</v>
      </c>
      <c r="X3">
        <v>1</v>
      </c>
      <c r="Y3" s="1" t="s">
        <v>48</v>
      </c>
      <c r="Z3" s="1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8">
      <c r="A4" s="1" t="s">
        <v>55</v>
      </c>
      <c r="B4">
        <v>18</v>
      </c>
      <c r="C4" s="1" t="s">
        <v>39</v>
      </c>
      <c r="D4" s="1" t="s">
        <v>40</v>
      </c>
      <c r="E4" s="1" t="s">
        <v>56</v>
      </c>
      <c r="F4">
        <v>1306</v>
      </c>
      <c r="G4" s="1" t="s">
        <v>51</v>
      </c>
      <c r="H4">
        <v>5</v>
      </c>
      <c r="I4">
        <v>3</v>
      </c>
      <c r="J4" s="1" t="s">
        <v>57</v>
      </c>
      <c r="K4">
        <v>1</v>
      </c>
      <c r="L4">
        <v>614</v>
      </c>
      <c r="M4">
        <v>2</v>
      </c>
      <c r="N4" s="1" t="s">
        <v>44</v>
      </c>
      <c r="O4">
        <v>69</v>
      </c>
      <c r="P4">
        <v>3</v>
      </c>
      <c r="Q4">
        <v>1</v>
      </c>
      <c r="R4" s="1" t="s">
        <v>54</v>
      </c>
      <c r="S4">
        <v>2</v>
      </c>
      <c r="T4" s="1" t="s">
        <v>46</v>
      </c>
      <c r="U4">
        <v>1878</v>
      </c>
      <c r="V4" s="1" t="s">
        <v>47</v>
      </c>
      <c r="W4">
        <v>8059</v>
      </c>
      <c r="X4">
        <v>1</v>
      </c>
      <c r="Y4" s="1" t="s">
        <v>48</v>
      </c>
      <c r="Z4" s="1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8">
      <c r="A5" s="1" t="s">
        <v>58</v>
      </c>
      <c r="B5">
        <v>18</v>
      </c>
      <c r="C5" s="1" t="s">
        <v>39</v>
      </c>
      <c r="D5" s="1" t="s">
        <v>49</v>
      </c>
      <c r="E5" s="1" t="s">
        <v>59</v>
      </c>
      <c r="F5">
        <v>287</v>
      </c>
      <c r="G5" s="1" t="s">
        <v>42</v>
      </c>
      <c r="H5">
        <v>5</v>
      </c>
      <c r="I5">
        <v>2</v>
      </c>
      <c r="J5" s="1" t="s">
        <v>43</v>
      </c>
      <c r="K5">
        <v>1</v>
      </c>
      <c r="L5">
        <v>1012</v>
      </c>
      <c r="M5">
        <v>2</v>
      </c>
      <c r="N5" s="1" t="s">
        <v>44</v>
      </c>
      <c r="O5">
        <v>73</v>
      </c>
      <c r="P5">
        <v>3</v>
      </c>
      <c r="Q5">
        <v>1</v>
      </c>
      <c r="R5" s="1" t="s">
        <v>60</v>
      </c>
      <c r="S5">
        <v>4</v>
      </c>
      <c r="T5" s="1" t="s">
        <v>46</v>
      </c>
      <c r="U5">
        <v>1051</v>
      </c>
      <c r="V5" s="1" t="s">
        <v>47</v>
      </c>
      <c r="W5">
        <v>13493</v>
      </c>
      <c r="X5">
        <v>1</v>
      </c>
      <c r="Y5" s="1" t="s">
        <v>48</v>
      </c>
      <c r="Z5" s="1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8">
      <c r="A6" s="1" t="s">
        <v>61</v>
      </c>
      <c r="B6">
        <v>18</v>
      </c>
      <c r="C6" s="1" t="s">
        <v>39</v>
      </c>
      <c r="D6" s="1" t="s">
        <v>40</v>
      </c>
      <c r="E6" s="1" t="s">
        <v>59</v>
      </c>
      <c r="F6">
        <v>247</v>
      </c>
      <c r="G6" s="1" t="s">
        <v>42</v>
      </c>
      <c r="H6">
        <v>8</v>
      </c>
      <c r="I6">
        <v>1</v>
      </c>
      <c r="J6" s="1" t="s">
        <v>52</v>
      </c>
      <c r="K6">
        <v>1</v>
      </c>
      <c r="L6">
        <v>1156</v>
      </c>
      <c r="M6">
        <v>3</v>
      </c>
      <c r="N6" s="1" t="s">
        <v>44</v>
      </c>
      <c r="O6">
        <v>80</v>
      </c>
      <c r="P6">
        <v>3</v>
      </c>
      <c r="Q6">
        <v>1</v>
      </c>
      <c r="R6" s="1" t="s">
        <v>45</v>
      </c>
      <c r="S6">
        <v>3</v>
      </c>
      <c r="T6" s="1" t="s">
        <v>46</v>
      </c>
      <c r="U6">
        <v>1904</v>
      </c>
      <c r="V6" s="1" t="s">
        <v>47</v>
      </c>
      <c r="W6">
        <v>13556</v>
      </c>
      <c r="X6">
        <v>1</v>
      </c>
      <c r="Y6" s="1" t="s">
        <v>48</v>
      </c>
      <c r="Z6" s="1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8">
      <c r="A7" s="1" t="s">
        <v>62</v>
      </c>
      <c r="B7">
        <v>18</v>
      </c>
      <c r="C7" s="1" t="s">
        <v>39</v>
      </c>
      <c r="D7" s="1" t="s">
        <v>49</v>
      </c>
      <c r="E7" s="1" t="s">
        <v>59</v>
      </c>
      <c r="F7">
        <v>1124</v>
      </c>
      <c r="G7" s="1" t="s">
        <v>42</v>
      </c>
      <c r="H7">
        <v>1</v>
      </c>
      <c r="I7">
        <v>3</v>
      </c>
      <c r="J7" s="1" t="s">
        <v>43</v>
      </c>
      <c r="K7">
        <v>1</v>
      </c>
      <c r="L7">
        <v>1368</v>
      </c>
      <c r="M7">
        <v>4</v>
      </c>
      <c r="N7" s="1" t="s">
        <v>53</v>
      </c>
      <c r="O7">
        <v>97</v>
      </c>
      <c r="P7">
        <v>3</v>
      </c>
      <c r="Q7">
        <v>1</v>
      </c>
      <c r="R7" s="1" t="s">
        <v>45</v>
      </c>
      <c r="S7">
        <v>4</v>
      </c>
      <c r="T7" s="1" t="s">
        <v>46</v>
      </c>
      <c r="U7">
        <v>1611</v>
      </c>
      <c r="V7" s="1" t="s">
        <v>47</v>
      </c>
      <c r="W7">
        <v>19305</v>
      </c>
      <c r="X7">
        <v>1</v>
      </c>
      <c r="Y7" s="1" t="s">
        <v>48</v>
      </c>
      <c r="Z7" s="1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8">
      <c r="A8" s="1" t="s">
        <v>63</v>
      </c>
      <c r="B8">
        <v>18</v>
      </c>
      <c r="C8" s="1" t="s">
        <v>39</v>
      </c>
      <c r="D8" s="1" t="s">
        <v>40</v>
      </c>
      <c r="E8" s="1" t="s">
        <v>56</v>
      </c>
      <c r="F8">
        <v>544</v>
      </c>
      <c r="G8" s="1" t="s">
        <v>51</v>
      </c>
      <c r="H8">
        <v>3</v>
      </c>
      <c r="I8">
        <v>2</v>
      </c>
      <c r="J8" s="1" t="s">
        <v>52</v>
      </c>
      <c r="K8">
        <v>1</v>
      </c>
      <c r="L8">
        <v>1624</v>
      </c>
      <c r="M8">
        <v>2</v>
      </c>
      <c r="N8" s="1" t="s">
        <v>53</v>
      </c>
      <c r="O8">
        <v>70</v>
      </c>
      <c r="P8">
        <v>3</v>
      </c>
      <c r="Q8">
        <v>1</v>
      </c>
      <c r="R8" s="1" t="s">
        <v>54</v>
      </c>
      <c r="S8">
        <v>4</v>
      </c>
      <c r="T8" s="1" t="s">
        <v>46</v>
      </c>
      <c r="U8">
        <v>1569</v>
      </c>
      <c r="V8" s="1" t="s">
        <v>47</v>
      </c>
      <c r="W8">
        <v>18420</v>
      </c>
      <c r="X8">
        <v>1</v>
      </c>
      <c r="Y8" s="1" t="s">
        <v>48</v>
      </c>
      <c r="Z8" s="1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8">
      <c r="A9" s="1" t="s">
        <v>64</v>
      </c>
      <c r="B9">
        <v>18</v>
      </c>
      <c r="C9" s="1" t="s">
        <v>39</v>
      </c>
      <c r="D9" s="1" t="s">
        <v>49</v>
      </c>
      <c r="E9" s="1" t="s">
        <v>59</v>
      </c>
      <c r="F9">
        <v>1431</v>
      </c>
      <c r="G9" s="1" t="s">
        <v>42</v>
      </c>
      <c r="H9">
        <v>14</v>
      </c>
      <c r="I9">
        <v>3</v>
      </c>
      <c r="J9" s="1" t="s">
        <v>52</v>
      </c>
      <c r="K9">
        <v>1</v>
      </c>
      <c r="L9">
        <v>1839</v>
      </c>
      <c r="M9">
        <v>2</v>
      </c>
      <c r="N9" s="1" t="s">
        <v>53</v>
      </c>
      <c r="O9">
        <v>33</v>
      </c>
      <c r="P9">
        <v>3</v>
      </c>
      <c r="Q9">
        <v>1</v>
      </c>
      <c r="R9" s="1" t="s">
        <v>60</v>
      </c>
      <c r="S9">
        <v>3</v>
      </c>
      <c r="T9" s="1" t="s">
        <v>46</v>
      </c>
      <c r="U9">
        <v>1514</v>
      </c>
      <c r="V9" s="1" t="s">
        <v>47</v>
      </c>
      <c r="W9">
        <v>8018</v>
      </c>
      <c r="X9">
        <v>1</v>
      </c>
      <c r="Y9" s="1" t="s">
        <v>48</v>
      </c>
      <c r="Z9" s="1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8">
      <c r="A10" s="1" t="s">
        <v>65</v>
      </c>
      <c r="B10">
        <v>19</v>
      </c>
      <c r="C10" s="1" t="s">
        <v>39</v>
      </c>
      <c r="D10" s="1" t="s">
        <v>40</v>
      </c>
      <c r="E10" s="1" t="s">
        <v>41</v>
      </c>
      <c r="F10">
        <v>528</v>
      </c>
      <c r="G10" s="1" t="s">
        <v>51</v>
      </c>
      <c r="H10">
        <v>22</v>
      </c>
      <c r="I10">
        <v>1</v>
      </c>
      <c r="J10" s="1" t="s">
        <v>57</v>
      </c>
      <c r="K10">
        <v>1</v>
      </c>
      <c r="L10">
        <v>167</v>
      </c>
      <c r="M10">
        <v>4</v>
      </c>
      <c r="N10" s="1" t="s">
        <v>44</v>
      </c>
      <c r="O10">
        <v>50</v>
      </c>
      <c r="P10">
        <v>3</v>
      </c>
      <c r="Q10">
        <v>1</v>
      </c>
      <c r="R10" s="1" t="s">
        <v>54</v>
      </c>
      <c r="S10">
        <v>3</v>
      </c>
      <c r="T10" s="1" t="s">
        <v>46</v>
      </c>
      <c r="U10">
        <v>1675</v>
      </c>
      <c r="V10" s="1" t="s">
        <v>47</v>
      </c>
      <c r="W10">
        <v>26820</v>
      </c>
      <c r="X10">
        <v>1</v>
      </c>
      <c r="Y10" s="1" t="s">
        <v>48</v>
      </c>
      <c r="Z10" s="1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8">
      <c r="A11" s="1" t="s">
        <v>66</v>
      </c>
      <c r="B11">
        <v>19</v>
      </c>
      <c r="C11" s="1" t="s">
        <v>39</v>
      </c>
      <c r="D11" s="1" t="s">
        <v>49</v>
      </c>
      <c r="E11" s="1" t="s">
        <v>41</v>
      </c>
      <c r="F11">
        <v>1181</v>
      </c>
      <c r="G11" s="1" t="s">
        <v>42</v>
      </c>
      <c r="H11">
        <v>3</v>
      </c>
      <c r="I11">
        <v>1</v>
      </c>
      <c r="J11" s="1" t="s">
        <v>52</v>
      </c>
      <c r="K11">
        <v>1</v>
      </c>
      <c r="L11">
        <v>201</v>
      </c>
      <c r="M11">
        <v>2</v>
      </c>
      <c r="N11" s="1" t="s">
        <v>53</v>
      </c>
      <c r="O11">
        <v>79</v>
      </c>
      <c r="P11">
        <v>3</v>
      </c>
      <c r="Q11">
        <v>1</v>
      </c>
      <c r="R11" s="1" t="s">
        <v>45</v>
      </c>
      <c r="S11">
        <v>2</v>
      </c>
      <c r="T11" s="1" t="s">
        <v>46</v>
      </c>
      <c r="U11">
        <v>1483</v>
      </c>
      <c r="V11" s="1" t="s">
        <v>47</v>
      </c>
      <c r="W11">
        <v>16102</v>
      </c>
      <c r="X11">
        <v>1</v>
      </c>
      <c r="Y11" s="1" t="s">
        <v>48</v>
      </c>
      <c r="Z11" s="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8">
      <c r="A12" s="1" t="s">
        <v>67</v>
      </c>
      <c r="B12">
        <v>19</v>
      </c>
      <c r="C12" s="1" t="s">
        <v>39</v>
      </c>
      <c r="D12" s="1" t="s">
        <v>40</v>
      </c>
      <c r="E12" s="1" t="s">
        <v>56</v>
      </c>
      <c r="F12">
        <v>602</v>
      </c>
      <c r="G12" s="1" t="s">
        <v>51</v>
      </c>
      <c r="H12">
        <v>1</v>
      </c>
      <c r="I12">
        <v>1</v>
      </c>
      <c r="J12" s="1" t="s">
        <v>68</v>
      </c>
      <c r="K12">
        <v>1</v>
      </c>
      <c r="L12">
        <v>235</v>
      </c>
      <c r="M12">
        <v>3</v>
      </c>
      <c r="N12" s="1" t="s">
        <v>53</v>
      </c>
      <c r="O12">
        <v>100</v>
      </c>
      <c r="P12">
        <v>1</v>
      </c>
      <c r="Q12">
        <v>1</v>
      </c>
      <c r="R12" s="1" t="s">
        <v>54</v>
      </c>
      <c r="S12">
        <v>1</v>
      </c>
      <c r="T12" s="1" t="s">
        <v>46</v>
      </c>
      <c r="U12">
        <v>2325</v>
      </c>
      <c r="V12" s="1" t="s">
        <v>47</v>
      </c>
      <c r="W12">
        <v>20989</v>
      </c>
      <c r="X12">
        <v>0</v>
      </c>
      <c r="Y12" s="1" t="s">
        <v>48</v>
      </c>
      <c r="Z12" s="1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8">
      <c r="A13" s="1" t="s">
        <v>69</v>
      </c>
      <c r="B13">
        <v>19</v>
      </c>
      <c r="C13" s="1" t="s">
        <v>39</v>
      </c>
      <c r="D13" s="1" t="s">
        <v>40</v>
      </c>
      <c r="E13" s="1" t="s">
        <v>41</v>
      </c>
      <c r="F13">
        <v>303</v>
      </c>
      <c r="G13" s="1" t="s">
        <v>42</v>
      </c>
      <c r="H13">
        <v>2</v>
      </c>
      <c r="I13">
        <v>3</v>
      </c>
      <c r="J13" s="1" t="s">
        <v>43</v>
      </c>
      <c r="K13">
        <v>1</v>
      </c>
      <c r="L13">
        <v>243</v>
      </c>
      <c r="M13">
        <v>2</v>
      </c>
      <c r="N13" s="1" t="s">
        <v>44</v>
      </c>
      <c r="O13">
        <v>47</v>
      </c>
      <c r="P13">
        <v>2</v>
      </c>
      <c r="Q13">
        <v>1</v>
      </c>
      <c r="R13" s="1" t="s">
        <v>45</v>
      </c>
      <c r="S13">
        <v>4</v>
      </c>
      <c r="T13" s="1" t="s">
        <v>46</v>
      </c>
      <c r="U13">
        <v>1102</v>
      </c>
      <c r="V13" s="1" t="s">
        <v>47</v>
      </c>
      <c r="W13">
        <v>9241</v>
      </c>
      <c r="X13">
        <v>1</v>
      </c>
      <c r="Y13" s="1" t="s">
        <v>48</v>
      </c>
      <c r="Z13" s="1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8">
      <c r="A14" s="1" t="s">
        <v>70</v>
      </c>
      <c r="B14">
        <v>19</v>
      </c>
      <c r="C14" s="1" t="s">
        <v>39</v>
      </c>
      <c r="D14" s="1" t="s">
        <v>40</v>
      </c>
      <c r="E14" s="1" t="s">
        <v>41</v>
      </c>
      <c r="F14">
        <v>489</v>
      </c>
      <c r="G14" s="1" t="s">
        <v>71</v>
      </c>
      <c r="H14">
        <v>2</v>
      </c>
      <c r="I14">
        <v>2</v>
      </c>
      <c r="J14" s="1" t="s">
        <v>68</v>
      </c>
      <c r="K14">
        <v>1</v>
      </c>
      <c r="L14">
        <v>566</v>
      </c>
      <c r="M14">
        <v>1</v>
      </c>
      <c r="N14" s="1" t="s">
        <v>44</v>
      </c>
      <c r="O14">
        <v>52</v>
      </c>
      <c r="P14">
        <v>2</v>
      </c>
      <c r="Q14">
        <v>1</v>
      </c>
      <c r="R14" s="1" t="s">
        <v>71</v>
      </c>
      <c r="S14">
        <v>4</v>
      </c>
      <c r="T14" s="1" t="s">
        <v>46</v>
      </c>
      <c r="U14">
        <v>2564</v>
      </c>
      <c r="V14" s="1" t="s">
        <v>47</v>
      </c>
      <c r="W14">
        <v>18437</v>
      </c>
      <c r="X14">
        <v>1</v>
      </c>
      <c r="Y14" s="1" t="s">
        <v>48</v>
      </c>
      <c r="Z14" s="1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8">
      <c r="A15" s="1" t="s">
        <v>72</v>
      </c>
      <c r="B15">
        <v>19</v>
      </c>
      <c r="C15" s="1" t="s">
        <v>39</v>
      </c>
      <c r="D15" s="1" t="s">
        <v>40</v>
      </c>
      <c r="E15" s="1" t="s">
        <v>41</v>
      </c>
      <c r="F15">
        <v>419</v>
      </c>
      <c r="G15" s="1" t="s">
        <v>51</v>
      </c>
      <c r="H15">
        <v>21</v>
      </c>
      <c r="I15">
        <v>3</v>
      </c>
      <c r="J15" s="1" t="s">
        <v>73</v>
      </c>
      <c r="K15">
        <v>1</v>
      </c>
      <c r="L15">
        <v>959</v>
      </c>
      <c r="M15">
        <v>4</v>
      </c>
      <c r="N15" s="1" t="s">
        <v>44</v>
      </c>
      <c r="O15">
        <v>37</v>
      </c>
      <c r="P15">
        <v>2</v>
      </c>
      <c r="Q15">
        <v>1</v>
      </c>
      <c r="R15" s="1" t="s">
        <v>54</v>
      </c>
      <c r="S15">
        <v>2</v>
      </c>
      <c r="T15" s="1" t="s">
        <v>46</v>
      </c>
      <c r="U15">
        <v>2121</v>
      </c>
      <c r="V15" s="1" t="s">
        <v>47</v>
      </c>
      <c r="W15">
        <v>9947</v>
      </c>
      <c r="X15">
        <v>1</v>
      </c>
      <c r="Y15" s="1" t="s">
        <v>48</v>
      </c>
      <c r="Z15" s="1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8">
      <c r="A16" s="1" t="s">
        <v>74</v>
      </c>
      <c r="B16">
        <v>19</v>
      </c>
      <c r="C16" s="1" t="s">
        <v>39</v>
      </c>
      <c r="D16" s="1" t="s">
        <v>49</v>
      </c>
      <c r="E16" s="1" t="s">
        <v>41</v>
      </c>
      <c r="F16">
        <v>645</v>
      </c>
      <c r="G16" s="1" t="s">
        <v>42</v>
      </c>
      <c r="H16">
        <v>9</v>
      </c>
      <c r="I16">
        <v>2</v>
      </c>
      <c r="J16" s="1" t="s">
        <v>43</v>
      </c>
      <c r="K16">
        <v>1</v>
      </c>
      <c r="L16">
        <v>1193</v>
      </c>
      <c r="M16">
        <v>3</v>
      </c>
      <c r="N16" s="1" t="s">
        <v>44</v>
      </c>
      <c r="O16">
        <v>54</v>
      </c>
      <c r="P16">
        <v>3</v>
      </c>
      <c r="Q16">
        <v>1</v>
      </c>
      <c r="R16" s="1" t="s">
        <v>60</v>
      </c>
      <c r="S16">
        <v>1</v>
      </c>
      <c r="T16" s="1" t="s">
        <v>46</v>
      </c>
      <c r="U16">
        <v>2552</v>
      </c>
      <c r="V16" s="1" t="s">
        <v>47</v>
      </c>
      <c r="W16">
        <v>7172</v>
      </c>
      <c r="X16">
        <v>1</v>
      </c>
      <c r="Y16" s="1" t="s">
        <v>48</v>
      </c>
      <c r="Z16" s="1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8">
      <c r="A17" s="1" t="s">
        <v>75</v>
      </c>
      <c r="B17">
        <v>19</v>
      </c>
      <c r="C17" s="1" t="s">
        <v>39</v>
      </c>
      <c r="D17" s="1" t="s">
        <v>40</v>
      </c>
      <c r="E17" s="1" t="s">
        <v>59</v>
      </c>
      <c r="F17">
        <v>504</v>
      </c>
      <c r="G17" s="1" t="s">
        <v>42</v>
      </c>
      <c r="H17">
        <v>10</v>
      </c>
      <c r="I17">
        <v>3</v>
      </c>
      <c r="J17" s="1" t="s">
        <v>52</v>
      </c>
      <c r="K17">
        <v>1</v>
      </c>
      <c r="L17">
        <v>1248</v>
      </c>
      <c r="M17">
        <v>1</v>
      </c>
      <c r="N17" s="1" t="s">
        <v>53</v>
      </c>
      <c r="O17">
        <v>96</v>
      </c>
      <c r="P17">
        <v>2</v>
      </c>
      <c r="Q17">
        <v>1</v>
      </c>
      <c r="R17" s="1" t="s">
        <v>60</v>
      </c>
      <c r="S17">
        <v>2</v>
      </c>
      <c r="T17" s="1" t="s">
        <v>46</v>
      </c>
      <c r="U17">
        <v>1859</v>
      </c>
      <c r="V17" s="1" t="s">
        <v>47</v>
      </c>
      <c r="W17">
        <v>6148</v>
      </c>
      <c r="X17">
        <v>1</v>
      </c>
      <c r="Y17" s="1" t="s">
        <v>48</v>
      </c>
      <c r="Z17" s="1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8">
      <c r="A18" s="1" t="s">
        <v>76</v>
      </c>
      <c r="B18">
        <v>19</v>
      </c>
      <c r="C18" s="1" t="s">
        <v>39</v>
      </c>
      <c r="D18" s="1" t="s">
        <v>49</v>
      </c>
      <c r="E18" s="1" t="s">
        <v>41</v>
      </c>
      <c r="F18">
        <v>265</v>
      </c>
      <c r="G18" s="1" t="s">
        <v>42</v>
      </c>
      <c r="H18">
        <v>25</v>
      </c>
      <c r="I18">
        <v>3</v>
      </c>
      <c r="J18" s="1" t="s">
        <v>43</v>
      </c>
      <c r="K18">
        <v>1</v>
      </c>
      <c r="L18">
        <v>1269</v>
      </c>
      <c r="M18">
        <v>2</v>
      </c>
      <c r="N18" s="1" t="s">
        <v>53</v>
      </c>
      <c r="O18">
        <v>57</v>
      </c>
      <c r="P18">
        <v>4</v>
      </c>
      <c r="Q18">
        <v>1</v>
      </c>
      <c r="R18" s="1" t="s">
        <v>60</v>
      </c>
      <c r="S18">
        <v>4</v>
      </c>
      <c r="T18" s="1" t="s">
        <v>46</v>
      </c>
      <c r="U18">
        <v>2994</v>
      </c>
      <c r="V18" s="1" t="s">
        <v>47</v>
      </c>
      <c r="W18">
        <v>21221</v>
      </c>
      <c r="X18">
        <v>1</v>
      </c>
      <c r="Y18" s="1" t="s">
        <v>48</v>
      </c>
      <c r="Z18" s="1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8">
      <c r="A19" s="1" t="s">
        <v>77</v>
      </c>
      <c r="B19">
        <v>20</v>
      </c>
      <c r="C19" s="1" t="s">
        <v>39</v>
      </c>
      <c r="D19" s="1" t="s">
        <v>40</v>
      </c>
      <c r="E19" s="1" t="s">
        <v>56</v>
      </c>
      <c r="F19">
        <v>871</v>
      </c>
      <c r="G19" s="1" t="s">
        <v>42</v>
      </c>
      <c r="H19">
        <v>6</v>
      </c>
      <c r="I19">
        <v>3</v>
      </c>
      <c r="J19" s="1" t="s">
        <v>43</v>
      </c>
      <c r="K19">
        <v>1</v>
      </c>
      <c r="L19">
        <v>137</v>
      </c>
      <c r="M19">
        <v>4</v>
      </c>
      <c r="N19" s="1" t="s">
        <v>53</v>
      </c>
      <c r="O19">
        <v>66</v>
      </c>
      <c r="P19">
        <v>2</v>
      </c>
      <c r="Q19">
        <v>1</v>
      </c>
      <c r="R19" s="1" t="s">
        <v>45</v>
      </c>
      <c r="S19">
        <v>4</v>
      </c>
      <c r="T19" s="1" t="s">
        <v>46</v>
      </c>
      <c r="U19">
        <v>2926</v>
      </c>
      <c r="V19" s="1" t="s">
        <v>47</v>
      </c>
      <c r="W19">
        <v>19783</v>
      </c>
      <c r="X19">
        <v>1</v>
      </c>
      <c r="Y19" s="1" t="s">
        <v>48</v>
      </c>
      <c r="Z19" s="1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8">
      <c r="A20" s="1" t="s">
        <v>78</v>
      </c>
      <c r="B20">
        <v>20</v>
      </c>
      <c r="C20" s="1" t="s">
        <v>39</v>
      </c>
      <c r="D20" s="1" t="s">
        <v>49</v>
      </c>
      <c r="E20" s="1" t="s">
        <v>41</v>
      </c>
      <c r="F20">
        <v>959</v>
      </c>
      <c r="G20" s="1" t="s">
        <v>42</v>
      </c>
      <c r="H20">
        <v>1</v>
      </c>
      <c r="I20">
        <v>3</v>
      </c>
      <c r="J20" s="1" t="s">
        <v>43</v>
      </c>
      <c r="K20">
        <v>1</v>
      </c>
      <c r="L20">
        <v>657</v>
      </c>
      <c r="M20">
        <v>4</v>
      </c>
      <c r="N20" s="1" t="s">
        <v>53</v>
      </c>
      <c r="O20">
        <v>83</v>
      </c>
      <c r="P20">
        <v>2</v>
      </c>
      <c r="Q20">
        <v>1</v>
      </c>
      <c r="R20" s="1" t="s">
        <v>60</v>
      </c>
      <c r="S20">
        <v>2</v>
      </c>
      <c r="T20" s="1" t="s">
        <v>46</v>
      </c>
      <c r="U20">
        <v>2836</v>
      </c>
      <c r="V20" s="1" t="s">
        <v>47</v>
      </c>
      <c r="W20">
        <v>11757</v>
      </c>
      <c r="X20">
        <v>1</v>
      </c>
      <c r="Y20" s="1" t="s">
        <v>48</v>
      </c>
      <c r="Z20" s="1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8">
      <c r="A21" s="1" t="s">
        <v>79</v>
      </c>
      <c r="B21">
        <v>20</v>
      </c>
      <c r="C21" s="1" t="s">
        <v>39</v>
      </c>
      <c r="D21" s="1" t="s">
        <v>40</v>
      </c>
      <c r="E21" s="1" t="s">
        <v>41</v>
      </c>
      <c r="F21">
        <v>1362</v>
      </c>
      <c r="G21" s="1" t="s">
        <v>42</v>
      </c>
      <c r="H21">
        <v>10</v>
      </c>
      <c r="I21">
        <v>1</v>
      </c>
      <c r="J21" s="1" t="s">
        <v>52</v>
      </c>
      <c r="K21">
        <v>1</v>
      </c>
      <c r="L21">
        <v>701</v>
      </c>
      <c r="M21">
        <v>4</v>
      </c>
      <c r="N21" s="1" t="s">
        <v>44</v>
      </c>
      <c r="O21">
        <v>32</v>
      </c>
      <c r="P21">
        <v>3</v>
      </c>
      <c r="Q21">
        <v>1</v>
      </c>
      <c r="R21" s="1" t="s">
        <v>60</v>
      </c>
      <c r="S21">
        <v>3</v>
      </c>
      <c r="T21" s="1" t="s">
        <v>46</v>
      </c>
      <c r="U21">
        <v>1009</v>
      </c>
      <c r="V21" s="1" t="s">
        <v>47</v>
      </c>
      <c r="W21">
        <v>26999</v>
      </c>
      <c r="X21">
        <v>1</v>
      </c>
      <c r="Y21" s="1" t="s">
        <v>48</v>
      </c>
      <c r="Z21" s="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8">
      <c r="A22" s="1" t="s">
        <v>80</v>
      </c>
      <c r="B22">
        <v>20</v>
      </c>
      <c r="C22" s="1" t="s">
        <v>39</v>
      </c>
      <c r="D22" s="1" t="s">
        <v>40</v>
      </c>
      <c r="E22" s="1" t="s">
        <v>41</v>
      </c>
      <c r="F22">
        <v>500</v>
      </c>
      <c r="G22" s="1" t="s">
        <v>51</v>
      </c>
      <c r="H22">
        <v>2</v>
      </c>
      <c r="I22">
        <v>3</v>
      </c>
      <c r="J22" s="1" t="s">
        <v>52</v>
      </c>
      <c r="K22">
        <v>1</v>
      </c>
      <c r="L22">
        <v>922</v>
      </c>
      <c r="M22">
        <v>3</v>
      </c>
      <c r="N22" s="1" t="s">
        <v>53</v>
      </c>
      <c r="O22">
        <v>49</v>
      </c>
      <c r="P22">
        <v>2</v>
      </c>
      <c r="Q22">
        <v>1</v>
      </c>
      <c r="R22" s="1" t="s">
        <v>54</v>
      </c>
      <c r="S22">
        <v>3</v>
      </c>
      <c r="T22" s="1" t="s">
        <v>46</v>
      </c>
      <c r="U22">
        <v>2044</v>
      </c>
      <c r="V22" s="1" t="s">
        <v>47</v>
      </c>
      <c r="W22">
        <v>22052</v>
      </c>
      <c r="X22">
        <v>1</v>
      </c>
      <c r="Y22" s="1" t="s">
        <v>48</v>
      </c>
      <c r="Z22" s="1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8">
      <c r="A23" s="1" t="s">
        <v>81</v>
      </c>
      <c r="B23">
        <v>20</v>
      </c>
      <c r="C23" s="1" t="s">
        <v>39</v>
      </c>
      <c r="D23" s="1" t="s">
        <v>40</v>
      </c>
      <c r="E23" s="1" t="s">
        <v>41</v>
      </c>
      <c r="F23">
        <v>129</v>
      </c>
      <c r="G23" s="1" t="s">
        <v>42</v>
      </c>
      <c r="H23">
        <v>4</v>
      </c>
      <c r="I23">
        <v>3</v>
      </c>
      <c r="J23" s="1" t="s">
        <v>68</v>
      </c>
      <c r="K23">
        <v>1</v>
      </c>
      <c r="L23">
        <v>960</v>
      </c>
      <c r="M23">
        <v>1</v>
      </c>
      <c r="N23" s="1" t="s">
        <v>44</v>
      </c>
      <c r="O23">
        <v>84</v>
      </c>
      <c r="P23">
        <v>3</v>
      </c>
      <c r="Q23">
        <v>1</v>
      </c>
      <c r="R23" s="1" t="s">
        <v>45</v>
      </c>
      <c r="S23">
        <v>1</v>
      </c>
      <c r="T23" s="1" t="s">
        <v>46</v>
      </c>
      <c r="U23">
        <v>2973</v>
      </c>
      <c r="V23" s="1" t="s">
        <v>47</v>
      </c>
      <c r="W23">
        <v>13008</v>
      </c>
      <c r="X23">
        <v>1</v>
      </c>
      <c r="Y23" s="1" t="s">
        <v>48</v>
      </c>
      <c r="Z23" s="1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8">
      <c r="A24" s="1" t="s">
        <v>82</v>
      </c>
      <c r="B24">
        <v>20</v>
      </c>
      <c r="C24" s="1" t="s">
        <v>39</v>
      </c>
      <c r="D24" s="1" t="s">
        <v>40</v>
      </c>
      <c r="E24" s="1" t="s">
        <v>41</v>
      </c>
      <c r="F24">
        <v>1097</v>
      </c>
      <c r="G24" s="1" t="s">
        <v>42</v>
      </c>
      <c r="H24">
        <v>11</v>
      </c>
      <c r="I24">
        <v>3</v>
      </c>
      <c r="J24" s="1" t="s">
        <v>52</v>
      </c>
      <c r="K24">
        <v>1</v>
      </c>
      <c r="L24">
        <v>1016</v>
      </c>
      <c r="M24">
        <v>4</v>
      </c>
      <c r="N24" s="1" t="s">
        <v>53</v>
      </c>
      <c r="O24">
        <v>98</v>
      </c>
      <c r="P24">
        <v>2</v>
      </c>
      <c r="Q24">
        <v>1</v>
      </c>
      <c r="R24" s="1" t="s">
        <v>60</v>
      </c>
      <c r="S24">
        <v>1</v>
      </c>
      <c r="T24" s="1" t="s">
        <v>46</v>
      </c>
      <c r="U24">
        <v>2600</v>
      </c>
      <c r="V24" s="1" t="s">
        <v>47</v>
      </c>
      <c r="W24">
        <v>18275</v>
      </c>
      <c r="X24">
        <v>1</v>
      </c>
      <c r="Y24" s="1" t="s">
        <v>48</v>
      </c>
      <c r="Z24" s="1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8">
      <c r="A25" s="1" t="s">
        <v>83</v>
      </c>
      <c r="B25">
        <v>20</v>
      </c>
      <c r="C25" s="1" t="s">
        <v>39</v>
      </c>
      <c r="D25" s="1" t="s">
        <v>40</v>
      </c>
      <c r="E25" s="1" t="s">
        <v>56</v>
      </c>
      <c r="F25">
        <v>769</v>
      </c>
      <c r="G25" s="1" t="s">
        <v>51</v>
      </c>
      <c r="H25">
        <v>9</v>
      </c>
      <c r="I25">
        <v>3</v>
      </c>
      <c r="J25" s="1" t="s">
        <v>57</v>
      </c>
      <c r="K25">
        <v>1</v>
      </c>
      <c r="L25">
        <v>1077</v>
      </c>
      <c r="M25">
        <v>4</v>
      </c>
      <c r="N25" s="1" t="s">
        <v>53</v>
      </c>
      <c r="O25">
        <v>54</v>
      </c>
      <c r="P25">
        <v>3</v>
      </c>
      <c r="Q25">
        <v>1</v>
      </c>
      <c r="R25" s="1" t="s">
        <v>54</v>
      </c>
      <c r="S25">
        <v>4</v>
      </c>
      <c r="T25" s="1" t="s">
        <v>46</v>
      </c>
      <c r="U25">
        <v>2323</v>
      </c>
      <c r="V25" s="1" t="s">
        <v>47</v>
      </c>
      <c r="W25">
        <v>17205</v>
      </c>
      <c r="X25">
        <v>1</v>
      </c>
      <c r="Y25" s="1" t="s">
        <v>48</v>
      </c>
      <c r="Z25" s="1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8">
      <c r="A26" s="1" t="s">
        <v>84</v>
      </c>
      <c r="B26">
        <v>20</v>
      </c>
      <c r="C26" s="1" t="s">
        <v>39</v>
      </c>
      <c r="D26" s="1" t="s">
        <v>49</v>
      </c>
      <c r="E26" s="1" t="s">
        <v>41</v>
      </c>
      <c r="F26">
        <v>805</v>
      </c>
      <c r="G26" s="1" t="s">
        <v>42</v>
      </c>
      <c r="H26">
        <v>3</v>
      </c>
      <c r="I26">
        <v>3</v>
      </c>
      <c r="J26" s="1" t="s">
        <v>43</v>
      </c>
      <c r="K26">
        <v>1</v>
      </c>
      <c r="L26">
        <v>1198</v>
      </c>
      <c r="M26">
        <v>1</v>
      </c>
      <c r="N26" s="1" t="s">
        <v>44</v>
      </c>
      <c r="O26">
        <v>87</v>
      </c>
      <c r="P26">
        <v>2</v>
      </c>
      <c r="Q26">
        <v>1</v>
      </c>
      <c r="R26" s="1" t="s">
        <v>45</v>
      </c>
      <c r="S26">
        <v>3</v>
      </c>
      <c r="T26" s="1" t="s">
        <v>46</v>
      </c>
      <c r="U26">
        <v>3033</v>
      </c>
      <c r="V26" s="1" t="s">
        <v>47</v>
      </c>
      <c r="W26">
        <v>12828</v>
      </c>
      <c r="X26">
        <v>1</v>
      </c>
      <c r="Y26" s="1" t="s">
        <v>48</v>
      </c>
      <c r="Z26" s="1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8">
      <c r="A27" s="1" t="s">
        <v>85</v>
      </c>
      <c r="B27">
        <v>20</v>
      </c>
      <c r="C27" s="1" t="s">
        <v>39</v>
      </c>
      <c r="D27" s="1" t="s">
        <v>49</v>
      </c>
      <c r="E27" s="1" t="s">
        <v>41</v>
      </c>
      <c r="F27">
        <v>654</v>
      </c>
      <c r="G27" s="1" t="s">
        <v>51</v>
      </c>
      <c r="H27">
        <v>21</v>
      </c>
      <c r="I27">
        <v>3</v>
      </c>
      <c r="J27" s="1" t="s">
        <v>57</v>
      </c>
      <c r="K27">
        <v>1</v>
      </c>
      <c r="L27">
        <v>1226</v>
      </c>
      <c r="M27">
        <v>3</v>
      </c>
      <c r="N27" s="1" t="s">
        <v>44</v>
      </c>
      <c r="O27">
        <v>43</v>
      </c>
      <c r="P27">
        <v>4</v>
      </c>
      <c r="Q27">
        <v>1</v>
      </c>
      <c r="R27" s="1" t="s">
        <v>54</v>
      </c>
      <c r="S27">
        <v>4</v>
      </c>
      <c r="T27" s="1" t="s">
        <v>46</v>
      </c>
      <c r="U27">
        <v>2678</v>
      </c>
      <c r="V27" s="1" t="s">
        <v>47</v>
      </c>
      <c r="W27">
        <v>5050</v>
      </c>
      <c r="X27">
        <v>1</v>
      </c>
      <c r="Y27" s="1" t="s">
        <v>48</v>
      </c>
      <c r="Z27" s="1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8">
      <c r="A28" s="1" t="s">
        <v>86</v>
      </c>
      <c r="B28">
        <v>20</v>
      </c>
      <c r="C28" s="1" t="s">
        <v>39</v>
      </c>
      <c r="D28" s="1" t="s">
        <v>49</v>
      </c>
      <c r="E28" s="1" t="s">
        <v>41</v>
      </c>
      <c r="F28">
        <v>1141</v>
      </c>
      <c r="G28" s="1" t="s">
        <v>51</v>
      </c>
      <c r="H28">
        <v>2</v>
      </c>
      <c r="I28">
        <v>3</v>
      </c>
      <c r="J28" s="1" t="s">
        <v>52</v>
      </c>
      <c r="K28">
        <v>1</v>
      </c>
      <c r="L28">
        <v>1657</v>
      </c>
      <c r="M28">
        <v>3</v>
      </c>
      <c r="N28" s="1" t="s">
        <v>53</v>
      </c>
      <c r="O28">
        <v>31</v>
      </c>
      <c r="P28">
        <v>3</v>
      </c>
      <c r="Q28">
        <v>1</v>
      </c>
      <c r="R28" s="1" t="s">
        <v>54</v>
      </c>
      <c r="S28">
        <v>3</v>
      </c>
      <c r="T28" s="1" t="s">
        <v>46</v>
      </c>
      <c r="U28">
        <v>2783</v>
      </c>
      <c r="V28" s="1" t="s">
        <v>47</v>
      </c>
      <c r="W28">
        <v>13251</v>
      </c>
      <c r="X28">
        <v>1</v>
      </c>
      <c r="Y28" s="1" t="s">
        <v>48</v>
      </c>
      <c r="Z28" s="1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8">
      <c r="A29" s="1" t="s">
        <v>87</v>
      </c>
      <c r="B29">
        <v>20</v>
      </c>
      <c r="C29" s="1" t="s">
        <v>39</v>
      </c>
      <c r="D29" s="1" t="s">
        <v>49</v>
      </c>
      <c r="E29" s="1" t="s">
        <v>41</v>
      </c>
      <c r="F29">
        <v>727</v>
      </c>
      <c r="G29" s="1" t="s">
        <v>51</v>
      </c>
      <c r="H29">
        <v>9</v>
      </c>
      <c r="I29">
        <v>1</v>
      </c>
      <c r="J29" s="1" t="s">
        <v>43</v>
      </c>
      <c r="K29">
        <v>1</v>
      </c>
      <c r="L29">
        <v>1680</v>
      </c>
      <c r="M29">
        <v>4</v>
      </c>
      <c r="N29" s="1" t="s">
        <v>44</v>
      </c>
      <c r="O29">
        <v>54</v>
      </c>
      <c r="P29">
        <v>3</v>
      </c>
      <c r="Q29">
        <v>1</v>
      </c>
      <c r="R29" s="1" t="s">
        <v>54</v>
      </c>
      <c r="S29">
        <v>1</v>
      </c>
      <c r="T29" s="1" t="s">
        <v>46</v>
      </c>
      <c r="U29">
        <v>2728</v>
      </c>
      <c r="V29" s="1" t="s">
        <v>47</v>
      </c>
      <c r="W29">
        <v>21082</v>
      </c>
      <c r="X29">
        <v>1</v>
      </c>
      <c r="Y29" s="1" t="s">
        <v>48</v>
      </c>
      <c r="Z29" s="1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8">
      <c r="A30" s="1" t="s">
        <v>88</v>
      </c>
      <c r="B30">
        <v>21</v>
      </c>
      <c r="C30" s="1" t="s">
        <v>39</v>
      </c>
      <c r="D30" s="1" t="s">
        <v>49</v>
      </c>
      <c r="E30" s="1" t="s">
        <v>41</v>
      </c>
      <c r="F30">
        <v>391</v>
      </c>
      <c r="G30" s="1" t="s">
        <v>42</v>
      </c>
      <c r="H30">
        <v>15</v>
      </c>
      <c r="I30">
        <v>2</v>
      </c>
      <c r="J30" s="1" t="s">
        <v>43</v>
      </c>
      <c r="K30">
        <v>1</v>
      </c>
      <c r="L30">
        <v>30</v>
      </c>
      <c r="M30">
        <v>3</v>
      </c>
      <c r="N30" s="1" t="s">
        <v>44</v>
      </c>
      <c r="O30">
        <v>96</v>
      </c>
      <c r="P30">
        <v>3</v>
      </c>
      <c r="Q30">
        <v>1</v>
      </c>
      <c r="R30" s="1" t="s">
        <v>60</v>
      </c>
      <c r="S30">
        <v>4</v>
      </c>
      <c r="T30" s="1" t="s">
        <v>46</v>
      </c>
      <c r="U30">
        <v>1232</v>
      </c>
      <c r="V30" s="1" t="s">
        <v>47</v>
      </c>
      <c r="W30">
        <v>19281</v>
      </c>
      <c r="X30">
        <v>1</v>
      </c>
      <c r="Y30" s="1" t="s">
        <v>48</v>
      </c>
      <c r="Z30" s="1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8">
      <c r="A31" s="1" t="s">
        <v>89</v>
      </c>
      <c r="B31">
        <v>21</v>
      </c>
      <c r="C31" s="1" t="s">
        <v>39</v>
      </c>
      <c r="D31" s="1" t="s">
        <v>49</v>
      </c>
      <c r="E31" s="1" t="s">
        <v>41</v>
      </c>
      <c r="F31">
        <v>996</v>
      </c>
      <c r="G31" s="1" t="s">
        <v>42</v>
      </c>
      <c r="H31">
        <v>3</v>
      </c>
      <c r="I31">
        <v>2</v>
      </c>
      <c r="J31" s="1" t="s">
        <v>52</v>
      </c>
      <c r="K31">
        <v>1</v>
      </c>
      <c r="L31">
        <v>379</v>
      </c>
      <c r="M31">
        <v>4</v>
      </c>
      <c r="N31" s="1" t="s">
        <v>44</v>
      </c>
      <c r="O31">
        <v>100</v>
      </c>
      <c r="P31">
        <v>2</v>
      </c>
      <c r="Q31">
        <v>1</v>
      </c>
      <c r="R31" s="1" t="s">
        <v>60</v>
      </c>
      <c r="S31">
        <v>3</v>
      </c>
      <c r="T31" s="1" t="s">
        <v>46</v>
      </c>
      <c r="U31">
        <v>3230</v>
      </c>
      <c r="V31" s="1" t="s">
        <v>47</v>
      </c>
      <c r="W31">
        <v>10531</v>
      </c>
      <c r="X31">
        <v>1</v>
      </c>
      <c r="Y31" s="1" t="s">
        <v>48</v>
      </c>
      <c r="Z31" s="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8">
      <c r="A32" s="1" t="s">
        <v>90</v>
      </c>
      <c r="B32">
        <v>21</v>
      </c>
      <c r="C32" s="1" t="s">
        <v>39</v>
      </c>
      <c r="D32" s="1" t="s">
        <v>40</v>
      </c>
      <c r="E32" s="1" t="s">
        <v>56</v>
      </c>
      <c r="F32">
        <v>756</v>
      </c>
      <c r="G32" s="1" t="s">
        <v>51</v>
      </c>
      <c r="H32">
        <v>1</v>
      </c>
      <c r="I32">
        <v>1</v>
      </c>
      <c r="J32" s="1" t="s">
        <v>68</v>
      </c>
      <c r="K32">
        <v>1</v>
      </c>
      <c r="L32">
        <v>478</v>
      </c>
      <c r="M32">
        <v>1</v>
      </c>
      <c r="N32" s="1" t="s">
        <v>53</v>
      </c>
      <c r="O32">
        <v>99</v>
      </c>
      <c r="P32">
        <v>2</v>
      </c>
      <c r="Q32">
        <v>1</v>
      </c>
      <c r="R32" s="1" t="s">
        <v>54</v>
      </c>
      <c r="S32">
        <v>2</v>
      </c>
      <c r="T32" s="1" t="s">
        <v>46</v>
      </c>
      <c r="U32">
        <v>2174</v>
      </c>
      <c r="V32" s="1" t="s">
        <v>47</v>
      </c>
      <c r="W32">
        <v>9150</v>
      </c>
      <c r="X32">
        <v>1</v>
      </c>
      <c r="Y32" s="1" t="s">
        <v>48</v>
      </c>
      <c r="Z32" s="1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8">
      <c r="A33" s="1" t="s">
        <v>91</v>
      </c>
      <c r="B33">
        <v>21</v>
      </c>
      <c r="C33" s="1" t="s">
        <v>39</v>
      </c>
      <c r="D33" s="1" t="s">
        <v>49</v>
      </c>
      <c r="E33" s="1" t="s">
        <v>59</v>
      </c>
      <c r="F33">
        <v>895</v>
      </c>
      <c r="G33" s="1" t="s">
        <v>51</v>
      </c>
      <c r="H33">
        <v>9</v>
      </c>
      <c r="I33">
        <v>2</v>
      </c>
      <c r="J33" s="1" t="s">
        <v>52</v>
      </c>
      <c r="K33">
        <v>1</v>
      </c>
      <c r="L33">
        <v>484</v>
      </c>
      <c r="M33">
        <v>1</v>
      </c>
      <c r="N33" s="1" t="s">
        <v>44</v>
      </c>
      <c r="O33">
        <v>39</v>
      </c>
      <c r="P33">
        <v>3</v>
      </c>
      <c r="Q33">
        <v>1</v>
      </c>
      <c r="R33" s="1" t="s">
        <v>54</v>
      </c>
      <c r="S33">
        <v>4</v>
      </c>
      <c r="T33" s="1" t="s">
        <v>46</v>
      </c>
      <c r="U33">
        <v>2610</v>
      </c>
      <c r="V33" s="1" t="s">
        <v>47</v>
      </c>
      <c r="W33">
        <v>2851</v>
      </c>
      <c r="X33">
        <v>1</v>
      </c>
      <c r="Y33" s="1" t="s">
        <v>48</v>
      </c>
      <c r="Z33" s="1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8">
      <c r="A34" s="1" t="s">
        <v>92</v>
      </c>
      <c r="B34">
        <v>21</v>
      </c>
      <c r="C34" s="1" t="s">
        <v>39</v>
      </c>
      <c r="D34" s="1" t="s">
        <v>40</v>
      </c>
      <c r="E34" s="1" t="s">
        <v>41</v>
      </c>
      <c r="F34">
        <v>156</v>
      </c>
      <c r="G34" s="1" t="s">
        <v>51</v>
      </c>
      <c r="H34">
        <v>12</v>
      </c>
      <c r="I34">
        <v>3</v>
      </c>
      <c r="J34" s="1" t="s">
        <v>43</v>
      </c>
      <c r="K34">
        <v>1</v>
      </c>
      <c r="L34">
        <v>494</v>
      </c>
      <c r="M34">
        <v>3</v>
      </c>
      <c r="N34" s="1" t="s">
        <v>53</v>
      </c>
      <c r="O34">
        <v>90</v>
      </c>
      <c r="P34">
        <v>4</v>
      </c>
      <c r="Q34">
        <v>1</v>
      </c>
      <c r="R34" s="1" t="s">
        <v>54</v>
      </c>
      <c r="S34">
        <v>2</v>
      </c>
      <c r="T34" s="1" t="s">
        <v>46</v>
      </c>
      <c r="U34">
        <v>2716</v>
      </c>
      <c r="V34" s="1" t="s">
        <v>47</v>
      </c>
      <c r="W34">
        <v>25422</v>
      </c>
      <c r="X34">
        <v>1</v>
      </c>
      <c r="Y34" s="1" t="s">
        <v>48</v>
      </c>
      <c r="Z34" s="1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8">
      <c r="A35" s="1" t="s">
        <v>93</v>
      </c>
      <c r="B35">
        <v>21</v>
      </c>
      <c r="C35" s="1" t="s">
        <v>39</v>
      </c>
      <c r="D35" s="1" t="s">
        <v>49</v>
      </c>
      <c r="E35" s="1" t="s">
        <v>41</v>
      </c>
      <c r="F35">
        <v>1343</v>
      </c>
      <c r="G35" s="1" t="s">
        <v>51</v>
      </c>
      <c r="H35">
        <v>22</v>
      </c>
      <c r="I35">
        <v>1</v>
      </c>
      <c r="J35" s="1" t="s">
        <v>68</v>
      </c>
      <c r="K35">
        <v>1</v>
      </c>
      <c r="L35">
        <v>669</v>
      </c>
      <c r="M35">
        <v>3</v>
      </c>
      <c r="N35" s="1" t="s">
        <v>44</v>
      </c>
      <c r="O35">
        <v>49</v>
      </c>
      <c r="P35">
        <v>3</v>
      </c>
      <c r="Q35">
        <v>1</v>
      </c>
      <c r="R35" s="1" t="s">
        <v>54</v>
      </c>
      <c r="S35">
        <v>3</v>
      </c>
      <c r="T35" s="1" t="s">
        <v>46</v>
      </c>
      <c r="U35">
        <v>3447</v>
      </c>
      <c r="V35" s="1" t="s">
        <v>47</v>
      </c>
      <c r="W35">
        <v>24444</v>
      </c>
      <c r="X35">
        <v>1</v>
      </c>
      <c r="Y35" s="1" t="s">
        <v>48</v>
      </c>
      <c r="Z35" s="1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8">
      <c r="A36" s="1" t="s">
        <v>94</v>
      </c>
      <c r="B36">
        <v>21</v>
      </c>
      <c r="C36" s="1" t="s">
        <v>39</v>
      </c>
      <c r="D36" s="1" t="s">
        <v>40</v>
      </c>
      <c r="E36" s="1" t="s">
        <v>41</v>
      </c>
      <c r="F36">
        <v>1427</v>
      </c>
      <c r="G36" s="1" t="s">
        <v>42</v>
      </c>
      <c r="H36">
        <v>18</v>
      </c>
      <c r="I36">
        <v>1</v>
      </c>
      <c r="J36" s="1" t="s">
        <v>73</v>
      </c>
      <c r="K36">
        <v>1</v>
      </c>
      <c r="L36">
        <v>923</v>
      </c>
      <c r="M36">
        <v>4</v>
      </c>
      <c r="N36" s="1" t="s">
        <v>53</v>
      </c>
      <c r="O36">
        <v>65</v>
      </c>
      <c r="P36">
        <v>3</v>
      </c>
      <c r="Q36">
        <v>1</v>
      </c>
      <c r="R36" s="1" t="s">
        <v>60</v>
      </c>
      <c r="S36">
        <v>4</v>
      </c>
      <c r="T36" s="1" t="s">
        <v>46</v>
      </c>
      <c r="U36">
        <v>2693</v>
      </c>
      <c r="V36" s="1" t="s">
        <v>47</v>
      </c>
      <c r="W36">
        <v>8870</v>
      </c>
      <c r="X36">
        <v>1</v>
      </c>
      <c r="Y36" s="1" t="s">
        <v>48</v>
      </c>
      <c r="Z36" s="1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8">
      <c r="A37" s="1" t="s">
        <v>95</v>
      </c>
      <c r="B37">
        <v>21</v>
      </c>
      <c r="C37" s="1" t="s">
        <v>39</v>
      </c>
      <c r="D37" s="1" t="s">
        <v>40</v>
      </c>
      <c r="E37" s="1" t="s">
        <v>41</v>
      </c>
      <c r="F37">
        <v>1334</v>
      </c>
      <c r="G37" s="1" t="s">
        <v>42</v>
      </c>
      <c r="H37">
        <v>10</v>
      </c>
      <c r="I37">
        <v>3</v>
      </c>
      <c r="J37" s="1" t="s">
        <v>43</v>
      </c>
      <c r="K37">
        <v>1</v>
      </c>
      <c r="L37">
        <v>1079</v>
      </c>
      <c r="M37">
        <v>3</v>
      </c>
      <c r="N37" s="1" t="s">
        <v>53</v>
      </c>
      <c r="O37">
        <v>36</v>
      </c>
      <c r="P37">
        <v>2</v>
      </c>
      <c r="Q37">
        <v>1</v>
      </c>
      <c r="R37" s="1" t="s">
        <v>45</v>
      </c>
      <c r="S37">
        <v>1</v>
      </c>
      <c r="T37" s="1" t="s">
        <v>46</v>
      </c>
      <c r="U37">
        <v>1416</v>
      </c>
      <c r="V37" s="1" t="s">
        <v>47</v>
      </c>
      <c r="W37">
        <v>17258</v>
      </c>
      <c r="X37">
        <v>1</v>
      </c>
      <c r="Y37" s="1" t="s">
        <v>48</v>
      </c>
      <c r="Z37" s="1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8">
      <c r="A38" s="1" t="s">
        <v>96</v>
      </c>
      <c r="B38">
        <v>21</v>
      </c>
      <c r="C38" s="1" t="s">
        <v>39</v>
      </c>
      <c r="D38" s="1" t="s">
        <v>49</v>
      </c>
      <c r="E38" s="1" t="s">
        <v>41</v>
      </c>
      <c r="F38">
        <v>984</v>
      </c>
      <c r="G38" s="1" t="s">
        <v>42</v>
      </c>
      <c r="H38">
        <v>1</v>
      </c>
      <c r="I38">
        <v>1</v>
      </c>
      <c r="J38" s="1" t="s">
        <v>68</v>
      </c>
      <c r="K38">
        <v>1</v>
      </c>
      <c r="L38">
        <v>1131</v>
      </c>
      <c r="M38">
        <v>4</v>
      </c>
      <c r="N38" s="1" t="s">
        <v>53</v>
      </c>
      <c r="O38">
        <v>70</v>
      </c>
      <c r="P38">
        <v>2</v>
      </c>
      <c r="Q38">
        <v>1</v>
      </c>
      <c r="R38" s="1" t="s">
        <v>60</v>
      </c>
      <c r="S38">
        <v>2</v>
      </c>
      <c r="T38" s="1" t="s">
        <v>46</v>
      </c>
      <c r="U38">
        <v>2070</v>
      </c>
      <c r="V38" s="1" t="s">
        <v>47</v>
      </c>
      <c r="W38">
        <v>25326</v>
      </c>
      <c r="X38">
        <v>1</v>
      </c>
      <c r="Y38" s="1" t="s">
        <v>48</v>
      </c>
      <c r="Z38" s="1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8">
      <c r="A39" s="1" t="s">
        <v>97</v>
      </c>
      <c r="B39">
        <v>21</v>
      </c>
      <c r="C39" s="1" t="s">
        <v>39</v>
      </c>
      <c r="D39" s="1" t="s">
        <v>40</v>
      </c>
      <c r="E39" s="1" t="s">
        <v>56</v>
      </c>
      <c r="F39">
        <v>251</v>
      </c>
      <c r="G39" s="1" t="s">
        <v>42</v>
      </c>
      <c r="H39">
        <v>10</v>
      </c>
      <c r="I39">
        <v>2</v>
      </c>
      <c r="J39" s="1" t="s">
        <v>43</v>
      </c>
      <c r="K39">
        <v>1</v>
      </c>
      <c r="L39">
        <v>1279</v>
      </c>
      <c r="M39">
        <v>1</v>
      </c>
      <c r="N39" s="1" t="s">
        <v>53</v>
      </c>
      <c r="O39">
        <v>45</v>
      </c>
      <c r="P39">
        <v>2</v>
      </c>
      <c r="Q39">
        <v>1</v>
      </c>
      <c r="R39" s="1" t="s">
        <v>45</v>
      </c>
      <c r="S39">
        <v>3</v>
      </c>
      <c r="T39" s="1" t="s">
        <v>46</v>
      </c>
      <c r="U39">
        <v>2625</v>
      </c>
      <c r="V39" s="1" t="s">
        <v>47</v>
      </c>
      <c r="W39">
        <v>25308</v>
      </c>
      <c r="X39">
        <v>1</v>
      </c>
      <c r="Y39" s="1" t="s">
        <v>48</v>
      </c>
      <c r="Z39" s="1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8">
      <c r="A40" s="1" t="s">
        <v>98</v>
      </c>
      <c r="B40">
        <v>21</v>
      </c>
      <c r="C40" s="1" t="s">
        <v>39</v>
      </c>
      <c r="D40" s="1" t="s">
        <v>49</v>
      </c>
      <c r="E40" s="1" t="s">
        <v>41</v>
      </c>
      <c r="F40">
        <v>546</v>
      </c>
      <c r="G40" s="1" t="s">
        <v>42</v>
      </c>
      <c r="H40">
        <v>5</v>
      </c>
      <c r="I40">
        <v>1</v>
      </c>
      <c r="J40" s="1" t="s">
        <v>52</v>
      </c>
      <c r="K40">
        <v>1</v>
      </c>
      <c r="L40">
        <v>1623</v>
      </c>
      <c r="M40">
        <v>3</v>
      </c>
      <c r="N40" s="1" t="s">
        <v>44</v>
      </c>
      <c r="O40">
        <v>97</v>
      </c>
      <c r="P40">
        <v>3</v>
      </c>
      <c r="Q40">
        <v>1</v>
      </c>
      <c r="R40" s="1" t="s">
        <v>60</v>
      </c>
      <c r="S40">
        <v>4</v>
      </c>
      <c r="T40" s="1" t="s">
        <v>46</v>
      </c>
      <c r="U40">
        <v>3117</v>
      </c>
      <c r="V40" s="1" t="s">
        <v>47</v>
      </c>
      <c r="W40">
        <v>26009</v>
      </c>
      <c r="X40">
        <v>1</v>
      </c>
      <c r="Y40" s="1" t="s">
        <v>48</v>
      </c>
      <c r="Z40" s="1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8">
      <c r="A41" s="1" t="s">
        <v>99</v>
      </c>
      <c r="B41">
        <v>21</v>
      </c>
      <c r="C41" s="1" t="s">
        <v>39</v>
      </c>
      <c r="D41" s="1" t="s">
        <v>40</v>
      </c>
      <c r="E41" s="1" t="s">
        <v>41</v>
      </c>
      <c r="F41">
        <v>337</v>
      </c>
      <c r="G41" s="1" t="s">
        <v>51</v>
      </c>
      <c r="H41">
        <v>7</v>
      </c>
      <c r="I41">
        <v>1</v>
      </c>
      <c r="J41" s="1" t="s">
        <v>57</v>
      </c>
      <c r="K41">
        <v>1</v>
      </c>
      <c r="L41">
        <v>1780</v>
      </c>
      <c r="M41">
        <v>2</v>
      </c>
      <c r="N41" s="1" t="s">
        <v>44</v>
      </c>
      <c r="O41">
        <v>31</v>
      </c>
      <c r="P41">
        <v>3</v>
      </c>
      <c r="Q41">
        <v>1</v>
      </c>
      <c r="R41" s="1" t="s">
        <v>54</v>
      </c>
      <c r="S41">
        <v>2</v>
      </c>
      <c r="T41" s="1" t="s">
        <v>46</v>
      </c>
      <c r="U41">
        <v>2679</v>
      </c>
      <c r="V41" s="1" t="s">
        <v>47</v>
      </c>
      <c r="W41">
        <v>4567</v>
      </c>
      <c r="X41">
        <v>1</v>
      </c>
      <c r="Y41" s="1" t="s">
        <v>48</v>
      </c>
      <c r="Z41" s="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8">
      <c r="A42" s="1" t="s">
        <v>100</v>
      </c>
      <c r="B42">
        <v>21</v>
      </c>
      <c r="C42" s="1" t="s">
        <v>39</v>
      </c>
      <c r="D42" s="1" t="s">
        <v>49</v>
      </c>
      <c r="E42" s="1" t="s">
        <v>41</v>
      </c>
      <c r="F42">
        <v>501</v>
      </c>
      <c r="G42" s="1" t="s">
        <v>51</v>
      </c>
      <c r="H42">
        <v>5</v>
      </c>
      <c r="I42">
        <v>1</v>
      </c>
      <c r="J42" s="1" t="s">
        <v>52</v>
      </c>
      <c r="K42">
        <v>1</v>
      </c>
      <c r="L42">
        <v>2021</v>
      </c>
      <c r="M42">
        <v>3</v>
      </c>
      <c r="N42" s="1" t="s">
        <v>44</v>
      </c>
      <c r="O42">
        <v>58</v>
      </c>
      <c r="P42">
        <v>3</v>
      </c>
      <c r="Q42">
        <v>1</v>
      </c>
      <c r="R42" s="1" t="s">
        <v>54</v>
      </c>
      <c r="S42">
        <v>1</v>
      </c>
      <c r="T42" s="1" t="s">
        <v>46</v>
      </c>
      <c r="U42">
        <v>2380</v>
      </c>
      <c r="V42" s="1" t="s">
        <v>47</v>
      </c>
      <c r="W42">
        <v>25479</v>
      </c>
      <c r="X42">
        <v>1</v>
      </c>
      <c r="Y42" s="1" t="s">
        <v>48</v>
      </c>
      <c r="Z42" s="1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8">
      <c r="A43" s="1" t="s">
        <v>101</v>
      </c>
      <c r="B43">
        <v>22</v>
      </c>
      <c r="C43" s="1" t="s">
        <v>39</v>
      </c>
      <c r="D43" s="1" t="s">
        <v>49</v>
      </c>
      <c r="E43" s="1" t="s">
        <v>59</v>
      </c>
      <c r="F43">
        <v>1123</v>
      </c>
      <c r="G43" s="1" t="s">
        <v>42</v>
      </c>
      <c r="H43">
        <v>16</v>
      </c>
      <c r="I43">
        <v>2</v>
      </c>
      <c r="J43" s="1" t="s">
        <v>52</v>
      </c>
      <c r="K43">
        <v>1</v>
      </c>
      <c r="L43">
        <v>22</v>
      </c>
      <c r="M43">
        <v>4</v>
      </c>
      <c r="N43" s="1" t="s">
        <v>44</v>
      </c>
      <c r="O43">
        <v>96</v>
      </c>
      <c r="P43">
        <v>4</v>
      </c>
      <c r="Q43">
        <v>1</v>
      </c>
      <c r="R43" s="1" t="s">
        <v>45</v>
      </c>
      <c r="S43">
        <v>4</v>
      </c>
      <c r="T43" s="1" t="s">
        <v>102</v>
      </c>
      <c r="U43">
        <v>2935</v>
      </c>
      <c r="V43" s="1" t="s">
        <v>47</v>
      </c>
      <c r="W43">
        <v>7324</v>
      </c>
      <c r="X43">
        <v>1</v>
      </c>
      <c r="Y43" s="1" t="s">
        <v>48</v>
      </c>
      <c r="Z43" s="1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8">
      <c r="A44" s="1" t="s">
        <v>103</v>
      </c>
      <c r="B44">
        <v>22</v>
      </c>
      <c r="C44" s="1" t="s">
        <v>39</v>
      </c>
      <c r="D44" s="1" t="s">
        <v>49</v>
      </c>
      <c r="E44" s="1" t="s">
        <v>41</v>
      </c>
      <c r="F44">
        <v>534</v>
      </c>
      <c r="G44" s="1" t="s">
        <v>42</v>
      </c>
      <c r="H44">
        <v>15</v>
      </c>
      <c r="I44">
        <v>3</v>
      </c>
      <c r="J44" s="1" t="s">
        <v>52</v>
      </c>
      <c r="K44">
        <v>1</v>
      </c>
      <c r="L44">
        <v>144</v>
      </c>
      <c r="M44">
        <v>2</v>
      </c>
      <c r="N44" s="1" t="s">
        <v>53</v>
      </c>
      <c r="O44">
        <v>59</v>
      </c>
      <c r="P44">
        <v>3</v>
      </c>
      <c r="Q44">
        <v>1</v>
      </c>
      <c r="R44" s="1" t="s">
        <v>45</v>
      </c>
      <c r="S44">
        <v>4</v>
      </c>
      <c r="T44" s="1" t="s">
        <v>46</v>
      </c>
      <c r="U44">
        <v>2871</v>
      </c>
      <c r="V44" s="1" t="s">
        <v>47</v>
      </c>
      <c r="W44">
        <v>23785</v>
      </c>
      <c r="X44">
        <v>1</v>
      </c>
      <c r="Y44" s="1" t="s">
        <v>48</v>
      </c>
      <c r="Z44" s="1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8">
      <c r="A45" s="1" t="s">
        <v>104</v>
      </c>
      <c r="B45">
        <v>22</v>
      </c>
      <c r="C45" s="1" t="s">
        <v>39</v>
      </c>
      <c r="D45" s="1" t="s">
        <v>49</v>
      </c>
      <c r="E45" s="1" t="s">
        <v>41</v>
      </c>
      <c r="F45">
        <v>594</v>
      </c>
      <c r="G45" s="1" t="s">
        <v>42</v>
      </c>
      <c r="H45">
        <v>2</v>
      </c>
      <c r="I45">
        <v>1</v>
      </c>
      <c r="J45" s="1" t="s">
        <v>68</v>
      </c>
      <c r="K45">
        <v>1</v>
      </c>
      <c r="L45">
        <v>169</v>
      </c>
      <c r="M45">
        <v>3</v>
      </c>
      <c r="N45" s="1" t="s">
        <v>44</v>
      </c>
      <c r="O45">
        <v>100</v>
      </c>
      <c r="P45">
        <v>3</v>
      </c>
      <c r="Q45">
        <v>1</v>
      </c>
      <c r="R45" s="1" t="s">
        <v>45</v>
      </c>
      <c r="S45">
        <v>4</v>
      </c>
      <c r="T45" s="1" t="s">
        <v>105</v>
      </c>
      <c r="U45">
        <v>2523</v>
      </c>
      <c r="V45" s="1" t="s">
        <v>47</v>
      </c>
      <c r="W45">
        <v>19299</v>
      </c>
      <c r="X45">
        <v>0</v>
      </c>
      <c r="Y45" s="1" t="s">
        <v>48</v>
      </c>
      <c r="Z45" s="1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8">
      <c r="A46" s="1" t="s">
        <v>106</v>
      </c>
      <c r="B46">
        <v>22</v>
      </c>
      <c r="C46" s="1" t="s">
        <v>39</v>
      </c>
      <c r="D46" s="1" t="s">
        <v>49</v>
      </c>
      <c r="E46" s="1" t="s">
        <v>41</v>
      </c>
      <c r="F46">
        <v>1256</v>
      </c>
      <c r="G46" s="1" t="s">
        <v>42</v>
      </c>
      <c r="H46">
        <v>19</v>
      </c>
      <c r="I46">
        <v>1</v>
      </c>
      <c r="J46" s="1" t="s">
        <v>52</v>
      </c>
      <c r="K46">
        <v>1</v>
      </c>
      <c r="L46">
        <v>217</v>
      </c>
      <c r="M46">
        <v>3</v>
      </c>
      <c r="N46" s="1" t="s">
        <v>44</v>
      </c>
      <c r="O46">
        <v>80</v>
      </c>
      <c r="P46">
        <v>3</v>
      </c>
      <c r="Q46">
        <v>1</v>
      </c>
      <c r="R46" s="1" t="s">
        <v>60</v>
      </c>
      <c r="S46">
        <v>4</v>
      </c>
      <c r="T46" s="1" t="s">
        <v>105</v>
      </c>
      <c r="U46">
        <v>2323</v>
      </c>
      <c r="V46" s="1" t="s">
        <v>47</v>
      </c>
      <c r="W46">
        <v>11992</v>
      </c>
      <c r="X46">
        <v>1</v>
      </c>
      <c r="Y46" s="1" t="s">
        <v>48</v>
      </c>
      <c r="Z46" s="1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8">
      <c r="A47" s="1" t="s">
        <v>107</v>
      </c>
      <c r="B47">
        <v>22</v>
      </c>
      <c r="C47" s="1" t="s">
        <v>39</v>
      </c>
      <c r="D47" s="1" t="s">
        <v>49</v>
      </c>
      <c r="E47" s="1" t="s">
        <v>41</v>
      </c>
      <c r="F47">
        <v>1136</v>
      </c>
      <c r="G47" s="1" t="s">
        <v>42</v>
      </c>
      <c r="H47">
        <v>5</v>
      </c>
      <c r="I47">
        <v>3</v>
      </c>
      <c r="J47" s="1" t="s">
        <v>43</v>
      </c>
      <c r="K47">
        <v>1</v>
      </c>
      <c r="L47">
        <v>284</v>
      </c>
      <c r="M47">
        <v>4</v>
      </c>
      <c r="N47" s="1" t="s">
        <v>44</v>
      </c>
      <c r="O47">
        <v>60</v>
      </c>
      <c r="P47">
        <v>4</v>
      </c>
      <c r="Q47">
        <v>1</v>
      </c>
      <c r="R47" s="1" t="s">
        <v>60</v>
      </c>
      <c r="S47">
        <v>2</v>
      </c>
      <c r="T47" s="1" t="s">
        <v>102</v>
      </c>
      <c r="U47">
        <v>2328</v>
      </c>
      <c r="V47" s="1" t="s">
        <v>47</v>
      </c>
      <c r="W47">
        <v>12392</v>
      </c>
      <c r="X47">
        <v>1</v>
      </c>
      <c r="Y47" s="1" t="s">
        <v>48</v>
      </c>
      <c r="Z47" s="1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8">
      <c r="A48" s="1" t="s">
        <v>108</v>
      </c>
      <c r="B48">
        <v>22</v>
      </c>
      <c r="C48" s="1" t="s">
        <v>39</v>
      </c>
      <c r="D48" s="1" t="s">
        <v>49</v>
      </c>
      <c r="E48" s="1" t="s">
        <v>41</v>
      </c>
      <c r="F48">
        <v>253</v>
      </c>
      <c r="G48" s="1" t="s">
        <v>42</v>
      </c>
      <c r="H48">
        <v>11</v>
      </c>
      <c r="I48">
        <v>3</v>
      </c>
      <c r="J48" s="1" t="s">
        <v>52</v>
      </c>
      <c r="K48">
        <v>1</v>
      </c>
      <c r="L48">
        <v>511</v>
      </c>
      <c r="M48">
        <v>1</v>
      </c>
      <c r="N48" s="1" t="s">
        <v>53</v>
      </c>
      <c r="O48">
        <v>43</v>
      </c>
      <c r="P48">
        <v>3</v>
      </c>
      <c r="Q48">
        <v>1</v>
      </c>
      <c r="R48" s="1" t="s">
        <v>60</v>
      </c>
      <c r="S48">
        <v>2</v>
      </c>
      <c r="T48" s="1" t="s">
        <v>105</v>
      </c>
      <c r="U48">
        <v>2244</v>
      </c>
      <c r="V48" s="1" t="s">
        <v>47</v>
      </c>
      <c r="W48">
        <v>24440</v>
      </c>
      <c r="X48">
        <v>1</v>
      </c>
      <c r="Y48" s="1" t="s">
        <v>48</v>
      </c>
      <c r="Z48" s="1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8">
      <c r="A49" s="1" t="s">
        <v>109</v>
      </c>
      <c r="B49">
        <v>22</v>
      </c>
      <c r="C49" s="1" t="s">
        <v>39</v>
      </c>
      <c r="D49" s="1" t="s">
        <v>40</v>
      </c>
      <c r="E49" s="1" t="s">
        <v>56</v>
      </c>
      <c r="F49">
        <v>1368</v>
      </c>
      <c r="G49" s="1" t="s">
        <v>42</v>
      </c>
      <c r="H49">
        <v>4</v>
      </c>
      <c r="I49">
        <v>1</v>
      </c>
      <c r="J49" s="1" t="s">
        <v>68</v>
      </c>
      <c r="K49">
        <v>1</v>
      </c>
      <c r="L49">
        <v>593</v>
      </c>
      <c r="M49">
        <v>3</v>
      </c>
      <c r="N49" s="1" t="s">
        <v>44</v>
      </c>
      <c r="O49">
        <v>99</v>
      </c>
      <c r="P49">
        <v>2</v>
      </c>
      <c r="Q49">
        <v>1</v>
      </c>
      <c r="R49" s="1" t="s">
        <v>45</v>
      </c>
      <c r="S49">
        <v>3</v>
      </c>
      <c r="T49" s="1" t="s">
        <v>46</v>
      </c>
      <c r="U49">
        <v>3894</v>
      </c>
      <c r="V49" s="1" t="s">
        <v>47</v>
      </c>
      <c r="W49">
        <v>9129</v>
      </c>
      <c r="X49">
        <v>5</v>
      </c>
      <c r="Y49" s="1" t="s">
        <v>48</v>
      </c>
      <c r="Z49" s="1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8">
      <c r="A50" s="1" t="s">
        <v>110</v>
      </c>
      <c r="B50">
        <v>22</v>
      </c>
      <c r="C50" s="1" t="s">
        <v>39</v>
      </c>
      <c r="D50" s="1" t="s">
        <v>49</v>
      </c>
      <c r="E50" s="1" t="s">
        <v>41</v>
      </c>
      <c r="F50">
        <v>604</v>
      </c>
      <c r="G50" s="1" t="s">
        <v>42</v>
      </c>
      <c r="H50">
        <v>6</v>
      </c>
      <c r="I50">
        <v>1</v>
      </c>
      <c r="J50" s="1" t="s">
        <v>52</v>
      </c>
      <c r="K50">
        <v>1</v>
      </c>
      <c r="L50">
        <v>675</v>
      </c>
      <c r="M50">
        <v>1</v>
      </c>
      <c r="N50" s="1" t="s">
        <v>44</v>
      </c>
      <c r="O50">
        <v>69</v>
      </c>
      <c r="P50">
        <v>3</v>
      </c>
      <c r="Q50">
        <v>1</v>
      </c>
      <c r="R50" s="1" t="s">
        <v>60</v>
      </c>
      <c r="S50">
        <v>3</v>
      </c>
      <c r="T50" s="1" t="s">
        <v>105</v>
      </c>
      <c r="U50">
        <v>2773</v>
      </c>
      <c r="V50" s="1" t="s">
        <v>47</v>
      </c>
      <c r="W50">
        <v>12145</v>
      </c>
      <c r="X50">
        <v>0</v>
      </c>
      <c r="Y50" s="1" t="s">
        <v>48</v>
      </c>
      <c r="Z50" s="1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8">
      <c r="A51" s="1" t="s">
        <v>111</v>
      </c>
      <c r="B51">
        <v>22</v>
      </c>
      <c r="C51" s="1" t="s">
        <v>39</v>
      </c>
      <c r="D51" s="1" t="s">
        <v>49</v>
      </c>
      <c r="E51" s="1" t="s">
        <v>41</v>
      </c>
      <c r="F51">
        <v>1230</v>
      </c>
      <c r="G51" s="1" t="s">
        <v>42</v>
      </c>
      <c r="H51">
        <v>1</v>
      </c>
      <c r="I51">
        <v>2</v>
      </c>
      <c r="J51" s="1" t="s">
        <v>43</v>
      </c>
      <c r="K51">
        <v>1</v>
      </c>
      <c r="L51">
        <v>872</v>
      </c>
      <c r="M51">
        <v>4</v>
      </c>
      <c r="N51" s="1" t="s">
        <v>44</v>
      </c>
      <c r="O51">
        <v>33</v>
      </c>
      <c r="P51">
        <v>2</v>
      </c>
      <c r="Q51">
        <v>2</v>
      </c>
      <c r="R51" s="1" t="s">
        <v>112</v>
      </c>
      <c r="S51">
        <v>4</v>
      </c>
      <c r="T51" s="1" t="s">
        <v>105</v>
      </c>
      <c r="U51">
        <v>4775</v>
      </c>
      <c r="V51" s="1" t="s">
        <v>47</v>
      </c>
      <c r="W51">
        <v>19146</v>
      </c>
      <c r="X51">
        <v>6</v>
      </c>
      <c r="Y51" s="1" t="s">
        <v>48</v>
      </c>
      <c r="Z51" s="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8">
      <c r="A52" s="1" t="s">
        <v>113</v>
      </c>
      <c r="B52">
        <v>22</v>
      </c>
      <c r="C52" s="1" t="s">
        <v>39</v>
      </c>
      <c r="D52" s="1" t="s">
        <v>40</v>
      </c>
      <c r="E52" s="1" t="s">
        <v>41</v>
      </c>
      <c r="F52">
        <v>617</v>
      </c>
      <c r="G52" s="1" t="s">
        <v>42</v>
      </c>
      <c r="H52">
        <v>3</v>
      </c>
      <c r="I52">
        <v>1</v>
      </c>
      <c r="J52" s="1" t="s">
        <v>43</v>
      </c>
      <c r="K52">
        <v>1</v>
      </c>
      <c r="L52">
        <v>926</v>
      </c>
      <c r="M52">
        <v>2</v>
      </c>
      <c r="N52" s="1" t="s">
        <v>53</v>
      </c>
      <c r="O52">
        <v>34</v>
      </c>
      <c r="P52">
        <v>3</v>
      </c>
      <c r="Q52">
        <v>2</v>
      </c>
      <c r="R52" s="1" t="s">
        <v>112</v>
      </c>
      <c r="S52">
        <v>3</v>
      </c>
      <c r="T52" s="1" t="s">
        <v>105</v>
      </c>
      <c r="U52">
        <v>4171</v>
      </c>
      <c r="V52" s="1" t="s">
        <v>47</v>
      </c>
      <c r="W52">
        <v>10022</v>
      </c>
      <c r="X52">
        <v>0</v>
      </c>
      <c r="Y52" s="1" t="s">
        <v>48</v>
      </c>
      <c r="Z52" s="1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8">
      <c r="A53" s="1" t="s">
        <v>114</v>
      </c>
      <c r="B53">
        <v>22</v>
      </c>
      <c r="C53" s="1" t="s">
        <v>39</v>
      </c>
      <c r="D53" s="1" t="s">
        <v>49</v>
      </c>
      <c r="E53" s="1" t="s">
        <v>41</v>
      </c>
      <c r="F53">
        <v>217</v>
      </c>
      <c r="G53" s="1" t="s">
        <v>42</v>
      </c>
      <c r="H53">
        <v>8</v>
      </c>
      <c r="I53">
        <v>1</v>
      </c>
      <c r="J53" s="1" t="s">
        <v>43</v>
      </c>
      <c r="K53">
        <v>1</v>
      </c>
      <c r="L53">
        <v>1019</v>
      </c>
      <c r="M53">
        <v>2</v>
      </c>
      <c r="N53" s="1" t="s">
        <v>44</v>
      </c>
      <c r="O53">
        <v>94</v>
      </c>
      <c r="P53">
        <v>1</v>
      </c>
      <c r="Q53">
        <v>1</v>
      </c>
      <c r="R53" s="1" t="s">
        <v>45</v>
      </c>
      <c r="S53">
        <v>1</v>
      </c>
      <c r="T53" s="1" t="s">
        <v>105</v>
      </c>
      <c r="U53">
        <v>2451</v>
      </c>
      <c r="V53" s="1" t="s">
        <v>47</v>
      </c>
      <c r="W53">
        <v>6881</v>
      </c>
      <c r="X53">
        <v>1</v>
      </c>
      <c r="Y53" s="1" t="s">
        <v>48</v>
      </c>
      <c r="Z53" s="1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8">
      <c r="A54" s="1" t="s">
        <v>115</v>
      </c>
      <c r="B54">
        <v>22</v>
      </c>
      <c r="C54" s="1" t="s">
        <v>39</v>
      </c>
      <c r="D54" s="1" t="s">
        <v>40</v>
      </c>
      <c r="E54" s="1" t="s">
        <v>56</v>
      </c>
      <c r="F54">
        <v>1256</v>
      </c>
      <c r="G54" s="1" t="s">
        <v>42</v>
      </c>
      <c r="H54">
        <v>3</v>
      </c>
      <c r="I54">
        <v>4</v>
      </c>
      <c r="J54" s="1" t="s">
        <v>43</v>
      </c>
      <c r="K54">
        <v>1</v>
      </c>
      <c r="L54">
        <v>1203</v>
      </c>
      <c r="M54">
        <v>3</v>
      </c>
      <c r="N54" s="1" t="s">
        <v>44</v>
      </c>
      <c r="O54">
        <v>48</v>
      </c>
      <c r="P54">
        <v>2</v>
      </c>
      <c r="Q54">
        <v>1</v>
      </c>
      <c r="R54" s="1" t="s">
        <v>60</v>
      </c>
      <c r="S54">
        <v>4</v>
      </c>
      <c r="T54" s="1" t="s">
        <v>105</v>
      </c>
      <c r="U54">
        <v>2853</v>
      </c>
      <c r="V54" s="1" t="s">
        <v>47</v>
      </c>
      <c r="W54">
        <v>4223</v>
      </c>
      <c r="X54">
        <v>0</v>
      </c>
      <c r="Y54" s="1" t="s">
        <v>48</v>
      </c>
      <c r="Z54" s="1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8">
      <c r="A55" s="1" t="s">
        <v>116</v>
      </c>
      <c r="B55">
        <v>22</v>
      </c>
      <c r="C55" s="1" t="s">
        <v>39</v>
      </c>
      <c r="D55" s="1" t="s">
        <v>49</v>
      </c>
      <c r="E55" s="1" t="s">
        <v>59</v>
      </c>
      <c r="F55">
        <v>457</v>
      </c>
      <c r="G55" s="1" t="s">
        <v>42</v>
      </c>
      <c r="H55">
        <v>26</v>
      </c>
      <c r="I55">
        <v>2</v>
      </c>
      <c r="J55" s="1" t="s">
        <v>73</v>
      </c>
      <c r="K55">
        <v>1</v>
      </c>
      <c r="L55">
        <v>1605</v>
      </c>
      <c r="M55">
        <v>2</v>
      </c>
      <c r="N55" s="1" t="s">
        <v>53</v>
      </c>
      <c r="O55">
        <v>85</v>
      </c>
      <c r="P55">
        <v>2</v>
      </c>
      <c r="Q55">
        <v>1</v>
      </c>
      <c r="R55" s="1" t="s">
        <v>60</v>
      </c>
      <c r="S55">
        <v>3</v>
      </c>
      <c r="T55" s="1" t="s">
        <v>105</v>
      </c>
      <c r="U55">
        <v>2814</v>
      </c>
      <c r="V55" s="1" t="s">
        <v>47</v>
      </c>
      <c r="W55">
        <v>10293</v>
      </c>
      <c r="X55">
        <v>1</v>
      </c>
      <c r="Y55" s="1" t="s">
        <v>48</v>
      </c>
      <c r="Z55" s="1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8">
      <c r="A56" s="1" t="s">
        <v>117</v>
      </c>
      <c r="B56">
        <v>22</v>
      </c>
      <c r="C56" s="1" t="s">
        <v>39</v>
      </c>
      <c r="D56" s="1" t="s">
        <v>40</v>
      </c>
      <c r="E56" s="1" t="s">
        <v>41</v>
      </c>
      <c r="F56">
        <v>1294</v>
      </c>
      <c r="G56" s="1" t="s">
        <v>42</v>
      </c>
      <c r="H56">
        <v>8</v>
      </c>
      <c r="I56">
        <v>1</v>
      </c>
      <c r="J56" s="1" t="s">
        <v>52</v>
      </c>
      <c r="K56">
        <v>1</v>
      </c>
      <c r="L56">
        <v>1783</v>
      </c>
      <c r="M56">
        <v>3</v>
      </c>
      <c r="N56" s="1" t="s">
        <v>53</v>
      </c>
      <c r="O56">
        <v>79</v>
      </c>
      <c r="P56">
        <v>3</v>
      </c>
      <c r="Q56">
        <v>1</v>
      </c>
      <c r="R56" s="1" t="s">
        <v>45</v>
      </c>
      <c r="S56">
        <v>1</v>
      </c>
      <c r="T56" s="1" t="s">
        <v>105</v>
      </c>
      <c r="U56">
        <v>2398</v>
      </c>
      <c r="V56" s="1" t="s">
        <v>47</v>
      </c>
      <c r="W56">
        <v>15999</v>
      </c>
      <c r="X56">
        <v>1</v>
      </c>
      <c r="Y56" s="1" t="s">
        <v>48</v>
      </c>
      <c r="Z56" s="1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8">
      <c r="A57" s="1" t="s">
        <v>118</v>
      </c>
      <c r="B57">
        <v>22</v>
      </c>
      <c r="C57" s="1" t="s">
        <v>39</v>
      </c>
      <c r="D57" s="1" t="s">
        <v>40</v>
      </c>
      <c r="E57" s="1" t="s">
        <v>41</v>
      </c>
      <c r="F57">
        <v>391</v>
      </c>
      <c r="G57" s="1" t="s">
        <v>42</v>
      </c>
      <c r="H57">
        <v>7</v>
      </c>
      <c r="I57">
        <v>1</v>
      </c>
      <c r="J57" s="1" t="s">
        <v>43</v>
      </c>
      <c r="K57">
        <v>1</v>
      </c>
      <c r="L57">
        <v>1878</v>
      </c>
      <c r="M57">
        <v>4</v>
      </c>
      <c r="N57" s="1" t="s">
        <v>44</v>
      </c>
      <c r="O57">
        <v>75</v>
      </c>
      <c r="P57">
        <v>3</v>
      </c>
      <c r="Q57">
        <v>1</v>
      </c>
      <c r="R57" s="1" t="s">
        <v>60</v>
      </c>
      <c r="S57">
        <v>2</v>
      </c>
      <c r="T57" s="1" t="s">
        <v>46</v>
      </c>
      <c r="U57">
        <v>2472</v>
      </c>
      <c r="V57" s="1" t="s">
        <v>47</v>
      </c>
      <c r="W57">
        <v>26092</v>
      </c>
      <c r="X57">
        <v>1</v>
      </c>
      <c r="Y57" s="1" t="s">
        <v>48</v>
      </c>
      <c r="Z57" s="1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8">
      <c r="A58" s="1" t="s">
        <v>119</v>
      </c>
      <c r="B58">
        <v>22</v>
      </c>
      <c r="C58" s="1" t="s">
        <v>39</v>
      </c>
      <c r="D58" s="1" t="s">
        <v>49</v>
      </c>
      <c r="E58" s="1" t="s">
        <v>41</v>
      </c>
      <c r="F58">
        <v>581</v>
      </c>
      <c r="G58" s="1" t="s">
        <v>42</v>
      </c>
      <c r="H58">
        <v>1</v>
      </c>
      <c r="I58">
        <v>2</v>
      </c>
      <c r="J58" s="1" t="s">
        <v>43</v>
      </c>
      <c r="K58">
        <v>1</v>
      </c>
      <c r="L58">
        <v>2007</v>
      </c>
      <c r="M58">
        <v>4</v>
      </c>
      <c r="N58" s="1" t="s">
        <v>44</v>
      </c>
      <c r="O58">
        <v>63</v>
      </c>
      <c r="P58">
        <v>3</v>
      </c>
      <c r="Q58">
        <v>1</v>
      </c>
      <c r="R58" s="1" t="s">
        <v>60</v>
      </c>
      <c r="S58">
        <v>3</v>
      </c>
      <c r="T58" s="1" t="s">
        <v>46</v>
      </c>
      <c r="U58">
        <v>3375</v>
      </c>
      <c r="V58" s="1" t="s">
        <v>47</v>
      </c>
      <c r="W58">
        <v>17624</v>
      </c>
      <c r="X58">
        <v>0</v>
      </c>
      <c r="Y58" s="1" t="s">
        <v>48</v>
      </c>
      <c r="Z58" s="1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8">
      <c r="A59" s="1" t="s">
        <v>120</v>
      </c>
      <c r="B59">
        <v>23</v>
      </c>
      <c r="C59" s="1" t="s">
        <v>39</v>
      </c>
      <c r="D59" s="1" t="s">
        <v>49</v>
      </c>
      <c r="E59" s="1" t="s">
        <v>41</v>
      </c>
      <c r="F59">
        <v>541</v>
      </c>
      <c r="G59" s="1" t="s">
        <v>51</v>
      </c>
      <c r="H59">
        <v>2</v>
      </c>
      <c r="I59">
        <v>1</v>
      </c>
      <c r="J59" s="1" t="s">
        <v>68</v>
      </c>
      <c r="K59">
        <v>1</v>
      </c>
      <c r="L59">
        <v>113</v>
      </c>
      <c r="M59">
        <v>3</v>
      </c>
      <c r="N59" s="1" t="s">
        <v>44</v>
      </c>
      <c r="O59">
        <v>62</v>
      </c>
      <c r="P59">
        <v>3</v>
      </c>
      <c r="Q59">
        <v>1</v>
      </c>
      <c r="R59" s="1" t="s">
        <v>54</v>
      </c>
      <c r="S59">
        <v>1</v>
      </c>
      <c r="T59" s="1" t="s">
        <v>102</v>
      </c>
      <c r="U59">
        <v>2322</v>
      </c>
      <c r="V59" s="1" t="s">
        <v>47</v>
      </c>
      <c r="W59">
        <v>9518</v>
      </c>
      <c r="X59">
        <v>3</v>
      </c>
      <c r="Y59" s="1" t="s">
        <v>48</v>
      </c>
      <c r="Z59" s="1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8">
      <c r="A60" s="1" t="s">
        <v>121</v>
      </c>
      <c r="B60">
        <v>23</v>
      </c>
      <c r="C60" s="1" t="s">
        <v>39</v>
      </c>
      <c r="D60" s="1" t="s">
        <v>49</v>
      </c>
      <c r="E60" s="1" t="s">
        <v>41</v>
      </c>
      <c r="F60">
        <v>1309</v>
      </c>
      <c r="G60" s="1" t="s">
        <v>42</v>
      </c>
      <c r="H60">
        <v>26</v>
      </c>
      <c r="I60">
        <v>1</v>
      </c>
      <c r="J60" s="1" t="s">
        <v>43</v>
      </c>
      <c r="K60">
        <v>1</v>
      </c>
      <c r="L60">
        <v>465</v>
      </c>
      <c r="M60">
        <v>3</v>
      </c>
      <c r="N60" s="1" t="s">
        <v>44</v>
      </c>
      <c r="O60">
        <v>83</v>
      </c>
      <c r="P60">
        <v>3</v>
      </c>
      <c r="Q60">
        <v>1</v>
      </c>
      <c r="R60" s="1" t="s">
        <v>60</v>
      </c>
      <c r="S60">
        <v>4</v>
      </c>
      <c r="T60" s="1" t="s">
        <v>102</v>
      </c>
      <c r="U60">
        <v>2904</v>
      </c>
      <c r="V60" s="1" t="s">
        <v>47</v>
      </c>
      <c r="W60">
        <v>16092</v>
      </c>
      <c r="X60">
        <v>1</v>
      </c>
      <c r="Y60" s="1" t="s">
        <v>48</v>
      </c>
      <c r="Z60" s="1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8">
      <c r="A61" s="1" t="s">
        <v>122</v>
      </c>
      <c r="B61">
        <v>23</v>
      </c>
      <c r="C61" s="1" t="s">
        <v>39</v>
      </c>
      <c r="D61" s="1" t="s">
        <v>49</v>
      </c>
      <c r="E61" s="1" t="s">
        <v>41</v>
      </c>
      <c r="F61">
        <v>885</v>
      </c>
      <c r="G61" s="1" t="s">
        <v>42</v>
      </c>
      <c r="H61">
        <v>4</v>
      </c>
      <c r="I61">
        <v>3</v>
      </c>
      <c r="J61" s="1" t="s">
        <v>52</v>
      </c>
      <c r="K61">
        <v>1</v>
      </c>
      <c r="L61">
        <v>705</v>
      </c>
      <c r="M61">
        <v>1</v>
      </c>
      <c r="N61" s="1" t="s">
        <v>44</v>
      </c>
      <c r="O61">
        <v>58</v>
      </c>
      <c r="P61">
        <v>4</v>
      </c>
      <c r="Q61">
        <v>1</v>
      </c>
      <c r="R61" s="1" t="s">
        <v>60</v>
      </c>
      <c r="S61">
        <v>1</v>
      </c>
      <c r="T61" s="1" t="s">
        <v>105</v>
      </c>
      <c r="U61">
        <v>2819</v>
      </c>
      <c r="V61" s="1" t="s">
        <v>47</v>
      </c>
      <c r="W61">
        <v>8544</v>
      </c>
      <c r="X61">
        <v>2</v>
      </c>
      <c r="Y61" s="1" t="s">
        <v>48</v>
      </c>
      <c r="Z61" s="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8">
      <c r="A62" s="1" t="s">
        <v>123</v>
      </c>
      <c r="B62">
        <v>23</v>
      </c>
      <c r="C62" s="1" t="s">
        <v>39</v>
      </c>
      <c r="D62" s="1" t="s">
        <v>49</v>
      </c>
      <c r="E62" s="1" t="s">
        <v>41</v>
      </c>
      <c r="F62">
        <v>650</v>
      </c>
      <c r="G62" s="1" t="s">
        <v>42</v>
      </c>
      <c r="H62">
        <v>9</v>
      </c>
      <c r="I62">
        <v>1</v>
      </c>
      <c r="J62" s="1" t="s">
        <v>52</v>
      </c>
      <c r="K62">
        <v>1</v>
      </c>
      <c r="L62">
        <v>758</v>
      </c>
      <c r="M62">
        <v>2</v>
      </c>
      <c r="N62" s="1" t="s">
        <v>44</v>
      </c>
      <c r="O62">
        <v>37</v>
      </c>
      <c r="P62">
        <v>3</v>
      </c>
      <c r="Q62">
        <v>1</v>
      </c>
      <c r="R62" s="1" t="s">
        <v>45</v>
      </c>
      <c r="S62">
        <v>1</v>
      </c>
      <c r="T62" s="1" t="s">
        <v>105</v>
      </c>
      <c r="U62">
        <v>2500</v>
      </c>
      <c r="V62" s="1" t="s">
        <v>47</v>
      </c>
      <c r="W62">
        <v>4344</v>
      </c>
      <c r="X62">
        <v>1</v>
      </c>
      <c r="Y62" s="1" t="s">
        <v>48</v>
      </c>
      <c r="Z62" s="1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8">
      <c r="A63" s="1" t="s">
        <v>124</v>
      </c>
      <c r="B63">
        <v>23</v>
      </c>
      <c r="C63" s="1" t="s">
        <v>39</v>
      </c>
      <c r="D63" s="1" t="s">
        <v>49</v>
      </c>
      <c r="E63" s="1" t="s">
        <v>41</v>
      </c>
      <c r="F63">
        <v>310</v>
      </c>
      <c r="G63" s="1" t="s">
        <v>42</v>
      </c>
      <c r="H63">
        <v>10</v>
      </c>
      <c r="I63">
        <v>1</v>
      </c>
      <c r="J63" s="1" t="s">
        <v>52</v>
      </c>
      <c r="K63">
        <v>1</v>
      </c>
      <c r="L63">
        <v>784</v>
      </c>
      <c r="M63">
        <v>1</v>
      </c>
      <c r="N63" s="1" t="s">
        <v>44</v>
      </c>
      <c r="O63">
        <v>79</v>
      </c>
      <c r="P63">
        <v>4</v>
      </c>
      <c r="Q63">
        <v>1</v>
      </c>
      <c r="R63" s="1" t="s">
        <v>60</v>
      </c>
      <c r="S63">
        <v>3</v>
      </c>
      <c r="T63" s="1" t="s">
        <v>46</v>
      </c>
      <c r="U63">
        <v>3505</v>
      </c>
      <c r="V63" s="1" t="s">
        <v>47</v>
      </c>
      <c r="W63">
        <v>19630</v>
      </c>
      <c r="X63">
        <v>1</v>
      </c>
      <c r="Y63" s="1" t="s">
        <v>48</v>
      </c>
      <c r="Z63" s="1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8">
      <c r="A64" s="1" t="s">
        <v>125</v>
      </c>
      <c r="B64">
        <v>23</v>
      </c>
      <c r="C64" s="1" t="s">
        <v>39</v>
      </c>
      <c r="D64" s="1" t="s">
        <v>40</v>
      </c>
      <c r="E64" s="1" t="s">
        <v>41</v>
      </c>
      <c r="F64">
        <v>1243</v>
      </c>
      <c r="G64" s="1" t="s">
        <v>42</v>
      </c>
      <c r="H64">
        <v>6</v>
      </c>
      <c r="I64">
        <v>3</v>
      </c>
      <c r="J64" s="1" t="s">
        <v>43</v>
      </c>
      <c r="K64">
        <v>1</v>
      </c>
      <c r="L64">
        <v>811</v>
      </c>
      <c r="M64">
        <v>3</v>
      </c>
      <c r="N64" s="1" t="s">
        <v>44</v>
      </c>
      <c r="O64">
        <v>63</v>
      </c>
      <c r="P64">
        <v>4</v>
      </c>
      <c r="Q64">
        <v>1</v>
      </c>
      <c r="R64" s="1" t="s">
        <v>45</v>
      </c>
      <c r="S64">
        <v>1</v>
      </c>
      <c r="T64" s="1" t="s">
        <v>105</v>
      </c>
      <c r="U64">
        <v>1601</v>
      </c>
      <c r="V64" s="1" t="s">
        <v>47</v>
      </c>
      <c r="W64">
        <v>3445</v>
      </c>
      <c r="X64">
        <v>1</v>
      </c>
      <c r="Y64" s="1" t="s">
        <v>48</v>
      </c>
      <c r="Z64" s="1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8">
      <c r="A65" s="1" t="s">
        <v>126</v>
      </c>
      <c r="B65">
        <v>23</v>
      </c>
      <c r="C65" s="1" t="s">
        <v>39</v>
      </c>
      <c r="D65" s="1" t="s">
        <v>49</v>
      </c>
      <c r="E65" s="1" t="s">
        <v>41</v>
      </c>
      <c r="F65">
        <v>373</v>
      </c>
      <c r="G65" s="1" t="s">
        <v>42</v>
      </c>
      <c r="H65">
        <v>1</v>
      </c>
      <c r="I65">
        <v>2</v>
      </c>
      <c r="J65" s="1" t="s">
        <v>43</v>
      </c>
      <c r="K65">
        <v>1</v>
      </c>
      <c r="L65">
        <v>1270</v>
      </c>
      <c r="M65">
        <v>4</v>
      </c>
      <c r="N65" s="1" t="s">
        <v>44</v>
      </c>
      <c r="O65">
        <v>47</v>
      </c>
      <c r="P65">
        <v>3</v>
      </c>
      <c r="Q65">
        <v>1</v>
      </c>
      <c r="R65" s="1" t="s">
        <v>60</v>
      </c>
      <c r="S65">
        <v>3</v>
      </c>
      <c r="T65" s="1" t="s">
        <v>105</v>
      </c>
      <c r="U65">
        <v>1223</v>
      </c>
      <c r="V65" s="1" t="s">
        <v>47</v>
      </c>
      <c r="W65">
        <v>16901</v>
      </c>
      <c r="X65">
        <v>1</v>
      </c>
      <c r="Y65" s="1" t="s">
        <v>48</v>
      </c>
      <c r="Z65" s="1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8">
      <c r="A66" s="1" t="s">
        <v>127</v>
      </c>
      <c r="B66">
        <v>23</v>
      </c>
      <c r="C66" s="1" t="s">
        <v>39</v>
      </c>
      <c r="D66" s="1" t="s">
        <v>49</v>
      </c>
      <c r="E66" s="1" t="s">
        <v>41</v>
      </c>
      <c r="F66">
        <v>507</v>
      </c>
      <c r="G66" s="1" t="s">
        <v>42</v>
      </c>
      <c r="H66">
        <v>20</v>
      </c>
      <c r="I66">
        <v>1</v>
      </c>
      <c r="J66" s="1" t="s">
        <v>43</v>
      </c>
      <c r="K66">
        <v>1</v>
      </c>
      <c r="L66">
        <v>1533</v>
      </c>
      <c r="M66">
        <v>1</v>
      </c>
      <c r="N66" s="1" t="s">
        <v>44</v>
      </c>
      <c r="O66">
        <v>97</v>
      </c>
      <c r="P66">
        <v>3</v>
      </c>
      <c r="Q66">
        <v>2</v>
      </c>
      <c r="R66" s="1" t="s">
        <v>45</v>
      </c>
      <c r="S66">
        <v>3</v>
      </c>
      <c r="T66" s="1" t="s">
        <v>46</v>
      </c>
      <c r="U66">
        <v>2272</v>
      </c>
      <c r="V66" s="1" t="s">
        <v>47</v>
      </c>
      <c r="W66">
        <v>24812</v>
      </c>
      <c r="X66">
        <v>0</v>
      </c>
      <c r="Y66" s="1" t="s">
        <v>48</v>
      </c>
      <c r="Z66" s="1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8">
      <c r="A67" s="1" t="s">
        <v>128</v>
      </c>
      <c r="B67">
        <v>23</v>
      </c>
      <c r="C67" s="1" t="s">
        <v>39</v>
      </c>
      <c r="D67" s="1" t="s">
        <v>49</v>
      </c>
      <c r="E67" s="1" t="s">
        <v>41</v>
      </c>
      <c r="F67">
        <v>977</v>
      </c>
      <c r="G67" s="1" t="s">
        <v>42</v>
      </c>
      <c r="H67">
        <v>10</v>
      </c>
      <c r="I67">
        <v>3</v>
      </c>
      <c r="J67" s="1" t="s">
        <v>68</v>
      </c>
      <c r="K67">
        <v>1</v>
      </c>
      <c r="L67">
        <v>1592</v>
      </c>
      <c r="M67">
        <v>4</v>
      </c>
      <c r="N67" s="1" t="s">
        <v>44</v>
      </c>
      <c r="O67">
        <v>45</v>
      </c>
      <c r="P67">
        <v>4</v>
      </c>
      <c r="Q67">
        <v>1</v>
      </c>
      <c r="R67" s="1" t="s">
        <v>60</v>
      </c>
      <c r="S67">
        <v>3</v>
      </c>
      <c r="T67" s="1" t="s">
        <v>105</v>
      </c>
      <c r="U67">
        <v>2073</v>
      </c>
      <c r="V67" s="1" t="s">
        <v>47</v>
      </c>
      <c r="W67">
        <v>12826</v>
      </c>
      <c r="X67">
        <v>2</v>
      </c>
      <c r="Y67" s="1" t="s">
        <v>48</v>
      </c>
      <c r="Z67" s="1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8">
      <c r="A68" s="1" t="s">
        <v>129</v>
      </c>
      <c r="B68">
        <v>23</v>
      </c>
      <c r="C68" s="1" t="s">
        <v>39</v>
      </c>
      <c r="D68" s="1" t="s">
        <v>40</v>
      </c>
      <c r="E68" s="1" t="s">
        <v>41</v>
      </c>
      <c r="F68">
        <v>1320</v>
      </c>
      <c r="G68" s="1" t="s">
        <v>42</v>
      </c>
      <c r="H68">
        <v>8</v>
      </c>
      <c r="I68">
        <v>1</v>
      </c>
      <c r="J68" s="1" t="s">
        <v>52</v>
      </c>
      <c r="K68">
        <v>1</v>
      </c>
      <c r="L68">
        <v>1684</v>
      </c>
      <c r="M68">
        <v>4</v>
      </c>
      <c r="N68" s="1" t="s">
        <v>44</v>
      </c>
      <c r="O68">
        <v>93</v>
      </c>
      <c r="P68">
        <v>2</v>
      </c>
      <c r="Q68">
        <v>1</v>
      </c>
      <c r="R68" s="1" t="s">
        <v>45</v>
      </c>
      <c r="S68">
        <v>3</v>
      </c>
      <c r="T68" s="1" t="s">
        <v>46</v>
      </c>
      <c r="U68">
        <v>3989</v>
      </c>
      <c r="V68" s="1" t="s">
        <v>47</v>
      </c>
      <c r="W68">
        <v>20586</v>
      </c>
      <c r="X68">
        <v>1</v>
      </c>
      <c r="Y68" s="1" t="s">
        <v>48</v>
      </c>
      <c r="Z68" s="1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8">
      <c r="A69" s="1" t="s">
        <v>130</v>
      </c>
      <c r="B69">
        <v>23</v>
      </c>
      <c r="C69" s="1" t="s">
        <v>39</v>
      </c>
      <c r="D69" s="1" t="s">
        <v>40</v>
      </c>
      <c r="E69" s="1" t="s">
        <v>41</v>
      </c>
      <c r="F69">
        <v>427</v>
      </c>
      <c r="G69" s="1" t="s">
        <v>51</v>
      </c>
      <c r="H69">
        <v>7</v>
      </c>
      <c r="I69">
        <v>3</v>
      </c>
      <c r="J69" s="1" t="s">
        <v>43</v>
      </c>
      <c r="K69">
        <v>1</v>
      </c>
      <c r="L69">
        <v>1702</v>
      </c>
      <c r="M69">
        <v>3</v>
      </c>
      <c r="N69" s="1" t="s">
        <v>44</v>
      </c>
      <c r="O69">
        <v>99</v>
      </c>
      <c r="P69">
        <v>3</v>
      </c>
      <c r="Q69">
        <v>1</v>
      </c>
      <c r="R69" s="1" t="s">
        <v>54</v>
      </c>
      <c r="S69">
        <v>4</v>
      </c>
      <c r="T69" s="1" t="s">
        <v>102</v>
      </c>
      <c r="U69">
        <v>2275</v>
      </c>
      <c r="V69" s="1" t="s">
        <v>47</v>
      </c>
      <c r="W69">
        <v>25103</v>
      </c>
      <c r="X69">
        <v>1</v>
      </c>
      <c r="Y69" s="1" t="s">
        <v>48</v>
      </c>
      <c r="Z69" s="1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8">
      <c r="A70" s="1" t="s">
        <v>131</v>
      </c>
      <c r="B70">
        <v>23</v>
      </c>
      <c r="C70" s="1" t="s">
        <v>39</v>
      </c>
      <c r="D70" s="1" t="s">
        <v>49</v>
      </c>
      <c r="E70" s="1" t="s">
        <v>41</v>
      </c>
      <c r="F70">
        <v>160</v>
      </c>
      <c r="G70" s="1" t="s">
        <v>42</v>
      </c>
      <c r="H70">
        <v>4</v>
      </c>
      <c r="I70">
        <v>1</v>
      </c>
      <c r="J70" s="1" t="s">
        <v>52</v>
      </c>
      <c r="K70">
        <v>1</v>
      </c>
      <c r="L70">
        <v>1735</v>
      </c>
      <c r="M70">
        <v>3</v>
      </c>
      <c r="N70" s="1" t="s">
        <v>53</v>
      </c>
      <c r="O70">
        <v>51</v>
      </c>
      <c r="P70">
        <v>3</v>
      </c>
      <c r="Q70">
        <v>1</v>
      </c>
      <c r="R70" s="1" t="s">
        <v>45</v>
      </c>
      <c r="S70">
        <v>2</v>
      </c>
      <c r="T70" s="1" t="s">
        <v>46</v>
      </c>
      <c r="U70">
        <v>3295</v>
      </c>
      <c r="V70" s="1" t="s">
        <v>47</v>
      </c>
      <c r="W70">
        <v>12862</v>
      </c>
      <c r="X70">
        <v>1</v>
      </c>
      <c r="Y70" s="1" t="s">
        <v>48</v>
      </c>
      <c r="Z70" s="1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8">
      <c r="A71" s="1" t="s">
        <v>132</v>
      </c>
      <c r="B71">
        <v>23</v>
      </c>
      <c r="C71" s="1" t="s">
        <v>39</v>
      </c>
      <c r="D71" s="1" t="s">
        <v>49</v>
      </c>
      <c r="E71" s="1" t="s">
        <v>41</v>
      </c>
      <c r="F71">
        <v>571</v>
      </c>
      <c r="G71" s="1" t="s">
        <v>42</v>
      </c>
      <c r="H71">
        <v>12</v>
      </c>
      <c r="I71">
        <v>2</v>
      </c>
      <c r="J71" s="1" t="s">
        <v>73</v>
      </c>
      <c r="K71">
        <v>1</v>
      </c>
      <c r="L71">
        <v>1982</v>
      </c>
      <c r="M71">
        <v>4</v>
      </c>
      <c r="N71" s="1" t="s">
        <v>44</v>
      </c>
      <c r="O71">
        <v>78</v>
      </c>
      <c r="P71">
        <v>3</v>
      </c>
      <c r="Q71">
        <v>1</v>
      </c>
      <c r="R71" s="1" t="s">
        <v>45</v>
      </c>
      <c r="S71">
        <v>4</v>
      </c>
      <c r="T71" s="1" t="s">
        <v>46</v>
      </c>
      <c r="U71">
        <v>2647</v>
      </c>
      <c r="V71" s="1" t="s">
        <v>47</v>
      </c>
      <c r="W71">
        <v>13672</v>
      </c>
      <c r="X71">
        <v>1</v>
      </c>
      <c r="Y71" s="1" t="s">
        <v>48</v>
      </c>
      <c r="Z71" s="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8">
      <c r="A72" s="1" t="s">
        <v>133</v>
      </c>
      <c r="B72">
        <v>23</v>
      </c>
      <c r="C72" s="1" t="s">
        <v>39</v>
      </c>
      <c r="D72" s="1" t="s">
        <v>40</v>
      </c>
      <c r="E72" s="1" t="s">
        <v>56</v>
      </c>
      <c r="F72">
        <v>638</v>
      </c>
      <c r="G72" s="1" t="s">
        <v>51</v>
      </c>
      <c r="H72">
        <v>9</v>
      </c>
      <c r="I72">
        <v>3</v>
      </c>
      <c r="J72" s="1" t="s">
        <v>57</v>
      </c>
      <c r="K72">
        <v>1</v>
      </c>
      <c r="L72">
        <v>2023</v>
      </c>
      <c r="M72">
        <v>4</v>
      </c>
      <c r="N72" s="1" t="s">
        <v>44</v>
      </c>
      <c r="O72">
        <v>33</v>
      </c>
      <c r="P72">
        <v>3</v>
      </c>
      <c r="Q72">
        <v>1</v>
      </c>
      <c r="R72" s="1" t="s">
        <v>54</v>
      </c>
      <c r="S72">
        <v>1</v>
      </c>
      <c r="T72" s="1" t="s">
        <v>105</v>
      </c>
      <c r="U72">
        <v>1790</v>
      </c>
      <c r="V72" s="1" t="s">
        <v>47</v>
      </c>
      <c r="W72">
        <v>26956</v>
      </c>
      <c r="X72">
        <v>1</v>
      </c>
      <c r="Y72" s="1" t="s">
        <v>48</v>
      </c>
      <c r="Z72" s="1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8">
      <c r="A73" s="1" t="s">
        <v>134</v>
      </c>
      <c r="B73">
        <v>24</v>
      </c>
      <c r="C73" s="1" t="s">
        <v>39</v>
      </c>
      <c r="D73" s="1" t="s">
        <v>49</v>
      </c>
      <c r="E73" s="1" t="s">
        <v>59</v>
      </c>
      <c r="F73">
        <v>673</v>
      </c>
      <c r="G73" s="1" t="s">
        <v>42</v>
      </c>
      <c r="H73">
        <v>11</v>
      </c>
      <c r="I73">
        <v>2</v>
      </c>
      <c r="J73" s="1" t="s">
        <v>73</v>
      </c>
      <c r="K73">
        <v>1</v>
      </c>
      <c r="L73">
        <v>26</v>
      </c>
      <c r="M73">
        <v>1</v>
      </c>
      <c r="N73" s="1" t="s">
        <v>53</v>
      </c>
      <c r="O73">
        <v>96</v>
      </c>
      <c r="P73">
        <v>4</v>
      </c>
      <c r="Q73">
        <v>2</v>
      </c>
      <c r="R73" s="1" t="s">
        <v>112</v>
      </c>
      <c r="S73">
        <v>3</v>
      </c>
      <c r="T73" s="1" t="s">
        <v>102</v>
      </c>
      <c r="U73">
        <v>4011</v>
      </c>
      <c r="V73" s="1" t="s">
        <v>47</v>
      </c>
      <c r="W73">
        <v>8232</v>
      </c>
      <c r="X73">
        <v>0</v>
      </c>
      <c r="Y73" s="1" t="s">
        <v>48</v>
      </c>
      <c r="Z73" s="1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8">
      <c r="A74" s="1" t="s">
        <v>135</v>
      </c>
      <c r="B74">
        <v>24</v>
      </c>
      <c r="C74" s="1" t="s">
        <v>39</v>
      </c>
      <c r="D74" s="1" t="s">
        <v>40</v>
      </c>
      <c r="E74" s="1" t="s">
        <v>41</v>
      </c>
      <c r="F74">
        <v>813</v>
      </c>
      <c r="G74" s="1" t="s">
        <v>42</v>
      </c>
      <c r="H74">
        <v>1</v>
      </c>
      <c r="I74">
        <v>3</v>
      </c>
      <c r="J74" s="1" t="s">
        <v>52</v>
      </c>
      <c r="K74">
        <v>1</v>
      </c>
      <c r="L74">
        <v>45</v>
      </c>
      <c r="M74">
        <v>2</v>
      </c>
      <c r="N74" s="1" t="s">
        <v>44</v>
      </c>
      <c r="O74">
        <v>61</v>
      </c>
      <c r="P74">
        <v>3</v>
      </c>
      <c r="Q74">
        <v>1</v>
      </c>
      <c r="R74" s="1" t="s">
        <v>60</v>
      </c>
      <c r="S74">
        <v>4</v>
      </c>
      <c r="T74" s="1" t="s">
        <v>105</v>
      </c>
      <c r="U74">
        <v>2293</v>
      </c>
      <c r="V74" s="1" t="s">
        <v>47</v>
      </c>
      <c r="W74">
        <v>3020</v>
      </c>
      <c r="X74">
        <v>2</v>
      </c>
      <c r="Y74" s="1" t="s">
        <v>48</v>
      </c>
      <c r="Z74" s="1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8">
      <c r="A75" s="1" t="s">
        <v>136</v>
      </c>
      <c r="B75">
        <v>24</v>
      </c>
      <c r="C75" s="1" t="s">
        <v>39</v>
      </c>
      <c r="D75" s="1" t="s">
        <v>49</v>
      </c>
      <c r="E75" s="1" t="s">
        <v>41</v>
      </c>
      <c r="F75">
        <v>1353</v>
      </c>
      <c r="G75" s="1" t="s">
        <v>51</v>
      </c>
      <c r="H75">
        <v>3</v>
      </c>
      <c r="I75">
        <v>2</v>
      </c>
      <c r="J75" s="1" t="s">
        <v>73</v>
      </c>
      <c r="K75">
        <v>1</v>
      </c>
      <c r="L75">
        <v>128</v>
      </c>
      <c r="M75">
        <v>1</v>
      </c>
      <c r="N75" s="1" t="s">
        <v>53</v>
      </c>
      <c r="O75">
        <v>33</v>
      </c>
      <c r="P75">
        <v>3</v>
      </c>
      <c r="Q75">
        <v>2</v>
      </c>
      <c r="R75" s="1" t="s">
        <v>137</v>
      </c>
      <c r="S75">
        <v>3</v>
      </c>
      <c r="T75" s="1" t="s">
        <v>105</v>
      </c>
      <c r="U75">
        <v>4999</v>
      </c>
      <c r="V75" s="1" t="s">
        <v>47</v>
      </c>
      <c r="W75">
        <v>17519</v>
      </c>
      <c r="X75">
        <v>0</v>
      </c>
      <c r="Y75" s="1" t="s">
        <v>48</v>
      </c>
      <c r="Z75" s="1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8">
      <c r="A76" s="1" t="s">
        <v>138</v>
      </c>
      <c r="B76">
        <v>24</v>
      </c>
      <c r="C76" s="1" t="s">
        <v>39</v>
      </c>
      <c r="D76" s="1" t="s">
        <v>49</v>
      </c>
      <c r="E76" s="1" t="s">
        <v>41</v>
      </c>
      <c r="F76">
        <v>1127</v>
      </c>
      <c r="G76" s="1" t="s">
        <v>42</v>
      </c>
      <c r="H76">
        <v>18</v>
      </c>
      <c r="I76">
        <v>1</v>
      </c>
      <c r="J76" s="1" t="s">
        <v>43</v>
      </c>
      <c r="K76">
        <v>1</v>
      </c>
      <c r="L76">
        <v>150</v>
      </c>
      <c r="M76">
        <v>2</v>
      </c>
      <c r="N76" s="1" t="s">
        <v>44</v>
      </c>
      <c r="O76">
        <v>52</v>
      </c>
      <c r="P76">
        <v>3</v>
      </c>
      <c r="Q76">
        <v>1</v>
      </c>
      <c r="R76" s="1" t="s">
        <v>45</v>
      </c>
      <c r="S76">
        <v>3</v>
      </c>
      <c r="T76" s="1" t="s">
        <v>105</v>
      </c>
      <c r="U76">
        <v>2774</v>
      </c>
      <c r="V76" s="1" t="s">
        <v>47</v>
      </c>
      <c r="W76">
        <v>13257</v>
      </c>
      <c r="X76">
        <v>0</v>
      </c>
      <c r="Y76" s="1" t="s">
        <v>48</v>
      </c>
      <c r="Z76" s="1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8">
      <c r="A77" s="1" t="s">
        <v>139</v>
      </c>
      <c r="B77">
        <v>24</v>
      </c>
      <c r="C77" s="1" t="s">
        <v>39</v>
      </c>
      <c r="D77" s="1" t="s">
        <v>49</v>
      </c>
      <c r="E77" s="1" t="s">
        <v>41</v>
      </c>
      <c r="F77">
        <v>1371</v>
      </c>
      <c r="G77" s="1" t="s">
        <v>51</v>
      </c>
      <c r="H77">
        <v>10</v>
      </c>
      <c r="I77">
        <v>4</v>
      </c>
      <c r="J77" s="1" t="s">
        <v>57</v>
      </c>
      <c r="K77">
        <v>1</v>
      </c>
      <c r="L77">
        <v>507</v>
      </c>
      <c r="M77">
        <v>4</v>
      </c>
      <c r="N77" s="1" t="s">
        <v>53</v>
      </c>
      <c r="O77">
        <v>77</v>
      </c>
      <c r="P77">
        <v>3</v>
      </c>
      <c r="Q77">
        <v>2</v>
      </c>
      <c r="R77" s="1" t="s">
        <v>137</v>
      </c>
      <c r="S77">
        <v>3</v>
      </c>
      <c r="T77" s="1" t="s">
        <v>102</v>
      </c>
      <c r="U77">
        <v>4260</v>
      </c>
      <c r="V77" s="1" t="s">
        <v>47</v>
      </c>
      <c r="W77">
        <v>5915</v>
      </c>
      <c r="X77">
        <v>1</v>
      </c>
      <c r="Y77" s="1" t="s">
        <v>48</v>
      </c>
      <c r="Z77" s="1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8">
      <c r="A78" s="1" t="s">
        <v>140</v>
      </c>
      <c r="B78">
        <v>24</v>
      </c>
      <c r="C78" s="1" t="s">
        <v>39</v>
      </c>
      <c r="D78" s="1" t="s">
        <v>40</v>
      </c>
      <c r="E78" s="1" t="s">
        <v>41</v>
      </c>
      <c r="F78">
        <v>1448</v>
      </c>
      <c r="G78" s="1" t="s">
        <v>51</v>
      </c>
      <c r="H78">
        <v>1</v>
      </c>
      <c r="I78">
        <v>1</v>
      </c>
      <c r="J78" s="1" t="s">
        <v>68</v>
      </c>
      <c r="K78">
        <v>1</v>
      </c>
      <c r="L78">
        <v>554</v>
      </c>
      <c r="M78">
        <v>1</v>
      </c>
      <c r="N78" s="1" t="s">
        <v>53</v>
      </c>
      <c r="O78">
        <v>62</v>
      </c>
      <c r="P78">
        <v>3</v>
      </c>
      <c r="Q78">
        <v>1</v>
      </c>
      <c r="R78" s="1" t="s">
        <v>54</v>
      </c>
      <c r="S78">
        <v>2</v>
      </c>
      <c r="T78" s="1" t="s">
        <v>46</v>
      </c>
      <c r="U78">
        <v>3202</v>
      </c>
      <c r="V78" s="1" t="s">
        <v>47</v>
      </c>
      <c r="W78">
        <v>21972</v>
      </c>
      <c r="X78">
        <v>1</v>
      </c>
      <c r="Y78" s="1" t="s">
        <v>48</v>
      </c>
      <c r="Z78" s="1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8">
      <c r="A79" s="1" t="s">
        <v>141</v>
      </c>
      <c r="B79">
        <v>24</v>
      </c>
      <c r="C79" s="1" t="s">
        <v>39</v>
      </c>
      <c r="D79" s="1" t="s">
        <v>49</v>
      </c>
      <c r="E79" s="1" t="s">
        <v>56</v>
      </c>
      <c r="F79">
        <v>535</v>
      </c>
      <c r="G79" s="1" t="s">
        <v>51</v>
      </c>
      <c r="H79">
        <v>24</v>
      </c>
      <c r="I79">
        <v>3</v>
      </c>
      <c r="J79" s="1" t="s">
        <v>52</v>
      </c>
      <c r="K79">
        <v>1</v>
      </c>
      <c r="L79">
        <v>632</v>
      </c>
      <c r="M79">
        <v>4</v>
      </c>
      <c r="N79" s="1" t="s">
        <v>44</v>
      </c>
      <c r="O79">
        <v>38</v>
      </c>
      <c r="P79">
        <v>3</v>
      </c>
      <c r="Q79">
        <v>1</v>
      </c>
      <c r="R79" s="1" t="s">
        <v>54</v>
      </c>
      <c r="S79">
        <v>4</v>
      </c>
      <c r="T79" s="1" t="s">
        <v>105</v>
      </c>
      <c r="U79">
        <v>2400</v>
      </c>
      <c r="V79" s="1" t="s">
        <v>47</v>
      </c>
      <c r="W79">
        <v>5530</v>
      </c>
      <c r="X79">
        <v>0</v>
      </c>
      <c r="Y79" s="1" t="s">
        <v>48</v>
      </c>
      <c r="Z79" s="1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8">
      <c r="A80" s="1" t="s">
        <v>142</v>
      </c>
      <c r="B80">
        <v>24</v>
      </c>
      <c r="C80" s="1" t="s">
        <v>39</v>
      </c>
      <c r="D80" s="1" t="s">
        <v>49</v>
      </c>
      <c r="E80" s="1" t="s">
        <v>41</v>
      </c>
      <c r="F80">
        <v>691</v>
      </c>
      <c r="G80" s="1" t="s">
        <v>42</v>
      </c>
      <c r="H80">
        <v>23</v>
      </c>
      <c r="I80">
        <v>3</v>
      </c>
      <c r="J80" s="1" t="s">
        <v>52</v>
      </c>
      <c r="K80">
        <v>1</v>
      </c>
      <c r="L80">
        <v>639</v>
      </c>
      <c r="M80">
        <v>2</v>
      </c>
      <c r="N80" s="1" t="s">
        <v>44</v>
      </c>
      <c r="O80">
        <v>89</v>
      </c>
      <c r="P80">
        <v>4</v>
      </c>
      <c r="Q80">
        <v>1</v>
      </c>
      <c r="R80" s="1" t="s">
        <v>60</v>
      </c>
      <c r="S80">
        <v>4</v>
      </c>
      <c r="T80" s="1" t="s">
        <v>105</v>
      </c>
      <c r="U80">
        <v>2725</v>
      </c>
      <c r="V80" s="1" t="s">
        <v>47</v>
      </c>
      <c r="W80">
        <v>21630</v>
      </c>
      <c r="X80">
        <v>1</v>
      </c>
      <c r="Y80" s="1" t="s">
        <v>48</v>
      </c>
      <c r="Z80" s="1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8">
      <c r="A81" s="1" t="s">
        <v>143</v>
      </c>
      <c r="B81">
        <v>24</v>
      </c>
      <c r="C81" s="1" t="s">
        <v>39</v>
      </c>
      <c r="D81" s="1" t="s">
        <v>49</v>
      </c>
      <c r="E81" s="1" t="s">
        <v>41</v>
      </c>
      <c r="F81">
        <v>823</v>
      </c>
      <c r="G81" s="1" t="s">
        <v>42</v>
      </c>
      <c r="H81">
        <v>17</v>
      </c>
      <c r="I81">
        <v>2</v>
      </c>
      <c r="J81" s="1" t="s">
        <v>73</v>
      </c>
      <c r="K81">
        <v>1</v>
      </c>
      <c r="L81">
        <v>643</v>
      </c>
      <c r="M81">
        <v>4</v>
      </c>
      <c r="N81" s="1" t="s">
        <v>44</v>
      </c>
      <c r="O81">
        <v>94</v>
      </c>
      <c r="P81">
        <v>2</v>
      </c>
      <c r="Q81">
        <v>1</v>
      </c>
      <c r="R81" s="1" t="s">
        <v>45</v>
      </c>
      <c r="S81">
        <v>2</v>
      </c>
      <c r="T81" s="1" t="s">
        <v>105</v>
      </c>
      <c r="U81">
        <v>2127</v>
      </c>
      <c r="V81" s="1" t="s">
        <v>47</v>
      </c>
      <c r="W81">
        <v>9100</v>
      </c>
      <c r="X81">
        <v>1</v>
      </c>
      <c r="Y81" s="1" t="s">
        <v>48</v>
      </c>
      <c r="Z81" s="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8">
      <c r="A82" s="1" t="s">
        <v>144</v>
      </c>
      <c r="B82">
        <v>24</v>
      </c>
      <c r="C82" s="1" t="s">
        <v>39</v>
      </c>
      <c r="D82" s="1" t="s">
        <v>40</v>
      </c>
      <c r="E82" s="1" t="s">
        <v>56</v>
      </c>
      <c r="F82">
        <v>1287</v>
      </c>
      <c r="G82" s="1" t="s">
        <v>42</v>
      </c>
      <c r="H82">
        <v>7</v>
      </c>
      <c r="I82">
        <v>3</v>
      </c>
      <c r="J82" s="1" t="s">
        <v>43</v>
      </c>
      <c r="K82">
        <v>1</v>
      </c>
      <c r="L82">
        <v>647</v>
      </c>
      <c r="M82">
        <v>1</v>
      </c>
      <c r="N82" s="1" t="s">
        <v>53</v>
      </c>
      <c r="O82">
        <v>55</v>
      </c>
      <c r="P82">
        <v>3</v>
      </c>
      <c r="Q82">
        <v>1</v>
      </c>
      <c r="R82" s="1" t="s">
        <v>45</v>
      </c>
      <c r="S82">
        <v>3</v>
      </c>
      <c r="T82" s="1" t="s">
        <v>105</v>
      </c>
      <c r="U82">
        <v>2886</v>
      </c>
      <c r="V82" s="1" t="s">
        <v>47</v>
      </c>
      <c r="W82">
        <v>14168</v>
      </c>
      <c r="X82">
        <v>1</v>
      </c>
      <c r="Y82" s="1" t="s">
        <v>48</v>
      </c>
      <c r="Z82" s="1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8">
      <c r="A83" s="1" t="s">
        <v>145</v>
      </c>
      <c r="B83">
        <v>24</v>
      </c>
      <c r="C83" s="1" t="s">
        <v>39</v>
      </c>
      <c r="D83" s="1" t="s">
        <v>40</v>
      </c>
      <c r="E83" s="1" t="s">
        <v>41</v>
      </c>
      <c r="F83">
        <v>693</v>
      </c>
      <c r="G83" s="1" t="s">
        <v>51</v>
      </c>
      <c r="H83">
        <v>3</v>
      </c>
      <c r="I83">
        <v>2</v>
      </c>
      <c r="J83" s="1" t="s">
        <v>43</v>
      </c>
      <c r="K83">
        <v>1</v>
      </c>
      <c r="L83">
        <v>720</v>
      </c>
      <c r="M83">
        <v>1</v>
      </c>
      <c r="N83" s="1" t="s">
        <v>53</v>
      </c>
      <c r="O83">
        <v>65</v>
      </c>
      <c r="P83">
        <v>3</v>
      </c>
      <c r="Q83">
        <v>2</v>
      </c>
      <c r="R83" s="1" t="s">
        <v>137</v>
      </c>
      <c r="S83">
        <v>3</v>
      </c>
      <c r="T83" s="1" t="s">
        <v>46</v>
      </c>
      <c r="U83">
        <v>4577</v>
      </c>
      <c r="V83" s="1" t="s">
        <v>47</v>
      </c>
      <c r="W83">
        <v>24785</v>
      </c>
      <c r="X83">
        <v>9</v>
      </c>
      <c r="Y83" s="1" t="s">
        <v>48</v>
      </c>
      <c r="Z83" s="1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8">
      <c r="A84" s="1" t="s">
        <v>146</v>
      </c>
      <c r="B84">
        <v>24</v>
      </c>
      <c r="C84" s="1" t="s">
        <v>39</v>
      </c>
      <c r="D84" s="1" t="s">
        <v>49</v>
      </c>
      <c r="E84" s="1" t="s">
        <v>59</v>
      </c>
      <c r="F84">
        <v>1092</v>
      </c>
      <c r="G84" s="1" t="s">
        <v>42</v>
      </c>
      <c r="H84">
        <v>9</v>
      </c>
      <c r="I84">
        <v>3</v>
      </c>
      <c r="J84" s="1" t="s">
        <v>43</v>
      </c>
      <c r="K84">
        <v>1</v>
      </c>
      <c r="L84">
        <v>812</v>
      </c>
      <c r="M84">
        <v>3</v>
      </c>
      <c r="N84" s="1" t="s">
        <v>44</v>
      </c>
      <c r="O84">
        <v>60</v>
      </c>
      <c r="P84">
        <v>2</v>
      </c>
      <c r="Q84">
        <v>1</v>
      </c>
      <c r="R84" s="1" t="s">
        <v>45</v>
      </c>
      <c r="S84">
        <v>2</v>
      </c>
      <c r="T84" s="1" t="s">
        <v>102</v>
      </c>
      <c r="U84">
        <v>2694</v>
      </c>
      <c r="V84" s="1" t="s">
        <v>47</v>
      </c>
      <c r="W84">
        <v>26551</v>
      </c>
      <c r="X84">
        <v>1</v>
      </c>
      <c r="Y84" s="1" t="s">
        <v>48</v>
      </c>
      <c r="Z84" s="1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8">
      <c r="A85" s="1" t="s">
        <v>147</v>
      </c>
      <c r="B85">
        <v>24</v>
      </c>
      <c r="C85" s="1" t="s">
        <v>39</v>
      </c>
      <c r="D85" s="1" t="s">
        <v>49</v>
      </c>
      <c r="E85" s="1" t="s">
        <v>59</v>
      </c>
      <c r="F85">
        <v>1269</v>
      </c>
      <c r="G85" s="1" t="s">
        <v>42</v>
      </c>
      <c r="H85">
        <v>4</v>
      </c>
      <c r="I85">
        <v>1</v>
      </c>
      <c r="J85" s="1" t="s">
        <v>43</v>
      </c>
      <c r="K85">
        <v>1</v>
      </c>
      <c r="L85">
        <v>888</v>
      </c>
      <c r="M85">
        <v>1</v>
      </c>
      <c r="N85" s="1" t="s">
        <v>44</v>
      </c>
      <c r="O85">
        <v>46</v>
      </c>
      <c r="P85">
        <v>2</v>
      </c>
      <c r="Q85">
        <v>1</v>
      </c>
      <c r="R85" s="1" t="s">
        <v>45</v>
      </c>
      <c r="S85">
        <v>4</v>
      </c>
      <c r="T85" s="1" t="s">
        <v>105</v>
      </c>
      <c r="U85">
        <v>3162</v>
      </c>
      <c r="V85" s="1" t="s">
        <v>47</v>
      </c>
      <c r="W85">
        <v>10778</v>
      </c>
      <c r="X85">
        <v>0</v>
      </c>
      <c r="Y85" s="1" t="s">
        <v>48</v>
      </c>
      <c r="Z85" s="1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8">
      <c r="A86" s="1" t="s">
        <v>148</v>
      </c>
      <c r="B86">
        <v>24</v>
      </c>
      <c r="C86" s="1" t="s">
        <v>39</v>
      </c>
      <c r="D86" s="1" t="s">
        <v>49</v>
      </c>
      <c r="E86" s="1" t="s">
        <v>41</v>
      </c>
      <c r="F86">
        <v>1206</v>
      </c>
      <c r="G86" s="1" t="s">
        <v>42</v>
      </c>
      <c r="H86">
        <v>17</v>
      </c>
      <c r="I86">
        <v>1</v>
      </c>
      <c r="J86" s="1" t="s">
        <v>52</v>
      </c>
      <c r="K86">
        <v>1</v>
      </c>
      <c r="L86">
        <v>1009</v>
      </c>
      <c r="M86">
        <v>4</v>
      </c>
      <c r="N86" s="1" t="s">
        <v>53</v>
      </c>
      <c r="O86">
        <v>41</v>
      </c>
      <c r="P86">
        <v>2</v>
      </c>
      <c r="Q86">
        <v>2</v>
      </c>
      <c r="R86" s="1" t="s">
        <v>112</v>
      </c>
      <c r="S86">
        <v>3</v>
      </c>
      <c r="T86" s="1" t="s">
        <v>102</v>
      </c>
      <c r="U86">
        <v>4377</v>
      </c>
      <c r="V86" s="1" t="s">
        <v>47</v>
      </c>
      <c r="W86">
        <v>24117</v>
      </c>
      <c r="X86">
        <v>1</v>
      </c>
      <c r="Y86" s="1" t="s">
        <v>48</v>
      </c>
      <c r="Z86" s="1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8">
      <c r="A87" s="1" t="s">
        <v>149</v>
      </c>
      <c r="B87">
        <v>24</v>
      </c>
      <c r="C87" s="1" t="s">
        <v>39</v>
      </c>
      <c r="D87" s="1" t="s">
        <v>49</v>
      </c>
      <c r="E87" s="1" t="s">
        <v>41</v>
      </c>
      <c r="F87">
        <v>477</v>
      </c>
      <c r="G87" s="1" t="s">
        <v>42</v>
      </c>
      <c r="H87">
        <v>24</v>
      </c>
      <c r="I87">
        <v>3</v>
      </c>
      <c r="J87" s="1" t="s">
        <v>52</v>
      </c>
      <c r="K87">
        <v>1</v>
      </c>
      <c r="L87">
        <v>1173</v>
      </c>
      <c r="M87">
        <v>4</v>
      </c>
      <c r="N87" s="1" t="s">
        <v>44</v>
      </c>
      <c r="O87">
        <v>49</v>
      </c>
      <c r="P87">
        <v>3</v>
      </c>
      <c r="Q87">
        <v>1</v>
      </c>
      <c r="R87" s="1" t="s">
        <v>45</v>
      </c>
      <c r="S87">
        <v>2</v>
      </c>
      <c r="T87" s="1" t="s">
        <v>46</v>
      </c>
      <c r="U87">
        <v>3597</v>
      </c>
      <c r="V87" s="1" t="s">
        <v>47</v>
      </c>
      <c r="W87">
        <v>6409</v>
      </c>
      <c r="X87">
        <v>8</v>
      </c>
      <c r="Y87" s="1" t="s">
        <v>48</v>
      </c>
      <c r="Z87" s="1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8">
      <c r="A88" s="1" t="s">
        <v>150</v>
      </c>
      <c r="B88">
        <v>24</v>
      </c>
      <c r="C88" s="1" t="s">
        <v>39</v>
      </c>
      <c r="D88" s="1" t="s">
        <v>40</v>
      </c>
      <c r="E88" s="1" t="s">
        <v>41</v>
      </c>
      <c r="F88">
        <v>984</v>
      </c>
      <c r="G88" s="1" t="s">
        <v>42</v>
      </c>
      <c r="H88">
        <v>17</v>
      </c>
      <c r="I88">
        <v>2</v>
      </c>
      <c r="J88" s="1" t="s">
        <v>43</v>
      </c>
      <c r="K88">
        <v>1</v>
      </c>
      <c r="L88">
        <v>1219</v>
      </c>
      <c r="M88">
        <v>4</v>
      </c>
      <c r="N88" s="1" t="s">
        <v>53</v>
      </c>
      <c r="O88">
        <v>97</v>
      </c>
      <c r="P88">
        <v>3</v>
      </c>
      <c r="Q88">
        <v>1</v>
      </c>
      <c r="R88" s="1" t="s">
        <v>45</v>
      </c>
      <c r="S88">
        <v>2</v>
      </c>
      <c r="T88" s="1" t="s">
        <v>105</v>
      </c>
      <c r="U88">
        <v>2210</v>
      </c>
      <c r="V88" s="1" t="s">
        <v>47</v>
      </c>
      <c r="W88">
        <v>3372</v>
      </c>
      <c r="X88">
        <v>1</v>
      </c>
      <c r="Y88" s="1" t="s">
        <v>48</v>
      </c>
      <c r="Z88" s="1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8">
      <c r="A89" s="1" t="s">
        <v>151</v>
      </c>
      <c r="B89">
        <v>24</v>
      </c>
      <c r="C89" s="1" t="s">
        <v>39</v>
      </c>
      <c r="D89" s="1" t="s">
        <v>49</v>
      </c>
      <c r="E89" s="1" t="s">
        <v>41</v>
      </c>
      <c r="F89">
        <v>1476</v>
      </c>
      <c r="G89" s="1" t="s">
        <v>51</v>
      </c>
      <c r="H89">
        <v>4</v>
      </c>
      <c r="I89">
        <v>1</v>
      </c>
      <c r="J89" s="1" t="s">
        <v>52</v>
      </c>
      <c r="K89">
        <v>1</v>
      </c>
      <c r="L89">
        <v>1445</v>
      </c>
      <c r="M89">
        <v>4</v>
      </c>
      <c r="N89" s="1" t="s">
        <v>53</v>
      </c>
      <c r="O89">
        <v>42</v>
      </c>
      <c r="P89">
        <v>3</v>
      </c>
      <c r="Q89">
        <v>2</v>
      </c>
      <c r="R89" s="1" t="s">
        <v>137</v>
      </c>
      <c r="S89">
        <v>3</v>
      </c>
      <c r="T89" s="1" t="s">
        <v>105</v>
      </c>
      <c r="U89">
        <v>4162</v>
      </c>
      <c r="V89" s="1" t="s">
        <v>47</v>
      </c>
      <c r="W89">
        <v>15211</v>
      </c>
      <c r="X89">
        <v>1</v>
      </c>
      <c r="Y89" s="1" t="s">
        <v>48</v>
      </c>
      <c r="Z89" s="1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8">
      <c r="A90" s="1" t="s">
        <v>152</v>
      </c>
      <c r="B90">
        <v>24</v>
      </c>
      <c r="C90" s="1" t="s">
        <v>39</v>
      </c>
      <c r="D90" s="1" t="s">
        <v>40</v>
      </c>
      <c r="E90" s="1" t="s">
        <v>56</v>
      </c>
      <c r="F90">
        <v>381</v>
      </c>
      <c r="G90" s="1" t="s">
        <v>42</v>
      </c>
      <c r="H90">
        <v>9</v>
      </c>
      <c r="I90">
        <v>3</v>
      </c>
      <c r="J90" s="1" t="s">
        <v>52</v>
      </c>
      <c r="K90">
        <v>1</v>
      </c>
      <c r="L90">
        <v>1494</v>
      </c>
      <c r="M90">
        <v>2</v>
      </c>
      <c r="N90" s="1" t="s">
        <v>44</v>
      </c>
      <c r="O90">
        <v>89</v>
      </c>
      <c r="P90">
        <v>3</v>
      </c>
      <c r="Q90">
        <v>1</v>
      </c>
      <c r="R90" s="1" t="s">
        <v>45</v>
      </c>
      <c r="S90">
        <v>1</v>
      </c>
      <c r="T90" s="1" t="s">
        <v>46</v>
      </c>
      <c r="U90">
        <v>3172</v>
      </c>
      <c r="V90" s="1" t="s">
        <v>47</v>
      </c>
      <c r="W90">
        <v>16998</v>
      </c>
      <c r="X90">
        <v>2</v>
      </c>
      <c r="Y90" s="1" t="s">
        <v>48</v>
      </c>
      <c r="Z90" s="1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8">
      <c r="A91" s="1" t="s">
        <v>153</v>
      </c>
      <c r="B91">
        <v>24</v>
      </c>
      <c r="C91" s="1" t="s">
        <v>39</v>
      </c>
      <c r="D91" s="1" t="s">
        <v>49</v>
      </c>
      <c r="E91" s="1" t="s">
        <v>59</v>
      </c>
      <c r="F91">
        <v>830</v>
      </c>
      <c r="G91" s="1" t="s">
        <v>51</v>
      </c>
      <c r="H91">
        <v>13</v>
      </c>
      <c r="I91">
        <v>2</v>
      </c>
      <c r="J91" s="1" t="s">
        <v>43</v>
      </c>
      <c r="K91">
        <v>1</v>
      </c>
      <c r="L91">
        <v>1495</v>
      </c>
      <c r="M91">
        <v>4</v>
      </c>
      <c r="N91" s="1" t="s">
        <v>53</v>
      </c>
      <c r="O91">
        <v>78</v>
      </c>
      <c r="P91">
        <v>3</v>
      </c>
      <c r="Q91">
        <v>1</v>
      </c>
      <c r="R91" s="1" t="s">
        <v>54</v>
      </c>
      <c r="S91">
        <v>2</v>
      </c>
      <c r="T91" s="1" t="s">
        <v>105</v>
      </c>
      <c r="U91">
        <v>2033</v>
      </c>
      <c r="V91" s="1" t="s">
        <v>47</v>
      </c>
      <c r="W91">
        <v>7103</v>
      </c>
      <c r="X91">
        <v>1</v>
      </c>
      <c r="Y91" s="1" t="s">
        <v>48</v>
      </c>
      <c r="Z91" s="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8">
      <c r="A92" s="1" t="s">
        <v>154</v>
      </c>
      <c r="B92">
        <v>24</v>
      </c>
      <c r="C92" s="1" t="s">
        <v>39</v>
      </c>
      <c r="D92" s="1" t="s">
        <v>49</v>
      </c>
      <c r="E92" s="1" t="s">
        <v>41</v>
      </c>
      <c r="F92">
        <v>350</v>
      </c>
      <c r="G92" s="1" t="s">
        <v>42</v>
      </c>
      <c r="H92">
        <v>21</v>
      </c>
      <c r="I92">
        <v>2</v>
      </c>
      <c r="J92" s="1" t="s">
        <v>68</v>
      </c>
      <c r="K92">
        <v>1</v>
      </c>
      <c r="L92">
        <v>1551</v>
      </c>
      <c r="M92">
        <v>3</v>
      </c>
      <c r="N92" s="1" t="s">
        <v>44</v>
      </c>
      <c r="O92">
        <v>57</v>
      </c>
      <c r="P92">
        <v>2</v>
      </c>
      <c r="Q92">
        <v>1</v>
      </c>
      <c r="R92" s="1" t="s">
        <v>45</v>
      </c>
      <c r="S92">
        <v>1</v>
      </c>
      <c r="T92" s="1" t="s">
        <v>102</v>
      </c>
      <c r="U92">
        <v>2296</v>
      </c>
      <c r="V92" s="1" t="s">
        <v>47</v>
      </c>
      <c r="W92">
        <v>10036</v>
      </c>
      <c r="X92">
        <v>0</v>
      </c>
      <c r="Y92" s="1" t="s">
        <v>48</v>
      </c>
      <c r="Z92" s="1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8">
      <c r="A93" s="1" t="s">
        <v>155</v>
      </c>
      <c r="B93">
        <v>24</v>
      </c>
      <c r="C93" s="1" t="s">
        <v>39</v>
      </c>
      <c r="D93" s="1" t="s">
        <v>49</v>
      </c>
      <c r="E93" s="1" t="s">
        <v>56</v>
      </c>
      <c r="F93">
        <v>567</v>
      </c>
      <c r="G93" s="1" t="s">
        <v>42</v>
      </c>
      <c r="H93">
        <v>2</v>
      </c>
      <c r="I93">
        <v>1</v>
      </c>
      <c r="J93" s="1" t="s">
        <v>68</v>
      </c>
      <c r="K93">
        <v>1</v>
      </c>
      <c r="L93">
        <v>1646</v>
      </c>
      <c r="M93">
        <v>1</v>
      </c>
      <c r="N93" s="1" t="s">
        <v>53</v>
      </c>
      <c r="O93">
        <v>32</v>
      </c>
      <c r="P93">
        <v>3</v>
      </c>
      <c r="Q93">
        <v>1</v>
      </c>
      <c r="R93" s="1" t="s">
        <v>60</v>
      </c>
      <c r="S93">
        <v>4</v>
      </c>
      <c r="T93" s="1" t="s">
        <v>46</v>
      </c>
      <c r="U93">
        <v>3760</v>
      </c>
      <c r="V93" s="1" t="s">
        <v>47</v>
      </c>
      <c r="W93">
        <v>17218</v>
      </c>
      <c r="X93">
        <v>1</v>
      </c>
      <c r="Y93" s="1" t="s">
        <v>48</v>
      </c>
      <c r="Z93" s="1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8">
      <c r="A94" s="1" t="s">
        <v>156</v>
      </c>
      <c r="B94">
        <v>24</v>
      </c>
      <c r="C94" s="1" t="s">
        <v>39</v>
      </c>
      <c r="D94" s="1" t="s">
        <v>49</v>
      </c>
      <c r="E94" s="1" t="s">
        <v>41</v>
      </c>
      <c r="F94">
        <v>581</v>
      </c>
      <c r="G94" s="1" t="s">
        <v>42</v>
      </c>
      <c r="H94">
        <v>9</v>
      </c>
      <c r="I94">
        <v>3</v>
      </c>
      <c r="J94" s="1" t="s">
        <v>52</v>
      </c>
      <c r="K94">
        <v>1</v>
      </c>
      <c r="L94">
        <v>1707</v>
      </c>
      <c r="M94">
        <v>3</v>
      </c>
      <c r="N94" s="1" t="s">
        <v>44</v>
      </c>
      <c r="O94">
        <v>62</v>
      </c>
      <c r="P94">
        <v>4</v>
      </c>
      <c r="Q94">
        <v>1</v>
      </c>
      <c r="R94" s="1" t="s">
        <v>60</v>
      </c>
      <c r="S94">
        <v>3</v>
      </c>
      <c r="T94" s="1" t="s">
        <v>105</v>
      </c>
      <c r="U94">
        <v>4401</v>
      </c>
      <c r="V94" s="1" t="s">
        <v>47</v>
      </c>
      <c r="W94">
        <v>17616</v>
      </c>
      <c r="X94">
        <v>1</v>
      </c>
      <c r="Y94" s="1" t="s">
        <v>48</v>
      </c>
      <c r="Z94" s="1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8">
      <c r="A95" s="1" t="s">
        <v>157</v>
      </c>
      <c r="B95">
        <v>24</v>
      </c>
      <c r="C95" s="1" t="s">
        <v>39</v>
      </c>
      <c r="D95" s="1" t="s">
        <v>40</v>
      </c>
      <c r="E95" s="1" t="s">
        <v>41</v>
      </c>
      <c r="F95">
        <v>240</v>
      </c>
      <c r="G95" s="1" t="s">
        <v>71</v>
      </c>
      <c r="H95">
        <v>22</v>
      </c>
      <c r="I95">
        <v>1</v>
      </c>
      <c r="J95" s="1" t="s">
        <v>71</v>
      </c>
      <c r="K95">
        <v>1</v>
      </c>
      <c r="L95">
        <v>1714</v>
      </c>
      <c r="M95">
        <v>4</v>
      </c>
      <c r="N95" s="1" t="s">
        <v>44</v>
      </c>
      <c r="O95">
        <v>58</v>
      </c>
      <c r="P95">
        <v>1</v>
      </c>
      <c r="Q95">
        <v>1</v>
      </c>
      <c r="R95" s="1" t="s">
        <v>71</v>
      </c>
      <c r="S95">
        <v>3</v>
      </c>
      <c r="T95" s="1" t="s">
        <v>105</v>
      </c>
      <c r="U95">
        <v>1555</v>
      </c>
      <c r="V95" s="1" t="s">
        <v>47</v>
      </c>
      <c r="W95">
        <v>11585</v>
      </c>
      <c r="X95">
        <v>1</v>
      </c>
      <c r="Y95" s="1" t="s">
        <v>48</v>
      </c>
      <c r="Z95" s="1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8">
      <c r="A96" s="1" t="s">
        <v>158</v>
      </c>
      <c r="B96">
        <v>24</v>
      </c>
      <c r="C96" s="1" t="s">
        <v>39</v>
      </c>
      <c r="D96" s="1" t="s">
        <v>49</v>
      </c>
      <c r="E96" s="1" t="s">
        <v>41</v>
      </c>
      <c r="F96">
        <v>506</v>
      </c>
      <c r="G96" s="1" t="s">
        <v>42</v>
      </c>
      <c r="H96">
        <v>29</v>
      </c>
      <c r="I96">
        <v>1</v>
      </c>
      <c r="J96" s="1" t="s">
        <v>52</v>
      </c>
      <c r="K96">
        <v>1</v>
      </c>
      <c r="L96">
        <v>1725</v>
      </c>
      <c r="M96">
        <v>2</v>
      </c>
      <c r="N96" s="1" t="s">
        <v>44</v>
      </c>
      <c r="O96">
        <v>91</v>
      </c>
      <c r="P96">
        <v>3</v>
      </c>
      <c r="Q96">
        <v>1</v>
      </c>
      <c r="R96" s="1" t="s">
        <v>45</v>
      </c>
      <c r="S96">
        <v>1</v>
      </c>
      <c r="T96" s="1" t="s">
        <v>102</v>
      </c>
      <c r="U96">
        <v>3907</v>
      </c>
      <c r="V96" s="1" t="s">
        <v>47</v>
      </c>
      <c r="W96">
        <v>3622</v>
      </c>
      <c r="X96">
        <v>1</v>
      </c>
      <c r="Y96" s="1" t="s">
        <v>48</v>
      </c>
      <c r="Z96" s="1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8">
      <c r="A97" s="1" t="s">
        <v>159</v>
      </c>
      <c r="B97">
        <v>24</v>
      </c>
      <c r="C97" s="1" t="s">
        <v>39</v>
      </c>
      <c r="D97" s="1" t="s">
        <v>49</v>
      </c>
      <c r="E97" s="1" t="s">
        <v>56</v>
      </c>
      <c r="F97">
        <v>897</v>
      </c>
      <c r="G97" s="1" t="s">
        <v>71</v>
      </c>
      <c r="H97">
        <v>10</v>
      </c>
      <c r="I97">
        <v>3</v>
      </c>
      <c r="J97" s="1" t="s">
        <v>52</v>
      </c>
      <c r="K97">
        <v>1</v>
      </c>
      <c r="L97">
        <v>1746</v>
      </c>
      <c r="M97">
        <v>1</v>
      </c>
      <c r="N97" s="1" t="s">
        <v>44</v>
      </c>
      <c r="O97">
        <v>59</v>
      </c>
      <c r="P97">
        <v>3</v>
      </c>
      <c r="Q97">
        <v>1</v>
      </c>
      <c r="R97" s="1" t="s">
        <v>71</v>
      </c>
      <c r="S97">
        <v>4</v>
      </c>
      <c r="T97" s="1" t="s">
        <v>105</v>
      </c>
      <c r="U97">
        <v>2145</v>
      </c>
      <c r="V97" s="1" t="s">
        <v>47</v>
      </c>
      <c r="W97">
        <v>2097</v>
      </c>
      <c r="X97">
        <v>0</v>
      </c>
      <c r="Y97" s="1" t="s">
        <v>48</v>
      </c>
      <c r="Z97" s="1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8">
      <c r="A98" s="1" t="s">
        <v>160</v>
      </c>
      <c r="B98">
        <v>24</v>
      </c>
      <c r="C98" s="1" t="s">
        <v>39</v>
      </c>
      <c r="D98" s="1" t="s">
        <v>49</v>
      </c>
      <c r="E98" s="1" t="s">
        <v>41</v>
      </c>
      <c r="F98">
        <v>771</v>
      </c>
      <c r="G98" s="1" t="s">
        <v>42</v>
      </c>
      <c r="H98">
        <v>1</v>
      </c>
      <c r="I98">
        <v>2</v>
      </c>
      <c r="J98" s="1" t="s">
        <v>43</v>
      </c>
      <c r="K98">
        <v>1</v>
      </c>
      <c r="L98">
        <v>1981</v>
      </c>
      <c r="M98">
        <v>2</v>
      </c>
      <c r="N98" s="1" t="s">
        <v>44</v>
      </c>
      <c r="O98">
        <v>45</v>
      </c>
      <c r="P98">
        <v>2</v>
      </c>
      <c r="Q98">
        <v>2</v>
      </c>
      <c r="R98" s="1" t="s">
        <v>161</v>
      </c>
      <c r="S98">
        <v>3</v>
      </c>
      <c r="T98" s="1" t="s">
        <v>46</v>
      </c>
      <c r="U98">
        <v>4617</v>
      </c>
      <c r="V98" s="1" t="s">
        <v>47</v>
      </c>
      <c r="W98">
        <v>14120</v>
      </c>
      <c r="X98">
        <v>1</v>
      </c>
      <c r="Y98" s="1" t="s">
        <v>48</v>
      </c>
      <c r="Z98" s="1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8">
      <c r="A99" s="1" t="s">
        <v>162</v>
      </c>
      <c r="B99">
        <v>25</v>
      </c>
      <c r="C99" s="1" t="s">
        <v>39</v>
      </c>
      <c r="D99" s="1" t="s">
        <v>40</v>
      </c>
      <c r="E99" s="1" t="s">
        <v>41</v>
      </c>
      <c r="F99">
        <v>240</v>
      </c>
      <c r="G99" s="1" t="s">
        <v>51</v>
      </c>
      <c r="H99">
        <v>5</v>
      </c>
      <c r="I99">
        <v>3</v>
      </c>
      <c r="J99" s="1" t="s">
        <v>57</v>
      </c>
      <c r="K99">
        <v>1</v>
      </c>
      <c r="L99">
        <v>142</v>
      </c>
      <c r="M99">
        <v>3</v>
      </c>
      <c r="N99" s="1" t="s">
        <v>44</v>
      </c>
      <c r="O99">
        <v>46</v>
      </c>
      <c r="P99">
        <v>2</v>
      </c>
      <c r="Q99">
        <v>2</v>
      </c>
      <c r="R99" s="1" t="s">
        <v>137</v>
      </c>
      <c r="S99">
        <v>3</v>
      </c>
      <c r="T99" s="1" t="s">
        <v>46</v>
      </c>
      <c r="U99">
        <v>5744</v>
      </c>
      <c r="V99" s="1" t="s">
        <v>163</v>
      </c>
      <c r="W99">
        <v>26959</v>
      </c>
      <c r="X99">
        <v>1</v>
      </c>
      <c r="Y99" s="1" t="s">
        <v>48</v>
      </c>
      <c r="Z99" s="1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8">
      <c r="A100" s="1" t="s">
        <v>164</v>
      </c>
      <c r="B100">
        <v>25</v>
      </c>
      <c r="C100" s="1" t="s">
        <v>39</v>
      </c>
      <c r="D100" s="1" t="s">
        <v>49</v>
      </c>
      <c r="E100" s="1" t="s">
        <v>41</v>
      </c>
      <c r="F100">
        <v>1280</v>
      </c>
      <c r="G100" s="1" t="s">
        <v>42</v>
      </c>
      <c r="H100">
        <v>7</v>
      </c>
      <c r="I100">
        <v>1</v>
      </c>
      <c r="J100" s="1" t="s">
        <v>52</v>
      </c>
      <c r="K100">
        <v>1</v>
      </c>
      <c r="L100">
        <v>143</v>
      </c>
      <c r="M100">
        <v>4</v>
      </c>
      <c r="N100" s="1" t="s">
        <v>44</v>
      </c>
      <c r="O100">
        <v>64</v>
      </c>
      <c r="P100">
        <v>2</v>
      </c>
      <c r="Q100">
        <v>1</v>
      </c>
      <c r="R100" s="1" t="s">
        <v>60</v>
      </c>
      <c r="S100">
        <v>4</v>
      </c>
      <c r="T100" s="1" t="s">
        <v>105</v>
      </c>
      <c r="U100">
        <v>2889</v>
      </c>
      <c r="V100" s="1" t="s">
        <v>47</v>
      </c>
      <c r="W100">
        <v>26897</v>
      </c>
      <c r="X100">
        <v>1</v>
      </c>
      <c r="Y100" s="1" t="s">
        <v>48</v>
      </c>
      <c r="Z100" s="1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8">
      <c r="A101" s="1" t="s">
        <v>165</v>
      </c>
      <c r="B101">
        <v>25</v>
      </c>
      <c r="C101" s="1" t="s">
        <v>39</v>
      </c>
      <c r="D101" s="1" t="s">
        <v>49</v>
      </c>
      <c r="E101" s="1" t="s">
        <v>41</v>
      </c>
      <c r="F101">
        <v>959</v>
      </c>
      <c r="G101" s="1" t="s">
        <v>51</v>
      </c>
      <c r="H101">
        <v>28</v>
      </c>
      <c r="I101">
        <v>3</v>
      </c>
      <c r="J101" s="1" t="s">
        <v>43</v>
      </c>
      <c r="K101">
        <v>1</v>
      </c>
      <c r="L101">
        <v>183</v>
      </c>
      <c r="M101">
        <v>1</v>
      </c>
      <c r="N101" s="1" t="s">
        <v>44</v>
      </c>
      <c r="O101">
        <v>41</v>
      </c>
      <c r="P101">
        <v>2</v>
      </c>
      <c r="Q101">
        <v>2</v>
      </c>
      <c r="R101" s="1" t="s">
        <v>137</v>
      </c>
      <c r="S101">
        <v>3</v>
      </c>
      <c r="T101" s="1" t="s">
        <v>105</v>
      </c>
      <c r="U101">
        <v>8639</v>
      </c>
      <c r="V101" s="1" t="s">
        <v>163</v>
      </c>
      <c r="W101">
        <v>24835</v>
      </c>
      <c r="X101">
        <v>2</v>
      </c>
      <c r="Y101" s="1" t="s">
        <v>48</v>
      </c>
      <c r="Z101" s="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8">
      <c r="A102" s="1" t="s">
        <v>166</v>
      </c>
      <c r="B102">
        <v>25</v>
      </c>
      <c r="C102" s="1" t="s">
        <v>39</v>
      </c>
      <c r="D102" s="1" t="s">
        <v>49</v>
      </c>
      <c r="E102" s="1" t="s">
        <v>41</v>
      </c>
      <c r="F102">
        <v>685</v>
      </c>
      <c r="G102" s="1" t="s">
        <v>42</v>
      </c>
      <c r="H102">
        <v>1</v>
      </c>
      <c r="I102">
        <v>3</v>
      </c>
      <c r="J102" s="1" t="s">
        <v>43</v>
      </c>
      <c r="K102">
        <v>1</v>
      </c>
      <c r="L102">
        <v>350</v>
      </c>
      <c r="M102">
        <v>1</v>
      </c>
      <c r="N102" s="1" t="s">
        <v>53</v>
      </c>
      <c r="O102">
        <v>62</v>
      </c>
      <c r="P102">
        <v>3</v>
      </c>
      <c r="Q102">
        <v>2</v>
      </c>
      <c r="R102" s="1" t="s">
        <v>112</v>
      </c>
      <c r="S102">
        <v>3</v>
      </c>
      <c r="T102" s="1" t="s">
        <v>105</v>
      </c>
      <c r="U102">
        <v>4898</v>
      </c>
      <c r="V102" s="1" t="s">
        <v>47</v>
      </c>
      <c r="W102">
        <v>7505</v>
      </c>
      <c r="X102">
        <v>0</v>
      </c>
      <c r="Y102" s="1" t="s">
        <v>48</v>
      </c>
      <c r="Z102" s="1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8">
      <c r="A103" s="1" t="s">
        <v>167</v>
      </c>
      <c r="B103">
        <v>25</v>
      </c>
      <c r="C103" s="1" t="s">
        <v>39</v>
      </c>
      <c r="D103" s="1" t="s">
        <v>49</v>
      </c>
      <c r="E103" s="1" t="s">
        <v>59</v>
      </c>
      <c r="F103">
        <v>675</v>
      </c>
      <c r="G103" s="1" t="s">
        <v>42</v>
      </c>
      <c r="H103">
        <v>5</v>
      </c>
      <c r="I103">
        <v>2</v>
      </c>
      <c r="J103" s="1" t="s">
        <v>43</v>
      </c>
      <c r="K103">
        <v>1</v>
      </c>
      <c r="L103">
        <v>369</v>
      </c>
      <c r="M103">
        <v>2</v>
      </c>
      <c r="N103" s="1" t="s">
        <v>44</v>
      </c>
      <c r="O103">
        <v>85</v>
      </c>
      <c r="P103">
        <v>4</v>
      </c>
      <c r="Q103">
        <v>2</v>
      </c>
      <c r="R103" s="1" t="s">
        <v>161</v>
      </c>
      <c r="S103">
        <v>1</v>
      </c>
      <c r="T103" s="1" t="s">
        <v>102</v>
      </c>
      <c r="U103">
        <v>4000</v>
      </c>
      <c r="V103" s="1" t="s">
        <v>47</v>
      </c>
      <c r="W103">
        <v>18384</v>
      </c>
      <c r="X103">
        <v>1</v>
      </c>
      <c r="Y103" s="1" t="s">
        <v>48</v>
      </c>
      <c r="Z103" s="1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8">
      <c r="A104" s="1" t="s">
        <v>168</v>
      </c>
      <c r="B104">
        <v>25</v>
      </c>
      <c r="C104" s="1" t="s">
        <v>39</v>
      </c>
      <c r="D104" s="1" t="s">
        <v>49</v>
      </c>
      <c r="E104" s="1" t="s">
        <v>41</v>
      </c>
      <c r="F104">
        <v>891</v>
      </c>
      <c r="G104" s="1" t="s">
        <v>51</v>
      </c>
      <c r="H104">
        <v>4</v>
      </c>
      <c r="I104">
        <v>2</v>
      </c>
      <c r="J104" s="1" t="s">
        <v>43</v>
      </c>
      <c r="K104">
        <v>1</v>
      </c>
      <c r="L104">
        <v>527</v>
      </c>
      <c r="M104">
        <v>2</v>
      </c>
      <c r="N104" s="1" t="s">
        <v>53</v>
      </c>
      <c r="O104">
        <v>99</v>
      </c>
      <c r="P104">
        <v>2</v>
      </c>
      <c r="Q104">
        <v>2</v>
      </c>
      <c r="R104" s="1" t="s">
        <v>137</v>
      </c>
      <c r="S104">
        <v>4</v>
      </c>
      <c r="T104" s="1" t="s">
        <v>46</v>
      </c>
      <c r="U104">
        <v>4487</v>
      </c>
      <c r="V104" s="1" t="s">
        <v>47</v>
      </c>
      <c r="W104">
        <v>12090</v>
      </c>
      <c r="X104">
        <v>1</v>
      </c>
      <c r="Y104" s="1" t="s">
        <v>48</v>
      </c>
      <c r="Z104" s="1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8">
      <c r="A105" s="1" t="s">
        <v>169</v>
      </c>
      <c r="B105">
        <v>25</v>
      </c>
      <c r="C105" s="1" t="s">
        <v>39</v>
      </c>
      <c r="D105" s="1" t="s">
        <v>40</v>
      </c>
      <c r="E105" s="1" t="s">
        <v>41</v>
      </c>
      <c r="F105">
        <v>688</v>
      </c>
      <c r="G105" s="1" t="s">
        <v>42</v>
      </c>
      <c r="H105">
        <v>3</v>
      </c>
      <c r="I105">
        <v>3</v>
      </c>
      <c r="J105" s="1" t="s">
        <v>52</v>
      </c>
      <c r="K105">
        <v>1</v>
      </c>
      <c r="L105">
        <v>538</v>
      </c>
      <c r="M105">
        <v>1</v>
      </c>
      <c r="N105" s="1" t="s">
        <v>44</v>
      </c>
      <c r="O105">
        <v>91</v>
      </c>
      <c r="P105">
        <v>3</v>
      </c>
      <c r="Q105">
        <v>1</v>
      </c>
      <c r="R105" s="1" t="s">
        <v>45</v>
      </c>
      <c r="S105">
        <v>1</v>
      </c>
      <c r="T105" s="1" t="s">
        <v>105</v>
      </c>
      <c r="U105">
        <v>4031</v>
      </c>
      <c r="V105" s="1" t="s">
        <v>47</v>
      </c>
      <c r="W105">
        <v>9396</v>
      </c>
      <c r="X105">
        <v>5</v>
      </c>
      <c r="Y105" s="1" t="s">
        <v>48</v>
      </c>
      <c r="Z105" s="1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8">
      <c r="A106" s="1" t="s">
        <v>170</v>
      </c>
      <c r="B106">
        <v>25</v>
      </c>
      <c r="C106" s="1" t="s">
        <v>39</v>
      </c>
      <c r="D106" s="1" t="s">
        <v>49</v>
      </c>
      <c r="E106" s="1" t="s">
        <v>41</v>
      </c>
      <c r="F106">
        <v>622</v>
      </c>
      <c r="G106" s="1" t="s">
        <v>51</v>
      </c>
      <c r="H106">
        <v>13</v>
      </c>
      <c r="I106">
        <v>1</v>
      </c>
      <c r="J106" s="1" t="s">
        <v>52</v>
      </c>
      <c r="K106">
        <v>1</v>
      </c>
      <c r="L106">
        <v>645</v>
      </c>
      <c r="M106">
        <v>2</v>
      </c>
      <c r="N106" s="1" t="s">
        <v>44</v>
      </c>
      <c r="O106">
        <v>40</v>
      </c>
      <c r="P106">
        <v>3</v>
      </c>
      <c r="Q106">
        <v>1</v>
      </c>
      <c r="R106" s="1" t="s">
        <v>54</v>
      </c>
      <c r="S106">
        <v>3</v>
      </c>
      <c r="T106" s="1" t="s">
        <v>105</v>
      </c>
      <c r="U106">
        <v>2096</v>
      </c>
      <c r="V106" s="1" t="s">
        <v>47</v>
      </c>
      <c r="W106">
        <v>26376</v>
      </c>
      <c r="X106">
        <v>1</v>
      </c>
      <c r="Y106" s="1" t="s">
        <v>48</v>
      </c>
      <c r="Z106" s="1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8">
      <c r="A107" s="1" t="s">
        <v>171</v>
      </c>
      <c r="B107">
        <v>25</v>
      </c>
      <c r="C107" s="1" t="s">
        <v>39</v>
      </c>
      <c r="D107" s="1" t="s">
        <v>49</v>
      </c>
      <c r="E107" s="1" t="s">
        <v>41</v>
      </c>
      <c r="F107">
        <v>810</v>
      </c>
      <c r="G107" s="1" t="s">
        <v>51</v>
      </c>
      <c r="H107">
        <v>8</v>
      </c>
      <c r="I107">
        <v>3</v>
      </c>
      <c r="J107" s="1" t="s">
        <v>43</v>
      </c>
      <c r="K107">
        <v>1</v>
      </c>
      <c r="L107">
        <v>707</v>
      </c>
      <c r="M107">
        <v>4</v>
      </c>
      <c r="N107" s="1" t="s">
        <v>44</v>
      </c>
      <c r="O107">
        <v>57</v>
      </c>
      <c r="P107">
        <v>4</v>
      </c>
      <c r="Q107">
        <v>2</v>
      </c>
      <c r="R107" s="1" t="s">
        <v>137</v>
      </c>
      <c r="S107">
        <v>2</v>
      </c>
      <c r="T107" s="1" t="s">
        <v>105</v>
      </c>
      <c r="U107">
        <v>4851</v>
      </c>
      <c r="V107" s="1" t="s">
        <v>47</v>
      </c>
      <c r="W107">
        <v>15678</v>
      </c>
      <c r="X107">
        <v>0</v>
      </c>
      <c r="Y107" s="1" t="s">
        <v>48</v>
      </c>
      <c r="Z107" s="1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8">
      <c r="A108" s="1" t="s">
        <v>172</v>
      </c>
      <c r="B108">
        <v>25</v>
      </c>
      <c r="C108" s="1" t="s">
        <v>39</v>
      </c>
      <c r="D108" s="1" t="s">
        <v>49</v>
      </c>
      <c r="E108" s="1" t="s">
        <v>41</v>
      </c>
      <c r="F108">
        <v>883</v>
      </c>
      <c r="G108" s="1" t="s">
        <v>51</v>
      </c>
      <c r="H108">
        <v>26</v>
      </c>
      <c r="I108">
        <v>1</v>
      </c>
      <c r="J108" s="1" t="s">
        <v>52</v>
      </c>
      <c r="K108">
        <v>1</v>
      </c>
      <c r="L108">
        <v>781</v>
      </c>
      <c r="M108">
        <v>3</v>
      </c>
      <c r="N108" s="1" t="s">
        <v>53</v>
      </c>
      <c r="O108">
        <v>32</v>
      </c>
      <c r="P108">
        <v>3</v>
      </c>
      <c r="Q108">
        <v>2</v>
      </c>
      <c r="R108" s="1" t="s">
        <v>137</v>
      </c>
      <c r="S108">
        <v>4</v>
      </c>
      <c r="T108" s="1" t="s">
        <v>46</v>
      </c>
      <c r="U108">
        <v>6180</v>
      </c>
      <c r="V108" s="1" t="s">
        <v>163</v>
      </c>
      <c r="W108">
        <v>22807</v>
      </c>
      <c r="X108">
        <v>1</v>
      </c>
      <c r="Y108" s="1" t="s">
        <v>48</v>
      </c>
      <c r="Z108" s="1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8">
      <c r="A109" s="1" t="s">
        <v>173</v>
      </c>
      <c r="B109">
        <v>25</v>
      </c>
      <c r="C109" s="1" t="s">
        <v>39</v>
      </c>
      <c r="D109" s="1" t="s">
        <v>49</v>
      </c>
      <c r="E109" s="1" t="s">
        <v>41</v>
      </c>
      <c r="F109">
        <v>180</v>
      </c>
      <c r="G109" s="1" t="s">
        <v>42</v>
      </c>
      <c r="H109">
        <v>2</v>
      </c>
      <c r="I109">
        <v>1</v>
      </c>
      <c r="J109" s="1" t="s">
        <v>52</v>
      </c>
      <c r="K109">
        <v>1</v>
      </c>
      <c r="L109">
        <v>854</v>
      </c>
      <c r="M109">
        <v>1</v>
      </c>
      <c r="N109" s="1" t="s">
        <v>44</v>
      </c>
      <c r="O109">
        <v>65</v>
      </c>
      <c r="P109">
        <v>4</v>
      </c>
      <c r="Q109">
        <v>1</v>
      </c>
      <c r="R109" s="1" t="s">
        <v>60</v>
      </c>
      <c r="S109">
        <v>1</v>
      </c>
      <c r="T109" s="1" t="s">
        <v>46</v>
      </c>
      <c r="U109">
        <v>3424</v>
      </c>
      <c r="V109" s="1" t="s">
        <v>47</v>
      </c>
      <c r="W109">
        <v>21632</v>
      </c>
      <c r="X109">
        <v>7</v>
      </c>
      <c r="Y109" s="1" t="s">
        <v>48</v>
      </c>
      <c r="Z109" s="1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8">
      <c r="A110" s="1" t="s">
        <v>174</v>
      </c>
      <c r="B110">
        <v>25</v>
      </c>
      <c r="C110" s="1" t="s">
        <v>39</v>
      </c>
      <c r="D110" s="1" t="s">
        <v>49</v>
      </c>
      <c r="E110" s="1" t="s">
        <v>41</v>
      </c>
      <c r="F110">
        <v>141</v>
      </c>
      <c r="G110" s="1" t="s">
        <v>51</v>
      </c>
      <c r="H110">
        <v>3</v>
      </c>
      <c r="I110">
        <v>1</v>
      </c>
      <c r="J110" s="1" t="s">
        <v>73</v>
      </c>
      <c r="K110">
        <v>1</v>
      </c>
      <c r="L110">
        <v>879</v>
      </c>
      <c r="M110">
        <v>3</v>
      </c>
      <c r="N110" s="1" t="s">
        <v>44</v>
      </c>
      <c r="O110">
        <v>98</v>
      </c>
      <c r="P110">
        <v>3</v>
      </c>
      <c r="Q110">
        <v>2</v>
      </c>
      <c r="R110" s="1" t="s">
        <v>137</v>
      </c>
      <c r="S110">
        <v>1</v>
      </c>
      <c r="T110" s="1" t="s">
        <v>105</v>
      </c>
      <c r="U110">
        <v>4194</v>
      </c>
      <c r="V110" s="1" t="s">
        <v>47</v>
      </c>
      <c r="W110">
        <v>14363</v>
      </c>
      <c r="X110">
        <v>1</v>
      </c>
      <c r="Y110" s="1" t="s">
        <v>48</v>
      </c>
      <c r="Z110" s="1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8">
      <c r="A111" s="1" t="s">
        <v>175</v>
      </c>
      <c r="B111">
        <v>25</v>
      </c>
      <c r="C111" s="1" t="s">
        <v>39</v>
      </c>
      <c r="D111" s="1" t="s">
        <v>49</v>
      </c>
      <c r="E111" s="1" t="s">
        <v>41</v>
      </c>
      <c r="F111">
        <v>583</v>
      </c>
      <c r="G111" s="1" t="s">
        <v>51</v>
      </c>
      <c r="H111">
        <v>4</v>
      </c>
      <c r="I111">
        <v>1</v>
      </c>
      <c r="J111" s="1" t="s">
        <v>57</v>
      </c>
      <c r="K111">
        <v>1</v>
      </c>
      <c r="L111">
        <v>885</v>
      </c>
      <c r="M111">
        <v>3</v>
      </c>
      <c r="N111" s="1" t="s">
        <v>44</v>
      </c>
      <c r="O111">
        <v>87</v>
      </c>
      <c r="P111">
        <v>2</v>
      </c>
      <c r="Q111">
        <v>2</v>
      </c>
      <c r="R111" s="1" t="s">
        <v>137</v>
      </c>
      <c r="S111">
        <v>1</v>
      </c>
      <c r="T111" s="1" t="s">
        <v>105</v>
      </c>
      <c r="U111">
        <v>4256</v>
      </c>
      <c r="V111" s="1" t="s">
        <v>47</v>
      </c>
      <c r="W111">
        <v>18154</v>
      </c>
      <c r="X111">
        <v>1</v>
      </c>
      <c r="Y111" s="1" t="s">
        <v>48</v>
      </c>
      <c r="Z111" s="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8">
      <c r="A112" s="1" t="s">
        <v>176</v>
      </c>
      <c r="B112">
        <v>25</v>
      </c>
      <c r="C112" s="1" t="s">
        <v>39</v>
      </c>
      <c r="D112" s="1" t="s">
        <v>40</v>
      </c>
      <c r="E112" s="1" t="s">
        <v>41</v>
      </c>
      <c r="F112">
        <v>867</v>
      </c>
      <c r="G112" s="1" t="s">
        <v>51</v>
      </c>
      <c r="H112">
        <v>19</v>
      </c>
      <c r="I112">
        <v>2</v>
      </c>
      <c r="J112" s="1" t="s">
        <v>57</v>
      </c>
      <c r="K112">
        <v>1</v>
      </c>
      <c r="L112">
        <v>952</v>
      </c>
      <c r="M112">
        <v>3</v>
      </c>
      <c r="N112" s="1" t="s">
        <v>44</v>
      </c>
      <c r="O112">
        <v>36</v>
      </c>
      <c r="P112">
        <v>2</v>
      </c>
      <c r="Q112">
        <v>1</v>
      </c>
      <c r="R112" s="1" t="s">
        <v>54</v>
      </c>
      <c r="S112">
        <v>2</v>
      </c>
      <c r="T112" s="1" t="s">
        <v>105</v>
      </c>
      <c r="U112">
        <v>2413</v>
      </c>
      <c r="V112" s="1" t="s">
        <v>47</v>
      </c>
      <c r="W112">
        <v>18798</v>
      </c>
      <c r="X112">
        <v>1</v>
      </c>
      <c r="Y112" s="1" t="s">
        <v>48</v>
      </c>
      <c r="Z112" s="1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8">
      <c r="A113" s="1" t="s">
        <v>177</v>
      </c>
      <c r="B113">
        <v>25</v>
      </c>
      <c r="C113" s="1" t="s">
        <v>39</v>
      </c>
      <c r="D113" s="1" t="s">
        <v>40</v>
      </c>
      <c r="E113" s="1" t="s">
        <v>41</v>
      </c>
      <c r="F113">
        <v>1219</v>
      </c>
      <c r="G113" s="1" t="s">
        <v>42</v>
      </c>
      <c r="H113">
        <v>4</v>
      </c>
      <c r="I113">
        <v>1</v>
      </c>
      <c r="J113" s="1" t="s">
        <v>68</v>
      </c>
      <c r="K113">
        <v>1</v>
      </c>
      <c r="L113">
        <v>1106</v>
      </c>
      <c r="M113">
        <v>4</v>
      </c>
      <c r="N113" s="1" t="s">
        <v>44</v>
      </c>
      <c r="O113">
        <v>32</v>
      </c>
      <c r="P113">
        <v>3</v>
      </c>
      <c r="Q113">
        <v>1</v>
      </c>
      <c r="R113" s="1" t="s">
        <v>45</v>
      </c>
      <c r="S113">
        <v>4</v>
      </c>
      <c r="T113" s="1" t="s">
        <v>105</v>
      </c>
      <c r="U113">
        <v>3691</v>
      </c>
      <c r="V113" s="1" t="s">
        <v>47</v>
      </c>
      <c r="W113">
        <v>4605</v>
      </c>
      <c r="X113">
        <v>1</v>
      </c>
      <c r="Y113" s="1" t="s">
        <v>48</v>
      </c>
      <c r="Z113" s="1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8">
      <c r="A114" s="1" t="s">
        <v>178</v>
      </c>
      <c r="B114">
        <v>25</v>
      </c>
      <c r="C114" s="1" t="s">
        <v>39</v>
      </c>
      <c r="D114" s="1" t="s">
        <v>49</v>
      </c>
      <c r="E114" s="1" t="s">
        <v>41</v>
      </c>
      <c r="F114">
        <v>1356</v>
      </c>
      <c r="G114" s="1" t="s">
        <v>51</v>
      </c>
      <c r="H114">
        <v>10</v>
      </c>
      <c r="I114">
        <v>4</v>
      </c>
      <c r="J114" s="1" t="s">
        <v>43</v>
      </c>
      <c r="K114">
        <v>1</v>
      </c>
      <c r="L114">
        <v>1240</v>
      </c>
      <c r="M114">
        <v>3</v>
      </c>
      <c r="N114" s="1" t="s">
        <v>44</v>
      </c>
      <c r="O114">
        <v>57</v>
      </c>
      <c r="P114">
        <v>3</v>
      </c>
      <c r="Q114">
        <v>2</v>
      </c>
      <c r="R114" s="1" t="s">
        <v>137</v>
      </c>
      <c r="S114">
        <v>4</v>
      </c>
      <c r="T114" s="1" t="s">
        <v>46</v>
      </c>
      <c r="U114">
        <v>4950</v>
      </c>
      <c r="V114" s="1" t="s">
        <v>47</v>
      </c>
      <c r="W114">
        <v>20623</v>
      </c>
      <c r="X114">
        <v>0</v>
      </c>
      <c r="Y114" s="1" t="s">
        <v>48</v>
      </c>
      <c r="Z114" s="1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8">
      <c r="A115" s="1" t="s">
        <v>179</v>
      </c>
      <c r="B115">
        <v>25</v>
      </c>
      <c r="C115" s="1" t="s">
        <v>39</v>
      </c>
      <c r="D115" s="1" t="s">
        <v>40</v>
      </c>
      <c r="E115" s="1" t="s">
        <v>56</v>
      </c>
      <c r="F115">
        <v>599</v>
      </c>
      <c r="G115" s="1" t="s">
        <v>51</v>
      </c>
      <c r="H115">
        <v>24</v>
      </c>
      <c r="I115">
        <v>1</v>
      </c>
      <c r="J115" s="1" t="s">
        <v>43</v>
      </c>
      <c r="K115">
        <v>1</v>
      </c>
      <c r="L115">
        <v>1273</v>
      </c>
      <c r="M115">
        <v>3</v>
      </c>
      <c r="N115" s="1" t="s">
        <v>44</v>
      </c>
      <c r="O115">
        <v>73</v>
      </c>
      <c r="P115">
        <v>1</v>
      </c>
      <c r="Q115">
        <v>1</v>
      </c>
      <c r="R115" s="1" t="s">
        <v>54</v>
      </c>
      <c r="S115">
        <v>4</v>
      </c>
      <c r="T115" s="1" t="s">
        <v>46</v>
      </c>
      <c r="U115">
        <v>1118</v>
      </c>
      <c r="V115" s="1" t="s">
        <v>47</v>
      </c>
      <c r="W115">
        <v>8040</v>
      </c>
      <c r="X115">
        <v>1</v>
      </c>
      <c r="Y115" s="1" t="s">
        <v>48</v>
      </c>
      <c r="Z115" s="1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8">
      <c r="A116" s="1" t="s">
        <v>180</v>
      </c>
      <c r="B116">
        <v>25</v>
      </c>
      <c r="C116" s="1" t="s">
        <v>39</v>
      </c>
      <c r="D116" s="1" t="s">
        <v>49</v>
      </c>
      <c r="E116" s="1" t="s">
        <v>41</v>
      </c>
      <c r="F116">
        <v>266</v>
      </c>
      <c r="G116" s="1" t="s">
        <v>42</v>
      </c>
      <c r="H116">
        <v>1</v>
      </c>
      <c r="I116">
        <v>3</v>
      </c>
      <c r="J116" s="1" t="s">
        <v>52</v>
      </c>
      <c r="K116">
        <v>1</v>
      </c>
      <c r="L116">
        <v>1303</v>
      </c>
      <c r="M116">
        <v>4</v>
      </c>
      <c r="N116" s="1" t="s">
        <v>53</v>
      </c>
      <c r="O116">
        <v>40</v>
      </c>
      <c r="P116">
        <v>3</v>
      </c>
      <c r="Q116">
        <v>1</v>
      </c>
      <c r="R116" s="1" t="s">
        <v>60</v>
      </c>
      <c r="S116">
        <v>2</v>
      </c>
      <c r="T116" s="1" t="s">
        <v>46</v>
      </c>
      <c r="U116">
        <v>2096</v>
      </c>
      <c r="V116" s="1" t="s">
        <v>47</v>
      </c>
      <c r="W116">
        <v>18830</v>
      </c>
      <c r="X116">
        <v>1</v>
      </c>
      <c r="Y116" s="1" t="s">
        <v>48</v>
      </c>
      <c r="Z116" s="1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8">
      <c r="A117" s="1" t="s">
        <v>181</v>
      </c>
      <c r="B117">
        <v>25</v>
      </c>
      <c r="C117" s="1" t="s">
        <v>39</v>
      </c>
      <c r="D117" s="1" t="s">
        <v>49</v>
      </c>
      <c r="E117" s="1" t="s">
        <v>41</v>
      </c>
      <c r="F117">
        <v>882</v>
      </c>
      <c r="G117" s="1" t="s">
        <v>42</v>
      </c>
      <c r="H117">
        <v>19</v>
      </c>
      <c r="I117">
        <v>1</v>
      </c>
      <c r="J117" s="1" t="s">
        <v>52</v>
      </c>
      <c r="K117">
        <v>1</v>
      </c>
      <c r="L117">
        <v>1358</v>
      </c>
      <c r="M117">
        <v>4</v>
      </c>
      <c r="N117" s="1" t="s">
        <v>44</v>
      </c>
      <c r="O117">
        <v>67</v>
      </c>
      <c r="P117">
        <v>3</v>
      </c>
      <c r="Q117">
        <v>1</v>
      </c>
      <c r="R117" s="1" t="s">
        <v>45</v>
      </c>
      <c r="S117">
        <v>4</v>
      </c>
      <c r="T117" s="1" t="s">
        <v>105</v>
      </c>
      <c r="U117">
        <v>3669</v>
      </c>
      <c r="V117" s="1" t="s">
        <v>47</v>
      </c>
      <c r="W117">
        <v>9075</v>
      </c>
      <c r="X117">
        <v>3</v>
      </c>
      <c r="Y117" s="1" t="s">
        <v>48</v>
      </c>
      <c r="Z117" s="1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8">
      <c r="A118" s="1" t="s">
        <v>182</v>
      </c>
      <c r="B118">
        <v>25</v>
      </c>
      <c r="C118" s="1" t="s">
        <v>39</v>
      </c>
      <c r="D118" s="1" t="s">
        <v>49</v>
      </c>
      <c r="E118" s="1" t="s">
        <v>41</v>
      </c>
      <c r="F118">
        <v>1372</v>
      </c>
      <c r="G118" s="1" t="s">
        <v>51</v>
      </c>
      <c r="H118">
        <v>18</v>
      </c>
      <c r="I118">
        <v>1</v>
      </c>
      <c r="J118" s="1" t="s">
        <v>43</v>
      </c>
      <c r="K118">
        <v>1</v>
      </c>
      <c r="L118">
        <v>1399</v>
      </c>
      <c r="M118">
        <v>1</v>
      </c>
      <c r="N118" s="1" t="s">
        <v>44</v>
      </c>
      <c r="O118">
        <v>93</v>
      </c>
      <c r="P118">
        <v>4</v>
      </c>
      <c r="Q118">
        <v>2</v>
      </c>
      <c r="R118" s="1" t="s">
        <v>137</v>
      </c>
      <c r="S118">
        <v>3</v>
      </c>
      <c r="T118" s="1" t="s">
        <v>105</v>
      </c>
      <c r="U118">
        <v>6232</v>
      </c>
      <c r="V118" s="1" t="s">
        <v>163</v>
      </c>
      <c r="W118">
        <v>12477</v>
      </c>
      <c r="X118">
        <v>2</v>
      </c>
      <c r="Y118" s="1" t="s">
        <v>48</v>
      </c>
      <c r="Z118" s="1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8">
      <c r="A119" s="1" t="s">
        <v>183</v>
      </c>
      <c r="B119">
        <v>25</v>
      </c>
      <c r="C119" s="1" t="s">
        <v>39</v>
      </c>
      <c r="D119" s="1" t="s">
        <v>49</v>
      </c>
      <c r="E119" s="1" t="s">
        <v>41</v>
      </c>
      <c r="F119">
        <v>949</v>
      </c>
      <c r="G119" s="1" t="s">
        <v>42</v>
      </c>
      <c r="H119">
        <v>1</v>
      </c>
      <c r="I119">
        <v>3</v>
      </c>
      <c r="J119" s="1" t="s">
        <v>68</v>
      </c>
      <c r="K119">
        <v>1</v>
      </c>
      <c r="L119">
        <v>1415</v>
      </c>
      <c r="M119">
        <v>1</v>
      </c>
      <c r="N119" s="1" t="s">
        <v>44</v>
      </c>
      <c r="O119">
        <v>81</v>
      </c>
      <c r="P119">
        <v>3</v>
      </c>
      <c r="Q119">
        <v>1</v>
      </c>
      <c r="R119" s="1" t="s">
        <v>45</v>
      </c>
      <c r="S119">
        <v>4</v>
      </c>
      <c r="T119" s="1" t="s">
        <v>105</v>
      </c>
      <c r="U119">
        <v>3229</v>
      </c>
      <c r="V119" s="1" t="s">
        <v>47</v>
      </c>
      <c r="W119">
        <v>4910</v>
      </c>
      <c r="X119">
        <v>4</v>
      </c>
      <c r="Y119" s="1" t="s">
        <v>48</v>
      </c>
      <c r="Z119" s="1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8">
      <c r="A120" s="1" t="s">
        <v>184</v>
      </c>
      <c r="B120">
        <v>25</v>
      </c>
      <c r="C120" s="1" t="s">
        <v>39</v>
      </c>
      <c r="D120" s="1" t="s">
        <v>40</v>
      </c>
      <c r="E120" s="1" t="s">
        <v>41</v>
      </c>
      <c r="F120">
        <v>383</v>
      </c>
      <c r="G120" s="1" t="s">
        <v>51</v>
      </c>
      <c r="H120">
        <v>9</v>
      </c>
      <c r="I120">
        <v>2</v>
      </c>
      <c r="J120" s="1" t="s">
        <v>43</v>
      </c>
      <c r="K120">
        <v>1</v>
      </c>
      <c r="L120">
        <v>1439</v>
      </c>
      <c r="M120">
        <v>1</v>
      </c>
      <c r="N120" s="1" t="s">
        <v>44</v>
      </c>
      <c r="O120">
        <v>68</v>
      </c>
      <c r="P120">
        <v>2</v>
      </c>
      <c r="Q120">
        <v>1</v>
      </c>
      <c r="R120" s="1" t="s">
        <v>54</v>
      </c>
      <c r="S120">
        <v>1</v>
      </c>
      <c r="T120" s="1" t="s">
        <v>105</v>
      </c>
      <c r="U120">
        <v>4400</v>
      </c>
      <c r="V120" s="1" t="s">
        <v>47</v>
      </c>
      <c r="W120">
        <v>15182</v>
      </c>
      <c r="X120">
        <v>3</v>
      </c>
      <c r="Y120" s="1" t="s">
        <v>48</v>
      </c>
      <c r="Z120" s="1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8">
      <c r="A121" s="1" t="s">
        <v>185</v>
      </c>
      <c r="B121">
        <v>25</v>
      </c>
      <c r="C121" s="1" t="s">
        <v>39</v>
      </c>
      <c r="D121" s="1" t="s">
        <v>49</v>
      </c>
      <c r="E121" s="1" t="s">
        <v>56</v>
      </c>
      <c r="F121">
        <v>772</v>
      </c>
      <c r="G121" s="1" t="s">
        <v>42</v>
      </c>
      <c r="H121">
        <v>2</v>
      </c>
      <c r="I121">
        <v>1</v>
      </c>
      <c r="J121" s="1" t="s">
        <v>43</v>
      </c>
      <c r="K121">
        <v>1</v>
      </c>
      <c r="L121">
        <v>1653</v>
      </c>
      <c r="M121">
        <v>4</v>
      </c>
      <c r="N121" s="1" t="s">
        <v>44</v>
      </c>
      <c r="O121">
        <v>77</v>
      </c>
      <c r="P121">
        <v>4</v>
      </c>
      <c r="Q121">
        <v>2</v>
      </c>
      <c r="R121" s="1" t="s">
        <v>112</v>
      </c>
      <c r="S121">
        <v>3</v>
      </c>
      <c r="T121" s="1" t="s">
        <v>102</v>
      </c>
      <c r="U121">
        <v>5206</v>
      </c>
      <c r="V121" s="1" t="s">
        <v>163</v>
      </c>
      <c r="W121">
        <v>4973</v>
      </c>
      <c r="X121">
        <v>1</v>
      </c>
      <c r="Y121" s="1" t="s">
        <v>48</v>
      </c>
      <c r="Z121" s="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8">
      <c r="A122" s="1" t="s">
        <v>186</v>
      </c>
      <c r="B122">
        <v>25</v>
      </c>
      <c r="C122" s="1" t="s">
        <v>39</v>
      </c>
      <c r="D122" s="1" t="s">
        <v>49</v>
      </c>
      <c r="E122" s="1" t="s">
        <v>41</v>
      </c>
      <c r="F122">
        <v>309</v>
      </c>
      <c r="G122" s="1" t="s">
        <v>71</v>
      </c>
      <c r="H122">
        <v>2</v>
      </c>
      <c r="I122">
        <v>3</v>
      </c>
      <c r="J122" s="1" t="s">
        <v>71</v>
      </c>
      <c r="K122">
        <v>1</v>
      </c>
      <c r="L122">
        <v>1987</v>
      </c>
      <c r="M122">
        <v>3</v>
      </c>
      <c r="N122" s="1" t="s">
        <v>53</v>
      </c>
      <c r="O122">
        <v>82</v>
      </c>
      <c r="P122">
        <v>3</v>
      </c>
      <c r="Q122">
        <v>1</v>
      </c>
      <c r="R122" s="1" t="s">
        <v>71</v>
      </c>
      <c r="S122">
        <v>2</v>
      </c>
      <c r="T122" s="1" t="s">
        <v>105</v>
      </c>
      <c r="U122">
        <v>2187</v>
      </c>
      <c r="V122" s="1" t="s">
        <v>47</v>
      </c>
      <c r="W122">
        <v>19655</v>
      </c>
      <c r="X122">
        <v>4</v>
      </c>
      <c r="Y122" s="1" t="s">
        <v>48</v>
      </c>
      <c r="Z122" s="1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8">
      <c r="A123" s="1" t="s">
        <v>187</v>
      </c>
      <c r="B123">
        <v>25</v>
      </c>
      <c r="C123" s="1" t="s">
        <v>39</v>
      </c>
      <c r="D123" s="1" t="s">
        <v>49</v>
      </c>
      <c r="E123" s="1" t="s">
        <v>41</v>
      </c>
      <c r="F123">
        <v>977</v>
      </c>
      <c r="G123" s="1" t="s">
        <v>42</v>
      </c>
      <c r="H123">
        <v>2</v>
      </c>
      <c r="I123">
        <v>1</v>
      </c>
      <c r="J123" s="1" t="s">
        <v>73</v>
      </c>
      <c r="K123">
        <v>1</v>
      </c>
      <c r="L123">
        <v>1992</v>
      </c>
      <c r="M123">
        <v>4</v>
      </c>
      <c r="N123" s="1" t="s">
        <v>44</v>
      </c>
      <c r="O123">
        <v>57</v>
      </c>
      <c r="P123">
        <v>3</v>
      </c>
      <c r="Q123">
        <v>1</v>
      </c>
      <c r="R123" s="1" t="s">
        <v>45</v>
      </c>
      <c r="S123">
        <v>3</v>
      </c>
      <c r="T123" s="1" t="s">
        <v>102</v>
      </c>
      <c r="U123">
        <v>3977</v>
      </c>
      <c r="V123" s="1" t="s">
        <v>47</v>
      </c>
      <c r="W123">
        <v>7298</v>
      </c>
      <c r="X123">
        <v>6</v>
      </c>
      <c r="Y123" s="1" t="s">
        <v>48</v>
      </c>
      <c r="Z123" s="1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8">
      <c r="A124" s="1" t="s">
        <v>188</v>
      </c>
      <c r="B124">
        <v>25</v>
      </c>
      <c r="C124" s="1" t="s">
        <v>39</v>
      </c>
      <c r="D124" s="1" t="s">
        <v>49</v>
      </c>
      <c r="E124" s="1" t="s">
        <v>41</v>
      </c>
      <c r="F124">
        <v>1382</v>
      </c>
      <c r="G124" s="1" t="s">
        <v>51</v>
      </c>
      <c r="H124">
        <v>8</v>
      </c>
      <c r="I124">
        <v>2</v>
      </c>
      <c r="J124" s="1" t="s">
        <v>73</v>
      </c>
      <c r="K124">
        <v>1</v>
      </c>
      <c r="L124">
        <v>2018</v>
      </c>
      <c r="M124">
        <v>1</v>
      </c>
      <c r="N124" s="1" t="s">
        <v>53</v>
      </c>
      <c r="O124">
        <v>85</v>
      </c>
      <c r="P124">
        <v>3</v>
      </c>
      <c r="Q124">
        <v>2</v>
      </c>
      <c r="R124" s="1" t="s">
        <v>137</v>
      </c>
      <c r="S124">
        <v>3</v>
      </c>
      <c r="T124" s="1" t="s">
        <v>102</v>
      </c>
      <c r="U124">
        <v>4907</v>
      </c>
      <c r="V124" s="1" t="s">
        <v>47</v>
      </c>
      <c r="W124">
        <v>13684</v>
      </c>
      <c r="X124">
        <v>0</v>
      </c>
      <c r="Y124" s="1" t="s">
        <v>48</v>
      </c>
      <c r="Z124" s="1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8">
      <c r="A125" s="1" t="s">
        <v>189</v>
      </c>
      <c r="B125">
        <v>26</v>
      </c>
      <c r="C125" s="1" t="s">
        <v>190</v>
      </c>
      <c r="D125" s="1" t="s">
        <v>40</v>
      </c>
      <c r="E125" s="1" t="s">
        <v>41</v>
      </c>
      <c r="F125">
        <v>1357</v>
      </c>
      <c r="G125" s="1" t="s">
        <v>42</v>
      </c>
      <c r="H125">
        <v>25</v>
      </c>
      <c r="I125">
        <v>3</v>
      </c>
      <c r="J125" s="1" t="s">
        <v>43</v>
      </c>
      <c r="K125">
        <v>1</v>
      </c>
      <c r="L125">
        <v>55</v>
      </c>
      <c r="M125">
        <v>1</v>
      </c>
      <c r="N125" s="1" t="s">
        <v>44</v>
      </c>
      <c r="O125">
        <v>48</v>
      </c>
      <c r="P125">
        <v>1</v>
      </c>
      <c r="Q125">
        <v>1</v>
      </c>
      <c r="R125" s="1" t="s">
        <v>45</v>
      </c>
      <c r="S125">
        <v>3</v>
      </c>
      <c r="T125" s="1" t="s">
        <v>46</v>
      </c>
      <c r="U125">
        <v>2293</v>
      </c>
      <c r="V125" s="1" t="s">
        <v>47</v>
      </c>
      <c r="W125">
        <v>10558</v>
      </c>
      <c r="X125">
        <v>1</v>
      </c>
      <c r="Y125" s="1" t="s">
        <v>48</v>
      </c>
      <c r="Z125" s="1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8">
      <c r="A126" s="1" t="s">
        <v>191</v>
      </c>
      <c r="B126">
        <v>26</v>
      </c>
      <c r="C126" s="1" t="s">
        <v>190</v>
      </c>
      <c r="D126" s="1" t="s">
        <v>49</v>
      </c>
      <c r="E126" s="1" t="s">
        <v>41</v>
      </c>
      <c r="F126">
        <v>1443</v>
      </c>
      <c r="G126" s="1" t="s">
        <v>51</v>
      </c>
      <c r="H126">
        <v>23</v>
      </c>
      <c r="I126">
        <v>3</v>
      </c>
      <c r="J126" s="1" t="s">
        <v>57</v>
      </c>
      <c r="K126">
        <v>1</v>
      </c>
      <c r="L126">
        <v>72</v>
      </c>
      <c r="M126">
        <v>3</v>
      </c>
      <c r="N126" s="1" t="s">
        <v>53</v>
      </c>
      <c r="O126">
        <v>47</v>
      </c>
      <c r="P126">
        <v>2</v>
      </c>
      <c r="Q126">
        <v>2</v>
      </c>
      <c r="R126" s="1" t="s">
        <v>137</v>
      </c>
      <c r="S126">
        <v>4</v>
      </c>
      <c r="T126" s="1" t="s">
        <v>105</v>
      </c>
      <c r="U126">
        <v>4157</v>
      </c>
      <c r="V126" s="1" t="s">
        <v>47</v>
      </c>
      <c r="W126">
        <v>21436</v>
      </c>
      <c r="X126">
        <v>7</v>
      </c>
      <c r="Y126" s="1" t="s">
        <v>48</v>
      </c>
      <c r="Z126" s="1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8">
      <c r="A127" s="1" t="s">
        <v>192</v>
      </c>
      <c r="B127">
        <v>26</v>
      </c>
      <c r="C127" s="1" t="s">
        <v>190</v>
      </c>
      <c r="D127" s="1" t="s">
        <v>49</v>
      </c>
      <c r="E127" s="1" t="s">
        <v>41</v>
      </c>
      <c r="F127">
        <v>841</v>
      </c>
      <c r="G127" s="1" t="s">
        <v>42</v>
      </c>
      <c r="H127">
        <v>6</v>
      </c>
      <c r="I127">
        <v>3</v>
      </c>
      <c r="J127" s="1" t="s">
        <v>73</v>
      </c>
      <c r="K127">
        <v>1</v>
      </c>
      <c r="L127">
        <v>164</v>
      </c>
      <c r="M127">
        <v>3</v>
      </c>
      <c r="N127" s="1" t="s">
        <v>53</v>
      </c>
      <c r="O127">
        <v>46</v>
      </c>
      <c r="P127">
        <v>2</v>
      </c>
      <c r="Q127">
        <v>1</v>
      </c>
      <c r="R127" s="1" t="s">
        <v>60</v>
      </c>
      <c r="S127">
        <v>2</v>
      </c>
      <c r="T127" s="1" t="s">
        <v>105</v>
      </c>
      <c r="U127">
        <v>2368</v>
      </c>
      <c r="V127" s="1" t="s">
        <v>47</v>
      </c>
      <c r="W127">
        <v>23300</v>
      </c>
      <c r="X127">
        <v>1</v>
      </c>
      <c r="Y127" s="1" t="s">
        <v>48</v>
      </c>
      <c r="Z127" s="1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8">
      <c r="A128" s="1" t="s">
        <v>193</v>
      </c>
      <c r="B128">
        <v>26</v>
      </c>
      <c r="C128" s="1" t="s">
        <v>190</v>
      </c>
      <c r="D128" s="1" t="s">
        <v>49</v>
      </c>
      <c r="E128" s="1" t="s">
        <v>41</v>
      </c>
      <c r="F128">
        <v>1355</v>
      </c>
      <c r="G128" s="1" t="s">
        <v>71</v>
      </c>
      <c r="H128">
        <v>25</v>
      </c>
      <c r="I128">
        <v>1</v>
      </c>
      <c r="J128" s="1" t="s">
        <v>43</v>
      </c>
      <c r="K128">
        <v>1</v>
      </c>
      <c r="L128">
        <v>177</v>
      </c>
      <c r="M128">
        <v>3</v>
      </c>
      <c r="N128" s="1" t="s">
        <v>53</v>
      </c>
      <c r="O128">
        <v>61</v>
      </c>
      <c r="P128">
        <v>3</v>
      </c>
      <c r="Q128">
        <v>1</v>
      </c>
      <c r="R128" s="1" t="s">
        <v>71</v>
      </c>
      <c r="S128">
        <v>3</v>
      </c>
      <c r="T128" s="1" t="s">
        <v>105</v>
      </c>
      <c r="U128">
        <v>2942</v>
      </c>
      <c r="V128" s="1" t="s">
        <v>47</v>
      </c>
      <c r="W128">
        <v>8916</v>
      </c>
      <c r="X128">
        <v>1</v>
      </c>
      <c r="Y128" s="1" t="s">
        <v>48</v>
      </c>
      <c r="Z128" s="1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8">
      <c r="A129" s="1" t="s">
        <v>194</v>
      </c>
      <c r="B129">
        <v>26</v>
      </c>
      <c r="C129" s="1" t="s">
        <v>190</v>
      </c>
      <c r="D129" s="1" t="s">
        <v>49</v>
      </c>
      <c r="E129" s="1" t="s">
        <v>56</v>
      </c>
      <c r="F129">
        <v>1479</v>
      </c>
      <c r="G129" s="1" t="s">
        <v>42</v>
      </c>
      <c r="H129">
        <v>1</v>
      </c>
      <c r="I129">
        <v>3</v>
      </c>
      <c r="J129" s="1" t="s">
        <v>43</v>
      </c>
      <c r="K129">
        <v>1</v>
      </c>
      <c r="L129">
        <v>384</v>
      </c>
      <c r="M129">
        <v>3</v>
      </c>
      <c r="N129" s="1" t="s">
        <v>53</v>
      </c>
      <c r="O129">
        <v>84</v>
      </c>
      <c r="P129">
        <v>3</v>
      </c>
      <c r="Q129">
        <v>2</v>
      </c>
      <c r="R129" s="1" t="s">
        <v>112</v>
      </c>
      <c r="S129">
        <v>2</v>
      </c>
      <c r="T129" s="1" t="s">
        <v>102</v>
      </c>
      <c r="U129">
        <v>6397</v>
      </c>
      <c r="V129" s="1" t="s">
        <v>163</v>
      </c>
      <c r="W129">
        <v>26767</v>
      </c>
      <c r="X129">
        <v>1</v>
      </c>
      <c r="Y129" s="1" t="s">
        <v>48</v>
      </c>
      <c r="Z129" s="1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8">
      <c r="A130" s="1" t="s">
        <v>195</v>
      </c>
      <c r="B130">
        <v>26</v>
      </c>
      <c r="C130" s="1" t="s">
        <v>190</v>
      </c>
      <c r="D130" s="1" t="s">
        <v>49</v>
      </c>
      <c r="E130" s="1" t="s">
        <v>56</v>
      </c>
      <c r="F130">
        <v>496</v>
      </c>
      <c r="G130" s="1" t="s">
        <v>42</v>
      </c>
      <c r="H130">
        <v>11</v>
      </c>
      <c r="I130">
        <v>2</v>
      </c>
      <c r="J130" s="1" t="s">
        <v>52</v>
      </c>
      <c r="K130">
        <v>1</v>
      </c>
      <c r="L130">
        <v>390</v>
      </c>
      <c r="M130">
        <v>1</v>
      </c>
      <c r="N130" s="1" t="s">
        <v>44</v>
      </c>
      <c r="O130">
        <v>60</v>
      </c>
      <c r="P130">
        <v>3</v>
      </c>
      <c r="Q130">
        <v>2</v>
      </c>
      <c r="R130" s="1" t="s">
        <v>161</v>
      </c>
      <c r="S130">
        <v>1</v>
      </c>
      <c r="T130" s="1" t="s">
        <v>105</v>
      </c>
      <c r="U130">
        <v>4741</v>
      </c>
      <c r="V130" s="1" t="s">
        <v>47</v>
      </c>
      <c r="W130">
        <v>22722</v>
      </c>
      <c r="X130">
        <v>1</v>
      </c>
      <c r="Y130" s="1" t="s">
        <v>48</v>
      </c>
      <c r="Z130" s="1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8">
      <c r="A131" s="1" t="s">
        <v>196</v>
      </c>
      <c r="B131">
        <v>26</v>
      </c>
      <c r="C131" s="1" t="s">
        <v>190</v>
      </c>
      <c r="D131" s="1" t="s">
        <v>40</v>
      </c>
      <c r="E131" s="1" t="s">
        <v>41</v>
      </c>
      <c r="F131">
        <v>1449</v>
      </c>
      <c r="G131" s="1" t="s">
        <v>42</v>
      </c>
      <c r="H131">
        <v>16</v>
      </c>
      <c r="I131">
        <v>4</v>
      </c>
      <c r="J131" s="1" t="s">
        <v>52</v>
      </c>
      <c r="K131">
        <v>1</v>
      </c>
      <c r="L131">
        <v>394</v>
      </c>
      <c r="M131">
        <v>1</v>
      </c>
      <c r="N131" s="1" t="s">
        <v>44</v>
      </c>
      <c r="O131">
        <v>45</v>
      </c>
      <c r="P131">
        <v>3</v>
      </c>
      <c r="Q131">
        <v>1</v>
      </c>
      <c r="R131" s="1" t="s">
        <v>45</v>
      </c>
      <c r="S131">
        <v>2</v>
      </c>
      <c r="T131" s="1" t="s">
        <v>102</v>
      </c>
      <c r="U131">
        <v>2373</v>
      </c>
      <c r="V131" s="1" t="s">
        <v>47</v>
      </c>
      <c r="W131">
        <v>14180</v>
      </c>
      <c r="X131">
        <v>2</v>
      </c>
      <c r="Y131" s="1" t="s">
        <v>48</v>
      </c>
      <c r="Z131" s="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8">
      <c r="A132" s="1" t="s">
        <v>197</v>
      </c>
      <c r="B132">
        <v>26</v>
      </c>
      <c r="C132" s="1" t="s">
        <v>190</v>
      </c>
      <c r="D132" s="1" t="s">
        <v>40</v>
      </c>
      <c r="E132" s="1" t="s">
        <v>41</v>
      </c>
      <c r="F132">
        <v>950</v>
      </c>
      <c r="G132" s="1" t="s">
        <v>51</v>
      </c>
      <c r="H132">
        <v>4</v>
      </c>
      <c r="I132">
        <v>4</v>
      </c>
      <c r="J132" s="1" t="s">
        <v>57</v>
      </c>
      <c r="K132">
        <v>1</v>
      </c>
      <c r="L132">
        <v>401</v>
      </c>
      <c r="M132">
        <v>4</v>
      </c>
      <c r="N132" s="1" t="s">
        <v>44</v>
      </c>
      <c r="O132">
        <v>48</v>
      </c>
      <c r="P132">
        <v>2</v>
      </c>
      <c r="Q132">
        <v>2</v>
      </c>
      <c r="R132" s="1" t="s">
        <v>137</v>
      </c>
      <c r="S132">
        <v>4</v>
      </c>
      <c r="T132" s="1" t="s">
        <v>46</v>
      </c>
      <c r="U132">
        <v>5828</v>
      </c>
      <c r="V132" s="1" t="s">
        <v>163</v>
      </c>
      <c r="W132">
        <v>8450</v>
      </c>
      <c r="X132">
        <v>1</v>
      </c>
      <c r="Y132" s="1" t="s">
        <v>48</v>
      </c>
      <c r="Z132" s="1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8">
      <c r="A133" s="1" t="s">
        <v>198</v>
      </c>
      <c r="B133">
        <v>26</v>
      </c>
      <c r="C133" s="1" t="s">
        <v>190</v>
      </c>
      <c r="D133" s="1" t="s">
        <v>49</v>
      </c>
      <c r="E133" s="1" t="s">
        <v>41</v>
      </c>
      <c r="F133">
        <v>933</v>
      </c>
      <c r="G133" s="1" t="s">
        <v>51</v>
      </c>
      <c r="H133">
        <v>1</v>
      </c>
      <c r="I133">
        <v>3</v>
      </c>
      <c r="J133" s="1" t="s">
        <v>43</v>
      </c>
      <c r="K133">
        <v>1</v>
      </c>
      <c r="L133">
        <v>476</v>
      </c>
      <c r="M133">
        <v>3</v>
      </c>
      <c r="N133" s="1" t="s">
        <v>44</v>
      </c>
      <c r="O133">
        <v>57</v>
      </c>
      <c r="P133">
        <v>3</v>
      </c>
      <c r="Q133">
        <v>2</v>
      </c>
      <c r="R133" s="1" t="s">
        <v>137</v>
      </c>
      <c r="S133">
        <v>3</v>
      </c>
      <c r="T133" s="1" t="s">
        <v>105</v>
      </c>
      <c r="U133">
        <v>5296</v>
      </c>
      <c r="V133" s="1" t="s">
        <v>163</v>
      </c>
      <c r="W133">
        <v>20156</v>
      </c>
      <c r="X133">
        <v>1</v>
      </c>
      <c r="Y133" s="1" t="s">
        <v>48</v>
      </c>
      <c r="Z133" s="1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8">
      <c r="A134" s="1" t="s">
        <v>199</v>
      </c>
      <c r="B134">
        <v>26</v>
      </c>
      <c r="C134" s="1" t="s">
        <v>190</v>
      </c>
      <c r="D134" s="1" t="s">
        <v>40</v>
      </c>
      <c r="E134" s="1" t="s">
        <v>56</v>
      </c>
      <c r="F134">
        <v>575</v>
      </c>
      <c r="G134" s="1" t="s">
        <v>42</v>
      </c>
      <c r="H134">
        <v>3</v>
      </c>
      <c r="I134">
        <v>1</v>
      </c>
      <c r="J134" s="1" t="s">
        <v>68</v>
      </c>
      <c r="K134">
        <v>1</v>
      </c>
      <c r="L134">
        <v>510</v>
      </c>
      <c r="M134">
        <v>3</v>
      </c>
      <c r="N134" s="1" t="s">
        <v>44</v>
      </c>
      <c r="O134">
        <v>73</v>
      </c>
      <c r="P134">
        <v>3</v>
      </c>
      <c r="Q134">
        <v>1</v>
      </c>
      <c r="R134" s="1" t="s">
        <v>60</v>
      </c>
      <c r="S134">
        <v>1</v>
      </c>
      <c r="T134" s="1" t="s">
        <v>46</v>
      </c>
      <c r="U134">
        <v>3102</v>
      </c>
      <c r="V134" s="1" t="s">
        <v>47</v>
      </c>
      <c r="W134">
        <v>6582</v>
      </c>
      <c r="X134">
        <v>0</v>
      </c>
      <c r="Y134" s="1" t="s">
        <v>48</v>
      </c>
      <c r="Z134" s="1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8">
      <c r="A135" s="1" t="s">
        <v>200</v>
      </c>
      <c r="B135">
        <v>26</v>
      </c>
      <c r="C135" s="1" t="s">
        <v>190</v>
      </c>
      <c r="D135" s="1" t="s">
        <v>49</v>
      </c>
      <c r="E135" s="1" t="s">
        <v>41</v>
      </c>
      <c r="F135">
        <v>1349</v>
      </c>
      <c r="G135" s="1" t="s">
        <v>42</v>
      </c>
      <c r="H135">
        <v>23</v>
      </c>
      <c r="I135">
        <v>3</v>
      </c>
      <c r="J135" s="1" t="s">
        <v>43</v>
      </c>
      <c r="K135">
        <v>1</v>
      </c>
      <c r="L135">
        <v>560</v>
      </c>
      <c r="M135">
        <v>1</v>
      </c>
      <c r="N135" s="1" t="s">
        <v>53</v>
      </c>
      <c r="O135">
        <v>90</v>
      </c>
      <c r="P135">
        <v>3</v>
      </c>
      <c r="Q135">
        <v>1</v>
      </c>
      <c r="R135" s="1" t="s">
        <v>60</v>
      </c>
      <c r="S135">
        <v>4</v>
      </c>
      <c r="T135" s="1" t="s">
        <v>102</v>
      </c>
      <c r="U135">
        <v>2886</v>
      </c>
      <c r="V135" s="1" t="s">
        <v>47</v>
      </c>
      <c r="W135">
        <v>3032</v>
      </c>
      <c r="X135">
        <v>1</v>
      </c>
      <c r="Y135" s="1" t="s">
        <v>48</v>
      </c>
      <c r="Z135" s="1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8">
      <c r="A136" s="1" t="s">
        <v>201</v>
      </c>
      <c r="B136">
        <v>26</v>
      </c>
      <c r="C136" s="1" t="s">
        <v>190</v>
      </c>
      <c r="D136" s="1" t="s">
        <v>40</v>
      </c>
      <c r="E136" s="1" t="s">
        <v>56</v>
      </c>
      <c r="F136">
        <v>426</v>
      </c>
      <c r="G136" s="1" t="s">
        <v>71</v>
      </c>
      <c r="H136">
        <v>17</v>
      </c>
      <c r="I136">
        <v>4</v>
      </c>
      <c r="J136" s="1" t="s">
        <v>43</v>
      </c>
      <c r="K136">
        <v>1</v>
      </c>
      <c r="L136">
        <v>608</v>
      </c>
      <c r="M136">
        <v>2</v>
      </c>
      <c r="N136" s="1" t="s">
        <v>53</v>
      </c>
      <c r="O136">
        <v>58</v>
      </c>
      <c r="P136">
        <v>3</v>
      </c>
      <c r="Q136">
        <v>1</v>
      </c>
      <c r="R136" s="1" t="s">
        <v>71</v>
      </c>
      <c r="S136">
        <v>3</v>
      </c>
      <c r="T136" s="1" t="s">
        <v>102</v>
      </c>
      <c r="U136">
        <v>2741</v>
      </c>
      <c r="V136" s="1" t="s">
        <v>47</v>
      </c>
      <c r="W136">
        <v>22808</v>
      </c>
      <c r="X136">
        <v>0</v>
      </c>
      <c r="Y136" s="1" t="s">
        <v>48</v>
      </c>
      <c r="Z136" s="1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8">
      <c r="A137" s="1" t="s">
        <v>202</v>
      </c>
      <c r="B137">
        <v>26</v>
      </c>
      <c r="C137" s="1" t="s">
        <v>190</v>
      </c>
      <c r="D137" s="1" t="s">
        <v>49</v>
      </c>
      <c r="E137" s="1" t="s">
        <v>41</v>
      </c>
      <c r="F137">
        <v>775</v>
      </c>
      <c r="G137" s="1" t="s">
        <v>51</v>
      </c>
      <c r="H137">
        <v>29</v>
      </c>
      <c r="I137">
        <v>2</v>
      </c>
      <c r="J137" s="1" t="s">
        <v>52</v>
      </c>
      <c r="K137">
        <v>1</v>
      </c>
      <c r="L137">
        <v>618</v>
      </c>
      <c r="M137">
        <v>1</v>
      </c>
      <c r="N137" s="1" t="s">
        <v>44</v>
      </c>
      <c r="O137">
        <v>45</v>
      </c>
      <c r="P137">
        <v>3</v>
      </c>
      <c r="Q137">
        <v>2</v>
      </c>
      <c r="R137" s="1" t="s">
        <v>137</v>
      </c>
      <c r="S137">
        <v>3</v>
      </c>
      <c r="T137" s="1" t="s">
        <v>102</v>
      </c>
      <c r="U137">
        <v>4306</v>
      </c>
      <c r="V137" s="1" t="s">
        <v>47</v>
      </c>
      <c r="W137">
        <v>4267</v>
      </c>
      <c r="X137">
        <v>5</v>
      </c>
      <c r="Y137" s="1" t="s">
        <v>48</v>
      </c>
      <c r="Z137" s="1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8">
      <c r="A138" s="1" t="s">
        <v>203</v>
      </c>
      <c r="B138">
        <v>26</v>
      </c>
      <c r="C138" s="1" t="s">
        <v>190</v>
      </c>
      <c r="D138" s="1" t="s">
        <v>40</v>
      </c>
      <c r="E138" s="1" t="s">
        <v>41</v>
      </c>
      <c r="F138">
        <v>471</v>
      </c>
      <c r="G138" s="1" t="s">
        <v>42</v>
      </c>
      <c r="H138">
        <v>24</v>
      </c>
      <c r="I138">
        <v>3</v>
      </c>
      <c r="J138" s="1" t="s">
        <v>68</v>
      </c>
      <c r="K138">
        <v>1</v>
      </c>
      <c r="L138">
        <v>622</v>
      </c>
      <c r="M138">
        <v>3</v>
      </c>
      <c r="N138" s="1" t="s">
        <v>44</v>
      </c>
      <c r="O138">
        <v>66</v>
      </c>
      <c r="P138">
        <v>1</v>
      </c>
      <c r="Q138">
        <v>1</v>
      </c>
      <c r="R138" s="1" t="s">
        <v>45</v>
      </c>
      <c r="S138">
        <v>4</v>
      </c>
      <c r="T138" s="1" t="s">
        <v>46</v>
      </c>
      <c r="U138">
        <v>2340</v>
      </c>
      <c r="V138" s="1" t="s">
        <v>47</v>
      </c>
      <c r="W138">
        <v>23213</v>
      </c>
      <c r="X138">
        <v>1</v>
      </c>
      <c r="Y138" s="1" t="s">
        <v>48</v>
      </c>
      <c r="Z138" s="1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8">
      <c r="A139" s="1" t="s">
        <v>204</v>
      </c>
      <c r="B139">
        <v>26</v>
      </c>
      <c r="C139" s="1" t="s">
        <v>190</v>
      </c>
      <c r="D139" s="1" t="s">
        <v>49</v>
      </c>
      <c r="E139" s="1" t="s">
        <v>41</v>
      </c>
      <c r="F139">
        <v>703</v>
      </c>
      <c r="G139" s="1" t="s">
        <v>51</v>
      </c>
      <c r="H139">
        <v>28</v>
      </c>
      <c r="I139">
        <v>2</v>
      </c>
      <c r="J139" s="1" t="s">
        <v>57</v>
      </c>
      <c r="K139">
        <v>1</v>
      </c>
      <c r="L139">
        <v>641</v>
      </c>
      <c r="M139">
        <v>1</v>
      </c>
      <c r="N139" s="1" t="s">
        <v>44</v>
      </c>
      <c r="O139">
        <v>66</v>
      </c>
      <c r="P139">
        <v>3</v>
      </c>
      <c r="Q139">
        <v>2</v>
      </c>
      <c r="R139" s="1" t="s">
        <v>137</v>
      </c>
      <c r="S139">
        <v>2</v>
      </c>
      <c r="T139" s="1" t="s">
        <v>105</v>
      </c>
      <c r="U139">
        <v>6272</v>
      </c>
      <c r="V139" s="1" t="s">
        <v>163</v>
      </c>
      <c r="W139">
        <v>7428</v>
      </c>
      <c r="X139">
        <v>1</v>
      </c>
      <c r="Y139" s="1" t="s">
        <v>48</v>
      </c>
      <c r="Z139" s="1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8">
      <c r="A140" s="1" t="s">
        <v>205</v>
      </c>
      <c r="B140">
        <v>26</v>
      </c>
      <c r="C140" s="1" t="s">
        <v>190</v>
      </c>
      <c r="D140" s="1" t="s">
        <v>49</v>
      </c>
      <c r="E140" s="1" t="s">
        <v>41</v>
      </c>
      <c r="F140">
        <v>991</v>
      </c>
      <c r="G140" s="1" t="s">
        <v>42</v>
      </c>
      <c r="H140">
        <v>6</v>
      </c>
      <c r="I140">
        <v>3</v>
      </c>
      <c r="J140" s="1" t="s">
        <v>43</v>
      </c>
      <c r="K140">
        <v>1</v>
      </c>
      <c r="L140">
        <v>686</v>
      </c>
      <c r="M140">
        <v>3</v>
      </c>
      <c r="N140" s="1" t="s">
        <v>53</v>
      </c>
      <c r="O140">
        <v>71</v>
      </c>
      <c r="P140">
        <v>3</v>
      </c>
      <c r="Q140">
        <v>1</v>
      </c>
      <c r="R140" s="1" t="s">
        <v>45</v>
      </c>
      <c r="S140">
        <v>4</v>
      </c>
      <c r="T140" s="1" t="s">
        <v>105</v>
      </c>
      <c r="U140">
        <v>2659</v>
      </c>
      <c r="V140" s="1" t="s">
        <v>47</v>
      </c>
      <c r="W140">
        <v>17759</v>
      </c>
      <c r="X140">
        <v>1</v>
      </c>
      <c r="Y140" s="1" t="s">
        <v>48</v>
      </c>
      <c r="Z140" s="1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8">
      <c r="A141" s="1" t="s">
        <v>206</v>
      </c>
      <c r="B141">
        <v>26</v>
      </c>
      <c r="C141" s="1" t="s">
        <v>190</v>
      </c>
      <c r="D141" s="1" t="s">
        <v>49</v>
      </c>
      <c r="E141" s="1" t="s">
        <v>56</v>
      </c>
      <c r="F141">
        <v>575</v>
      </c>
      <c r="G141" s="1" t="s">
        <v>42</v>
      </c>
      <c r="H141">
        <v>1</v>
      </c>
      <c r="I141">
        <v>2</v>
      </c>
      <c r="J141" s="1" t="s">
        <v>43</v>
      </c>
      <c r="K141">
        <v>1</v>
      </c>
      <c r="L141">
        <v>792</v>
      </c>
      <c r="M141">
        <v>1</v>
      </c>
      <c r="N141" s="1" t="s">
        <v>53</v>
      </c>
      <c r="O141">
        <v>71</v>
      </c>
      <c r="P141">
        <v>1</v>
      </c>
      <c r="Q141">
        <v>1</v>
      </c>
      <c r="R141" s="1" t="s">
        <v>45</v>
      </c>
      <c r="S141">
        <v>4</v>
      </c>
      <c r="T141" s="1" t="s">
        <v>102</v>
      </c>
      <c r="U141">
        <v>4364</v>
      </c>
      <c r="V141" s="1" t="s">
        <v>47</v>
      </c>
      <c r="W141">
        <v>5288</v>
      </c>
      <c r="X141">
        <v>3</v>
      </c>
      <c r="Y141" s="1" t="s">
        <v>48</v>
      </c>
      <c r="Z141" s="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8">
      <c r="A142" s="1" t="s">
        <v>207</v>
      </c>
      <c r="B142">
        <v>26</v>
      </c>
      <c r="C142" s="1" t="s">
        <v>190</v>
      </c>
      <c r="D142" s="1" t="s">
        <v>40</v>
      </c>
      <c r="E142" s="1" t="s">
        <v>41</v>
      </c>
      <c r="F142">
        <v>1146</v>
      </c>
      <c r="G142" s="1" t="s">
        <v>51</v>
      </c>
      <c r="H142">
        <v>8</v>
      </c>
      <c r="I142">
        <v>3</v>
      </c>
      <c r="J142" s="1" t="s">
        <v>68</v>
      </c>
      <c r="K142">
        <v>1</v>
      </c>
      <c r="L142">
        <v>796</v>
      </c>
      <c r="M142">
        <v>4</v>
      </c>
      <c r="N142" s="1" t="s">
        <v>44</v>
      </c>
      <c r="O142">
        <v>38</v>
      </c>
      <c r="P142">
        <v>2</v>
      </c>
      <c r="Q142">
        <v>2</v>
      </c>
      <c r="R142" s="1" t="s">
        <v>137</v>
      </c>
      <c r="S142">
        <v>1</v>
      </c>
      <c r="T142" s="1" t="s">
        <v>46</v>
      </c>
      <c r="U142">
        <v>5326</v>
      </c>
      <c r="V142" s="1" t="s">
        <v>163</v>
      </c>
      <c r="W142">
        <v>3064</v>
      </c>
      <c r="X142">
        <v>6</v>
      </c>
      <c r="Y142" s="1" t="s">
        <v>48</v>
      </c>
      <c r="Z142" s="1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8">
      <c r="A143" s="1" t="s">
        <v>208</v>
      </c>
      <c r="B143">
        <v>26</v>
      </c>
      <c r="C143" s="1" t="s">
        <v>190</v>
      </c>
      <c r="D143" s="1" t="s">
        <v>40</v>
      </c>
      <c r="E143" s="1" t="s">
        <v>56</v>
      </c>
      <c r="F143">
        <v>887</v>
      </c>
      <c r="G143" s="1" t="s">
        <v>42</v>
      </c>
      <c r="H143">
        <v>5</v>
      </c>
      <c r="I143">
        <v>2</v>
      </c>
      <c r="J143" s="1" t="s">
        <v>52</v>
      </c>
      <c r="K143">
        <v>1</v>
      </c>
      <c r="L143">
        <v>848</v>
      </c>
      <c r="M143">
        <v>3</v>
      </c>
      <c r="N143" s="1" t="s">
        <v>53</v>
      </c>
      <c r="O143">
        <v>88</v>
      </c>
      <c r="P143">
        <v>2</v>
      </c>
      <c r="Q143">
        <v>1</v>
      </c>
      <c r="R143" s="1" t="s">
        <v>60</v>
      </c>
      <c r="S143">
        <v>3</v>
      </c>
      <c r="T143" s="1" t="s">
        <v>105</v>
      </c>
      <c r="U143">
        <v>2366</v>
      </c>
      <c r="V143" s="1" t="s">
        <v>47</v>
      </c>
      <c r="W143">
        <v>20898</v>
      </c>
      <c r="X143">
        <v>1</v>
      </c>
      <c r="Y143" s="1" t="s">
        <v>48</v>
      </c>
      <c r="Z143" s="1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8">
      <c r="A144" s="1" t="s">
        <v>209</v>
      </c>
      <c r="B144">
        <v>26</v>
      </c>
      <c r="C144" s="1" t="s">
        <v>190</v>
      </c>
      <c r="D144" s="1" t="s">
        <v>49</v>
      </c>
      <c r="E144" s="1" t="s">
        <v>56</v>
      </c>
      <c r="F144">
        <v>1283</v>
      </c>
      <c r="G144" s="1" t="s">
        <v>51</v>
      </c>
      <c r="H144">
        <v>1</v>
      </c>
      <c r="I144">
        <v>3</v>
      </c>
      <c r="J144" s="1" t="s">
        <v>52</v>
      </c>
      <c r="K144">
        <v>1</v>
      </c>
      <c r="L144">
        <v>956</v>
      </c>
      <c r="M144">
        <v>3</v>
      </c>
      <c r="N144" s="1" t="s">
        <v>44</v>
      </c>
      <c r="O144">
        <v>52</v>
      </c>
      <c r="P144">
        <v>2</v>
      </c>
      <c r="Q144">
        <v>2</v>
      </c>
      <c r="R144" s="1" t="s">
        <v>137</v>
      </c>
      <c r="S144">
        <v>1</v>
      </c>
      <c r="T144" s="1" t="s">
        <v>46</v>
      </c>
      <c r="U144">
        <v>4294</v>
      </c>
      <c r="V144" s="1" t="s">
        <v>47</v>
      </c>
      <c r="W144">
        <v>11148</v>
      </c>
      <c r="X144">
        <v>1</v>
      </c>
      <c r="Y144" s="1" t="s">
        <v>48</v>
      </c>
      <c r="Z144" s="1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8">
      <c r="A145" s="1" t="s">
        <v>210</v>
      </c>
      <c r="B145">
        <v>26</v>
      </c>
      <c r="C145" s="1" t="s">
        <v>190</v>
      </c>
      <c r="D145" s="1" t="s">
        <v>49</v>
      </c>
      <c r="E145" s="1" t="s">
        <v>41</v>
      </c>
      <c r="F145">
        <v>1066</v>
      </c>
      <c r="G145" s="1" t="s">
        <v>42</v>
      </c>
      <c r="H145">
        <v>2</v>
      </c>
      <c r="I145">
        <v>2</v>
      </c>
      <c r="J145" s="1" t="s">
        <v>52</v>
      </c>
      <c r="K145">
        <v>1</v>
      </c>
      <c r="L145">
        <v>1018</v>
      </c>
      <c r="M145">
        <v>4</v>
      </c>
      <c r="N145" s="1" t="s">
        <v>44</v>
      </c>
      <c r="O145">
        <v>32</v>
      </c>
      <c r="P145">
        <v>4</v>
      </c>
      <c r="Q145">
        <v>2</v>
      </c>
      <c r="R145" s="1" t="s">
        <v>112</v>
      </c>
      <c r="S145">
        <v>4</v>
      </c>
      <c r="T145" s="1" t="s">
        <v>105</v>
      </c>
      <c r="U145">
        <v>5472</v>
      </c>
      <c r="V145" s="1" t="s">
        <v>163</v>
      </c>
      <c r="W145">
        <v>3334</v>
      </c>
      <c r="X145">
        <v>1</v>
      </c>
      <c r="Y145" s="1" t="s">
        <v>48</v>
      </c>
      <c r="Z145" s="1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8">
      <c r="A146" s="1" t="s">
        <v>211</v>
      </c>
      <c r="B146">
        <v>26</v>
      </c>
      <c r="C146" s="1" t="s">
        <v>190</v>
      </c>
      <c r="D146" s="1" t="s">
        <v>40</v>
      </c>
      <c r="E146" s="1" t="s">
        <v>59</v>
      </c>
      <c r="F146">
        <v>265</v>
      </c>
      <c r="G146" s="1" t="s">
        <v>51</v>
      </c>
      <c r="H146">
        <v>29</v>
      </c>
      <c r="I146">
        <v>2</v>
      </c>
      <c r="J146" s="1" t="s">
        <v>52</v>
      </c>
      <c r="K146">
        <v>1</v>
      </c>
      <c r="L146">
        <v>1037</v>
      </c>
      <c r="M146">
        <v>2</v>
      </c>
      <c r="N146" s="1" t="s">
        <v>44</v>
      </c>
      <c r="O146">
        <v>79</v>
      </c>
      <c r="P146">
        <v>1</v>
      </c>
      <c r="Q146">
        <v>2</v>
      </c>
      <c r="R146" s="1" t="s">
        <v>137</v>
      </c>
      <c r="S146">
        <v>1</v>
      </c>
      <c r="T146" s="1" t="s">
        <v>46</v>
      </c>
      <c r="U146">
        <v>4969</v>
      </c>
      <c r="V146" s="1" t="s">
        <v>47</v>
      </c>
      <c r="W146">
        <v>21813</v>
      </c>
      <c r="X146">
        <v>8</v>
      </c>
      <c r="Y146" s="1" t="s">
        <v>48</v>
      </c>
      <c r="Z146" s="1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8">
      <c r="A147" s="1" t="s">
        <v>212</v>
      </c>
      <c r="B147">
        <v>26</v>
      </c>
      <c r="C147" s="1" t="s">
        <v>190</v>
      </c>
      <c r="D147" s="1" t="s">
        <v>40</v>
      </c>
      <c r="E147" s="1" t="s">
        <v>56</v>
      </c>
      <c r="F147">
        <v>342</v>
      </c>
      <c r="G147" s="1" t="s">
        <v>42</v>
      </c>
      <c r="H147">
        <v>2</v>
      </c>
      <c r="I147">
        <v>3</v>
      </c>
      <c r="J147" s="1" t="s">
        <v>43</v>
      </c>
      <c r="K147">
        <v>1</v>
      </c>
      <c r="L147">
        <v>1053</v>
      </c>
      <c r="M147">
        <v>1</v>
      </c>
      <c r="N147" s="1" t="s">
        <v>44</v>
      </c>
      <c r="O147">
        <v>57</v>
      </c>
      <c r="P147">
        <v>3</v>
      </c>
      <c r="Q147">
        <v>1</v>
      </c>
      <c r="R147" s="1" t="s">
        <v>60</v>
      </c>
      <c r="S147">
        <v>1</v>
      </c>
      <c r="T147" s="1" t="s">
        <v>105</v>
      </c>
      <c r="U147">
        <v>2042</v>
      </c>
      <c r="V147" s="1" t="s">
        <v>47</v>
      </c>
      <c r="W147">
        <v>15346</v>
      </c>
      <c r="X147">
        <v>6</v>
      </c>
      <c r="Y147" s="1" t="s">
        <v>48</v>
      </c>
      <c r="Z147" s="1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8">
      <c r="A148" s="1" t="s">
        <v>213</v>
      </c>
      <c r="B148">
        <v>26</v>
      </c>
      <c r="C148" s="1" t="s">
        <v>190</v>
      </c>
      <c r="D148" s="1" t="s">
        <v>49</v>
      </c>
      <c r="E148" s="1" t="s">
        <v>56</v>
      </c>
      <c r="F148">
        <v>921</v>
      </c>
      <c r="G148" s="1" t="s">
        <v>42</v>
      </c>
      <c r="H148">
        <v>1</v>
      </c>
      <c r="I148">
        <v>1</v>
      </c>
      <c r="J148" s="1" t="s">
        <v>52</v>
      </c>
      <c r="K148">
        <v>1</v>
      </c>
      <c r="L148">
        <v>1068</v>
      </c>
      <c r="M148">
        <v>1</v>
      </c>
      <c r="N148" s="1" t="s">
        <v>53</v>
      </c>
      <c r="O148">
        <v>66</v>
      </c>
      <c r="P148">
        <v>2</v>
      </c>
      <c r="Q148">
        <v>1</v>
      </c>
      <c r="R148" s="1" t="s">
        <v>60</v>
      </c>
      <c r="S148">
        <v>3</v>
      </c>
      <c r="T148" s="1" t="s">
        <v>102</v>
      </c>
      <c r="U148">
        <v>2007</v>
      </c>
      <c r="V148" s="1" t="s">
        <v>47</v>
      </c>
      <c r="W148">
        <v>25265</v>
      </c>
      <c r="X148">
        <v>1</v>
      </c>
      <c r="Y148" s="1" t="s">
        <v>48</v>
      </c>
      <c r="Z148" s="1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8">
      <c r="A149" s="1" t="s">
        <v>214</v>
      </c>
      <c r="B149">
        <v>26</v>
      </c>
      <c r="C149" s="1" t="s">
        <v>190</v>
      </c>
      <c r="D149" s="1" t="s">
        <v>49</v>
      </c>
      <c r="E149" s="1" t="s">
        <v>41</v>
      </c>
      <c r="F149">
        <v>192</v>
      </c>
      <c r="G149" s="1" t="s">
        <v>42</v>
      </c>
      <c r="H149">
        <v>1</v>
      </c>
      <c r="I149">
        <v>2</v>
      </c>
      <c r="J149" s="1" t="s">
        <v>52</v>
      </c>
      <c r="K149">
        <v>1</v>
      </c>
      <c r="L149">
        <v>1083</v>
      </c>
      <c r="M149">
        <v>1</v>
      </c>
      <c r="N149" s="1" t="s">
        <v>44</v>
      </c>
      <c r="O149">
        <v>59</v>
      </c>
      <c r="P149">
        <v>2</v>
      </c>
      <c r="Q149">
        <v>1</v>
      </c>
      <c r="R149" s="1" t="s">
        <v>45</v>
      </c>
      <c r="S149">
        <v>1</v>
      </c>
      <c r="T149" s="1" t="s">
        <v>105</v>
      </c>
      <c r="U149">
        <v>3955</v>
      </c>
      <c r="V149" s="1" t="s">
        <v>47</v>
      </c>
      <c r="W149">
        <v>11141</v>
      </c>
      <c r="X149">
        <v>1</v>
      </c>
      <c r="Y149" s="1" t="s">
        <v>48</v>
      </c>
      <c r="Z149" s="1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8">
      <c r="A150" s="1" t="s">
        <v>215</v>
      </c>
      <c r="B150">
        <v>26</v>
      </c>
      <c r="C150" s="1" t="s">
        <v>190</v>
      </c>
      <c r="D150" s="1" t="s">
        <v>40</v>
      </c>
      <c r="E150" s="1" t="s">
        <v>41</v>
      </c>
      <c r="F150">
        <v>1330</v>
      </c>
      <c r="G150" s="1" t="s">
        <v>42</v>
      </c>
      <c r="H150">
        <v>21</v>
      </c>
      <c r="I150">
        <v>3</v>
      </c>
      <c r="J150" s="1" t="s">
        <v>52</v>
      </c>
      <c r="K150">
        <v>1</v>
      </c>
      <c r="L150">
        <v>1107</v>
      </c>
      <c r="M150">
        <v>1</v>
      </c>
      <c r="N150" s="1" t="s">
        <v>44</v>
      </c>
      <c r="O150">
        <v>37</v>
      </c>
      <c r="P150">
        <v>3</v>
      </c>
      <c r="Q150">
        <v>1</v>
      </c>
      <c r="R150" s="1" t="s">
        <v>45</v>
      </c>
      <c r="S150">
        <v>3</v>
      </c>
      <c r="T150" s="1" t="s">
        <v>102</v>
      </c>
      <c r="U150">
        <v>2377</v>
      </c>
      <c r="V150" s="1" t="s">
        <v>47</v>
      </c>
      <c r="W150">
        <v>19373</v>
      </c>
      <c r="X150">
        <v>1</v>
      </c>
      <c r="Y150" s="1" t="s">
        <v>48</v>
      </c>
      <c r="Z150" s="1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8">
      <c r="A151" s="1" t="s">
        <v>216</v>
      </c>
      <c r="B151">
        <v>26</v>
      </c>
      <c r="C151" s="1" t="s">
        <v>190</v>
      </c>
      <c r="D151" s="1" t="s">
        <v>49</v>
      </c>
      <c r="E151" s="1" t="s">
        <v>41</v>
      </c>
      <c r="F151">
        <v>1384</v>
      </c>
      <c r="G151" s="1" t="s">
        <v>42</v>
      </c>
      <c r="H151">
        <v>3</v>
      </c>
      <c r="I151">
        <v>4</v>
      </c>
      <c r="J151" s="1" t="s">
        <v>52</v>
      </c>
      <c r="K151">
        <v>1</v>
      </c>
      <c r="L151">
        <v>1177</v>
      </c>
      <c r="M151">
        <v>1</v>
      </c>
      <c r="N151" s="1" t="s">
        <v>44</v>
      </c>
      <c r="O151">
        <v>82</v>
      </c>
      <c r="P151">
        <v>4</v>
      </c>
      <c r="Q151">
        <v>1</v>
      </c>
      <c r="R151" s="1" t="s">
        <v>45</v>
      </c>
      <c r="S151">
        <v>4</v>
      </c>
      <c r="T151" s="1" t="s">
        <v>105</v>
      </c>
      <c r="U151">
        <v>4420</v>
      </c>
      <c r="V151" s="1" t="s">
        <v>47</v>
      </c>
      <c r="W151">
        <v>13421</v>
      </c>
      <c r="X151">
        <v>1</v>
      </c>
      <c r="Y151" s="1" t="s">
        <v>48</v>
      </c>
      <c r="Z151" s="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8">
      <c r="A152" s="1" t="s">
        <v>217</v>
      </c>
      <c r="B152">
        <v>26</v>
      </c>
      <c r="C152" s="1" t="s">
        <v>190</v>
      </c>
      <c r="D152" s="1" t="s">
        <v>49</v>
      </c>
      <c r="E152" s="1" t="s">
        <v>41</v>
      </c>
      <c r="F152">
        <v>583</v>
      </c>
      <c r="G152" s="1" t="s">
        <v>42</v>
      </c>
      <c r="H152">
        <v>4</v>
      </c>
      <c r="I152">
        <v>2</v>
      </c>
      <c r="J152" s="1" t="s">
        <v>43</v>
      </c>
      <c r="K152">
        <v>1</v>
      </c>
      <c r="L152">
        <v>1275</v>
      </c>
      <c r="M152">
        <v>3</v>
      </c>
      <c r="N152" s="1" t="s">
        <v>44</v>
      </c>
      <c r="O152">
        <v>53</v>
      </c>
      <c r="P152">
        <v>3</v>
      </c>
      <c r="Q152">
        <v>1</v>
      </c>
      <c r="R152" s="1" t="s">
        <v>60</v>
      </c>
      <c r="S152">
        <v>4</v>
      </c>
      <c r="T152" s="1" t="s">
        <v>46</v>
      </c>
      <c r="U152">
        <v>2875</v>
      </c>
      <c r="V152" s="1" t="s">
        <v>47</v>
      </c>
      <c r="W152">
        <v>9973</v>
      </c>
      <c r="X152">
        <v>1</v>
      </c>
      <c r="Y152" s="1" t="s">
        <v>48</v>
      </c>
      <c r="Z152" s="1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8">
      <c r="A153" s="1" t="s">
        <v>218</v>
      </c>
      <c r="B153">
        <v>26</v>
      </c>
      <c r="C153" s="1" t="s">
        <v>190</v>
      </c>
      <c r="D153" s="1" t="s">
        <v>49</v>
      </c>
      <c r="E153" s="1" t="s">
        <v>41</v>
      </c>
      <c r="F153">
        <v>683</v>
      </c>
      <c r="G153" s="1" t="s">
        <v>42</v>
      </c>
      <c r="H153">
        <v>2</v>
      </c>
      <c r="I153">
        <v>1</v>
      </c>
      <c r="J153" s="1" t="s">
        <v>52</v>
      </c>
      <c r="K153">
        <v>1</v>
      </c>
      <c r="L153">
        <v>1407</v>
      </c>
      <c r="M153">
        <v>1</v>
      </c>
      <c r="N153" s="1" t="s">
        <v>44</v>
      </c>
      <c r="O153">
        <v>36</v>
      </c>
      <c r="P153">
        <v>2</v>
      </c>
      <c r="Q153">
        <v>1</v>
      </c>
      <c r="R153" s="1" t="s">
        <v>60</v>
      </c>
      <c r="S153">
        <v>4</v>
      </c>
      <c r="T153" s="1" t="s">
        <v>46</v>
      </c>
      <c r="U153">
        <v>3904</v>
      </c>
      <c r="V153" s="1" t="s">
        <v>47</v>
      </c>
      <c r="W153">
        <v>4050</v>
      </c>
      <c r="X153">
        <v>0</v>
      </c>
      <c r="Y153" s="1" t="s">
        <v>48</v>
      </c>
      <c r="Z153" s="1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8">
      <c r="A154" s="1" t="s">
        <v>219</v>
      </c>
      <c r="B154">
        <v>26</v>
      </c>
      <c r="C154" s="1" t="s">
        <v>190</v>
      </c>
      <c r="D154" s="1" t="s">
        <v>49</v>
      </c>
      <c r="E154" s="1" t="s">
        <v>41</v>
      </c>
      <c r="F154">
        <v>652</v>
      </c>
      <c r="G154" s="1" t="s">
        <v>42</v>
      </c>
      <c r="H154">
        <v>7</v>
      </c>
      <c r="I154">
        <v>3</v>
      </c>
      <c r="J154" s="1" t="s">
        <v>73</v>
      </c>
      <c r="K154">
        <v>1</v>
      </c>
      <c r="L154">
        <v>1417</v>
      </c>
      <c r="M154">
        <v>3</v>
      </c>
      <c r="N154" s="1" t="s">
        <v>44</v>
      </c>
      <c r="O154">
        <v>100</v>
      </c>
      <c r="P154">
        <v>4</v>
      </c>
      <c r="Q154">
        <v>1</v>
      </c>
      <c r="R154" s="1" t="s">
        <v>45</v>
      </c>
      <c r="S154">
        <v>1</v>
      </c>
      <c r="T154" s="1" t="s">
        <v>46</v>
      </c>
      <c r="U154">
        <v>3578</v>
      </c>
      <c r="V154" s="1" t="s">
        <v>47</v>
      </c>
      <c r="W154">
        <v>23577</v>
      </c>
      <c r="X154">
        <v>0</v>
      </c>
      <c r="Y154" s="1" t="s">
        <v>48</v>
      </c>
      <c r="Z154" s="1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8">
      <c r="A155" s="1" t="s">
        <v>220</v>
      </c>
      <c r="B155">
        <v>26</v>
      </c>
      <c r="C155" s="1" t="s">
        <v>190</v>
      </c>
      <c r="D155" s="1" t="s">
        <v>49</v>
      </c>
      <c r="E155" s="1" t="s">
        <v>41</v>
      </c>
      <c r="F155">
        <v>474</v>
      </c>
      <c r="G155" s="1" t="s">
        <v>42</v>
      </c>
      <c r="H155">
        <v>3</v>
      </c>
      <c r="I155">
        <v>3</v>
      </c>
      <c r="J155" s="1" t="s">
        <v>43</v>
      </c>
      <c r="K155">
        <v>1</v>
      </c>
      <c r="L155">
        <v>1581</v>
      </c>
      <c r="M155">
        <v>1</v>
      </c>
      <c r="N155" s="1" t="s">
        <v>53</v>
      </c>
      <c r="O155">
        <v>89</v>
      </c>
      <c r="P155">
        <v>3</v>
      </c>
      <c r="Q155">
        <v>1</v>
      </c>
      <c r="R155" s="1" t="s">
        <v>60</v>
      </c>
      <c r="S155">
        <v>4</v>
      </c>
      <c r="T155" s="1" t="s">
        <v>105</v>
      </c>
      <c r="U155">
        <v>2061</v>
      </c>
      <c r="V155" s="1" t="s">
        <v>47</v>
      </c>
      <c r="W155">
        <v>11133</v>
      </c>
      <c r="X155">
        <v>1</v>
      </c>
      <c r="Y155" s="1" t="s">
        <v>48</v>
      </c>
      <c r="Z155" s="1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8">
      <c r="A156" s="1" t="s">
        <v>221</v>
      </c>
      <c r="B156">
        <v>26</v>
      </c>
      <c r="C156" s="1" t="s">
        <v>190</v>
      </c>
      <c r="D156" s="1" t="s">
        <v>49</v>
      </c>
      <c r="E156" s="1" t="s">
        <v>59</v>
      </c>
      <c r="F156">
        <v>786</v>
      </c>
      <c r="G156" s="1" t="s">
        <v>42</v>
      </c>
      <c r="H156">
        <v>7</v>
      </c>
      <c r="I156">
        <v>3</v>
      </c>
      <c r="J156" s="1" t="s">
        <v>52</v>
      </c>
      <c r="K156">
        <v>1</v>
      </c>
      <c r="L156">
        <v>1693</v>
      </c>
      <c r="M156">
        <v>4</v>
      </c>
      <c r="N156" s="1" t="s">
        <v>44</v>
      </c>
      <c r="O156">
        <v>76</v>
      </c>
      <c r="P156">
        <v>3</v>
      </c>
      <c r="Q156">
        <v>1</v>
      </c>
      <c r="R156" s="1" t="s">
        <v>45</v>
      </c>
      <c r="S156">
        <v>4</v>
      </c>
      <c r="T156" s="1" t="s">
        <v>46</v>
      </c>
      <c r="U156">
        <v>2570</v>
      </c>
      <c r="V156" s="1" t="s">
        <v>47</v>
      </c>
      <c r="W156">
        <v>11925</v>
      </c>
      <c r="X156">
        <v>1</v>
      </c>
      <c r="Y156" s="1" t="s">
        <v>48</v>
      </c>
      <c r="Z156" s="1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8">
      <c r="A157" s="1" t="s">
        <v>222</v>
      </c>
      <c r="B157">
        <v>26</v>
      </c>
      <c r="C157" s="1" t="s">
        <v>190</v>
      </c>
      <c r="D157" s="1" t="s">
        <v>49</v>
      </c>
      <c r="E157" s="1" t="s">
        <v>41</v>
      </c>
      <c r="F157">
        <v>390</v>
      </c>
      <c r="G157" s="1" t="s">
        <v>42</v>
      </c>
      <c r="H157">
        <v>17</v>
      </c>
      <c r="I157">
        <v>4</v>
      </c>
      <c r="J157" s="1" t="s">
        <v>52</v>
      </c>
      <c r="K157">
        <v>1</v>
      </c>
      <c r="L157">
        <v>1718</v>
      </c>
      <c r="M157">
        <v>4</v>
      </c>
      <c r="N157" s="1" t="s">
        <v>44</v>
      </c>
      <c r="O157">
        <v>62</v>
      </c>
      <c r="P157">
        <v>1</v>
      </c>
      <c r="Q157">
        <v>1</v>
      </c>
      <c r="R157" s="1" t="s">
        <v>45</v>
      </c>
      <c r="S157">
        <v>3</v>
      </c>
      <c r="T157" s="1" t="s">
        <v>105</v>
      </c>
      <c r="U157">
        <v>2305</v>
      </c>
      <c r="V157" s="1" t="s">
        <v>47</v>
      </c>
      <c r="W157">
        <v>6217</v>
      </c>
      <c r="X157">
        <v>1</v>
      </c>
      <c r="Y157" s="1" t="s">
        <v>48</v>
      </c>
      <c r="Z157" s="1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8">
      <c r="A158" s="1" t="s">
        <v>223</v>
      </c>
      <c r="B158">
        <v>26</v>
      </c>
      <c r="C158" s="1" t="s">
        <v>190</v>
      </c>
      <c r="D158" s="1" t="s">
        <v>40</v>
      </c>
      <c r="E158" s="1" t="s">
        <v>41</v>
      </c>
      <c r="F158">
        <v>920</v>
      </c>
      <c r="G158" s="1" t="s">
        <v>71</v>
      </c>
      <c r="H158">
        <v>20</v>
      </c>
      <c r="I158">
        <v>2</v>
      </c>
      <c r="J158" s="1" t="s">
        <v>52</v>
      </c>
      <c r="K158">
        <v>1</v>
      </c>
      <c r="L158">
        <v>1818</v>
      </c>
      <c r="M158">
        <v>4</v>
      </c>
      <c r="N158" s="1" t="s">
        <v>53</v>
      </c>
      <c r="O158">
        <v>69</v>
      </c>
      <c r="P158">
        <v>3</v>
      </c>
      <c r="Q158">
        <v>1</v>
      </c>
      <c r="R158" s="1" t="s">
        <v>71</v>
      </c>
      <c r="S158">
        <v>2</v>
      </c>
      <c r="T158" s="1" t="s">
        <v>105</v>
      </c>
      <c r="U158">
        <v>2148</v>
      </c>
      <c r="V158" s="1" t="s">
        <v>47</v>
      </c>
      <c r="W158">
        <v>6889</v>
      </c>
      <c r="X158">
        <v>0</v>
      </c>
      <c r="Y158" s="1" t="s">
        <v>48</v>
      </c>
      <c r="Z158" s="1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8">
      <c r="A159" s="1" t="s">
        <v>224</v>
      </c>
      <c r="B159">
        <v>26</v>
      </c>
      <c r="C159" s="1" t="s">
        <v>190</v>
      </c>
      <c r="D159" s="1" t="s">
        <v>49</v>
      </c>
      <c r="E159" s="1" t="s">
        <v>41</v>
      </c>
      <c r="F159">
        <v>572</v>
      </c>
      <c r="G159" s="1" t="s">
        <v>51</v>
      </c>
      <c r="H159">
        <v>10</v>
      </c>
      <c r="I159">
        <v>3</v>
      </c>
      <c r="J159" s="1" t="s">
        <v>52</v>
      </c>
      <c r="K159">
        <v>1</v>
      </c>
      <c r="L159">
        <v>1836</v>
      </c>
      <c r="M159">
        <v>3</v>
      </c>
      <c r="N159" s="1" t="s">
        <v>44</v>
      </c>
      <c r="O159">
        <v>46</v>
      </c>
      <c r="P159">
        <v>3</v>
      </c>
      <c r="Q159">
        <v>2</v>
      </c>
      <c r="R159" s="1" t="s">
        <v>137</v>
      </c>
      <c r="S159">
        <v>4</v>
      </c>
      <c r="T159" s="1" t="s">
        <v>46</v>
      </c>
      <c r="U159">
        <v>4684</v>
      </c>
      <c r="V159" s="1" t="s">
        <v>47</v>
      </c>
      <c r="W159">
        <v>9125</v>
      </c>
      <c r="X159">
        <v>1</v>
      </c>
      <c r="Y159" s="1" t="s">
        <v>48</v>
      </c>
      <c r="Z159" s="1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8">
      <c r="A160" s="1" t="s">
        <v>225</v>
      </c>
      <c r="B160">
        <v>26</v>
      </c>
      <c r="C160" s="1" t="s">
        <v>190</v>
      </c>
      <c r="D160" s="1" t="s">
        <v>49</v>
      </c>
      <c r="E160" s="1" t="s">
        <v>41</v>
      </c>
      <c r="F160">
        <v>482</v>
      </c>
      <c r="G160" s="1" t="s">
        <v>42</v>
      </c>
      <c r="H160">
        <v>1</v>
      </c>
      <c r="I160">
        <v>2</v>
      </c>
      <c r="J160" s="1" t="s">
        <v>43</v>
      </c>
      <c r="K160">
        <v>1</v>
      </c>
      <c r="L160">
        <v>1893</v>
      </c>
      <c r="M160">
        <v>2</v>
      </c>
      <c r="N160" s="1" t="s">
        <v>53</v>
      </c>
      <c r="O160">
        <v>90</v>
      </c>
      <c r="P160">
        <v>2</v>
      </c>
      <c r="Q160">
        <v>1</v>
      </c>
      <c r="R160" s="1" t="s">
        <v>60</v>
      </c>
      <c r="S160">
        <v>3</v>
      </c>
      <c r="T160" s="1" t="s">
        <v>105</v>
      </c>
      <c r="U160">
        <v>2933</v>
      </c>
      <c r="V160" s="1" t="s">
        <v>47</v>
      </c>
      <c r="W160">
        <v>14908</v>
      </c>
      <c r="X160">
        <v>1</v>
      </c>
      <c r="Y160" s="1" t="s">
        <v>48</v>
      </c>
      <c r="Z160" s="1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8">
      <c r="A161" s="1" t="s">
        <v>226</v>
      </c>
      <c r="B161">
        <v>26</v>
      </c>
      <c r="C161" s="1" t="s">
        <v>190</v>
      </c>
      <c r="D161" s="1" t="s">
        <v>49</v>
      </c>
      <c r="E161" s="1" t="s">
        <v>56</v>
      </c>
      <c r="F161">
        <v>1096</v>
      </c>
      <c r="G161" s="1" t="s">
        <v>42</v>
      </c>
      <c r="H161">
        <v>6</v>
      </c>
      <c r="I161">
        <v>3</v>
      </c>
      <c r="J161" s="1" t="s">
        <v>73</v>
      </c>
      <c r="K161">
        <v>1</v>
      </c>
      <c r="L161">
        <v>1918</v>
      </c>
      <c r="M161">
        <v>3</v>
      </c>
      <c r="N161" s="1" t="s">
        <v>44</v>
      </c>
      <c r="O161">
        <v>61</v>
      </c>
      <c r="P161">
        <v>4</v>
      </c>
      <c r="Q161">
        <v>1</v>
      </c>
      <c r="R161" s="1" t="s">
        <v>45</v>
      </c>
      <c r="S161">
        <v>4</v>
      </c>
      <c r="T161" s="1" t="s">
        <v>105</v>
      </c>
      <c r="U161">
        <v>2544</v>
      </c>
      <c r="V161" s="1" t="s">
        <v>47</v>
      </c>
      <c r="W161">
        <v>7102</v>
      </c>
      <c r="X161">
        <v>0</v>
      </c>
      <c r="Y161" s="1" t="s">
        <v>48</v>
      </c>
      <c r="Z161" s="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8">
      <c r="A162" s="1" t="s">
        <v>227</v>
      </c>
      <c r="B162">
        <v>26</v>
      </c>
      <c r="C162" s="1" t="s">
        <v>190</v>
      </c>
      <c r="D162" s="1" t="s">
        <v>49</v>
      </c>
      <c r="E162" s="1" t="s">
        <v>41</v>
      </c>
      <c r="F162">
        <v>157</v>
      </c>
      <c r="G162" s="1" t="s">
        <v>42</v>
      </c>
      <c r="H162">
        <v>1</v>
      </c>
      <c r="I162">
        <v>3</v>
      </c>
      <c r="J162" s="1" t="s">
        <v>52</v>
      </c>
      <c r="K162">
        <v>1</v>
      </c>
      <c r="L162">
        <v>1952</v>
      </c>
      <c r="M162">
        <v>3</v>
      </c>
      <c r="N162" s="1" t="s">
        <v>44</v>
      </c>
      <c r="O162">
        <v>95</v>
      </c>
      <c r="P162">
        <v>3</v>
      </c>
      <c r="Q162">
        <v>1</v>
      </c>
      <c r="R162" s="1" t="s">
        <v>45</v>
      </c>
      <c r="S162">
        <v>1</v>
      </c>
      <c r="T162" s="1" t="s">
        <v>46</v>
      </c>
      <c r="U162">
        <v>2867</v>
      </c>
      <c r="V162" s="1" t="s">
        <v>47</v>
      </c>
      <c r="W162">
        <v>20006</v>
      </c>
      <c r="X162">
        <v>0</v>
      </c>
      <c r="Y162" s="1" t="s">
        <v>48</v>
      </c>
      <c r="Z162" s="1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8">
      <c r="A163" s="1" t="s">
        <v>228</v>
      </c>
      <c r="B163">
        <v>26</v>
      </c>
      <c r="C163" s="1" t="s">
        <v>190</v>
      </c>
      <c r="D163" s="1" t="s">
        <v>49</v>
      </c>
      <c r="E163" s="1" t="s">
        <v>41</v>
      </c>
      <c r="F163">
        <v>1167</v>
      </c>
      <c r="G163" s="1" t="s">
        <v>51</v>
      </c>
      <c r="H163">
        <v>5</v>
      </c>
      <c r="I163">
        <v>3</v>
      </c>
      <c r="J163" s="1" t="s">
        <v>73</v>
      </c>
      <c r="K163">
        <v>1</v>
      </c>
      <c r="L163">
        <v>2060</v>
      </c>
      <c r="M163">
        <v>4</v>
      </c>
      <c r="N163" s="1" t="s">
        <v>53</v>
      </c>
      <c r="O163">
        <v>30</v>
      </c>
      <c r="P163">
        <v>2</v>
      </c>
      <c r="Q163">
        <v>1</v>
      </c>
      <c r="R163" s="1" t="s">
        <v>54</v>
      </c>
      <c r="S163">
        <v>3</v>
      </c>
      <c r="T163" s="1" t="s">
        <v>46</v>
      </c>
      <c r="U163">
        <v>2966</v>
      </c>
      <c r="V163" s="1" t="s">
        <v>47</v>
      </c>
      <c r="W163">
        <v>21378</v>
      </c>
      <c r="X163">
        <v>0</v>
      </c>
      <c r="Y163" s="1" t="s">
        <v>48</v>
      </c>
      <c r="Z163" s="1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8">
      <c r="A164" s="1" t="s">
        <v>228</v>
      </c>
      <c r="B164">
        <v>26</v>
      </c>
      <c r="C164" s="1" t="s">
        <v>190</v>
      </c>
      <c r="D164" s="1" t="s">
        <v>49</v>
      </c>
      <c r="E164" s="1" t="s">
        <v>41</v>
      </c>
      <c r="F164">
        <v>1167</v>
      </c>
      <c r="G164" s="1" t="s">
        <v>51</v>
      </c>
      <c r="H164">
        <v>5</v>
      </c>
      <c r="I164">
        <v>3</v>
      </c>
      <c r="J164" s="1" t="s">
        <v>73</v>
      </c>
      <c r="K164">
        <v>1</v>
      </c>
      <c r="L164">
        <v>2060</v>
      </c>
      <c r="M164">
        <v>4</v>
      </c>
      <c r="N164" s="1" t="s">
        <v>53</v>
      </c>
      <c r="O164">
        <v>30</v>
      </c>
      <c r="P164">
        <v>2</v>
      </c>
      <c r="Q164">
        <v>1</v>
      </c>
      <c r="R164" s="1" t="s">
        <v>54</v>
      </c>
      <c r="S164">
        <v>3</v>
      </c>
      <c r="T164" s="1" t="s">
        <v>46</v>
      </c>
      <c r="U164">
        <v>2966</v>
      </c>
      <c r="V164" s="1" t="s">
        <v>47</v>
      </c>
      <c r="W164">
        <v>21378</v>
      </c>
      <c r="X164">
        <v>0</v>
      </c>
      <c r="Y164" s="1" t="s">
        <v>48</v>
      </c>
      <c r="Z164" s="1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8">
      <c r="A165" s="1" t="s">
        <v>229</v>
      </c>
      <c r="B165">
        <v>27</v>
      </c>
      <c r="C165" s="1" t="s">
        <v>190</v>
      </c>
      <c r="D165" s="1" t="s">
        <v>49</v>
      </c>
      <c r="E165" s="1" t="s">
        <v>41</v>
      </c>
      <c r="F165">
        <v>591</v>
      </c>
      <c r="G165" s="1" t="s">
        <v>42</v>
      </c>
      <c r="H165">
        <v>2</v>
      </c>
      <c r="I165">
        <v>1</v>
      </c>
      <c r="J165" s="1" t="s">
        <v>52</v>
      </c>
      <c r="K165">
        <v>1</v>
      </c>
      <c r="L165">
        <v>7</v>
      </c>
      <c r="M165">
        <v>1</v>
      </c>
      <c r="N165" s="1" t="s">
        <v>44</v>
      </c>
      <c r="O165">
        <v>40</v>
      </c>
      <c r="P165">
        <v>3</v>
      </c>
      <c r="Q165">
        <v>1</v>
      </c>
      <c r="R165" s="1" t="s">
        <v>45</v>
      </c>
      <c r="S165">
        <v>2</v>
      </c>
      <c r="T165" s="1" t="s">
        <v>105</v>
      </c>
      <c r="U165">
        <v>3468</v>
      </c>
      <c r="V165" s="1" t="s">
        <v>47</v>
      </c>
      <c r="W165">
        <v>16632</v>
      </c>
      <c r="X165">
        <v>9</v>
      </c>
      <c r="Y165" s="1" t="s">
        <v>48</v>
      </c>
      <c r="Z165" s="1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8">
      <c r="A166" s="1" t="s">
        <v>230</v>
      </c>
      <c r="B166">
        <v>27</v>
      </c>
      <c r="C166" s="1" t="s">
        <v>190</v>
      </c>
      <c r="D166" s="1" t="s">
        <v>49</v>
      </c>
      <c r="E166" s="1" t="s">
        <v>41</v>
      </c>
      <c r="F166">
        <v>1240</v>
      </c>
      <c r="G166" s="1" t="s">
        <v>42</v>
      </c>
      <c r="H166">
        <v>2</v>
      </c>
      <c r="I166">
        <v>4</v>
      </c>
      <c r="J166" s="1" t="s">
        <v>43</v>
      </c>
      <c r="K166">
        <v>1</v>
      </c>
      <c r="L166">
        <v>54</v>
      </c>
      <c r="M166">
        <v>4</v>
      </c>
      <c r="N166" s="1" t="s">
        <v>53</v>
      </c>
      <c r="O166">
        <v>33</v>
      </c>
      <c r="P166">
        <v>3</v>
      </c>
      <c r="Q166">
        <v>1</v>
      </c>
      <c r="R166" s="1" t="s">
        <v>45</v>
      </c>
      <c r="S166">
        <v>1</v>
      </c>
      <c r="T166" s="1" t="s">
        <v>102</v>
      </c>
      <c r="U166">
        <v>2341</v>
      </c>
      <c r="V166" s="1" t="s">
        <v>47</v>
      </c>
      <c r="W166">
        <v>19715</v>
      </c>
      <c r="X166">
        <v>1</v>
      </c>
      <c r="Y166" s="1" t="s">
        <v>48</v>
      </c>
      <c r="Z166" s="1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8">
      <c r="A167" s="1" t="s">
        <v>231</v>
      </c>
      <c r="B167">
        <v>27</v>
      </c>
      <c r="C167" s="1" t="s">
        <v>190</v>
      </c>
      <c r="D167" s="1" t="s">
        <v>49</v>
      </c>
      <c r="E167" s="1" t="s">
        <v>56</v>
      </c>
      <c r="F167">
        <v>994</v>
      </c>
      <c r="G167" s="1" t="s">
        <v>51</v>
      </c>
      <c r="H167">
        <v>8</v>
      </c>
      <c r="I167">
        <v>3</v>
      </c>
      <c r="J167" s="1" t="s">
        <v>43</v>
      </c>
      <c r="K167">
        <v>1</v>
      </c>
      <c r="L167">
        <v>56</v>
      </c>
      <c r="M167">
        <v>4</v>
      </c>
      <c r="N167" s="1" t="s">
        <v>44</v>
      </c>
      <c r="O167">
        <v>37</v>
      </c>
      <c r="P167">
        <v>3</v>
      </c>
      <c r="Q167">
        <v>3</v>
      </c>
      <c r="R167" s="1" t="s">
        <v>137</v>
      </c>
      <c r="S167">
        <v>3</v>
      </c>
      <c r="T167" s="1" t="s">
        <v>46</v>
      </c>
      <c r="U167">
        <v>8726</v>
      </c>
      <c r="V167" s="1" t="s">
        <v>163</v>
      </c>
      <c r="W167">
        <v>2975</v>
      </c>
      <c r="X167">
        <v>1</v>
      </c>
      <c r="Y167" s="1" t="s">
        <v>48</v>
      </c>
      <c r="Z167" s="1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8">
      <c r="A168" s="1" t="s">
        <v>232</v>
      </c>
      <c r="B168">
        <v>27</v>
      </c>
      <c r="C168" s="1" t="s">
        <v>190</v>
      </c>
      <c r="D168" s="1" t="s">
        <v>49</v>
      </c>
      <c r="E168" s="1" t="s">
        <v>59</v>
      </c>
      <c r="F168">
        <v>691</v>
      </c>
      <c r="G168" s="1" t="s">
        <v>42</v>
      </c>
      <c r="H168">
        <v>9</v>
      </c>
      <c r="I168">
        <v>3</v>
      </c>
      <c r="J168" s="1" t="s">
        <v>52</v>
      </c>
      <c r="K168">
        <v>1</v>
      </c>
      <c r="L168">
        <v>218</v>
      </c>
      <c r="M168">
        <v>4</v>
      </c>
      <c r="N168" s="1" t="s">
        <v>44</v>
      </c>
      <c r="O168">
        <v>57</v>
      </c>
      <c r="P168">
        <v>3</v>
      </c>
      <c r="Q168">
        <v>1</v>
      </c>
      <c r="R168" s="1" t="s">
        <v>60</v>
      </c>
      <c r="S168">
        <v>2</v>
      </c>
      <c r="T168" s="1" t="s">
        <v>102</v>
      </c>
      <c r="U168">
        <v>2024</v>
      </c>
      <c r="V168" s="1" t="s">
        <v>47</v>
      </c>
      <c r="W168">
        <v>5970</v>
      </c>
      <c r="X168">
        <v>6</v>
      </c>
      <c r="Y168" s="1" t="s">
        <v>48</v>
      </c>
      <c r="Z168" s="1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8">
      <c r="A169" s="1" t="s">
        <v>233</v>
      </c>
      <c r="B169">
        <v>27</v>
      </c>
      <c r="C169" s="1" t="s">
        <v>190</v>
      </c>
      <c r="D169" s="1" t="s">
        <v>49</v>
      </c>
      <c r="E169" s="1" t="s">
        <v>59</v>
      </c>
      <c r="F169">
        <v>1450</v>
      </c>
      <c r="G169" s="1" t="s">
        <v>42</v>
      </c>
      <c r="H169">
        <v>3</v>
      </c>
      <c r="I169">
        <v>3</v>
      </c>
      <c r="J169" s="1" t="s">
        <v>52</v>
      </c>
      <c r="K169">
        <v>1</v>
      </c>
      <c r="L169">
        <v>224</v>
      </c>
      <c r="M169">
        <v>3</v>
      </c>
      <c r="N169" s="1" t="s">
        <v>44</v>
      </c>
      <c r="O169">
        <v>79</v>
      </c>
      <c r="P169">
        <v>2</v>
      </c>
      <c r="Q169">
        <v>1</v>
      </c>
      <c r="R169" s="1" t="s">
        <v>60</v>
      </c>
      <c r="S169">
        <v>3</v>
      </c>
      <c r="T169" s="1" t="s">
        <v>102</v>
      </c>
      <c r="U169">
        <v>2566</v>
      </c>
      <c r="V169" s="1" t="s">
        <v>47</v>
      </c>
      <c r="W169">
        <v>25326</v>
      </c>
      <c r="X169">
        <v>1</v>
      </c>
      <c r="Y169" s="1" t="s">
        <v>48</v>
      </c>
      <c r="Z169" s="1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8">
      <c r="A170" s="1" t="s">
        <v>234</v>
      </c>
      <c r="B170">
        <v>27</v>
      </c>
      <c r="C170" s="1" t="s">
        <v>190</v>
      </c>
      <c r="D170" s="1" t="s">
        <v>49</v>
      </c>
      <c r="E170" s="1" t="s">
        <v>41</v>
      </c>
      <c r="F170">
        <v>1157</v>
      </c>
      <c r="G170" s="1" t="s">
        <v>42</v>
      </c>
      <c r="H170">
        <v>17</v>
      </c>
      <c r="I170">
        <v>3</v>
      </c>
      <c r="J170" s="1" t="s">
        <v>68</v>
      </c>
      <c r="K170">
        <v>1</v>
      </c>
      <c r="L170">
        <v>233</v>
      </c>
      <c r="M170">
        <v>3</v>
      </c>
      <c r="N170" s="1" t="s">
        <v>44</v>
      </c>
      <c r="O170">
        <v>51</v>
      </c>
      <c r="P170">
        <v>3</v>
      </c>
      <c r="Q170">
        <v>1</v>
      </c>
      <c r="R170" s="1" t="s">
        <v>60</v>
      </c>
      <c r="S170">
        <v>2</v>
      </c>
      <c r="T170" s="1" t="s">
        <v>105</v>
      </c>
      <c r="U170">
        <v>3058</v>
      </c>
      <c r="V170" s="1" t="s">
        <v>47</v>
      </c>
      <c r="W170">
        <v>13364</v>
      </c>
      <c r="X170">
        <v>0</v>
      </c>
      <c r="Y170" s="1" t="s">
        <v>48</v>
      </c>
      <c r="Z170" s="1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8">
      <c r="A171" s="1" t="s">
        <v>235</v>
      </c>
      <c r="B171">
        <v>27</v>
      </c>
      <c r="C171" s="1" t="s">
        <v>190</v>
      </c>
      <c r="D171" s="1" t="s">
        <v>49</v>
      </c>
      <c r="E171" s="1" t="s">
        <v>41</v>
      </c>
      <c r="F171">
        <v>894</v>
      </c>
      <c r="G171" s="1" t="s">
        <v>42</v>
      </c>
      <c r="H171">
        <v>9</v>
      </c>
      <c r="I171">
        <v>3</v>
      </c>
      <c r="J171" s="1" t="s">
        <v>52</v>
      </c>
      <c r="K171">
        <v>1</v>
      </c>
      <c r="L171">
        <v>260</v>
      </c>
      <c r="M171">
        <v>4</v>
      </c>
      <c r="N171" s="1" t="s">
        <v>53</v>
      </c>
      <c r="O171">
        <v>99</v>
      </c>
      <c r="P171">
        <v>3</v>
      </c>
      <c r="Q171">
        <v>1</v>
      </c>
      <c r="R171" s="1" t="s">
        <v>60</v>
      </c>
      <c r="S171">
        <v>2</v>
      </c>
      <c r="T171" s="1" t="s">
        <v>46</v>
      </c>
      <c r="U171">
        <v>2279</v>
      </c>
      <c r="V171" s="1" t="s">
        <v>47</v>
      </c>
      <c r="W171">
        <v>11781</v>
      </c>
      <c r="X171">
        <v>1</v>
      </c>
      <c r="Y171" s="1" t="s">
        <v>48</v>
      </c>
      <c r="Z171" s="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8">
      <c r="A172" s="1" t="s">
        <v>236</v>
      </c>
      <c r="B172">
        <v>27</v>
      </c>
      <c r="C172" s="1" t="s">
        <v>190</v>
      </c>
      <c r="D172" s="1" t="s">
        <v>49</v>
      </c>
      <c r="E172" s="1" t="s">
        <v>56</v>
      </c>
      <c r="F172">
        <v>472</v>
      </c>
      <c r="G172" s="1" t="s">
        <v>42</v>
      </c>
      <c r="H172">
        <v>1</v>
      </c>
      <c r="I172">
        <v>1</v>
      </c>
      <c r="J172" s="1" t="s">
        <v>68</v>
      </c>
      <c r="K172">
        <v>1</v>
      </c>
      <c r="L172">
        <v>274</v>
      </c>
      <c r="M172">
        <v>3</v>
      </c>
      <c r="N172" s="1" t="s">
        <v>44</v>
      </c>
      <c r="O172">
        <v>60</v>
      </c>
      <c r="P172">
        <v>2</v>
      </c>
      <c r="Q172">
        <v>2</v>
      </c>
      <c r="R172" s="1" t="s">
        <v>112</v>
      </c>
      <c r="S172">
        <v>1</v>
      </c>
      <c r="T172" s="1" t="s">
        <v>105</v>
      </c>
      <c r="U172">
        <v>4298</v>
      </c>
      <c r="V172" s="1" t="s">
        <v>47</v>
      </c>
      <c r="W172">
        <v>9679</v>
      </c>
      <c r="X172">
        <v>5</v>
      </c>
      <c r="Y172" s="1" t="s">
        <v>48</v>
      </c>
      <c r="Z172" s="1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8">
      <c r="A173" s="1" t="s">
        <v>237</v>
      </c>
      <c r="B173">
        <v>27</v>
      </c>
      <c r="C173" s="1" t="s">
        <v>190</v>
      </c>
      <c r="D173" s="1" t="s">
        <v>49</v>
      </c>
      <c r="E173" s="1" t="s">
        <v>56</v>
      </c>
      <c r="F173">
        <v>1242</v>
      </c>
      <c r="G173" s="1" t="s">
        <v>51</v>
      </c>
      <c r="H173">
        <v>20</v>
      </c>
      <c r="I173">
        <v>3</v>
      </c>
      <c r="J173" s="1" t="s">
        <v>43</v>
      </c>
      <c r="K173">
        <v>1</v>
      </c>
      <c r="L173">
        <v>293</v>
      </c>
      <c r="M173">
        <v>4</v>
      </c>
      <c r="N173" s="1" t="s">
        <v>53</v>
      </c>
      <c r="O173">
        <v>90</v>
      </c>
      <c r="P173">
        <v>3</v>
      </c>
      <c r="Q173">
        <v>2</v>
      </c>
      <c r="R173" s="1" t="s">
        <v>137</v>
      </c>
      <c r="S173">
        <v>3</v>
      </c>
      <c r="T173" s="1" t="s">
        <v>46</v>
      </c>
      <c r="U173">
        <v>9981</v>
      </c>
      <c r="V173" s="1" t="s">
        <v>163</v>
      </c>
      <c r="W173">
        <v>12916</v>
      </c>
      <c r="X173">
        <v>1</v>
      </c>
      <c r="Y173" s="1" t="s">
        <v>48</v>
      </c>
      <c r="Z173" s="1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8">
      <c r="A174" s="1" t="s">
        <v>238</v>
      </c>
      <c r="B174">
        <v>27</v>
      </c>
      <c r="C174" s="1" t="s">
        <v>190</v>
      </c>
      <c r="D174" s="1" t="s">
        <v>49</v>
      </c>
      <c r="E174" s="1" t="s">
        <v>41</v>
      </c>
      <c r="F174">
        <v>1220</v>
      </c>
      <c r="G174" s="1" t="s">
        <v>42</v>
      </c>
      <c r="H174">
        <v>5</v>
      </c>
      <c r="I174">
        <v>3</v>
      </c>
      <c r="J174" s="1" t="s">
        <v>43</v>
      </c>
      <c r="K174">
        <v>1</v>
      </c>
      <c r="L174">
        <v>434</v>
      </c>
      <c r="M174">
        <v>3</v>
      </c>
      <c r="N174" s="1" t="s">
        <v>53</v>
      </c>
      <c r="O174">
        <v>85</v>
      </c>
      <c r="P174">
        <v>3</v>
      </c>
      <c r="Q174">
        <v>1</v>
      </c>
      <c r="R174" s="1" t="s">
        <v>60</v>
      </c>
      <c r="S174">
        <v>2</v>
      </c>
      <c r="T174" s="1" t="s">
        <v>46</v>
      </c>
      <c r="U174">
        <v>2478</v>
      </c>
      <c r="V174" s="1" t="s">
        <v>47</v>
      </c>
      <c r="W174">
        <v>20938</v>
      </c>
      <c r="X174">
        <v>1</v>
      </c>
      <c r="Y174" s="1" t="s">
        <v>48</v>
      </c>
      <c r="Z174" s="1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8">
      <c r="A175" s="1" t="s">
        <v>239</v>
      </c>
      <c r="B175">
        <v>27</v>
      </c>
      <c r="C175" s="1" t="s">
        <v>190</v>
      </c>
      <c r="D175" s="1" t="s">
        <v>49</v>
      </c>
      <c r="E175" s="1" t="s">
        <v>41</v>
      </c>
      <c r="F175">
        <v>1377</v>
      </c>
      <c r="G175" s="1" t="s">
        <v>51</v>
      </c>
      <c r="H175">
        <v>2</v>
      </c>
      <c r="I175">
        <v>3</v>
      </c>
      <c r="J175" s="1" t="s">
        <v>43</v>
      </c>
      <c r="K175">
        <v>1</v>
      </c>
      <c r="L175">
        <v>437</v>
      </c>
      <c r="M175">
        <v>4</v>
      </c>
      <c r="N175" s="1" t="s">
        <v>44</v>
      </c>
      <c r="O175">
        <v>74</v>
      </c>
      <c r="P175">
        <v>3</v>
      </c>
      <c r="Q175">
        <v>2</v>
      </c>
      <c r="R175" s="1" t="s">
        <v>137</v>
      </c>
      <c r="S175">
        <v>3</v>
      </c>
      <c r="T175" s="1" t="s">
        <v>46</v>
      </c>
      <c r="U175">
        <v>4478</v>
      </c>
      <c r="V175" s="1" t="s">
        <v>47</v>
      </c>
      <c r="W175">
        <v>5242</v>
      </c>
      <c r="X175">
        <v>1</v>
      </c>
      <c r="Y175" s="1" t="s">
        <v>48</v>
      </c>
      <c r="Z175" s="1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8">
      <c r="A176" s="1" t="s">
        <v>240</v>
      </c>
      <c r="B176">
        <v>27</v>
      </c>
      <c r="C176" s="1" t="s">
        <v>190</v>
      </c>
      <c r="D176" s="1" t="s">
        <v>49</v>
      </c>
      <c r="E176" s="1" t="s">
        <v>59</v>
      </c>
      <c r="F176">
        <v>210</v>
      </c>
      <c r="G176" s="1" t="s">
        <v>51</v>
      </c>
      <c r="H176">
        <v>1</v>
      </c>
      <c r="I176">
        <v>1</v>
      </c>
      <c r="J176" s="1" t="s">
        <v>57</v>
      </c>
      <c r="K176">
        <v>1</v>
      </c>
      <c r="L176">
        <v>449</v>
      </c>
      <c r="M176">
        <v>3</v>
      </c>
      <c r="N176" s="1" t="s">
        <v>44</v>
      </c>
      <c r="O176">
        <v>73</v>
      </c>
      <c r="P176">
        <v>3</v>
      </c>
      <c r="Q176">
        <v>2</v>
      </c>
      <c r="R176" s="1" t="s">
        <v>137</v>
      </c>
      <c r="S176">
        <v>2</v>
      </c>
      <c r="T176" s="1" t="s">
        <v>105</v>
      </c>
      <c r="U176">
        <v>6349</v>
      </c>
      <c r="V176" s="1" t="s">
        <v>163</v>
      </c>
      <c r="W176">
        <v>22107</v>
      </c>
      <c r="X176">
        <v>0</v>
      </c>
      <c r="Y176" s="1" t="s">
        <v>48</v>
      </c>
      <c r="Z176" s="1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8">
      <c r="A177" s="1" t="s">
        <v>241</v>
      </c>
      <c r="B177">
        <v>27</v>
      </c>
      <c r="C177" s="1" t="s">
        <v>190</v>
      </c>
      <c r="D177" s="1" t="s">
        <v>49</v>
      </c>
      <c r="E177" s="1" t="s">
        <v>41</v>
      </c>
      <c r="F177">
        <v>1130</v>
      </c>
      <c r="G177" s="1" t="s">
        <v>51</v>
      </c>
      <c r="H177">
        <v>8</v>
      </c>
      <c r="I177">
        <v>4</v>
      </c>
      <c r="J177" s="1" t="s">
        <v>57</v>
      </c>
      <c r="K177">
        <v>1</v>
      </c>
      <c r="L177">
        <v>458</v>
      </c>
      <c r="M177">
        <v>2</v>
      </c>
      <c r="N177" s="1" t="s">
        <v>53</v>
      </c>
      <c r="O177">
        <v>56</v>
      </c>
      <c r="P177">
        <v>3</v>
      </c>
      <c r="Q177">
        <v>2</v>
      </c>
      <c r="R177" s="1" t="s">
        <v>137</v>
      </c>
      <c r="S177">
        <v>2</v>
      </c>
      <c r="T177" s="1" t="s">
        <v>105</v>
      </c>
      <c r="U177">
        <v>6214</v>
      </c>
      <c r="V177" s="1" t="s">
        <v>163</v>
      </c>
      <c r="W177">
        <v>3415</v>
      </c>
      <c r="X177">
        <v>1</v>
      </c>
      <c r="Y177" s="1" t="s">
        <v>48</v>
      </c>
      <c r="Z177" s="1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8">
      <c r="A178" s="1" t="s">
        <v>242</v>
      </c>
      <c r="B178">
        <v>27</v>
      </c>
      <c r="C178" s="1" t="s">
        <v>190</v>
      </c>
      <c r="D178" s="1" t="s">
        <v>49</v>
      </c>
      <c r="E178" s="1" t="s">
        <v>41</v>
      </c>
      <c r="F178">
        <v>1469</v>
      </c>
      <c r="G178" s="1" t="s">
        <v>42</v>
      </c>
      <c r="H178">
        <v>1</v>
      </c>
      <c r="I178">
        <v>2</v>
      </c>
      <c r="J178" s="1" t="s">
        <v>52</v>
      </c>
      <c r="K178">
        <v>1</v>
      </c>
      <c r="L178">
        <v>497</v>
      </c>
      <c r="M178">
        <v>4</v>
      </c>
      <c r="N178" s="1" t="s">
        <v>44</v>
      </c>
      <c r="O178">
        <v>82</v>
      </c>
      <c r="P178">
        <v>3</v>
      </c>
      <c r="Q178">
        <v>1</v>
      </c>
      <c r="R178" s="1" t="s">
        <v>45</v>
      </c>
      <c r="S178">
        <v>2</v>
      </c>
      <c r="T178" s="1" t="s">
        <v>102</v>
      </c>
      <c r="U178">
        <v>3816</v>
      </c>
      <c r="V178" s="1" t="s">
        <v>47</v>
      </c>
      <c r="W178">
        <v>17881</v>
      </c>
      <c r="X178">
        <v>1</v>
      </c>
      <c r="Y178" s="1" t="s">
        <v>48</v>
      </c>
      <c r="Z178" s="1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8">
      <c r="A179" s="1" t="s">
        <v>243</v>
      </c>
      <c r="B179">
        <v>27</v>
      </c>
      <c r="C179" s="1" t="s">
        <v>190</v>
      </c>
      <c r="D179" s="1" t="s">
        <v>49</v>
      </c>
      <c r="E179" s="1" t="s">
        <v>41</v>
      </c>
      <c r="F179">
        <v>798</v>
      </c>
      <c r="G179" s="1" t="s">
        <v>42</v>
      </c>
      <c r="H179">
        <v>6</v>
      </c>
      <c r="I179">
        <v>4</v>
      </c>
      <c r="J179" s="1" t="s">
        <v>52</v>
      </c>
      <c r="K179">
        <v>1</v>
      </c>
      <c r="L179">
        <v>655</v>
      </c>
      <c r="M179">
        <v>1</v>
      </c>
      <c r="N179" s="1" t="s">
        <v>53</v>
      </c>
      <c r="O179">
        <v>66</v>
      </c>
      <c r="P179">
        <v>2</v>
      </c>
      <c r="Q179">
        <v>1</v>
      </c>
      <c r="R179" s="1" t="s">
        <v>60</v>
      </c>
      <c r="S179">
        <v>3</v>
      </c>
      <c r="T179" s="1" t="s">
        <v>102</v>
      </c>
      <c r="U179">
        <v>2187</v>
      </c>
      <c r="V179" s="1" t="s">
        <v>47</v>
      </c>
      <c r="W179">
        <v>5013</v>
      </c>
      <c r="X179">
        <v>0</v>
      </c>
      <c r="Y179" s="1" t="s">
        <v>48</v>
      </c>
      <c r="Z179" s="1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8">
      <c r="A180" s="1" t="s">
        <v>244</v>
      </c>
      <c r="B180">
        <v>27</v>
      </c>
      <c r="C180" s="1" t="s">
        <v>190</v>
      </c>
      <c r="D180" s="1" t="s">
        <v>40</v>
      </c>
      <c r="E180" s="1" t="s">
        <v>41</v>
      </c>
      <c r="F180">
        <v>1420</v>
      </c>
      <c r="G180" s="1" t="s">
        <v>51</v>
      </c>
      <c r="H180">
        <v>2</v>
      </c>
      <c r="I180">
        <v>1</v>
      </c>
      <c r="J180" s="1" t="s">
        <v>57</v>
      </c>
      <c r="K180">
        <v>1</v>
      </c>
      <c r="L180">
        <v>667</v>
      </c>
      <c r="M180">
        <v>3</v>
      </c>
      <c r="N180" s="1" t="s">
        <v>44</v>
      </c>
      <c r="O180">
        <v>85</v>
      </c>
      <c r="P180">
        <v>3</v>
      </c>
      <c r="Q180">
        <v>1</v>
      </c>
      <c r="R180" s="1" t="s">
        <v>54</v>
      </c>
      <c r="S180">
        <v>1</v>
      </c>
      <c r="T180" s="1" t="s">
        <v>102</v>
      </c>
      <c r="U180">
        <v>3041</v>
      </c>
      <c r="V180" s="1" t="s">
        <v>47</v>
      </c>
      <c r="W180">
        <v>16346</v>
      </c>
      <c r="X180">
        <v>0</v>
      </c>
      <c r="Y180" s="1" t="s">
        <v>48</v>
      </c>
      <c r="Z180" s="1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8">
      <c r="A181" s="1" t="s">
        <v>245</v>
      </c>
      <c r="B181">
        <v>27</v>
      </c>
      <c r="C181" s="1" t="s">
        <v>190</v>
      </c>
      <c r="D181" s="1" t="s">
        <v>49</v>
      </c>
      <c r="E181" s="1" t="s">
        <v>41</v>
      </c>
      <c r="F181">
        <v>1115</v>
      </c>
      <c r="G181" s="1" t="s">
        <v>42</v>
      </c>
      <c r="H181">
        <v>3</v>
      </c>
      <c r="I181">
        <v>4</v>
      </c>
      <c r="J181" s="1" t="s">
        <v>52</v>
      </c>
      <c r="K181">
        <v>1</v>
      </c>
      <c r="L181">
        <v>700</v>
      </c>
      <c r="M181">
        <v>1</v>
      </c>
      <c r="N181" s="1" t="s">
        <v>44</v>
      </c>
      <c r="O181">
        <v>54</v>
      </c>
      <c r="P181">
        <v>2</v>
      </c>
      <c r="Q181">
        <v>1</v>
      </c>
      <c r="R181" s="1" t="s">
        <v>60</v>
      </c>
      <c r="S181">
        <v>4</v>
      </c>
      <c r="T181" s="1" t="s">
        <v>46</v>
      </c>
      <c r="U181">
        <v>2045</v>
      </c>
      <c r="V181" s="1" t="s">
        <v>47</v>
      </c>
      <c r="W181">
        <v>15174</v>
      </c>
      <c r="X181">
        <v>0</v>
      </c>
      <c r="Y181" s="1" t="s">
        <v>48</v>
      </c>
      <c r="Z181" s="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8">
      <c r="A182" s="1" t="s">
        <v>246</v>
      </c>
      <c r="B182">
        <v>27</v>
      </c>
      <c r="C182" s="1" t="s">
        <v>190</v>
      </c>
      <c r="D182" s="1" t="s">
        <v>49</v>
      </c>
      <c r="E182" s="1" t="s">
        <v>56</v>
      </c>
      <c r="F182">
        <v>1410</v>
      </c>
      <c r="G182" s="1" t="s">
        <v>51</v>
      </c>
      <c r="H182">
        <v>3</v>
      </c>
      <c r="I182">
        <v>1</v>
      </c>
      <c r="J182" s="1" t="s">
        <v>52</v>
      </c>
      <c r="K182">
        <v>1</v>
      </c>
      <c r="L182">
        <v>714</v>
      </c>
      <c r="M182">
        <v>4</v>
      </c>
      <c r="N182" s="1" t="s">
        <v>53</v>
      </c>
      <c r="O182">
        <v>71</v>
      </c>
      <c r="P182">
        <v>4</v>
      </c>
      <c r="Q182">
        <v>2</v>
      </c>
      <c r="R182" s="1" t="s">
        <v>137</v>
      </c>
      <c r="S182">
        <v>4</v>
      </c>
      <c r="T182" s="1" t="s">
        <v>102</v>
      </c>
      <c r="U182">
        <v>4647</v>
      </c>
      <c r="V182" s="1" t="s">
        <v>47</v>
      </c>
      <c r="W182">
        <v>16673</v>
      </c>
      <c r="X182">
        <v>1</v>
      </c>
      <c r="Y182" s="1" t="s">
        <v>48</v>
      </c>
      <c r="Z182" s="1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8">
      <c r="A183" s="1" t="s">
        <v>247</v>
      </c>
      <c r="B183">
        <v>27</v>
      </c>
      <c r="C183" s="1" t="s">
        <v>190</v>
      </c>
      <c r="D183" s="1" t="s">
        <v>49</v>
      </c>
      <c r="E183" s="1" t="s">
        <v>41</v>
      </c>
      <c r="F183">
        <v>608</v>
      </c>
      <c r="G183" s="1" t="s">
        <v>42</v>
      </c>
      <c r="H183">
        <v>1</v>
      </c>
      <c r="I183">
        <v>2</v>
      </c>
      <c r="J183" s="1" t="s">
        <v>43</v>
      </c>
      <c r="K183">
        <v>1</v>
      </c>
      <c r="L183">
        <v>725</v>
      </c>
      <c r="M183">
        <v>3</v>
      </c>
      <c r="N183" s="1" t="s">
        <v>53</v>
      </c>
      <c r="O183">
        <v>68</v>
      </c>
      <c r="P183">
        <v>3</v>
      </c>
      <c r="Q183">
        <v>3</v>
      </c>
      <c r="R183" s="1" t="s">
        <v>112</v>
      </c>
      <c r="S183">
        <v>1</v>
      </c>
      <c r="T183" s="1" t="s">
        <v>105</v>
      </c>
      <c r="U183">
        <v>7412</v>
      </c>
      <c r="V183" s="1" t="s">
        <v>163</v>
      </c>
      <c r="W183">
        <v>6009</v>
      </c>
      <c r="X183">
        <v>1</v>
      </c>
      <c r="Y183" s="1" t="s">
        <v>48</v>
      </c>
      <c r="Z183" s="1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8">
      <c r="A184" s="1" t="s">
        <v>248</v>
      </c>
      <c r="B184">
        <v>27</v>
      </c>
      <c r="C184" s="1" t="s">
        <v>190</v>
      </c>
      <c r="D184" s="1" t="s">
        <v>49</v>
      </c>
      <c r="E184" s="1" t="s">
        <v>56</v>
      </c>
      <c r="F184">
        <v>294</v>
      </c>
      <c r="G184" s="1" t="s">
        <v>42</v>
      </c>
      <c r="H184">
        <v>10</v>
      </c>
      <c r="I184">
        <v>2</v>
      </c>
      <c r="J184" s="1" t="s">
        <v>43</v>
      </c>
      <c r="K184">
        <v>1</v>
      </c>
      <c r="L184">
        <v>733</v>
      </c>
      <c r="M184">
        <v>4</v>
      </c>
      <c r="N184" s="1" t="s">
        <v>44</v>
      </c>
      <c r="O184">
        <v>32</v>
      </c>
      <c r="P184">
        <v>3</v>
      </c>
      <c r="Q184">
        <v>3</v>
      </c>
      <c r="R184" s="1" t="s">
        <v>112</v>
      </c>
      <c r="S184">
        <v>1</v>
      </c>
      <c r="T184" s="1" t="s">
        <v>102</v>
      </c>
      <c r="U184">
        <v>8793</v>
      </c>
      <c r="V184" s="1" t="s">
        <v>163</v>
      </c>
      <c r="W184">
        <v>4809</v>
      </c>
      <c r="X184">
        <v>1</v>
      </c>
      <c r="Y184" s="1" t="s">
        <v>48</v>
      </c>
      <c r="Z184" s="1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8">
      <c r="A185" s="1" t="s">
        <v>249</v>
      </c>
      <c r="B185">
        <v>27</v>
      </c>
      <c r="C185" s="1" t="s">
        <v>190</v>
      </c>
      <c r="D185" s="1" t="s">
        <v>49</v>
      </c>
      <c r="E185" s="1" t="s">
        <v>41</v>
      </c>
      <c r="F185">
        <v>975</v>
      </c>
      <c r="G185" s="1" t="s">
        <v>42</v>
      </c>
      <c r="H185">
        <v>7</v>
      </c>
      <c r="I185">
        <v>3</v>
      </c>
      <c r="J185" s="1" t="s">
        <v>52</v>
      </c>
      <c r="K185">
        <v>1</v>
      </c>
      <c r="L185">
        <v>764</v>
      </c>
      <c r="M185">
        <v>4</v>
      </c>
      <c r="N185" s="1" t="s">
        <v>53</v>
      </c>
      <c r="O185">
        <v>55</v>
      </c>
      <c r="P185">
        <v>2</v>
      </c>
      <c r="Q185">
        <v>2</v>
      </c>
      <c r="R185" s="1" t="s">
        <v>161</v>
      </c>
      <c r="S185">
        <v>1</v>
      </c>
      <c r="T185" s="1" t="s">
        <v>46</v>
      </c>
      <c r="U185">
        <v>6811</v>
      </c>
      <c r="V185" s="1" t="s">
        <v>163</v>
      </c>
      <c r="W185">
        <v>23398</v>
      </c>
      <c r="X185">
        <v>8</v>
      </c>
      <c r="Y185" s="1" t="s">
        <v>48</v>
      </c>
      <c r="Z185" s="1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8">
      <c r="A186" s="1" t="s">
        <v>250</v>
      </c>
      <c r="B186">
        <v>27</v>
      </c>
      <c r="C186" s="1" t="s">
        <v>190</v>
      </c>
      <c r="D186" s="1" t="s">
        <v>49</v>
      </c>
      <c r="E186" s="1" t="s">
        <v>56</v>
      </c>
      <c r="F186">
        <v>829</v>
      </c>
      <c r="G186" s="1" t="s">
        <v>51</v>
      </c>
      <c r="H186">
        <v>8</v>
      </c>
      <c r="I186">
        <v>1</v>
      </c>
      <c r="J186" s="1" t="s">
        <v>57</v>
      </c>
      <c r="K186">
        <v>1</v>
      </c>
      <c r="L186">
        <v>800</v>
      </c>
      <c r="M186">
        <v>3</v>
      </c>
      <c r="N186" s="1" t="s">
        <v>44</v>
      </c>
      <c r="O186">
        <v>84</v>
      </c>
      <c r="P186">
        <v>3</v>
      </c>
      <c r="Q186">
        <v>2</v>
      </c>
      <c r="R186" s="1" t="s">
        <v>137</v>
      </c>
      <c r="S186">
        <v>4</v>
      </c>
      <c r="T186" s="1" t="s">
        <v>105</v>
      </c>
      <c r="U186">
        <v>4342</v>
      </c>
      <c r="V186" s="1" t="s">
        <v>47</v>
      </c>
      <c r="W186">
        <v>24008</v>
      </c>
      <c r="X186">
        <v>0</v>
      </c>
      <c r="Y186" s="1" t="s">
        <v>48</v>
      </c>
      <c r="Z186" s="1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8">
      <c r="A187" s="1" t="s">
        <v>251</v>
      </c>
      <c r="B187">
        <v>27</v>
      </c>
      <c r="C187" s="1" t="s">
        <v>190</v>
      </c>
      <c r="D187" s="1" t="s">
        <v>49</v>
      </c>
      <c r="E187" s="1" t="s">
        <v>41</v>
      </c>
      <c r="F187">
        <v>269</v>
      </c>
      <c r="G187" s="1" t="s">
        <v>42</v>
      </c>
      <c r="H187">
        <v>5</v>
      </c>
      <c r="I187">
        <v>1</v>
      </c>
      <c r="J187" s="1" t="s">
        <v>68</v>
      </c>
      <c r="K187">
        <v>1</v>
      </c>
      <c r="L187">
        <v>844</v>
      </c>
      <c r="M187">
        <v>3</v>
      </c>
      <c r="N187" s="1" t="s">
        <v>44</v>
      </c>
      <c r="O187">
        <v>42</v>
      </c>
      <c r="P187">
        <v>2</v>
      </c>
      <c r="Q187">
        <v>3</v>
      </c>
      <c r="R187" s="1" t="s">
        <v>252</v>
      </c>
      <c r="S187">
        <v>4</v>
      </c>
      <c r="T187" s="1" t="s">
        <v>102</v>
      </c>
      <c r="U187">
        <v>12808</v>
      </c>
      <c r="V187" s="1" t="s">
        <v>253</v>
      </c>
      <c r="W187">
        <v>8842</v>
      </c>
      <c r="X187">
        <v>1</v>
      </c>
      <c r="Y187" s="1" t="s">
        <v>48</v>
      </c>
      <c r="Z187" s="1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8">
      <c r="A188" s="1" t="s">
        <v>254</v>
      </c>
      <c r="B188">
        <v>27</v>
      </c>
      <c r="C188" s="1" t="s">
        <v>190</v>
      </c>
      <c r="D188" s="1" t="s">
        <v>49</v>
      </c>
      <c r="E188" s="1" t="s">
        <v>59</v>
      </c>
      <c r="F188">
        <v>443</v>
      </c>
      <c r="G188" s="1" t="s">
        <v>42</v>
      </c>
      <c r="H188">
        <v>3</v>
      </c>
      <c r="I188">
        <v>3</v>
      </c>
      <c r="J188" s="1" t="s">
        <v>52</v>
      </c>
      <c r="K188">
        <v>1</v>
      </c>
      <c r="L188">
        <v>850</v>
      </c>
      <c r="M188">
        <v>4</v>
      </c>
      <c r="N188" s="1" t="s">
        <v>44</v>
      </c>
      <c r="O188">
        <v>50</v>
      </c>
      <c r="P188">
        <v>3</v>
      </c>
      <c r="Q188">
        <v>1</v>
      </c>
      <c r="R188" s="1" t="s">
        <v>60</v>
      </c>
      <c r="S188">
        <v>4</v>
      </c>
      <c r="T188" s="1" t="s">
        <v>105</v>
      </c>
      <c r="U188">
        <v>1706</v>
      </c>
      <c r="V188" s="1" t="s">
        <v>47</v>
      </c>
      <c r="W188">
        <v>16571</v>
      </c>
      <c r="X188">
        <v>1</v>
      </c>
      <c r="Y188" s="1" t="s">
        <v>48</v>
      </c>
      <c r="Z188" s="1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8">
      <c r="A189" s="1" t="s">
        <v>255</v>
      </c>
      <c r="B189">
        <v>27</v>
      </c>
      <c r="C189" s="1" t="s">
        <v>190</v>
      </c>
      <c r="D189" s="1" t="s">
        <v>49</v>
      </c>
      <c r="E189" s="1" t="s">
        <v>41</v>
      </c>
      <c r="F189">
        <v>618</v>
      </c>
      <c r="G189" s="1" t="s">
        <v>42</v>
      </c>
      <c r="H189">
        <v>4</v>
      </c>
      <c r="I189">
        <v>3</v>
      </c>
      <c r="J189" s="1" t="s">
        <v>43</v>
      </c>
      <c r="K189">
        <v>1</v>
      </c>
      <c r="L189">
        <v>933</v>
      </c>
      <c r="M189">
        <v>2</v>
      </c>
      <c r="N189" s="1" t="s">
        <v>53</v>
      </c>
      <c r="O189">
        <v>76</v>
      </c>
      <c r="P189">
        <v>3</v>
      </c>
      <c r="Q189">
        <v>1</v>
      </c>
      <c r="R189" s="1" t="s">
        <v>60</v>
      </c>
      <c r="S189">
        <v>3</v>
      </c>
      <c r="T189" s="1" t="s">
        <v>46</v>
      </c>
      <c r="U189">
        <v>2318</v>
      </c>
      <c r="V189" s="1" t="s">
        <v>47</v>
      </c>
      <c r="W189">
        <v>17808</v>
      </c>
      <c r="X189">
        <v>1</v>
      </c>
      <c r="Y189" s="1" t="s">
        <v>48</v>
      </c>
      <c r="Z189" s="1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8">
      <c r="A190" s="1" t="s">
        <v>256</v>
      </c>
      <c r="B190">
        <v>27</v>
      </c>
      <c r="C190" s="1" t="s">
        <v>190</v>
      </c>
      <c r="D190" s="1" t="s">
        <v>49</v>
      </c>
      <c r="E190" s="1" t="s">
        <v>41</v>
      </c>
      <c r="F190">
        <v>1134</v>
      </c>
      <c r="G190" s="1" t="s">
        <v>42</v>
      </c>
      <c r="H190">
        <v>16</v>
      </c>
      <c r="I190">
        <v>4</v>
      </c>
      <c r="J190" s="1" t="s">
        <v>68</v>
      </c>
      <c r="K190">
        <v>1</v>
      </c>
      <c r="L190">
        <v>1001</v>
      </c>
      <c r="M190">
        <v>3</v>
      </c>
      <c r="N190" s="1" t="s">
        <v>53</v>
      </c>
      <c r="O190">
        <v>37</v>
      </c>
      <c r="P190">
        <v>3</v>
      </c>
      <c r="Q190">
        <v>1</v>
      </c>
      <c r="R190" s="1" t="s">
        <v>45</v>
      </c>
      <c r="S190">
        <v>2</v>
      </c>
      <c r="T190" s="1" t="s">
        <v>105</v>
      </c>
      <c r="U190">
        <v>2811</v>
      </c>
      <c r="V190" s="1" t="s">
        <v>47</v>
      </c>
      <c r="W190">
        <v>12086</v>
      </c>
      <c r="X190">
        <v>9</v>
      </c>
      <c r="Y190" s="1" t="s">
        <v>48</v>
      </c>
      <c r="Z190" s="1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8">
      <c r="A191" s="1" t="s">
        <v>257</v>
      </c>
      <c r="B191">
        <v>27</v>
      </c>
      <c r="C191" s="1" t="s">
        <v>190</v>
      </c>
      <c r="D191" s="1" t="s">
        <v>49</v>
      </c>
      <c r="E191" s="1" t="s">
        <v>41</v>
      </c>
      <c r="F191">
        <v>1055</v>
      </c>
      <c r="G191" s="1" t="s">
        <v>42</v>
      </c>
      <c r="H191">
        <v>2</v>
      </c>
      <c r="I191">
        <v>4</v>
      </c>
      <c r="J191" s="1" t="s">
        <v>43</v>
      </c>
      <c r="K191">
        <v>1</v>
      </c>
      <c r="L191">
        <v>1027</v>
      </c>
      <c r="M191">
        <v>1</v>
      </c>
      <c r="N191" s="1" t="s">
        <v>53</v>
      </c>
      <c r="O191">
        <v>47</v>
      </c>
      <c r="P191">
        <v>3</v>
      </c>
      <c r="Q191">
        <v>2</v>
      </c>
      <c r="R191" s="1" t="s">
        <v>112</v>
      </c>
      <c r="S191">
        <v>4</v>
      </c>
      <c r="T191" s="1" t="s">
        <v>105</v>
      </c>
      <c r="U191">
        <v>4227</v>
      </c>
      <c r="V191" s="1" t="s">
        <v>47</v>
      </c>
      <c r="W191">
        <v>4658</v>
      </c>
      <c r="X191">
        <v>0</v>
      </c>
      <c r="Y191" s="1" t="s">
        <v>48</v>
      </c>
      <c r="Z191" s="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8">
      <c r="A192" s="1" t="s">
        <v>258</v>
      </c>
      <c r="B192">
        <v>27</v>
      </c>
      <c r="C192" s="1" t="s">
        <v>190</v>
      </c>
      <c r="D192" s="1" t="s">
        <v>49</v>
      </c>
      <c r="E192" s="1" t="s">
        <v>59</v>
      </c>
      <c r="F192">
        <v>1277</v>
      </c>
      <c r="G192" s="1" t="s">
        <v>42</v>
      </c>
      <c r="H192">
        <v>8</v>
      </c>
      <c r="I192">
        <v>5</v>
      </c>
      <c r="J192" s="1" t="s">
        <v>43</v>
      </c>
      <c r="K192">
        <v>1</v>
      </c>
      <c r="L192">
        <v>1094</v>
      </c>
      <c r="M192">
        <v>1</v>
      </c>
      <c r="N192" s="1" t="s">
        <v>44</v>
      </c>
      <c r="O192">
        <v>87</v>
      </c>
      <c r="P192">
        <v>1</v>
      </c>
      <c r="Q192">
        <v>1</v>
      </c>
      <c r="R192" s="1" t="s">
        <v>45</v>
      </c>
      <c r="S192">
        <v>3</v>
      </c>
      <c r="T192" s="1" t="s">
        <v>105</v>
      </c>
      <c r="U192">
        <v>4621</v>
      </c>
      <c r="V192" s="1" t="s">
        <v>47</v>
      </c>
      <c r="W192">
        <v>5869</v>
      </c>
      <c r="X192">
        <v>1</v>
      </c>
      <c r="Y192" s="1" t="s">
        <v>48</v>
      </c>
      <c r="Z192" s="1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8">
      <c r="A193" s="1" t="s">
        <v>259</v>
      </c>
      <c r="B193">
        <v>27</v>
      </c>
      <c r="C193" s="1" t="s">
        <v>190</v>
      </c>
      <c r="D193" s="1" t="s">
        <v>49</v>
      </c>
      <c r="E193" s="1" t="s">
        <v>41</v>
      </c>
      <c r="F193">
        <v>199</v>
      </c>
      <c r="G193" s="1" t="s">
        <v>42</v>
      </c>
      <c r="H193">
        <v>6</v>
      </c>
      <c r="I193">
        <v>3</v>
      </c>
      <c r="J193" s="1" t="s">
        <v>43</v>
      </c>
      <c r="K193">
        <v>1</v>
      </c>
      <c r="L193">
        <v>1162</v>
      </c>
      <c r="M193">
        <v>4</v>
      </c>
      <c r="N193" s="1" t="s">
        <v>44</v>
      </c>
      <c r="O193">
        <v>55</v>
      </c>
      <c r="P193">
        <v>2</v>
      </c>
      <c r="Q193">
        <v>1</v>
      </c>
      <c r="R193" s="1" t="s">
        <v>60</v>
      </c>
      <c r="S193">
        <v>3</v>
      </c>
      <c r="T193" s="1" t="s">
        <v>105</v>
      </c>
      <c r="U193">
        <v>2539</v>
      </c>
      <c r="V193" s="1" t="s">
        <v>47</v>
      </c>
      <c r="W193">
        <v>7950</v>
      </c>
      <c r="X193">
        <v>1</v>
      </c>
      <c r="Y193" s="1" t="s">
        <v>48</v>
      </c>
      <c r="Z193" s="1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8">
      <c r="A194" s="1" t="s">
        <v>260</v>
      </c>
      <c r="B194">
        <v>27</v>
      </c>
      <c r="C194" s="1" t="s">
        <v>190</v>
      </c>
      <c r="D194" s="1" t="s">
        <v>49</v>
      </c>
      <c r="E194" s="1" t="s">
        <v>41</v>
      </c>
      <c r="F194">
        <v>1103</v>
      </c>
      <c r="G194" s="1" t="s">
        <v>42</v>
      </c>
      <c r="H194">
        <v>14</v>
      </c>
      <c r="I194">
        <v>3</v>
      </c>
      <c r="J194" s="1" t="s">
        <v>43</v>
      </c>
      <c r="K194">
        <v>1</v>
      </c>
      <c r="L194">
        <v>1244</v>
      </c>
      <c r="M194">
        <v>1</v>
      </c>
      <c r="N194" s="1" t="s">
        <v>44</v>
      </c>
      <c r="O194">
        <v>42</v>
      </c>
      <c r="P194">
        <v>3</v>
      </c>
      <c r="Q194">
        <v>1</v>
      </c>
      <c r="R194" s="1" t="s">
        <v>60</v>
      </c>
      <c r="S194">
        <v>1</v>
      </c>
      <c r="T194" s="1" t="s">
        <v>105</v>
      </c>
      <c r="U194">
        <v>2235</v>
      </c>
      <c r="V194" s="1" t="s">
        <v>47</v>
      </c>
      <c r="W194">
        <v>14377</v>
      </c>
      <c r="X194">
        <v>1</v>
      </c>
      <c r="Y194" s="1" t="s">
        <v>48</v>
      </c>
      <c r="Z194" s="1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8">
      <c r="A195" s="1" t="s">
        <v>261</v>
      </c>
      <c r="B195">
        <v>27</v>
      </c>
      <c r="C195" s="1" t="s">
        <v>190</v>
      </c>
      <c r="D195" s="1" t="s">
        <v>49</v>
      </c>
      <c r="E195" s="1" t="s">
        <v>41</v>
      </c>
      <c r="F195">
        <v>1167</v>
      </c>
      <c r="G195" s="1" t="s">
        <v>42</v>
      </c>
      <c r="H195">
        <v>4</v>
      </c>
      <c r="I195">
        <v>2</v>
      </c>
      <c r="J195" s="1" t="s">
        <v>43</v>
      </c>
      <c r="K195">
        <v>1</v>
      </c>
      <c r="L195">
        <v>1259</v>
      </c>
      <c r="M195">
        <v>1</v>
      </c>
      <c r="N195" s="1" t="s">
        <v>44</v>
      </c>
      <c r="O195">
        <v>76</v>
      </c>
      <c r="P195">
        <v>3</v>
      </c>
      <c r="Q195">
        <v>1</v>
      </c>
      <c r="R195" s="1" t="s">
        <v>60</v>
      </c>
      <c r="S195">
        <v>3</v>
      </c>
      <c r="T195" s="1" t="s">
        <v>102</v>
      </c>
      <c r="U195">
        <v>2517</v>
      </c>
      <c r="V195" s="1" t="s">
        <v>47</v>
      </c>
      <c r="W195">
        <v>3208</v>
      </c>
      <c r="X195">
        <v>1</v>
      </c>
      <c r="Y195" s="1" t="s">
        <v>48</v>
      </c>
      <c r="Z195" s="1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8">
      <c r="A196" s="1" t="s">
        <v>262</v>
      </c>
      <c r="B196">
        <v>27</v>
      </c>
      <c r="C196" s="1" t="s">
        <v>190</v>
      </c>
      <c r="D196" s="1" t="s">
        <v>49</v>
      </c>
      <c r="E196" s="1" t="s">
        <v>41</v>
      </c>
      <c r="F196">
        <v>1291</v>
      </c>
      <c r="G196" s="1" t="s">
        <v>51</v>
      </c>
      <c r="H196">
        <v>11</v>
      </c>
      <c r="I196">
        <v>3</v>
      </c>
      <c r="J196" s="1" t="s">
        <v>52</v>
      </c>
      <c r="K196">
        <v>1</v>
      </c>
      <c r="L196">
        <v>1364</v>
      </c>
      <c r="M196">
        <v>3</v>
      </c>
      <c r="N196" s="1" t="s">
        <v>53</v>
      </c>
      <c r="O196">
        <v>98</v>
      </c>
      <c r="P196">
        <v>4</v>
      </c>
      <c r="Q196">
        <v>1</v>
      </c>
      <c r="R196" s="1" t="s">
        <v>54</v>
      </c>
      <c r="S196">
        <v>4</v>
      </c>
      <c r="T196" s="1" t="s">
        <v>105</v>
      </c>
      <c r="U196">
        <v>2534</v>
      </c>
      <c r="V196" s="1" t="s">
        <v>47</v>
      </c>
      <c r="W196">
        <v>6527</v>
      </c>
      <c r="X196">
        <v>8</v>
      </c>
      <c r="Y196" s="1" t="s">
        <v>48</v>
      </c>
      <c r="Z196" s="1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8">
      <c r="A197" s="1" t="s">
        <v>263</v>
      </c>
      <c r="B197">
        <v>27</v>
      </c>
      <c r="C197" s="1" t="s">
        <v>190</v>
      </c>
      <c r="D197" s="1" t="s">
        <v>49</v>
      </c>
      <c r="E197" s="1" t="s">
        <v>56</v>
      </c>
      <c r="F197">
        <v>793</v>
      </c>
      <c r="G197" s="1" t="s">
        <v>51</v>
      </c>
      <c r="H197">
        <v>2</v>
      </c>
      <c r="I197">
        <v>1</v>
      </c>
      <c r="J197" s="1" t="s">
        <v>43</v>
      </c>
      <c r="K197">
        <v>1</v>
      </c>
      <c r="L197">
        <v>1371</v>
      </c>
      <c r="M197">
        <v>4</v>
      </c>
      <c r="N197" s="1" t="s">
        <v>44</v>
      </c>
      <c r="O197">
        <v>43</v>
      </c>
      <c r="P197">
        <v>1</v>
      </c>
      <c r="Q197">
        <v>2</v>
      </c>
      <c r="R197" s="1" t="s">
        <v>137</v>
      </c>
      <c r="S197">
        <v>4</v>
      </c>
      <c r="T197" s="1" t="s">
        <v>46</v>
      </c>
      <c r="U197">
        <v>5071</v>
      </c>
      <c r="V197" s="1" t="s">
        <v>163</v>
      </c>
      <c r="W197">
        <v>20392</v>
      </c>
      <c r="X197">
        <v>3</v>
      </c>
      <c r="Y197" s="1" t="s">
        <v>48</v>
      </c>
      <c r="Z197" s="1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8">
      <c r="A198" s="1" t="s">
        <v>264</v>
      </c>
      <c r="B198">
        <v>27</v>
      </c>
      <c r="C198" s="1" t="s">
        <v>190</v>
      </c>
      <c r="D198" s="1" t="s">
        <v>49</v>
      </c>
      <c r="E198" s="1" t="s">
        <v>41</v>
      </c>
      <c r="F198">
        <v>205</v>
      </c>
      <c r="G198" s="1" t="s">
        <v>51</v>
      </c>
      <c r="H198">
        <v>10</v>
      </c>
      <c r="I198">
        <v>3</v>
      </c>
      <c r="J198" s="1" t="s">
        <v>57</v>
      </c>
      <c r="K198">
        <v>1</v>
      </c>
      <c r="L198">
        <v>1403</v>
      </c>
      <c r="M198">
        <v>4</v>
      </c>
      <c r="N198" s="1" t="s">
        <v>53</v>
      </c>
      <c r="O198">
        <v>98</v>
      </c>
      <c r="P198">
        <v>2</v>
      </c>
      <c r="Q198">
        <v>2</v>
      </c>
      <c r="R198" s="1" t="s">
        <v>137</v>
      </c>
      <c r="S198">
        <v>4</v>
      </c>
      <c r="T198" s="1" t="s">
        <v>105</v>
      </c>
      <c r="U198">
        <v>5769</v>
      </c>
      <c r="V198" s="1" t="s">
        <v>163</v>
      </c>
      <c r="W198">
        <v>7100</v>
      </c>
      <c r="X198">
        <v>1</v>
      </c>
      <c r="Y198" s="1" t="s">
        <v>48</v>
      </c>
      <c r="Z198" s="1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8">
      <c r="A199" s="1" t="s">
        <v>265</v>
      </c>
      <c r="B199">
        <v>27</v>
      </c>
      <c r="C199" s="1" t="s">
        <v>190</v>
      </c>
      <c r="D199" s="1" t="s">
        <v>40</v>
      </c>
      <c r="E199" s="1" t="s">
        <v>41</v>
      </c>
      <c r="F199">
        <v>135</v>
      </c>
      <c r="G199" s="1" t="s">
        <v>42</v>
      </c>
      <c r="H199">
        <v>17</v>
      </c>
      <c r="I199">
        <v>4</v>
      </c>
      <c r="J199" s="1" t="s">
        <v>43</v>
      </c>
      <c r="K199">
        <v>1</v>
      </c>
      <c r="L199">
        <v>1405</v>
      </c>
      <c r="M199">
        <v>4</v>
      </c>
      <c r="N199" s="1" t="s">
        <v>53</v>
      </c>
      <c r="O199">
        <v>51</v>
      </c>
      <c r="P199">
        <v>3</v>
      </c>
      <c r="Q199">
        <v>1</v>
      </c>
      <c r="R199" s="1" t="s">
        <v>60</v>
      </c>
      <c r="S199">
        <v>3</v>
      </c>
      <c r="T199" s="1" t="s">
        <v>46</v>
      </c>
      <c r="U199">
        <v>2394</v>
      </c>
      <c r="V199" s="1" t="s">
        <v>47</v>
      </c>
      <c r="W199">
        <v>25681</v>
      </c>
      <c r="X199">
        <v>1</v>
      </c>
      <c r="Y199" s="1" t="s">
        <v>48</v>
      </c>
      <c r="Z199" s="1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8">
      <c r="A200" s="1" t="s">
        <v>266</v>
      </c>
      <c r="B200">
        <v>27</v>
      </c>
      <c r="C200" s="1" t="s">
        <v>190</v>
      </c>
      <c r="D200" s="1" t="s">
        <v>49</v>
      </c>
      <c r="E200" s="1" t="s">
        <v>41</v>
      </c>
      <c r="F200">
        <v>1377</v>
      </c>
      <c r="G200" s="1" t="s">
        <v>42</v>
      </c>
      <c r="H200">
        <v>11</v>
      </c>
      <c r="I200">
        <v>1</v>
      </c>
      <c r="J200" s="1" t="s">
        <v>43</v>
      </c>
      <c r="K200">
        <v>1</v>
      </c>
      <c r="L200">
        <v>1434</v>
      </c>
      <c r="M200">
        <v>2</v>
      </c>
      <c r="N200" s="1" t="s">
        <v>44</v>
      </c>
      <c r="O200">
        <v>91</v>
      </c>
      <c r="P200">
        <v>3</v>
      </c>
      <c r="Q200">
        <v>1</v>
      </c>
      <c r="R200" s="1" t="s">
        <v>45</v>
      </c>
      <c r="S200">
        <v>1</v>
      </c>
      <c r="T200" s="1" t="s">
        <v>105</v>
      </c>
      <c r="U200">
        <v>2099</v>
      </c>
      <c r="V200" s="1" t="s">
        <v>47</v>
      </c>
      <c r="W200">
        <v>7679</v>
      </c>
      <c r="X200">
        <v>0</v>
      </c>
      <c r="Y200" s="1" t="s">
        <v>48</v>
      </c>
      <c r="Z200" s="1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8">
      <c r="A201" s="1" t="s">
        <v>267</v>
      </c>
      <c r="B201">
        <v>27</v>
      </c>
      <c r="C201" s="1" t="s">
        <v>190</v>
      </c>
      <c r="D201" s="1" t="s">
        <v>49</v>
      </c>
      <c r="E201" s="1" t="s">
        <v>41</v>
      </c>
      <c r="F201">
        <v>1302</v>
      </c>
      <c r="G201" s="1" t="s">
        <v>42</v>
      </c>
      <c r="H201">
        <v>19</v>
      </c>
      <c r="I201">
        <v>3</v>
      </c>
      <c r="J201" s="1" t="s">
        <v>73</v>
      </c>
      <c r="K201">
        <v>1</v>
      </c>
      <c r="L201">
        <v>1619</v>
      </c>
      <c r="M201">
        <v>4</v>
      </c>
      <c r="N201" s="1" t="s">
        <v>44</v>
      </c>
      <c r="O201">
        <v>67</v>
      </c>
      <c r="P201">
        <v>2</v>
      </c>
      <c r="Q201">
        <v>1</v>
      </c>
      <c r="R201" s="1" t="s">
        <v>45</v>
      </c>
      <c r="S201">
        <v>1</v>
      </c>
      <c r="T201" s="1" t="s">
        <v>102</v>
      </c>
      <c r="U201">
        <v>4066</v>
      </c>
      <c r="V201" s="1" t="s">
        <v>47</v>
      </c>
      <c r="W201">
        <v>16290</v>
      </c>
      <c r="X201">
        <v>1</v>
      </c>
      <c r="Y201" s="1" t="s">
        <v>48</v>
      </c>
      <c r="Z201" s="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8">
      <c r="A202" s="1" t="s">
        <v>268</v>
      </c>
      <c r="B202">
        <v>27</v>
      </c>
      <c r="C202" s="1" t="s">
        <v>190</v>
      </c>
      <c r="D202" s="1" t="s">
        <v>49</v>
      </c>
      <c r="E202" s="1" t="s">
        <v>41</v>
      </c>
      <c r="F202">
        <v>486</v>
      </c>
      <c r="G202" s="1" t="s">
        <v>42</v>
      </c>
      <c r="H202">
        <v>8</v>
      </c>
      <c r="I202">
        <v>3</v>
      </c>
      <c r="J202" s="1" t="s">
        <v>52</v>
      </c>
      <c r="K202">
        <v>1</v>
      </c>
      <c r="L202">
        <v>1647</v>
      </c>
      <c r="M202">
        <v>2</v>
      </c>
      <c r="N202" s="1" t="s">
        <v>53</v>
      </c>
      <c r="O202">
        <v>86</v>
      </c>
      <c r="P202">
        <v>4</v>
      </c>
      <c r="Q202">
        <v>1</v>
      </c>
      <c r="R202" s="1" t="s">
        <v>60</v>
      </c>
      <c r="S202">
        <v>3</v>
      </c>
      <c r="T202" s="1" t="s">
        <v>105</v>
      </c>
      <c r="U202">
        <v>3517</v>
      </c>
      <c r="V202" s="1" t="s">
        <v>47</v>
      </c>
      <c r="W202">
        <v>22490</v>
      </c>
      <c r="X202">
        <v>7</v>
      </c>
      <c r="Y202" s="1" t="s">
        <v>48</v>
      </c>
      <c r="Z202" s="1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8">
      <c r="A203" s="1" t="s">
        <v>269</v>
      </c>
      <c r="B203">
        <v>27</v>
      </c>
      <c r="C203" s="1" t="s">
        <v>190</v>
      </c>
      <c r="D203" s="1" t="s">
        <v>49</v>
      </c>
      <c r="E203" s="1" t="s">
        <v>56</v>
      </c>
      <c r="F203">
        <v>591</v>
      </c>
      <c r="G203" s="1" t="s">
        <v>42</v>
      </c>
      <c r="H203">
        <v>2</v>
      </c>
      <c r="I203">
        <v>3</v>
      </c>
      <c r="J203" s="1" t="s">
        <v>52</v>
      </c>
      <c r="K203">
        <v>1</v>
      </c>
      <c r="L203">
        <v>1648</v>
      </c>
      <c r="M203">
        <v>4</v>
      </c>
      <c r="N203" s="1" t="s">
        <v>44</v>
      </c>
      <c r="O203">
        <v>87</v>
      </c>
      <c r="P203">
        <v>3</v>
      </c>
      <c r="Q203">
        <v>1</v>
      </c>
      <c r="R203" s="1" t="s">
        <v>60</v>
      </c>
      <c r="S203">
        <v>4</v>
      </c>
      <c r="T203" s="1" t="s">
        <v>46</v>
      </c>
      <c r="U203">
        <v>2580</v>
      </c>
      <c r="V203" s="1" t="s">
        <v>47</v>
      </c>
      <c r="W203">
        <v>6297</v>
      </c>
      <c r="X203">
        <v>2</v>
      </c>
      <c r="Y203" s="1" t="s">
        <v>48</v>
      </c>
      <c r="Z203" s="1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8">
      <c r="A204" s="1" t="s">
        <v>270</v>
      </c>
      <c r="B204">
        <v>27</v>
      </c>
      <c r="C204" s="1" t="s">
        <v>190</v>
      </c>
      <c r="D204" s="1" t="s">
        <v>49</v>
      </c>
      <c r="E204" s="1" t="s">
        <v>41</v>
      </c>
      <c r="F204">
        <v>1054</v>
      </c>
      <c r="G204" s="1" t="s">
        <v>42</v>
      </c>
      <c r="H204">
        <v>8</v>
      </c>
      <c r="I204">
        <v>3</v>
      </c>
      <c r="J204" s="1" t="s">
        <v>52</v>
      </c>
      <c r="K204">
        <v>1</v>
      </c>
      <c r="L204">
        <v>1751</v>
      </c>
      <c r="M204">
        <v>3</v>
      </c>
      <c r="N204" s="1" t="s">
        <v>53</v>
      </c>
      <c r="O204">
        <v>67</v>
      </c>
      <c r="P204">
        <v>3</v>
      </c>
      <c r="Q204">
        <v>1</v>
      </c>
      <c r="R204" s="1" t="s">
        <v>60</v>
      </c>
      <c r="S204">
        <v>4</v>
      </c>
      <c r="T204" s="1" t="s">
        <v>46</v>
      </c>
      <c r="U204">
        <v>3445</v>
      </c>
      <c r="V204" s="1" t="s">
        <v>47</v>
      </c>
      <c r="W204">
        <v>6152</v>
      </c>
      <c r="X204">
        <v>1</v>
      </c>
      <c r="Y204" s="1" t="s">
        <v>48</v>
      </c>
      <c r="Z204" s="1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8">
      <c r="A205" s="1" t="s">
        <v>271</v>
      </c>
      <c r="B205">
        <v>27</v>
      </c>
      <c r="C205" s="1" t="s">
        <v>190</v>
      </c>
      <c r="D205" s="1" t="s">
        <v>49</v>
      </c>
      <c r="E205" s="1" t="s">
        <v>56</v>
      </c>
      <c r="F205">
        <v>1297</v>
      </c>
      <c r="G205" s="1" t="s">
        <v>42</v>
      </c>
      <c r="H205">
        <v>5</v>
      </c>
      <c r="I205">
        <v>2</v>
      </c>
      <c r="J205" s="1" t="s">
        <v>43</v>
      </c>
      <c r="K205">
        <v>1</v>
      </c>
      <c r="L205">
        <v>1850</v>
      </c>
      <c r="M205">
        <v>4</v>
      </c>
      <c r="N205" s="1" t="s">
        <v>53</v>
      </c>
      <c r="O205">
        <v>53</v>
      </c>
      <c r="P205">
        <v>3</v>
      </c>
      <c r="Q205">
        <v>1</v>
      </c>
      <c r="R205" s="1" t="s">
        <v>45</v>
      </c>
      <c r="S205">
        <v>4</v>
      </c>
      <c r="T205" s="1" t="s">
        <v>46</v>
      </c>
      <c r="U205">
        <v>2379</v>
      </c>
      <c r="V205" s="1" t="s">
        <v>47</v>
      </c>
      <c r="W205">
        <v>19826</v>
      </c>
      <c r="X205">
        <v>0</v>
      </c>
      <c r="Y205" s="1" t="s">
        <v>48</v>
      </c>
      <c r="Z205" s="1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8">
      <c r="A206" s="1" t="s">
        <v>272</v>
      </c>
      <c r="B206">
        <v>27</v>
      </c>
      <c r="C206" s="1" t="s">
        <v>190</v>
      </c>
      <c r="D206" s="1" t="s">
        <v>49</v>
      </c>
      <c r="E206" s="1" t="s">
        <v>41</v>
      </c>
      <c r="F206">
        <v>728</v>
      </c>
      <c r="G206" s="1" t="s">
        <v>51</v>
      </c>
      <c r="H206">
        <v>23</v>
      </c>
      <c r="I206">
        <v>1</v>
      </c>
      <c r="J206" s="1" t="s">
        <v>52</v>
      </c>
      <c r="K206">
        <v>1</v>
      </c>
      <c r="L206">
        <v>1864</v>
      </c>
      <c r="M206">
        <v>2</v>
      </c>
      <c r="N206" s="1" t="s">
        <v>53</v>
      </c>
      <c r="O206">
        <v>36</v>
      </c>
      <c r="P206">
        <v>2</v>
      </c>
      <c r="Q206">
        <v>2</v>
      </c>
      <c r="R206" s="1" t="s">
        <v>54</v>
      </c>
      <c r="S206">
        <v>3</v>
      </c>
      <c r="T206" s="1" t="s">
        <v>105</v>
      </c>
      <c r="U206">
        <v>3540</v>
      </c>
      <c r="V206" s="1" t="s">
        <v>47</v>
      </c>
      <c r="W206">
        <v>7018</v>
      </c>
      <c r="X206">
        <v>1</v>
      </c>
      <c r="Y206" s="1" t="s">
        <v>48</v>
      </c>
      <c r="Z206" s="1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8">
      <c r="A207" s="1" t="s">
        <v>273</v>
      </c>
      <c r="B207">
        <v>27</v>
      </c>
      <c r="C207" s="1" t="s">
        <v>190</v>
      </c>
      <c r="D207" s="1" t="s">
        <v>49</v>
      </c>
      <c r="E207" s="1" t="s">
        <v>56</v>
      </c>
      <c r="F207">
        <v>1131</v>
      </c>
      <c r="G207" s="1" t="s">
        <v>42</v>
      </c>
      <c r="H207">
        <v>15</v>
      </c>
      <c r="I207">
        <v>3</v>
      </c>
      <c r="J207" s="1" t="s">
        <v>43</v>
      </c>
      <c r="K207">
        <v>1</v>
      </c>
      <c r="L207">
        <v>1870</v>
      </c>
      <c r="M207">
        <v>4</v>
      </c>
      <c r="N207" s="1" t="s">
        <v>53</v>
      </c>
      <c r="O207">
        <v>77</v>
      </c>
      <c r="P207">
        <v>2</v>
      </c>
      <c r="Q207">
        <v>1</v>
      </c>
      <c r="R207" s="1" t="s">
        <v>60</v>
      </c>
      <c r="S207">
        <v>1</v>
      </c>
      <c r="T207" s="1" t="s">
        <v>105</v>
      </c>
      <c r="U207">
        <v>4774</v>
      </c>
      <c r="V207" s="1" t="s">
        <v>47</v>
      </c>
      <c r="W207">
        <v>23844</v>
      </c>
      <c r="X207">
        <v>0</v>
      </c>
      <c r="Y207" s="1" t="s">
        <v>48</v>
      </c>
      <c r="Z207" s="1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8">
      <c r="A208" s="1" t="s">
        <v>274</v>
      </c>
      <c r="B208">
        <v>27</v>
      </c>
      <c r="C208" s="1" t="s">
        <v>190</v>
      </c>
      <c r="D208" s="1" t="s">
        <v>49</v>
      </c>
      <c r="E208" s="1" t="s">
        <v>41</v>
      </c>
      <c r="F208">
        <v>511</v>
      </c>
      <c r="G208" s="1" t="s">
        <v>51</v>
      </c>
      <c r="H208">
        <v>2</v>
      </c>
      <c r="I208">
        <v>2</v>
      </c>
      <c r="J208" s="1" t="s">
        <v>52</v>
      </c>
      <c r="K208">
        <v>1</v>
      </c>
      <c r="L208">
        <v>1898</v>
      </c>
      <c r="M208">
        <v>1</v>
      </c>
      <c r="N208" s="1" t="s">
        <v>53</v>
      </c>
      <c r="O208">
        <v>89</v>
      </c>
      <c r="P208">
        <v>4</v>
      </c>
      <c r="Q208">
        <v>2</v>
      </c>
      <c r="R208" s="1" t="s">
        <v>137</v>
      </c>
      <c r="S208">
        <v>3</v>
      </c>
      <c r="T208" s="1" t="s">
        <v>46</v>
      </c>
      <c r="U208">
        <v>6500</v>
      </c>
      <c r="V208" s="1" t="s">
        <v>163</v>
      </c>
      <c r="W208">
        <v>26997</v>
      </c>
      <c r="X208">
        <v>0</v>
      </c>
      <c r="Y208" s="1" t="s">
        <v>48</v>
      </c>
      <c r="Z208" s="1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8">
      <c r="A209" s="1" t="s">
        <v>275</v>
      </c>
      <c r="B209">
        <v>27</v>
      </c>
      <c r="C209" s="1" t="s">
        <v>190</v>
      </c>
      <c r="D209" s="1" t="s">
        <v>49</v>
      </c>
      <c r="E209" s="1" t="s">
        <v>276</v>
      </c>
      <c r="F209">
        <v>1354</v>
      </c>
      <c r="G209" s="1" t="s">
        <v>42</v>
      </c>
      <c r="H209">
        <v>2</v>
      </c>
      <c r="I209">
        <v>4</v>
      </c>
      <c r="J209" s="1" t="s">
        <v>68</v>
      </c>
      <c r="K209">
        <v>1</v>
      </c>
      <c r="L209">
        <v>1931</v>
      </c>
      <c r="M209">
        <v>2</v>
      </c>
      <c r="N209" s="1" t="s">
        <v>44</v>
      </c>
      <c r="O209">
        <v>41</v>
      </c>
      <c r="P209">
        <v>3</v>
      </c>
      <c r="Q209">
        <v>1</v>
      </c>
      <c r="R209" s="1" t="s">
        <v>60</v>
      </c>
      <c r="S209">
        <v>2</v>
      </c>
      <c r="T209" s="1" t="s">
        <v>105</v>
      </c>
      <c r="U209">
        <v>2226</v>
      </c>
      <c r="V209" s="1" t="s">
        <v>47</v>
      </c>
      <c r="W209">
        <v>6073</v>
      </c>
      <c r="X209">
        <v>1</v>
      </c>
      <c r="Y209" s="1" t="s">
        <v>48</v>
      </c>
      <c r="Z209" s="1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8">
      <c r="A210" s="1" t="s">
        <v>277</v>
      </c>
      <c r="B210">
        <v>27</v>
      </c>
      <c r="C210" s="1" t="s">
        <v>190</v>
      </c>
      <c r="D210" s="1" t="s">
        <v>40</v>
      </c>
      <c r="E210" s="1" t="s">
        <v>56</v>
      </c>
      <c r="F210">
        <v>1337</v>
      </c>
      <c r="G210" s="1" t="s">
        <v>71</v>
      </c>
      <c r="H210">
        <v>22</v>
      </c>
      <c r="I210">
        <v>3</v>
      </c>
      <c r="J210" s="1" t="s">
        <v>71</v>
      </c>
      <c r="K210">
        <v>1</v>
      </c>
      <c r="L210">
        <v>1944</v>
      </c>
      <c r="M210">
        <v>1</v>
      </c>
      <c r="N210" s="1" t="s">
        <v>53</v>
      </c>
      <c r="O210">
        <v>58</v>
      </c>
      <c r="P210">
        <v>2</v>
      </c>
      <c r="Q210">
        <v>1</v>
      </c>
      <c r="R210" s="1" t="s">
        <v>71</v>
      </c>
      <c r="S210">
        <v>2</v>
      </c>
      <c r="T210" s="1" t="s">
        <v>105</v>
      </c>
      <c r="U210">
        <v>2863</v>
      </c>
      <c r="V210" s="1" t="s">
        <v>47</v>
      </c>
      <c r="W210">
        <v>19555</v>
      </c>
      <c r="X210">
        <v>1</v>
      </c>
      <c r="Y210" s="1" t="s">
        <v>48</v>
      </c>
      <c r="Z210" s="1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8">
      <c r="A211" s="1" t="s">
        <v>278</v>
      </c>
      <c r="B211">
        <v>27</v>
      </c>
      <c r="C211" s="1" t="s">
        <v>190</v>
      </c>
      <c r="D211" s="1" t="s">
        <v>49</v>
      </c>
      <c r="E211" s="1" t="s">
        <v>41</v>
      </c>
      <c r="F211">
        <v>954</v>
      </c>
      <c r="G211" s="1" t="s">
        <v>51</v>
      </c>
      <c r="H211">
        <v>9</v>
      </c>
      <c r="I211">
        <v>3</v>
      </c>
      <c r="J211" s="1" t="s">
        <v>57</v>
      </c>
      <c r="K211">
        <v>1</v>
      </c>
      <c r="L211">
        <v>1965</v>
      </c>
      <c r="M211">
        <v>4</v>
      </c>
      <c r="N211" s="1" t="s">
        <v>44</v>
      </c>
      <c r="O211">
        <v>44</v>
      </c>
      <c r="P211">
        <v>3</v>
      </c>
      <c r="Q211">
        <v>2</v>
      </c>
      <c r="R211" s="1" t="s">
        <v>137</v>
      </c>
      <c r="S211">
        <v>4</v>
      </c>
      <c r="T211" s="1" t="s">
        <v>46</v>
      </c>
      <c r="U211">
        <v>4105</v>
      </c>
      <c r="V211" s="1" t="s">
        <v>47</v>
      </c>
      <c r="W211">
        <v>5099</v>
      </c>
      <c r="X211">
        <v>1</v>
      </c>
      <c r="Y211" s="1" t="s">
        <v>48</v>
      </c>
      <c r="Z211" s="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8">
      <c r="A212" s="1" t="s">
        <v>279</v>
      </c>
      <c r="B212">
        <v>27</v>
      </c>
      <c r="C212" s="1" t="s">
        <v>190</v>
      </c>
      <c r="D212" s="1" t="s">
        <v>49</v>
      </c>
      <c r="E212" s="1" t="s">
        <v>41</v>
      </c>
      <c r="F212">
        <v>155</v>
      </c>
      <c r="G212" s="1" t="s">
        <v>42</v>
      </c>
      <c r="H212">
        <v>4</v>
      </c>
      <c r="I212">
        <v>3</v>
      </c>
      <c r="J212" s="1" t="s">
        <v>43</v>
      </c>
      <c r="K212">
        <v>1</v>
      </c>
      <c r="L212">
        <v>2064</v>
      </c>
      <c r="M212">
        <v>2</v>
      </c>
      <c r="N212" s="1" t="s">
        <v>44</v>
      </c>
      <c r="O212">
        <v>87</v>
      </c>
      <c r="P212">
        <v>4</v>
      </c>
      <c r="Q212">
        <v>2</v>
      </c>
      <c r="R212" s="1" t="s">
        <v>112</v>
      </c>
      <c r="S212">
        <v>2</v>
      </c>
      <c r="T212" s="1" t="s">
        <v>105</v>
      </c>
      <c r="U212">
        <v>6142</v>
      </c>
      <c r="V212" s="1" t="s">
        <v>163</v>
      </c>
      <c r="W212">
        <v>5174</v>
      </c>
      <c r="X212">
        <v>1</v>
      </c>
      <c r="Y212" s="1" t="s">
        <v>48</v>
      </c>
      <c r="Z212" s="1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8">
      <c r="A213" s="1" t="s">
        <v>279</v>
      </c>
      <c r="B213">
        <v>27</v>
      </c>
      <c r="C213" s="1" t="s">
        <v>190</v>
      </c>
      <c r="D213" s="1" t="s">
        <v>49</v>
      </c>
      <c r="E213" s="1" t="s">
        <v>41</v>
      </c>
      <c r="F213">
        <v>155</v>
      </c>
      <c r="G213" s="1" t="s">
        <v>42</v>
      </c>
      <c r="H213">
        <v>4</v>
      </c>
      <c r="I213">
        <v>3</v>
      </c>
      <c r="J213" s="1" t="s">
        <v>43</v>
      </c>
      <c r="K213">
        <v>1</v>
      </c>
      <c r="L213">
        <v>2064</v>
      </c>
      <c r="M213">
        <v>2</v>
      </c>
      <c r="N213" s="1" t="s">
        <v>44</v>
      </c>
      <c r="O213">
        <v>87</v>
      </c>
      <c r="P213">
        <v>4</v>
      </c>
      <c r="Q213">
        <v>2</v>
      </c>
      <c r="R213" s="1" t="s">
        <v>112</v>
      </c>
      <c r="S213">
        <v>2</v>
      </c>
      <c r="T213" s="1" t="s">
        <v>105</v>
      </c>
      <c r="U213">
        <v>6142</v>
      </c>
      <c r="V213" s="1" t="s">
        <v>163</v>
      </c>
      <c r="W213">
        <v>5174</v>
      </c>
      <c r="X213">
        <v>1</v>
      </c>
      <c r="Y213" s="1" t="s">
        <v>48</v>
      </c>
      <c r="Z213" s="1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8">
      <c r="A214" s="1" t="s">
        <v>280</v>
      </c>
      <c r="B214">
        <v>28</v>
      </c>
      <c r="C214" s="1" t="s">
        <v>190</v>
      </c>
      <c r="D214" s="1" t="s">
        <v>40</v>
      </c>
      <c r="E214" s="1" t="s">
        <v>41</v>
      </c>
      <c r="F214">
        <v>103</v>
      </c>
      <c r="G214" s="1" t="s">
        <v>42</v>
      </c>
      <c r="H214">
        <v>24</v>
      </c>
      <c r="I214">
        <v>3</v>
      </c>
      <c r="J214" s="1" t="s">
        <v>43</v>
      </c>
      <c r="K214">
        <v>1</v>
      </c>
      <c r="L214">
        <v>19</v>
      </c>
      <c r="M214">
        <v>3</v>
      </c>
      <c r="N214" s="1" t="s">
        <v>44</v>
      </c>
      <c r="O214">
        <v>50</v>
      </c>
      <c r="P214">
        <v>2</v>
      </c>
      <c r="Q214">
        <v>1</v>
      </c>
      <c r="R214" s="1" t="s">
        <v>45</v>
      </c>
      <c r="S214">
        <v>3</v>
      </c>
      <c r="T214" s="1" t="s">
        <v>46</v>
      </c>
      <c r="U214">
        <v>2028</v>
      </c>
      <c r="V214" s="1" t="s">
        <v>47</v>
      </c>
      <c r="W214">
        <v>12947</v>
      </c>
      <c r="X214">
        <v>5</v>
      </c>
      <c r="Y214" s="1" t="s">
        <v>48</v>
      </c>
      <c r="Z214" s="1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8">
      <c r="A215" s="1" t="s">
        <v>281</v>
      </c>
      <c r="B215">
        <v>28</v>
      </c>
      <c r="C215" s="1" t="s">
        <v>190</v>
      </c>
      <c r="D215" s="1" t="s">
        <v>40</v>
      </c>
      <c r="E215" s="1" t="s">
        <v>41</v>
      </c>
      <c r="F215">
        <v>1434</v>
      </c>
      <c r="G215" s="1" t="s">
        <v>42</v>
      </c>
      <c r="H215">
        <v>5</v>
      </c>
      <c r="I215">
        <v>4</v>
      </c>
      <c r="J215" s="1" t="s">
        <v>68</v>
      </c>
      <c r="K215">
        <v>1</v>
      </c>
      <c r="L215">
        <v>65</v>
      </c>
      <c r="M215">
        <v>3</v>
      </c>
      <c r="N215" s="1" t="s">
        <v>44</v>
      </c>
      <c r="O215">
        <v>50</v>
      </c>
      <c r="P215">
        <v>3</v>
      </c>
      <c r="Q215">
        <v>1</v>
      </c>
      <c r="R215" s="1" t="s">
        <v>45</v>
      </c>
      <c r="S215">
        <v>3</v>
      </c>
      <c r="T215" s="1" t="s">
        <v>46</v>
      </c>
      <c r="U215">
        <v>3441</v>
      </c>
      <c r="V215" s="1" t="s">
        <v>47</v>
      </c>
      <c r="W215">
        <v>11179</v>
      </c>
      <c r="X215">
        <v>1</v>
      </c>
      <c r="Y215" s="1" t="s">
        <v>48</v>
      </c>
      <c r="Z215" s="1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8">
      <c r="A216" s="1" t="s">
        <v>282</v>
      </c>
      <c r="B216">
        <v>28</v>
      </c>
      <c r="C216" s="1" t="s">
        <v>190</v>
      </c>
      <c r="D216" s="1" t="s">
        <v>49</v>
      </c>
      <c r="E216" s="1" t="s">
        <v>59</v>
      </c>
      <c r="F216">
        <v>120</v>
      </c>
      <c r="G216" s="1" t="s">
        <v>51</v>
      </c>
      <c r="H216">
        <v>4</v>
      </c>
      <c r="I216">
        <v>3</v>
      </c>
      <c r="J216" s="1" t="s">
        <v>52</v>
      </c>
      <c r="K216">
        <v>1</v>
      </c>
      <c r="L216">
        <v>129</v>
      </c>
      <c r="M216">
        <v>2</v>
      </c>
      <c r="N216" s="1" t="s">
        <v>44</v>
      </c>
      <c r="O216">
        <v>43</v>
      </c>
      <c r="P216">
        <v>3</v>
      </c>
      <c r="Q216">
        <v>2</v>
      </c>
      <c r="R216" s="1" t="s">
        <v>137</v>
      </c>
      <c r="S216">
        <v>3</v>
      </c>
      <c r="T216" s="1" t="s">
        <v>105</v>
      </c>
      <c r="U216">
        <v>4221</v>
      </c>
      <c r="V216" s="1" t="s">
        <v>47</v>
      </c>
      <c r="W216">
        <v>8863</v>
      </c>
      <c r="X216">
        <v>1</v>
      </c>
      <c r="Y216" s="1" t="s">
        <v>48</v>
      </c>
      <c r="Z216" s="1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8">
      <c r="A217" s="1" t="s">
        <v>283</v>
      </c>
      <c r="B217">
        <v>28</v>
      </c>
      <c r="C217" s="1" t="s">
        <v>190</v>
      </c>
      <c r="D217" s="1" t="s">
        <v>49</v>
      </c>
      <c r="E217" s="1" t="s">
        <v>41</v>
      </c>
      <c r="F217">
        <v>440</v>
      </c>
      <c r="G217" s="1" t="s">
        <v>42</v>
      </c>
      <c r="H217">
        <v>21</v>
      </c>
      <c r="I217">
        <v>3</v>
      </c>
      <c r="J217" s="1" t="s">
        <v>52</v>
      </c>
      <c r="K217">
        <v>1</v>
      </c>
      <c r="L217">
        <v>221</v>
      </c>
      <c r="M217">
        <v>3</v>
      </c>
      <c r="N217" s="1" t="s">
        <v>44</v>
      </c>
      <c r="O217">
        <v>42</v>
      </c>
      <c r="P217">
        <v>3</v>
      </c>
      <c r="Q217">
        <v>1</v>
      </c>
      <c r="R217" s="1" t="s">
        <v>60</v>
      </c>
      <c r="S217">
        <v>4</v>
      </c>
      <c r="T217" s="1" t="s">
        <v>105</v>
      </c>
      <c r="U217">
        <v>2713</v>
      </c>
      <c r="V217" s="1" t="s">
        <v>47</v>
      </c>
      <c r="W217">
        <v>6672</v>
      </c>
      <c r="X217">
        <v>1</v>
      </c>
      <c r="Y217" s="1" t="s">
        <v>48</v>
      </c>
      <c r="Z217" s="1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8">
      <c r="A218" s="1" t="s">
        <v>284</v>
      </c>
      <c r="B218">
        <v>28</v>
      </c>
      <c r="C218" s="1" t="s">
        <v>190</v>
      </c>
      <c r="D218" s="1" t="s">
        <v>40</v>
      </c>
      <c r="E218" s="1" t="s">
        <v>41</v>
      </c>
      <c r="F218">
        <v>529</v>
      </c>
      <c r="G218" s="1" t="s">
        <v>42</v>
      </c>
      <c r="H218">
        <v>2</v>
      </c>
      <c r="I218">
        <v>4</v>
      </c>
      <c r="J218" s="1" t="s">
        <v>43</v>
      </c>
      <c r="K218">
        <v>1</v>
      </c>
      <c r="L218">
        <v>364</v>
      </c>
      <c r="M218">
        <v>1</v>
      </c>
      <c r="N218" s="1" t="s">
        <v>44</v>
      </c>
      <c r="O218">
        <v>79</v>
      </c>
      <c r="P218">
        <v>3</v>
      </c>
      <c r="Q218">
        <v>1</v>
      </c>
      <c r="R218" s="1" t="s">
        <v>45</v>
      </c>
      <c r="S218">
        <v>3</v>
      </c>
      <c r="T218" s="1" t="s">
        <v>46</v>
      </c>
      <c r="U218">
        <v>3485</v>
      </c>
      <c r="V218" s="1" t="s">
        <v>47</v>
      </c>
      <c r="W218">
        <v>14935</v>
      </c>
      <c r="X218">
        <v>2</v>
      </c>
      <c r="Y218" s="1" t="s">
        <v>48</v>
      </c>
      <c r="Z218" s="1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8">
      <c r="A219" s="1" t="s">
        <v>285</v>
      </c>
      <c r="B219">
        <v>28</v>
      </c>
      <c r="C219" s="1" t="s">
        <v>190</v>
      </c>
      <c r="D219" s="1" t="s">
        <v>49</v>
      </c>
      <c r="E219" s="1" t="s">
        <v>41</v>
      </c>
      <c r="F219">
        <v>1158</v>
      </c>
      <c r="G219" s="1" t="s">
        <v>42</v>
      </c>
      <c r="H219">
        <v>9</v>
      </c>
      <c r="I219">
        <v>3</v>
      </c>
      <c r="J219" s="1" t="s">
        <v>52</v>
      </c>
      <c r="K219">
        <v>1</v>
      </c>
      <c r="L219">
        <v>377</v>
      </c>
      <c r="M219">
        <v>4</v>
      </c>
      <c r="N219" s="1" t="s">
        <v>44</v>
      </c>
      <c r="O219">
        <v>94</v>
      </c>
      <c r="P219">
        <v>3</v>
      </c>
      <c r="Q219">
        <v>1</v>
      </c>
      <c r="R219" s="1" t="s">
        <v>60</v>
      </c>
      <c r="S219">
        <v>4</v>
      </c>
      <c r="T219" s="1" t="s">
        <v>105</v>
      </c>
      <c r="U219">
        <v>2070</v>
      </c>
      <c r="V219" s="1" t="s">
        <v>47</v>
      </c>
      <c r="W219">
        <v>2613</v>
      </c>
      <c r="X219">
        <v>1</v>
      </c>
      <c r="Y219" s="1" t="s">
        <v>48</v>
      </c>
      <c r="Z219" s="1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8">
      <c r="A220" s="1" t="s">
        <v>286</v>
      </c>
      <c r="B220">
        <v>28</v>
      </c>
      <c r="C220" s="1" t="s">
        <v>190</v>
      </c>
      <c r="D220" s="1" t="s">
        <v>49</v>
      </c>
      <c r="E220" s="1" t="s">
        <v>41</v>
      </c>
      <c r="F220">
        <v>1117</v>
      </c>
      <c r="G220" s="1" t="s">
        <v>42</v>
      </c>
      <c r="H220">
        <v>8</v>
      </c>
      <c r="I220">
        <v>2</v>
      </c>
      <c r="J220" s="1" t="s">
        <v>43</v>
      </c>
      <c r="K220">
        <v>1</v>
      </c>
      <c r="L220">
        <v>395</v>
      </c>
      <c r="M220">
        <v>4</v>
      </c>
      <c r="N220" s="1" t="s">
        <v>53</v>
      </c>
      <c r="O220">
        <v>66</v>
      </c>
      <c r="P220">
        <v>3</v>
      </c>
      <c r="Q220">
        <v>1</v>
      </c>
      <c r="R220" s="1" t="s">
        <v>60</v>
      </c>
      <c r="S220">
        <v>4</v>
      </c>
      <c r="T220" s="1" t="s">
        <v>46</v>
      </c>
      <c r="U220">
        <v>3310</v>
      </c>
      <c r="V220" s="1" t="s">
        <v>47</v>
      </c>
      <c r="W220">
        <v>4488</v>
      </c>
      <c r="X220">
        <v>1</v>
      </c>
      <c r="Y220" s="1" t="s">
        <v>48</v>
      </c>
      <c r="Z220" s="1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8">
      <c r="A221" s="1" t="s">
        <v>287</v>
      </c>
      <c r="B221">
        <v>28</v>
      </c>
      <c r="C221" s="1" t="s">
        <v>190</v>
      </c>
      <c r="D221" s="1" t="s">
        <v>49</v>
      </c>
      <c r="E221" s="1" t="s">
        <v>41</v>
      </c>
      <c r="F221">
        <v>1476</v>
      </c>
      <c r="G221" s="1" t="s">
        <v>42</v>
      </c>
      <c r="H221">
        <v>16</v>
      </c>
      <c r="I221">
        <v>2</v>
      </c>
      <c r="J221" s="1" t="s">
        <v>52</v>
      </c>
      <c r="K221">
        <v>1</v>
      </c>
      <c r="L221">
        <v>412</v>
      </c>
      <c r="M221">
        <v>2</v>
      </c>
      <c r="N221" s="1" t="s">
        <v>44</v>
      </c>
      <c r="O221">
        <v>68</v>
      </c>
      <c r="P221">
        <v>4</v>
      </c>
      <c r="Q221">
        <v>2</v>
      </c>
      <c r="R221" s="1" t="s">
        <v>161</v>
      </c>
      <c r="S221">
        <v>1</v>
      </c>
      <c r="T221" s="1" t="s">
        <v>46</v>
      </c>
      <c r="U221">
        <v>5661</v>
      </c>
      <c r="V221" s="1" t="s">
        <v>163</v>
      </c>
      <c r="W221">
        <v>4824</v>
      </c>
      <c r="X221">
        <v>0</v>
      </c>
      <c r="Y221" s="1" t="s">
        <v>48</v>
      </c>
      <c r="Z221" s="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8">
      <c r="A222" s="1" t="s">
        <v>288</v>
      </c>
      <c r="B222">
        <v>28</v>
      </c>
      <c r="C222" s="1" t="s">
        <v>190</v>
      </c>
      <c r="D222" s="1" t="s">
        <v>40</v>
      </c>
      <c r="E222" s="1" t="s">
        <v>41</v>
      </c>
      <c r="F222">
        <v>1157</v>
      </c>
      <c r="G222" s="1" t="s">
        <v>42</v>
      </c>
      <c r="H222">
        <v>2</v>
      </c>
      <c r="I222">
        <v>4</v>
      </c>
      <c r="J222" s="1" t="s">
        <v>52</v>
      </c>
      <c r="K222">
        <v>1</v>
      </c>
      <c r="L222">
        <v>440</v>
      </c>
      <c r="M222">
        <v>1</v>
      </c>
      <c r="N222" s="1" t="s">
        <v>44</v>
      </c>
      <c r="O222">
        <v>84</v>
      </c>
      <c r="P222">
        <v>1</v>
      </c>
      <c r="Q222">
        <v>1</v>
      </c>
      <c r="R222" s="1" t="s">
        <v>60</v>
      </c>
      <c r="S222">
        <v>4</v>
      </c>
      <c r="T222" s="1" t="s">
        <v>105</v>
      </c>
      <c r="U222">
        <v>3464</v>
      </c>
      <c r="V222" s="1" t="s">
        <v>47</v>
      </c>
      <c r="W222">
        <v>24737</v>
      </c>
      <c r="X222">
        <v>5</v>
      </c>
      <c r="Y222" s="1" t="s">
        <v>48</v>
      </c>
      <c r="Z222" s="1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8">
      <c r="A223" s="1" t="s">
        <v>289</v>
      </c>
      <c r="B223">
        <v>28</v>
      </c>
      <c r="C223" s="1" t="s">
        <v>190</v>
      </c>
      <c r="D223" s="1" t="s">
        <v>49</v>
      </c>
      <c r="E223" s="1" t="s">
        <v>41</v>
      </c>
      <c r="F223">
        <v>304</v>
      </c>
      <c r="G223" s="1" t="s">
        <v>51</v>
      </c>
      <c r="H223">
        <v>9</v>
      </c>
      <c r="I223">
        <v>4</v>
      </c>
      <c r="J223" s="1" t="s">
        <v>43</v>
      </c>
      <c r="K223">
        <v>1</v>
      </c>
      <c r="L223">
        <v>498</v>
      </c>
      <c r="M223">
        <v>2</v>
      </c>
      <c r="N223" s="1" t="s">
        <v>44</v>
      </c>
      <c r="O223">
        <v>92</v>
      </c>
      <c r="P223">
        <v>3</v>
      </c>
      <c r="Q223">
        <v>2</v>
      </c>
      <c r="R223" s="1" t="s">
        <v>137</v>
      </c>
      <c r="S223">
        <v>4</v>
      </c>
      <c r="T223" s="1" t="s">
        <v>46</v>
      </c>
      <c r="U223">
        <v>5253</v>
      </c>
      <c r="V223" s="1" t="s">
        <v>163</v>
      </c>
      <c r="W223">
        <v>20750</v>
      </c>
      <c r="X223">
        <v>1</v>
      </c>
      <c r="Y223" s="1" t="s">
        <v>48</v>
      </c>
      <c r="Z223" s="1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8">
      <c r="A224" s="1" t="s">
        <v>290</v>
      </c>
      <c r="B224">
        <v>28</v>
      </c>
      <c r="C224" s="1" t="s">
        <v>190</v>
      </c>
      <c r="D224" s="1" t="s">
        <v>49</v>
      </c>
      <c r="E224" s="1" t="s">
        <v>41</v>
      </c>
      <c r="F224">
        <v>1300</v>
      </c>
      <c r="G224" s="1" t="s">
        <v>42</v>
      </c>
      <c r="H224">
        <v>17</v>
      </c>
      <c r="I224">
        <v>2</v>
      </c>
      <c r="J224" s="1" t="s">
        <v>52</v>
      </c>
      <c r="K224">
        <v>1</v>
      </c>
      <c r="L224">
        <v>536</v>
      </c>
      <c r="M224">
        <v>3</v>
      </c>
      <c r="N224" s="1" t="s">
        <v>44</v>
      </c>
      <c r="O224">
        <v>79</v>
      </c>
      <c r="P224">
        <v>3</v>
      </c>
      <c r="Q224">
        <v>2</v>
      </c>
      <c r="R224" s="1" t="s">
        <v>45</v>
      </c>
      <c r="S224">
        <v>1</v>
      </c>
      <c r="T224" s="1" t="s">
        <v>102</v>
      </c>
      <c r="U224">
        <v>4558</v>
      </c>
      <c r="V224" s="1" t="s">
        <v>47</v>
      </c>
      <c r="W224">
        <v>13535</v>
      </c>
      <c r="X224">
        <v>1</v>
      </c>
      <c r="Y224" s="1" t="s">
        <v>48</v>
      </c>
      <c r="Z224" s="1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8">
      <c r="A225" s="1" t="s">
        <v>291</v>
      </c>
      <c r="B225">
        <v>28</v>
      </c>
      <c r="C225" s="1" t="s">
        <v>190</v>
      </c>
      <c r="D225" s="1" t="s">
        <v>40</v>
      </c>
      <c r="E225" s="1" t="s">
        <v>41</v>
      </c>
      <c r="F225">
        <v>654</v>
      </c>
      <c r="G225" s="1" t="s">
        <v>42</v>
      </c>
      <c r="H225">
        <v>1</v>
      </c>
      <c r="I225">
        <v>2</v>
      </c>
      <c r="J225" s="1" t="s">
        <v>43</v>
      </c>
      <c r="K225">
        <v>1</v>
      </c>
      <c r="L225">
        <v>741</v>
      </c>
      <c r="M225">
        <v>1</v>
      </c>
      <c r="N225" s="1" t="s">
        <v>53</v>
      </c>
      <c r="O225">
        <v>67</v>
      </c>
      <c r="P225">
        <v>1</v>
      </c>
      <c r="Q225">
        <v>1</v>
      </c>
      <c r="R225" s="1" t="s">
        <v>60</v>
      </c>
      <c r="S225">
        <v>2</v>
      </c>
      <c r="T225" s="1" t="s">
        <v>46</v>
      </c>
      <c r="U225">
        <v>2216</v>
      </c>
      <c r="V225" s="1" t="s">
        <v>47</v>
      </c>
      <c r="W225">
        <v>3872</v>
      </c>
      <c r="X225">
        <v>7</v>
      </c>
      <c r="Y225" s="1" t="s">
        <v>48</v>
      </c>
      <c r="Z225" s="1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8">
      <c r="A226" s="1" t="s">
        <v>292</v>
      </c>
      <c r="B226">
        <v>28</v>
      </c>
      <c r="C226" s="1" t="s">
        <v>190</v>
      </c>
      <c r="D226" s="1" t="s">
        <v>40</v>
      </c>
      <c r="E226" s="1" t="s">
        <v>41</v>
      </c>
      <c r="F226">
        <v>890</v>
      </c>
      <c r="G226" s="1" t="s">
        <v>42</v>
      </c>
      <c r="H226">
        <v>2</v>
      </c>
      <c r="I226">
        <v>4</v>
      </c>
      <c r="J226" s="1" t="s">
        <v>52</v>
      </c>
      <c r="K226">
        <v>1</v>
      </c>
      <c r="L226">
        <v>828</v>
      </c>
      <c r="M226">
        <v>3</v>
      </c>
      <c r="N226" s="1" t="s">
        <v>44</v>
      </c>
      <c r="O226">
        <v>46</v>
      </c>
      <c r="P226">
        <v>3</v>
      </c>
      <c r="Q226">
        <v>1</v>
      </c>
      <c r="R226" s="1" t="s">
        <v>60</v>
      </c>
      <c r="S226">
        <v>3</v>
      </c>
      <c r="T226" s="1" t="s">
        <v>46</v>
      </c>
      <c r="U226">
        <v>4382</v>
      </c>
      <c r="V226" s="1" t="s">
        <v>47</v>
      </c>
      <c r="W226">
        <v>16374</v>
      </c>
      <c r="X226">
        <v>6</v>
      </c>
      <c r="Y226" s="1" t="s">
        <v>48</v>
      </c>
      <c r="Z226" s="1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8">
      <c r="A227" s="1" t="s">
        <v>293</v>
      </c>
      <c r="B227">
        <v>28</v>
      </c>
      <c r="C227" s="1" t="s">
        <v>190</v>
      </c>
      <c r="D227" s="1" t="s">
        <v>49</v>
      </c>
      <c r="E227" s="1" t="s">
        <v>41</v>
      </c>
      <c r="F227">
        <v>760</v>
      </c>
      <c r="G227" s="1" t="s">
        <v>51</v>
      </c>
      <c r="H227">
        <v>2</v>
      </c>
      <c r="I227">
        <v>4</v>
      </c>
      <c r="J227" s="1" t="s">
        <v>57</v>
      </c>
      <c r="K227">
        <v>1</v>
      </c>
      <c r="L227">
        <v>846</v>
      </c>
      <c r="M227">
        <v>2</v>
      </c>
      <c r="N227" s="1" t="s">
        <v>53</v>
      </c>
      <c r="O227">
        <v>81</v>
      </c>
      <c r="P227">
        <v>3</v>
      </c>
      <c r="Q227">
        <v>2</v>
      </c>
      <c r="R227" s="1" t="s">
        <v>137</v>
      </c>
      <c r="S227">
        <v>2</v>
      </c>
      <c r="T227" s="1" t="s">
        <v>105</v>
      </c>
      <c r="U227">
        <v>4779</v>
      </c>
      <c r="V227" s="1" t="s">
        <v>47</v>
      </c>
      <c r="W227">
        <v>3698</v>
      </c>
      <c r="X227">
        <v>1</v>
      </c>
      <c r="Y227" s="1" t="s">
        <v>48</v>
      </c>
      <c r="Z227" s="1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8">
      <c r="A228" s="1" t="s">
        <v>294</v>
      </c>
      <c r="B228">
        <v>28</v>
      </c>
      <c r="C228" s="1" t="s">
        <v>190</v>
      </c>
      <c r="D228" s="1" t="s">
        <v>49</v>
      </c>
      <c r="E228" s="1" t="s">
        <v>41</v>
      </c>
      <c r="F228">
        <v>1169</v>
      </c>
      <c r="G228" s="1" t="s">
        <v>71</v>
      </c>
      <c r="H228">
        <v>8</v>
      </c>
      <c r="I228">
        <v>2</v>
      </c>
      <c r="J228" s="1" t="s">
        <v>52</v>
      </c>
      <c r="K228">
        <v>1</v>
      </c>
      <c r="L228">
        <v>869</v>
      </c>
      <c r="M228">
        <v>2</v>
      </c>
      <c r="N228" s="1" t="s">
        <v>44</v>
      </c>
      <c r="O228">
        <v>63</v>
      </c>
      <c r="P228">
        <v>2</v>
      </c>
      <c r="Q228">
        <v>1</v>
      </c>
      <c r="R228" s="1" t="s">
        <v>71</v>
      </c>
      <c r="S228">
        <v>4</v>
      </c>
      <c r="T228" s="1" t="s">
        <v>102</v>
      </c>
      <c r="U228">
        <v>4936</v>
      </c>
      <c r="V228" s="1" t="s">
        <v>47</v>
      </c>
      <c r="W228">
        <v>23965</v>
      </c>
      <c r="X228">
        <v>1</v>
      </c>
      <c r="Y228" s="1" t="s">
        <v>48</v>
      </c>
      <c r="Z228" s="1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8">
      <c r="A229" s="1" t="s">
        <v>295</v>
      </c>
      <c r="B229">
        <v>28</v>
      </c>
      <c r="C229" s="1" t="s">
        <v>190</v>
      </c>
      <c r="D229" s="1" t="s">
        <v>49</v>
      </c>
      <c r="E229" s="1" t="s">
        <v>41</v>
      </c>
      <c r="F229">
        <v>821</v>
      </c>
      <c r="G229" s="1" t="s">
        <v>51</v>
      </c>
      <c r="H229">
        <v>5</v>
      </c>
      <c r="I229">
        <v>4</v>
      </c>
      <c r="J229" s="1" t="s">
        <v>52</v>
      </c>
      <c r="K229">
        <v>1</v>
      </c>
      <c r="L229">
        <v>916</v>
      </c>
      <c r="M229">
        <v>1</v>
      </c>
      <c r="N229" s="1" t="s">
        <v>44</v>
      </c>
      <c r="O229">
        <v>98</v>
      </c>
      <c r="P229">
        <v>3</v>
      </c>
      <c r="Q229">
        <v>2</v>
      </c>
      <c r="R229" s="1" t="s">
        <v>137</v>
      </c>
      <c r="S229">
        <v>4</v>
      </c>
      <c r="T229" s="1" t="s">
        <v>46</v>
      </c>
      <c r="U229">
        <v>4908</v>
      </c>
      <c r="V229" s="1" t="s">
        <v>47</v>
      </c>
      <c r="W229">
        <v>24252</v>
      </c>
      <c r="X229">
        <v>1</v>
      </c>
      <c r="Y229" s="1" t="s">
        <v>48</v>
      </c>
      <c r="Z229" s="1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8">
      <c r="A230" s="1" t="s">
        <v>296</v>
      </c>
      <c r="B230">
        <v>28</v>
      </c>
      <c r="C230" s="1" t="s">
        <v>190</v>
      </c>
      <c r="D230" s="1" t="s">
        <v>49</v>
      </c>
      <c r="E230" s="1" t="s">
        <v>41</v>
      </c>
      <c r="F230">
        <v>995</v>
      </c>
      <c r="G230" s="1" t="s">
        <v>42</v>
      </c>
      <c r="H230">
        <v>9</v>
      </c>
      <c r="I230">
        <v>3</v>
      </c>
      <c r="J230" s="1" t="s">
        <v>52</v>
      </c>
      <c r="K230">
        <v>1</v>
      </c>
      <c r="L230">
        <v>930</v>
      </c>
      <c r="M230">
        <v>3</v>
      </c>
      <c r="N230" s="1" t="s">
        <v>53</v>
      </c>
      <c r="O230">
        <v>77</v>
      </c>
      <c r="P230">
        <v>3</v>
      </c>
      <c r="Q230">
        <v>1</v>
      </c>
      <c r="R230" s="1" t="s">
        <v>60</v>
      </c>
      <c r="S230">
        <v>3</v>
      </c>
      <c r="T230" s="1" t="s">
        <v>102</v>
      </c>
      <c r="U230">
        <v>2377</v>
      </c>
      <c r="V230" s="1" t="s">
        <v>47</v>
      </c>
      <c r="W230">
        <v>9834</v>
      </c>
      <c r="X230">
        <v>5</v>
      </c>
      <c r="Y230" s="1" t="s">
        <v>48</v>
      </c>
      <c r="Z230" s="1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8">
      <c r="A231" s="1" t="s">
        <v>297</v>
      </c>
      <c r="B231">
        <v>28</v>
      </c>
      <c r="C231" s="1" t="s">
        <v>190</v>
      </c>
      <c r="D231" s="1" t="s">
        <v>49</v>
      </c>
      <c r="E231" s="1" t="s">
        <v>41</v>
      </c>
      <c r="F231">
        <v>1144</v>
      </c>
      <c r="G231" s="1" t="s">
        <v>51</v>
      </c>
      <c r="H231">
        <v>10</v>
      </c>
      <c r="I231">
        <v>1</v>
      </c>
      <c r="J231" s="1" t="s">
        <v>52</v>
      </c>
      <c r="K231">
        <v>1</v>
      </c>
      <c r="L231">
        <v>1056</v>
      </c>
      <c r="M231">
        <v>4</v>
      </c>
      <c r="N231" s="1" t="s">
        <v>44</v>
      </c>
      <c r="O231">
        <v>74</v>
      </c>
      <c r="P231">
        <v>3</v>
      </c>
      <c r="Q231">
        <v>1</v>
      </c>
      <c r="R231" s="1" t="s">
        <v>54</v>
      </c>
      <c r="S231">
        <v>2</v>
      </c>
      <c r="T231" s="1" t="s">
        <v>105</v>
      </c>
      <c r="U231">
        <v>1052</v>
      </c>
      <c r="V231" s="1" t="s">
        <v>47</v>
      </c>
      <c r="W231">
        <v>23384</v>
      </c>
      <c r="X231">
        <v>1</v>
      </c>
      <c r="Y231" s="1" t="s">
        <v>48</v>
      </c>
      <c r="Z231" s="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8">
      <c r="A232" s="1" t="s">
        <v>298</v>
      </c>
      <c r="B232">
        <v>28</v>
      </c>
      <c r="C232" s="1" t="s">
        <v>190</v>
      </c>
      <c r="D232" s="1" t="s">
        <v>40</v>
      </c>
      <c r="E232" s="1" t="s">
        <v>59</v>
      </c>
      <c r="F232">
        <v>1366</v>
      </c>
      <c r="G232" s="1" t="s">
        <v>42</v>
      </c>
      <c r="H232">
        <v>24</v>
      </c>
      <c r="I232">
        <v>2</v>
      </c>
      <c r="J232" s="1" t="s">
        <v>68</v>
      </c>
      <c r="K232">
        <v>1</v>
      </c>
      <c r="L232">
        <v>1082</v>
      </c>
      <c r="M232">
        <v>2</v>
      </c>
      <c r="N232" s="1" t="s">
        <v>44</v>
      </c>
      <c r="O232">
        <v>72</v>
      </c>
      <c r="P232">
        <v>2</v>
      </c>
      <c r="Q232">
        <v>3</v>
      </c>
      <c r="R232" s="1" t="s">
        <v>161</v>
      </c>
      <c r="S232">
        <v>1</v>
      </c>
      <c r="T232" s="1" t="s">
        <v>46</v>
      </c>
      <c r="U232">
        <v>8722</v>
      </c>
      <c r="V232" s="1" t="s">
        <v>163</v>
      </c>
      <c r="W232">
        <v>12355</v>
      </c>
      <c r="X232">
        <v>1</v>
      </c>
      <c r="Y232" s="1" t="s">
        <v>48</v>
      </c>
      <c r="Z232" s="1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8">
      <c r="A233" s="1" t="s">
        <v>299</v>
      </c>
      <c r="B233">
        <v>28</v>
      </c>
      <c r="C233" s="1" t="s">
        <v>190</v>
      </c>
      <c r="D233" s="1" t="s">
        <v>49</v>
      </c>
      <c r="E233" s="1" t="s">
        <v>41</v>
      </c>
      <c r="F233">
        <v>857</v>
      </c>
      <c r="G233" s="1" t="s">
        <v>42</v>
      </c>
      <c r="H233">
        <v>10</v>
      </c>
      <c r="I233">
        <v>3</v>
      </c>
      <c r="J233" s="1" t="s">
        <v>73</v>
      </c>
      <c r="K233">
        <v>1</v>
      </c>
      <c r="L233">
        <v>1097</v>
      </c>
      <c r="M233">
        <v>3</v>
      </c>
      <c r="N233" s="1" t="s">
        <v>53</v>
      </c>
      <c r="O233">
        <v>59</v>
      </c>
      <c r="P233">
        <v>3</v>
      </c>
      <c r="Q233">
        <v>2</v>
      </c>
      <c r="R233" s="1" t="s">
        <v>60</v>
      </c>
      <c r="S233">
        <v>3</v>
      </c>
      <c r="T233" s="1" t="s">
        <v>46</v>
      </c>
      <c r="U233">
        <v>3660</v>
      </c>
      <c r="V233" s="1" t="s">
        <v>47</v>
      </c>
      <c r="W233">
        <v>7909</v>
      </c>
      <c r="X233">
        <v>3</v>
      </c>
      <c r="Y233" s="1" t="s">
        <v>48</v>
      </c>
      <c r="Z233" s="1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8">
      <c r="A234" s="1" t="s">
        <v>300</v>
      </c>
      <c r="B234">
        <v>28</v>
      </c>
      <c r="C234" s="1" t="s">
        <v>190</v>
      </c>
      <c r="D234" s="1" t="s">
        <v>49</v>
      </c>
      <c r="E234" s="1" t="s">
        <v>41</v>
      </c>
      <c r="F234">
        <v>895</v>
      </c>
      <c r="G234" s="1" t="s">
        <v>42</v>
      </c>
      <c r="H234">
        <v>15</v>
      </c>
      <c r="I234">
        <v>2</v>
      </c>
      <c r="J234" s="1" t="s">
        <v>43</v>
      </c>
      <c r="K234">
        <v>1</v>
      </c>
      <c r="L234">
        <v>1102</v>
      </c>
      <c r="M234">
        <v>1</v>
      </c>
      <c r="N234" s="1" t="s">
        <v>44</v>
      </c>
      <c r="O234">
        <v>50</v>
      </c>
      <c r="P234">
        <v>3</v>
      </c>
      <c r="Q234">
        <v>1</v>
      </c>
      <c r="R234" s="1" t="s">
        <v>45</v>
      </c>
      <c r="S234">
        <v>3</v>
      </c>
      <c r="T234" s="1" t="s">
        <v>102</v>
      </c>
      <c r="U234">
        <v>2207</v>
      </c>
      <c r="V234" s="1" t="s">
        <v>47</v>
      </c>
      <c r="W234">
        <v>22482</v>
      </c>
      <c r="X234">
        <v>1</v>
      </c>
      <c r="Y234" s="1" t="s">
        <v>48</v>
      </c>
      <c r="Z234" s="1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8">
      <c r="A235" s="1" t="s">
        <v>301</v>
      </c>
      <c r="B235">
        <v>28</v>
      </c>
      <c r="C235" s="1" t="s">
        <v>190</v>
      </c>
      <c r="D235" s="1" t="s">
        <v>40</v>
      </c>
      <c r="E235" s="1" t="s">
        <v>56</v>
      </c>
      <c r="F235">
        <v>1009</v>
      </c>
      <c r="G235" s="1" t="s">
        <v>42</v>
      </c>
      <c r="H235">
        <v>1</v>
      </c>
      <c r="I235">
        <v>3</v>
      </c>
      <c r="J235" s="1" t="s">
        <v>52</v>
      </c>
      <c r="K235">
        <v>1</v>
      </c>
      <c r="L235">
        <v>1111</v>
      </c>
      <c r="M235">
        <v>1</v>
      </c>
      <c r="N235" s="1" t="s">
        <v>44</v>
      </c>
      <c r="O235">
        <v>45</v>
      </c>
      <c r="P235">
        <v>2</v>
      </c>
      <c r="Q235">
        <v>1</v>
      </c>
      <c r="R235" s="1" t="s">
        <v>45</v>
      </c>
      <c r="S235">
        <v>2</v>
      </c>
      <c r="T235" s="1" t="s">
        <v>102</v>
      </c>
      <c r="U235">
        <v>2596</v>
      </c>
      <c r="V235" s="1" t="s">
        <v>47</v>
      </c>
      <c r="W235">
        <v>7160</v>
      </c>
      <c r="X235">
        <v>1</v>
      </c>
      <c r="Y235" s="1" t="s">
        <v>48</v>
      </c>
      <c r="Z235" s="1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8">
      <c r="A236" s="1" t="s">
        <v>302</v>
      </c>
      <c r="B236">
        <v>28</v>
      </c>
      <c r="C236" s="1" t="s">
        <v>190</v>
      </c>
      <c r="D236" s="1" t="s">
        <v>49</v>
      </c>
      <c r="E236" s="1" t="s">
        <v>41</v>
      </c>
      <c r="F236">
        <v>950</v>
      </c>
      <c r="G236" s="1" t="s">
        <v>42</v>
      </c>
      <c r="H236">
        <v>3</v>
      </c>
      <c r="I236">
        <v>3</v>
      </c>
      <c r="J236" s="1" t="s">
        <v>52</v>
      </c>
      <c r="K236">
        <v>1</v>
      </c>
      <c r="L236">
        <v>1121</v>
      </c>
      <c r="M236">
        <v>4</v>
      </c>
      <c r="N236" s="1" t="s">
        <v>53</v>
      </c>
      <c r="O236">
        <v>93</v>
      </c>
      <c r="P236">
        <v>3</v>
      </c>
      <c r="Q236">
        <v>3</v>
      </c>
      <c r="R236" s="1" t="s">
        <v>112</v>
      </c>
      <c r="S236">
        <v>2</v>
      </c>
      <c r="T236" s="1" t="s">
        <v>102</v>
      </c>
      <c r="U236">
        <v>7655</v>
      </c>
      <c r="V236" s="1" t="s">
        <v>163</v>
      </c>
      <c r="W236">
        <v>8039</v>
      </c>
      <c r="X236">
        <v>0</v>
      </c>
      <c r="Y236" s="1" t="s">
        <v>48</v>
      </c>
      <c r="Z236" s="1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8">
      <c r="A237" s="1" t="s">
        <v>303</v>
      </c>
      <c r="B237">
        <v>28</v>
      </c>
      <c r="C237" s="1" t="s">
        <v>190</v>
      </c>
      <c r="D237" s="1" t="s">
        <v>49</v>
      </c>
      <c r="E237" s="1" t="s">
        <v>41</v>
      </c>
      <c r="F237">
        <v>1451</v>
      </c>
      <c r="G237" s="1" t="s">
        <v>42</v>
      </c>
      <c r="H237">
        <v>2</v>
      </c>
      <c r="I237">
        <v>1</v>
      </c>
      <c r="J237" s="1" t="s">
        <v>43</v>
      </c>
      <c r="K237">
        <v>1</v>
      </c>
      <c r="L237">
        <v>1136</v>
      </c>
      <c r="M237">
        <v>1</v>
      </c>
      <c r="N237" s="1" t="s">
        <v>44</v>
      </c>
      <c r="O237">
        <v>67</v>
      </c>
      <c r="P237">
        <v>2</v>
      </c>
      <c r="Q237">
        <v>1</v>
      </c>
      <c r="R237" s="1" t="s">
        <v>60</v>
      </c>
      <c r="S237">
        <v>2</v>
      </c>
      <c r="T237" s="1" t="s">
        <v>105</v>
      </c>
      <c r="U237">
        <v>3201</v>
      </c>
      <c r="V237" s="1" t="s">
        <v>47</v>
      </c>
      <c r="W237">
        <v>19911</v>
      </c>
      <c r="X237">
        <v>0</v>
      </c>
      <c r="Y237" s="1" t="s">
        <v>48</v>
      </c>
      <c r="Z237" s="1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8">
      <c r="A238" s="1" t="s">
        <v>304</v>
      </c>
      <c r="B238">
        <v>28</v>
      </c>
      <c r="C238" s="1" t="s">
        <v>190</v>
      </c>
      <c r="D238" s="1" t="s">
        <v>49</v>
      </c>
      <c r="E238" s="1" t="s">
        <v>56</v>
      </c>
      <c r="F238">
        <v>773</v>
      </c>
      <c r="G238" s="1" t="s">
        <v>42</v>
      </c>
      <c r="H238">
        <v>6</v>
      </c>
      <c r="I238">
        <v>3</v>
      </c>
      <c r="J238" s="1" t="s">
        <v>43</v>
      </c>
      <c r="K238">
        <v>1</v>
      </c>
      <c r="L238">
        <v>1154</v>
      </c>
      <c r="M238">
        <v>3</v>
      </c>
      <c r="N238" s="1" t="s">
        <v>44</v>
      </c>
      <c r="O238">
        <v>39</v>
      </c>
      <c r="P238">
        <v>2</v>
      </c>
      <c r="Q238">
        <v>1</v>
      </c>
      <c r="R238" s="1" t="s">
        <v>60</v>
      </c>
      <c r="S238">
        <v>3</v>
      </c>
      <c r="T238" s="1" t="s">
        <v>102</v>
      </c>
      <c r="U238">
        <v>2703</v>
      </c>
      <c r="V238" s="1" t="s">
        <v>47</v>
      </c>
      <c r="W238">
        <v>22088</v>
      </c>
      <c r="X238">
        <v>1</v>
      </c>
      <c r="Y238" s="1" t="s">
        <v>48</v>
      </c>
      <c r="Z238" s="1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8">
      <c r="A239" s="1" t="s">
        <v>305</v>
      </c>
      <c r="B239">
        <v>28</v>
      </c>
      <c r="C239" s="1" t="s">
        <v>190</v>
      </c>
      <c r="D239" s="1" t="s">
        <v>40</v>
      </c>
      <c r="E239" s="1" t="s">
        <v>41</v>
      </c>
      <c r="F239">
        <v>1485</v>
      </c>
      <c r="G239" s="1" t="s">
        <v>42</v>
      </c>
      <c r="H239">
        <v>12</v>
      </c>
      <c r="I239">
        <v>1</v>
      </c>
      <c r="J239" s="1" t="s">
        <v>43</v>
      </c>
      <c r="K239">
        <v>1</v>
      </c>
      <c r="L239">
        <v>1175</v>
      </c>
      <c r="M239">
        <v>3</v>
      </c>
      <c r="N239" s="1" t="s">
        <v>53</v>
      </c>
      <c r="O239">
        <v>79</v>
      </c>
      <c r="P239">
        <v>3</v>
      </c>
      <c r="Q239">
        <v>1</v>
      </c>
      <c r="R239" s="1" t="s">
        <v>45</v>
      </c>
      <c r="S239">
        <v>4</v>
      </c>
      <c r="T239" s="1" t="s">
        <v>105</v>
      </c>
      <c r="U239">
        <v>2515</v>
      </c>
      <c r="V239" s="1" t="s">
        <v>47</v>
      </c>
      <c r="W239">
        <v>22955</v>
      </c>
      <c r="X239">
        <v>1</v>
      </c>
      <c r="Y239" s="1" t="s">
        <v>48</v>
      </c>
      <c r="Z239" s="1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8">
      <c r="A240" s="1" t="s">
        <v>306</v>
      </c>
      <c r="B240">
        <v>28</v>
      </c>
      <c r="C240" s="1" t="s">
        <v>190</v>
      </c>
      <c r="D240" s="1" t="s">
        <v>49</v>
      </c>
      <c r="E240" s="1" t="s">
        <v>41</v>
      </c>
      <c r="F240">
        <v>1179</v>
      </c>
      <c r="G240" s="1" t="s">
        <v>42</v>
      </c>
      <c r="H240">
        <v>19</v>
      </c>
      <c r="I240">
        <v>4</v>
      </c>
      <c r="J240" s="1" t="s">
        <v>52</v>
      </c>
      <c r="K240">
        <v>1</v>
      </c>
      <c r="L240">
        <v>1216</v>
      </c>
      <c r="M240">
        <v>4</v>
      </c>
      <c r="N240" s="1" t="s">
        <v>44</v>
      </c>
      <c r="O240">
        <v>78</v>
      </c>
      <c r="P240">
        <v>2</v>
      </c>
      <c r="Q240">
        <v>1</v>
      </c>
      <c r="R240" s="1" t="s">
        <v>45</v>
      </c>
      <c r="S240">
        <v>1</v>
      </c>
      <c r="T240" s="1" t="s">
        <v>105</v>
      </c>
      <c r="U240">
        <v>3196</v>
      </c>
      <c r="V240" s="1" t="s">
        <v>47</v>
      </c>
      <c r="W240">
        <v>12449</v>
      </c>
      <c r="X240">
        <v>1</v>
      </c>
      <c r="Y240" s="1" t="s">
        <v>48</v>
      </c>
      <c r="Z240" s="1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8">
      <c r="A241" s="1" t="s">
        <v>307</v>
      </c>
      <c r="B241">
        <v>28</v>
      </c>
      <c r="C241" s="1" t="s">
        <v>190</v>
      </c>
      <c r="D241" s="1" t="s">
        <v>49</v>
      </c>
      <c r="E241" s="1" t="s">
        <v>56</v>
      </c>
      <c r="F241">
        <v>791</v>
      </c>
      <c r="G241" s="1" t="s">
        <v>42</v>
      </c>
      <c r="H241">
        <v>1</v>
      </c>
      <c r="I241">
        <v>4</v>
      </c>
      <c r="J241" s="1" t="s">
        <v>52</v>
      </c>
      <c r="K241">
        <v>1</v>
      </c>
      <c r="L241">
        <v>1286</v>
      </c>
      <c r="M241">
        <v>4</v>
      </c>
      <c r="N241" s="1" t="s">
        <v>44</v>
      </c>
      <c r="O241">
        <v>44</v>
      </c>
      <c r="P241">
        <v>3</v>
      </c>
      <c r="Q241">
        <v>1</v>
      </c>
      <c r="R241" s="1" t="s">
        <v>45</v>
      </c>
      <c r="S241">
        <v>3</v>
      </c>
      <c r="T241" s="1" t="s">
        <v>46</v>
      </c>
      <c r="U241">
        <v>2154</v>
      </c>
      <c r="V241" s="1" t="s">
        <v>47</v>
      </c>
      <c r="W241">
        <v>6842</v>
      </c>
      <c r="X241">
        <v>0</v>
      </c>
      <c r="Y241" s="1" t="s">
        <v>48</v>
      </c>
      <c r="Z241" s="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8">
      <c r="A242" s="1" t="s">
        <v>308</v>
      </c>
      <c r="B242">
        <v>28</v>
      </c>
      <c r="C242" s="1" t="s">
        <v>190</v>
      </c>
      <c r="D242" s="1" t="s">
        <v>49</v>
      </c>
      <c r="E242" s="1" t="s">
        <v>56</v>
      </c>
      <c r="F242">
        <v>193</v>
      </c>
      <c r="G242" s="1" t="s">
        <v>42</v>
      </c>
      <c r="H242">
        <v>2</v>
      </c>
      <c r="I242">
        <v>3</v>
      </c>
      <c r="J242" s="1" t="s">
        <v>43</v>
      </c>
      <c r="K242">
        <v>1</v>
      </c>
      <c r="L242">
        <v>1296</v>
      </c>
      <c r="M242">
        <v>4</v>
      </c>
      <c r="N242" s="1" t="s">
        <v>44</v>
      </c>
      <c r="O242">
        <v>52</v>
      </c>
      <c r="P242">
        <v>2</v>
      </c>
      <c r="Q242">
        <v>1</v>
      </c>
      <c r="R242" s="1" t="s">
        <v>45</v>
      </c>
      <c r="S242">
        <v>4</v>
      </c>
      <c r="T242" s="1" t="s">
        <v>105</v>
      </c>
      <c r="U242">
        <v>3867</v>
      </c>
      <c r="V242" s="1" t="s">
        <v>47</v>
      </c>
      <c r="W242">
        <v>14222</v>
      </c>
      <c r="X242">
        <v>1</v>
      </c>
      <c r="Y242" s="1" t="s">
        <v>48</v>
      </c>
      <c r="Z242" s="1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8">
      <c r="A243" s="1" t="s">
        <v>309</v>
      </c>
      <c r="B243">
        <v>28</v>
      </c>
      <c r="C243" s="1" t="s">
        <v>190</v>
      </c>
      <c r="D243" s="1" t="s">
        <v>49</v>
      </c>
      <c r="E243" s="1" t="s">
        <v>41</v>
      </c>
      <c r="F243">
        <v>640</v>
      </c>
      <c r="G243" s="1" t="s">
        <v>42</v>
      </c>
      <c r="H243">
        <v>1</v>
      </c>
      <c r="I243">
        <v>3</v>
      </c>
      <c r="J243" s="1" t="s">
        <v>68</v>
      </c>
      <c r="K243">
        <v>1</v>
      </c>
      <c r="L243">
        <v>1301</v>
      </c>
      <c r="M243">
        <v>4</v>
      </c>
      <c r="N243" s="1" t="s">
        <v>44</v>
      </c>
      <c r="O243">
        <v>84</v>
      </c>
      <c r="P243">
        <v>3</v>
      </c>
      <c r="Q243">
        <v>1</v>
      </c>
      <c r="R243" s="1" t="s">
        <v>60</v>
      </c>
      <c r="S243">
        <v>1</v>
      </c>
      <c r="T243" s="1" t="s">
        <v>46</v>
      </c>
      <c r="U243">
        <v>2080</v>
      </c>
      <c r="V243" s="1" t="s">
        <v>47</v>
      </c>
      <c r="W243">
        <v>4732</v>
      </c>
      <c r="X243">
        <v>2</v>
      </c>
      <c r="Y243" s="1" t="s">
        <v>48</v>
      </c>
      <c r="Z243" s="1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8">
      <c r="A244" s="1" t="s">
        <v>310</v>
      </c>
      <c r="B244">
        <v>28</v>
      </c>
      <c r="C244" s="1" t="s">
        <v>190</v>
      </c>
      <c r="D244" s="1" t="s">
        <v>49</v>
      </c>
      <c r="E244" s="1" t="s">
        <v>59</v>
      </c>
      <c r="F244">
        <v>1476</v>
      </c>
      <c r="G244" s="1" t="s">
        <v>42</v>
      </c>
      <c r="H244">
        <v>1</v>
      </c>
      <c r="I244">
        <v>3</v>
      </c>
      <c r="J244" s="1" t="s">
        <v>43</v>
      </c>
      <c r="K244">
        <v>1</v>
      </c>
      <c r="L244">
        <v>1315</v>
      </c>
      <c r="M244">
        <v>3</v>
      </c>
      <c r="N244" s="1" t="s">
        <v>53</v>
      </c>
      <c r="O244">
        <v>55</v>
      </c>
      <c r="P244">
        <v>1</v>
      </c>
      <c r="Q244">
        <v>2</v>
      </c>
      <c r="R244" s="1" t="s">
        <v>45</v>
      </c>
      <c r="S244">
        <v>4</v>
      </c>
      <c r="T244" s="1" t="s">
        <v>105</v>
      </c>
      <c r="U244">
        <v>6674</v>
      </c>
      <c r="V244" s="1" t="s">
        <v>163</v>
      </c>
      <c r="W244">
        <v>16392</v>
      </c>
      <c r="X244">
        <v>0</v>
      </c>
      <c r="Y244" s="1" t="s">
        <v>48</v>
      </c>
      <c r="Z244" s="1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8">
      <c r="A245" s="1" t="s">
        <v>311</v>
      </c>
      <c r="B245">
        <v>28</v>
      </c>
      <c r="C245" s="1" t="s">
        <v>190</v>
      </c>
      <c r="D245" s="1" t="s">
        <v>49</v>
      </c>
      <c r="E245" s="1" t="s">
        <v>41</v>
      </c>
      <c r="F245">
        <v>736</v>
      </c>
      <c r="G245" s="1" t="s">
        <v>51</v>
      </c>
      <c r="H245">
        <v>26</v>
      </c>
      <c r="I245">
        <v>3</v>
      </c>
      <c r="J245" s="1" t="s">
        <v>43</v>
      </c>
      <c r="K245">
        <v>1</v>
      </c>
      <c r="L245">
        <v>1387</v>
      </c>
      <c r="M245">
        <v>3</v>
      </c>
      <c r="N245" s="1" t="s">
        <v>44</v>
      </c>
      <c r="O245">
        <v>48</v>
      </c>
      <c r="P245">
        <v>2</v>
      </c>
      <c r="Q245">
        <v>2</v>
      </c>
      <c r="R245" s="1" t="s">
        <v>137</v>
      </c>
      <c r="S245">
        <v>1</v>
      </c>
      <c r="T245" s="1" t="s">
        <v>105</v>
      </c>
      <c r="U245">
        <v>4724</v>
      </c>
      <c r="V245" s="1" t="s">
        <v>47</v>
      </c>
      <c r="W245">
        <v>24232</v>
      </c>
      <c r="X245">
        <v>1</v>
      </c>
      <c r="Y245" s="1" t="s">
        <v>48</v>
      </c>
      <c r="Z245" s="1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8">
      <c r="A246" s="1" t="s">
        <v>312</v>
      </c>
      <c r="B246">
        <v>28</v>
      </c>
      <c r="C246" s="1" t="s">
        <v>190</v>
      </c>
      <c r="D246" s="1" t="s">
        <v>49</v>
      </c>
      <c r="E246" s="1" t="s">
        <v>41</v>
      </c>
      <c r="F246">
        <v>866</v>
      </c>
      <c r="G246" s="1" t="s">
        <v>51</v>
      </c>
      <c r="H246">
        <v>5</v>
      </c>
      <c r="I246">
        <v>3</v>
      </c>
      <c r="J246" s="1" t="s">
        <v>52</v>
      </c>
      <c r="K246">
        <v>1</v>
      </c>
      <c r="L246">
        <v>1469</v>
      </c>
      <c r="M246">
        <v>4</v>
      </c>
      <c r="N246" s="1" t="s">
        <v>44</v>
      </c>
      <c r="O246">
        <v>84</v>
      </c>
      <c r="P246">
        <v>3</v>
      </c>
      <c r="Q246">
        <v>2</v>
      </c>
      <c r="R246" s="1" t="s">
        <v>137</v>
      </c>
      <c r="S246">
        <v>1</v>
      </c>
      <c r="T246" s="1" t="s">
        <v>46</v>
      </c>
      <c r="U246">
        <v>8463</v>
      </c>
      <c r="V246" s="1" t="s">
        <v>163</v>
      </c>
      <c r="W246">
        <v>23490</v>
      </c>
      <c r="X246">
        <v>0</v>
      </c>
      <c r="Y246" s="1" t="s">
        <v>48</v>
      </c>
      <c r="Z246" s="1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8">
      <c r="A247" s="1" t="s">
        <v>313</v>
      </c>
      <c r="B247">
        <v>28</v>
      </c>
      <c r="C247" s="1" t="s">
        <v>190</v>
      </c>
      <c r="D247" s="1" t="s">
        <v>40</v>
      </c>
      <c r="E247" s="1" t="s">
        <v>56</v>
      </c>
      <c r="F247">
        <v>1496</v>
      </c>
      <c r="G247" s="1" t="s">
        <v>51</v>
      </c>
      <c r="H247">
        <v>1</v>
      </c>
      <c r="I247">
        <v>3</v>
      </c>
      <c r="J247" s="1" t="s">
        <v>68</v>
      </c>
      <c r="K247">
        <v>1</v>
      </c>
      <c r="L247">
        <v>1486</v>
      </c>
      <c r="M247">
        <v>1</v>
      </c>
      <c r="N247" s="1" t="s">
        <v>44</v>
      </c>
      <c r="O247">
        <v>92</v>
      </c>
      <c r="P247">
        <v>3</v>
      </c>
      <c r="Q247">
        <v>1</v>
      </c>
      <c r="R247" s="1" t="s">
        <v>54</v>
      </c>
      <c r="S247">
        <v>3</v>
      </c>
      <c r="T247" s="1" t="s">
        <v>105</v>
      </c>
      <c r="U247">
        <v>2909</v>
      </c>
      <c r="V247" s="1" t="s">
        <v>47</v>
      </c>
      <c r="W247">
        <v>15747</v>
      </c>
      <c r="X247">
        <v>3</v>
      </c>
      <c r="Y247" s="1" t="s">
        <v>48</v>
      </c>
      <c r="Z247" s="1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8">
      <c r="A248" s="1" t="s">
        <v>314</v>
      </c>
      <c r="B248">
        <v>28</v>
      </c>
      <c r="C248" s="1" t="s">
        <v>190</v>
      </c>
      <c r="D248" s="1" t="s">
        <v>40</v>
      </c>
      <c r="E248" s="1" t="s">
        <v>56</v>
      </c>
      <c r="F248">
        <v>289</v>
      </c>
      <c r="G248" s="1" t="s">
        <v>42</v>
      </c>
      <c r="H248">
        <v>2</v>
      </c>
      <c r="I248">
        <v>2</v>
      </c>
      <c r="J248" s="1" t="s">
        <v>52</v>
      </c>
      <c r="K248">
        <v>1</v>
      </c>
      <c r="L248">
        <v>1504</v>
      </c>
      <c r="M248">
        <v>3</v>
      </c>
      <c r="N248" s="1" t="s">
        <v>44</v>
      </c>
      <c r="O248">
        <v>38</v>
      </c>
      <c r="P248">
        <v>2</v>
      </c>
      <c r="Q248">
        <v>1</v>
      </c>
      <c r="R248" s="1" t="s">
        <v>45</v>
      </c>
      <c r="S248">
        <v>1</v>
      </c>
      <c r="T248" s="1" t="s">
        <v>46</v>
      </c>
      <c r="U248">
        <v>2561</v>
      </c>
      <c r="V248" s="1" t="s">
        <v>47</v>
      </c>
      <c r="W248">
        <v>5355</v>
      </c>
      <c r="X248">
        <v>7</v>
      </c>
      <c r="Y248" s="1" t="s">
        <v>48</v>
      </c>
      <c r="Z248" s="1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8">
      <c r="A249" s="1" t="s">
        <v>315</v>
      </c>
      <c r="B249">
        <v>28</v>
      </c>
      <c r="C249" s="1" t="s">
        <v>190</v>
      </c>
      <c r="D249" s="1" t="s">
        <v>49</v>
      </c>
      <c r="E249" s="1" t="s">
        <v>41</v>
      </c>
      <c r="F249">
        <v>1423</v>
      </c>
      <c r="G249" s="1" t="s">
        <v>42</v>
      </c>
      <c r="H249">
        <v>1</v>
      </c>
      <c r="I249">
        <v>3</v>
      </c>
      <c r="J249" s="1" t="s">
        <v>43</v>
      </c>
      <c r="K249">
        <v>1</v>
      </c>
      <c r="L249">
        <v>1506</v>
      </c>
      <c r="M249">
        <v>1</v>
      </c>
      <c r="N249" s="1" t="s">
        <v>44</v>
      </c>
      <c r="O249">
        <v>72</v>
      </c>
      <c r="P249">
        <v>2</v>
      </c>
      <c r="Q249">
        <v>1</v>
      </c>
      <c r="R249" s="1" t="s">
        <v>60</v>
      </c>
      <c r="S249">
        <v>3</v>
      </c>
      <c r="T249" s="1" t="s">
        <v>102</v>
      </c>
      <c r="U249">
        <v>1563</v>
      </c>
      <c r="V249" s="1" t="s">
        <v>47</v>
      </c>
      <c r="W249">
        <v>12530</v>
      </c>
      <c r="X249">
        <v>1</v>
      </c>
      <c r="Y249" s="1" t="s">
        <v>48</v>
      </c>
      <c r="Z249" s="1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8">
      <c r="A250" s="1" t="s">
        <v>316</v>
      </c>
      <c r="B250">
        <v>28</v>
      </c>
      <c r="C250" s="1" t="s">
        <v>190</v>
      </c>
      <c r="D250" s="1" t="s">
        <v>49</v>
      </c>
      <c r="E250" s="1" t="s">
        <v>56</v>
      </c>
      <c r="F250">
        <v>467</v>
      </c>
      <c r="G250" s="1" t="s">
        <v>51</v>
      </c>
      <c r="H250">
        <v>7</v>
      </c>
      <c r="I250">
        <v>3</v>
      </c>
      <c r="J250" s="1" t="s">
        <v>43</v>
      </c>
      <c r="K250">
        <v>1</v>
      </c>
      <c r="L250">
        <v>1507</v>
      </c>
      <c r="M250">
        <v>3</v>
      </c>
      <c r="N250" s="1" t="s">
        <v>44</v>
      </c>
      <c r="O250">
        <v>55</v>
      </c>
      <c r="P250">
        <v>3</v>
      </c>
      <c r="Q250">
        <v>2</v>
      </c>
      <c r="R250" s="1" t="s">
        <v>137</v>
      </c>
      <c r="S250">
        <v>1</v>
      </c>
      <c r="T250" s="1" t="s">
        <v>46</v>
      </c>
      <c r="U250">
        <v>4898</v>
      </c>
      <c r="V250" s="1" t="s">
        <v>47</v>
      </c>
      <c r="W250">
        <v>11827</v>
      </c>
      <c r="X250">
        <v>0</v>
      </c>
      <c r="Y250" s="1" t="s">
        <v>48</v>
      </c>
      <c r="Z250" s="1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8">
      <c r="A251" s="1" t="s">
        <v>317</v>
      </c>
      <c r="B251">
        <v>28</v>
      </c>
      <c r="C251" s="1" t="s">
        <v>190</v>
      </c>
      <c r="D251" s="1" t="s">
        <v>49</v>
      </c>
      <c r="E251" s="1" t="s">
        <v>41</v>
      </c>
      <c r="F251">
        <v>1083</v>
      </c>
      <c r="G251" s="1" t="s">
        <v>42</v>
      </c>
      <c r="H251">
        <v>29</v>
      </c>
      <c r="I251">
        <v>1</v>
      </c>
      <c r="J251" s="1" t="s">
        <v>43</v>
      </c>
      <c r="K251">
        <v>1</v>
      </c>
      <c r="L251">
        <v>1514</v>
      </c>
      <c r="M251">
        <v>3</v>
      </c>
      <c r="N251" s="1" t="s">
        <v>44</v>
      </c>
      <c r="O251">
        <v>96</v>
      </c>
      <c r="P251">
        <v>1</v>
      </c>
      <c r="Q251">
        <v>2</v>
      </c>
      <c r="R251" s="1" t="s">
        <v>112</v>
      </c>
      <c r="S251">
        <v>2</v>
      </c>
      <c r="T251" s="1" t="s">
        <v>105</v>
      </c>
      <c r="U251">
        <v>6549</v>
      </c>
      <c r="V251" s="1" t="s">
        <v>163</v>
      </c>
      <c r="W251">
        <v>3173</v>
      </c>
      <c r="X251">
        <v>1</v>
      </c>
      <c r="Y251" s="1" t="s">
        <v>48</v>
      </c>
      <c r="Z251" s="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8">
      <c r="A252" s="1" t="s">
        <v>318</v>
      </c>
      <c r="B252">
        <v>28</v>
      </c>
      <c r="C252" s="1" t="s">
        <v>190</v>
      </c>
      <c r="D252" s="1" t="s">
        <v>40</v>
      </c>
      <c r="E252" s="1" t="s">
        <v>41</v>
      </c>
      <c r="F252">
        <v>329</v>
      </c>
      <c r="G252" s="1" t="s">
        <v>42</v>
      </c>
      <c r="H252">
        <v>24</v>
      </c>
      <c r="I252">
        <v>3</v>
      </c>
      <c r="J252" s="1" t="s">
        <v>52</v>
      </c>
      <c r="K252">
        <v>1</v>
      </c>
      <c r="L252">
        <v>1604</v>
      </c>
      <c r="M252">
        <v>3</v>
      </c>
      <c r="N252" s="1" t="s">
        <v>44</v>
      </c>
      <c r="O252">
        <v>51</v>
      </c>
      <c r="P252">
        <v>3</v>
      </c>
      <c r="Q252">
        <v>1</v>
      </c>
      <c r="R252" s="1" t="s">
        <v>45</v>
      </c>
      <c r="S252">
        <v>2</v>
      </c>
      <c r="T252" s="1" t="s">
        <v>105</v>
      </c>
      <c r="U252">
        <v>2408</v>
      </c>
      <c r="V252" s="1" t="s">
        <v>47</v>
      </c>
      <c r="W252">
        <v>7324</v>
      </c>
      <c r="X252">
        <v>1</v>
      </c>
      <c r="Y252" s="1" t="s">
        <v>48</v>
      </c>
      <c r="Z252" s="1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8">
      <c r="A253" s="1" t="s">
        <v>319</v>
      </c>
      <c r="B253">
        <v>28</v>
      </c>
      <c r="C253" s="1" t="s">
        <v>190</v>
      </c>
      <c r="D253" s="1" t="s">
        <v>49</v>
      </c>
      <c r="E253" s="1" t="s">
        <v>41</v>
      </c>
      <c r="F253">
        <v>580</v>
      </c>
      <c r="G253" s="1" t="s">
        <v>42</v>
      </c>
      <c r="H253">
        <v>27</v>
      </c>
      <c r="I253">
        <v>3</v>
      </c>
      <c r="J253" s="1" t="s">
        <v>52</v>
      </c>
      <c r="K253">
        <v>1</v>
      </c>
      <c r="L253">
        <v>1622</v>
      </c>
      <c r="M253">
        <v>2</v>
      </c>
      <c r="N253" s="1" t="s">
        <v>53</v>
      </c>
      <c r="O253">
        <v>39</v>
      </c>
      <c r="P253">
        <v>1</v>
      </c>
      <c r="Q253">
        <v>2</v>
      </c>
      <c r="R253" s="1" t="s">
        <v>112</v>
      </c>
      <c r="S253">
        <v>1</v>
      </c>
      <c r="T253" s="1" t="s">
        <v>102</v>
      </c>
      <c r="U253">
        <v>4877</v>
      </c>
      <c r="V253" s="1" t="s">
        <v>47</v>
      </c>
      <c r="W253">
        <v>20460</v>
      </c>
      <c r="X253">
        <v>0</v>
      </c>
      <c r="Y253" s="1" t="s">
        <v>48</v>
      </c>
      <c r="Z253" s="1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8">
      <c r="A254" s="1" t="s">
        <v>320</v>
      </c>
      <c r="B254">
        <v>28</v>
      </c>
      <c r="C254" s="1" t="s">
        <v>190</v>
      </c>
      <c r="D254" s="1" t="s">
        <v>49</v>
      </c>
      <c r="E254" s="1" t="s">
        <v>41</v>
      </c>
      <c r="F254">
        <v>1181</v>
      </c>
      <c r="G254" s="1" t="s">
        <v>42</v>
      </c>
      <c r="H254">
        <v>1</v>
      </c>
      <c r="I254">
        <v>3</v>
      </c>
      <c r="J254" s="1" t="s">
        <v>43</v>
      </c>
      <c r="K254">
        <v>1</v>
      </c>
      <c r="L254">
        <v>1799</v>
      </c>
      <c r="M254">
        <v>3</v>
      </c>
      <c r="N254" s="1" t="s">
        <v>44</v>
      </c>
      <c r="O254">
        <v>82</v>
      </c>
      <c r="P254">
        <v>3</v>
      </c>
      <c r="Q254">
        <v>1</v>
      </c>
      <c r="R254" s="1" t="s">
        <v>60</v>
      </c>
      <c r="S254">
        <v>4</v>
      </c>
      <c r="T254" s="1" t="s">
        <v>105</v>
      </c>
      <c r="U254">
        <v>2044</v>
      </c>
      <c r="V254" s="1" t="s">
        <v>47</v>
      </c>
      <c r="W254">
        <v>5531</v>
      </c>
      <c r="X254">
        <v>1</v>
      </c>
      <c r="Y254" s="1" t="s">
        <v>48</v>
      </c>
      <c r="Z254" s="1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8">
      <c r="A255" s="1" t="s">
        <v>321</v>
      </c>
      <c r="B255">
        <v>28</v>
      </c>
      <c r="C255" s="1" t="s">
        <v>190</v>
      </c>
      <c r="D255" s="1" t="s">
        <v>49</v>
      </c>
      <c r="E255" s="1" t="s">
        <v>41</v>
      </c>
      <c r="F255">
        <v>1217</v>
      </c>
      <c r="G255" s="1" t="s">
        <v>42</v>
      </c>
      <c r="H255">
        <v>1</v>
      </c>
      <c r="I255">
        <v>3</v>
      </c>
      <c r="J255" s="1" t="s">
        <v>52</v>
      </c>
      <c r="K255">
        <v>1</v>
      </c>
      <c r="L255">
        <v>1834</v>
      </c>
      <c r="M255">
        <v>3</v>
      </c>
      <c r="N255" s="1" t="s">
        <v>53</v>
      </c>
      <c r="O255">
        <v>67</v>
      </c>
      <c r="P255">
        <v>3</v>
      </c>
      <c r="Q255">
        <v>1</v>
      </c>
      <c r="R255" s="1" t="s">
        <v>60</v>
      </c>
      <c r="S255">
        <v>1</v>
      </c>
      <c r="T255" s="1" t="s">
        <v>105</v>
      </c>
      <c r="U255">
        <v>3591</v>
      </c>
      <c r="V255" s="1" t="s">
        <v>47</v>
      </c>
      <c r="W255">
        <v>12719</v>
      </c>
      <c r="X255">
        <v>1</v>
      </c>
      <c r="Y255" s="1" t="s">
        <v>48</v>
      </c>
      <c r="Z255" s="1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8">
      <c r="A256" s="1" t="s">
        <v>322</v>
      </c>
      <c r="B256">
        <v>28</v>
      </c>
      <c r="C256" s="1" t="s">
        <v>190</v>
      </c>
      <c r="D256" s="1" t="s">
        <v>49</v>
      </c>
      <c r="E256" s="1" t="s">
        <v>59</v>
      </c>
      <c r="F256">
        <v>280</v>
      </c>
      <c r="G256" s="1" t="s">
        <v>71</v>
      </c>
      <c r="H256">
        <v>1</v>
      </c>
      <c r="I256">
        <v>2</v>
      </c>
      <c r="J256" s="1" t="s">
        <v>43</v>
      </c>
      <c r="K256">
        <v>1</v>
      </c>
      <c r="L256">
        <v>1858</v>
      </c>
      <c r="M256">
        <v>3</v>
      </c>
      <c r="N256" s="1" t="s">
        <v>44</v>
      </c>
      <c r="O256">
        <v>43</v>
      </c>
      <c r="P256">
        <v>3</v>
      </c>
      <c r="Q256">
        <v>1</v>
      </c>
      <c r="R256" s="1" t="s">
        <v>71</v>
      </c>
      <c r="S256">
        <v>4</v>
      </c>
      <c r="T256" s="1" t="s">
        <v>102</v>
      </c>
      <c r="U256">
        <v>2706</v>
      </c>
      <c r="V256" s="1" t="s">
        <v>47</v>
      </c>
      <c r="W256">
        <v>10494</v>
      </c>
      <c r="X256">
        <v>1</v>
      </c>
      <c r="Y256" s="1" t="s">
        <v>48</v>
      </c>
      <c r="Z256" s="1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8">
      <c r="A257" s="1" t="s">
        <v>323</v>
      </c>
      <c r="B257">
        <v>28</v>
      </c>
      <c r="C257" s="1" t="s">
        <v>190</v>
      </c>
      <c r="D257" s="1" t="s">
        <v>49</v>
      </c>
      <c r="E257" s="1" t="s">
        <v>41</v>
      </c>
      <c r="F257">
        <v>1172</v>
      </c>
      <c r="G257" s="1" t="s">
        <v>51</v>
      </c>
      <c r="H257">
        <v>3</v>
      </c>
      <c r="I257">
        <v>3</v>
      </c>
      <c r="J257" s="1" t="s">
        <v>52</v>
      </c>
      <c r="K257">
        <v>1</v>
      </c>
      <c r="L257">
        <v>1875</v>
      </c>
      <c r="M257">
        <v>2</v>
      </c>
      <c r="N257" s="1" t="s">
        <v>53</v>
      </c>
      <c r="O257">
        <v>78</v>
      </c>
      <c r="P257">
        <v>3</v>
      </c>
      <c r="Q257">
        <v>1</v>
      </c>
      <c r="R257" s="1" t="s">
        <v>54</v>
      </c>
      <c r="S257">
        <v>2</v>
      </c>
      <c r="T257" s="1" t="s">
        <v>105</v>
      </c>
      <c r="U257">
        <v>2856</v>
      </c>
      <c r="V257" s="1" t="s">
        <v>47</v>
      </c>
      <c r="W257">
        <v>3692</v>
      </c>
      <c r="X257">
        <v>1</v>
      </c>
      <c r="Y257" s="1" t="s">
        <v>48</v>
      </c>
      <c r="Z257" s="1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8">
      <c r="A258" s="1" t="s">
        <v>324</v>
      </c>
      <c r="B258">
        <v>28</v>
      </c>
      <c r="C258" s="1" t="s">
        <v>190</v>
      </c>
      <c r="D258" s="1" t="s">
        <v>49</v>
      </c>
      <c r="E258" s="1" t="s">
        <v>56</v>
      </c>
      <c r="F258">
        <v>783</v>
      </c>
      <c r="G258" s="1" t="s">
        <v>51</v>
      </c>
      <c r="H258">
        <v>1</v>
      </c>
      <c r="I258">
        <v>2</v>
      </c>
      <c r="J258" s="1" t="s">
        <v>43</v>
      </c>
      <c r="K258">
        <v>1</v>
      </c>
      <c r="L258">
        <v>1927</v>
      </c>
      <c r="M258">
        <v>3</v>
      </c>
      <c r="N258" s="1" t="s">
        <v>44</v>
      </c>
      <c r="O258">
        <v>42</v>
      </c>
      <c r="P258">
        <v>2</v>
      </c>
      <c r="Q258">
        <v>2</v>
      </c>
      <c r="R258" s="1" t="s">
        <v>137</v>
      </c>
      <c r="S258">
        <v>4</v>
      </c>
      <c r="T258" s="1" t="s">
        <v>105</v>
      </c>
      <c r="U258">
        <v>6834</v>
      </c>
      <c r="V258" s="1" t="s">
        <v>163</v>
      </c>
      <c r="W258">
        <v>19255</v>
      </c>
      <c r="X258">
        <v>1</v>
      </c>
      <c r="Y258" s="1" t="s">
        <v>48</v>
      </c>
      <c r="Z258" s="1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8">
      <c r="A259" s="1" t="s">
        <v>325</v>
      </c>
      <c r="B259">
        <v>28</v>
      </c>
      <c r="C259" s="1" t="s">
        <v>190</v>
      </c>
      <c r="D259" s="1" t="s">
        <v>40</v>
      </c>
      <c r="E259" s="1" t="s">
        <v>41</v>
      </c>
      <c r="F259">
        <v>1475</v>
      </c>
      <c r="G259" s="1" t="s">
        <v>51</v>
      </c>
      <c r="H259">
        <v>13</v>
      </c>
      <c r="I259">
        <v>2</v>
      </c>
      <c r="J259" s="1" t="s">
        <v>57</v>
      </c>
      <c r="K259">
        <v>1</v>
      </c>
      <c r="L259">
        <v>1933</v>
      </c>
      <c r="M259">
        <v>4</v>
      </c>
      <c r="N259" s="1" t="s">
        <v>53</v>
      </c>
      <c r="O259">
        <v>84</v>
      </c>
      <c r="P259">
        <v>3</v>
      </c>
      <c r="Q259">
        <v>2</v>
      </c>
      <c r="R259" s="1" t="s">
        <v>137</v>
      </c>
      <c r="S259">
        <v>3</v>
      </c>
      <c r="T259" s="1" t="s">
        <v>46</v>
      </c>
      <c r="U259">
        <v>9854</v>
      </c>
      <c r="V259" s="1" t="s">
        <v>163</v>
      </c>
      <c r="W259">
        <v>23352</v>
      </c>
      <c r="X259">
        <v>3</v>
      </c>
      <c r="Y259" s="1" t="s">
        <v>48</v>
      </c>
      <c r="Z259" s="1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8">
      <c r="A260" s="1" t="s">
        <v>326</v>
      </c>
      <c r="B260">
        <v>28</v>
      </c>
      <c r="C260" s="1" t="s">
        <v>190</v>
      </c>
      <c r="D260" s="1" t="s">
        <v>49</v>
      </c>
      <c r="E260" s="1" t="s">
        <v>59</v>
      </c>
      <c r="F260">
        <v>1103</v>
      </c>
      <c r="G260" s="1" t="s">
        <v>42</v>
      </c>
      <c r="H260">
        <v>16</v>
      </c>
      <c r="I260">
        <v>3</v>
      </c>
      <c r="J260" s="1" t="s">
        <v>52</v>
      </c>
      <c r="K260">
        <v>1</v>
      </c>
      <c r="L260">
        <v>1947</v>
      </c>
      <c r="M260">
        <v>3</v>
      </c>
      <c r="N260" s="1" t="s">
        <v>44</v>
      </c>
      <c r="O260">
        <v>49</v>
      </c>
      <c r="P260">
        <v>3</v>
      </c>
      <c r="Q260">
        <v>1</v>
      </c>
      <c r="R260" s="1" t="s">
        <v>60</v>
      </c>
      <c r="S260">
        <v>3</v>
      </c>
      <c r="T260" s="1" t="s">
        <v>46</v>
      </c>
      <c r="U260">
        <v>2144</v>
      </c>
      <c r="V260" s="1" t="s">
        <v>47</v>
      </c>
      <c r="W260">
        <v>2122</v>
      </c>
      <c r="X260">
        <v>1</v>
      </c>
      <c r="Y260" s="1" t="s">
        <v>48</v>
      </c>
      <c r="Z260" s="1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8">
      <c r="A261" s="1" t="s">
        <v>327</v>
      </c>
      <c r="B261">
        <v>28</v>
      </c>
      <c r="C261" s="1" t="s">
        <v>190</v>
      </c>
      <c r="D261" s="1" t="s">
        <v>40</v>
      </c>
      <c r="E261" s="1" t="s">
        <v>41</v>
      </c>
      <c r="F261">
        <v>1404</v>
      </c>
      <c r="G261" s="1" t="s">
        <v>42</v>
      </c>
      <c r="H261">
        <v>17</v>
      </c>
      <c r="I261">
        <v>3</v>
      </c>
      <c r="J261" s="1" t="s">
        <v>68</v>
      </c>
      <c r="K261">
        <v>1</v>
      </c>
      <c r="L261">
        <v>1960</v>
      </c>
      <c r="M261">
        <v>3</v>
      </c>
      <c r="N261" s="1" t="s">
        <v>44</v>
      </c>
      <c r="O261">
        <v>32</v>
      </c>
      <c r="P261">
        <v>2</v>
      </c>
      <c r="Q261">
        <v>1</v>
      </c>
      <c r="R261" s="1" t="s">
        <v>45</v>
      </c>
      <c r="S261">
        <v>4</v>
      </c>
      <c r="T261" s="1" t="s">
        <v>102</v>
      </c>
      <c r="U261">
        <v>2367</v>
      </c>
      <c r="V261" s="1" t="s">
        <v>47</v>
      </c>
      <c r="W261">
        <v>18779</v>
      </c>
      <c r="X261">
        <v>5</v>
      </c>
      <c r="Y261" s="1" t="s">
        <v>48</v>
      </c>
      <c r="Z261" s="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8">
      <c r="A262" s="1" t="s">
        <v>328</v>
      </c>
      <c r="B262">
        <v>29</v>
      </c>
      <c r="C262" s="1" t="s">
        <v>190</v>
      </c>
      <c r="D262" s="1" t="s">
        <v>49</v>
      </c>
      <c r="E262" s="1" t="s">
        <v>41</v>
      </c>
      <c r="F262">
        <v>153</v>
      </c>
      <c r="G262" s="1" t="s">
        <v>42</v>
      </c>
      <c r="H262">
        <v>15</v>
      </c>
      <c r="I262">
        <v>2</v>
      </c>
      <c r="J262" s="1" t="s">
        <v>43</v>
      </c>
      <c r="K262">
        <v>1</v>
      </c>
      <c r="L262">
        <v>15</v>
      </c>
      <c r="M262">
        <v>4</v>
      </c>
      <c r="N262" s="1" t="s">
        <v>53</v>
      </c>
      <c r="O262">
        <v>49</v>
      </c>
      <c r="P262">
        <v>2</v>
      </c>
      <c r="Q262">
        <v>2</v>
      </c>
      <c r="R262" s="1" t="s">
        <v>45</v>
      </c>
      <c r="S262">
        <v>3</v>
      </c>
      <c r="T262" s="1" t="s">
        <v>46</v>
      </c>
      <c r="U262">
        <v>4193</v>
      </c>
      <c r="V262" s="1" t="s">
        <v>47</v>
      </c>
      <c r="W262">
        <v>12682</v>
      </c>
      <c r="X262">
        <v>0</v>
      </c>
      <c r="Y262" s="1" t="s">
        <v>48</v>
      </c>
      <c r="Z262" s="1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8">
      <c r="A263" s="1" t="s">
        <v>329</v>
      </c>
      <c r="B263">
        <v>29</v>
      </c>
      <c r="C263" s="1" t="s">
        <v>190</v>
      </c>
      <c r="D263" s="1" t="s">
        <v>49</v>
      </c>
      <c r="E263" s="1" t="s">
        <v>41</v>
      </c>
      <c r="F263">
        <v>1389</v>
      </c>
      <c r="G263" s="1" t="s">
        <v>42</v>
      </c>
      <c r="H263">
        <v>21</v>
      </c>
      <c r="I263">
        <v>4</v>
      </c>
      <c r="J263" s="1" t="s">
        <v>43</v>
      </c>
      <c r="K263">
        <v>1</v>
      </c>
      <c r="L263">
        <v>20</v>
      </c>
      <c r="M263">
        <v>2</v>
      </c>
      <c r="N263" s="1" t="s">
        <v>53</v>
      </c>
      <c r="O263">
        <v>51</v>
      </c>
      <c r="P263">
        <v>4</v>
      </c>
      <c r="Q263">
        <v>3</v>
      </c>
      <c r="R263" s="1" t="s">
        <v>112</v>
      </c>
      <c r="S263">
        <v>1</v>
      </c>
      <c r="T263" s="1" t="s">
        <v>102</v>
      </c>
      <c r="U263">
        <v>9980</v>
      </c>
      <c r="V263" s="1" t="s">
        <v>163</v>
      </c>
      <c r="W263">
        <v>10195</v>
      </c>
      <c r="X263">
        <v>1</v>
      </c>
      <c r="Y263" s="1" t="s">
        <v>48</v>
      </c>
      <c r="Z263" s="1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8">
      <c r="A264" s="1" t="s">
        <v>330</v>
      </c>
      <c r="B264">
        <v>29</v>
      </c>
      <c r="C264" s="1" t="s">
        <v>190</v>
      </c>
      <c r="D264" s="1" t="s">
        <v>49</v>
      </c>
      <c r="E264" s="1" t="s">
        <v>41</v>
      </c>
      <c r="F264">
        <v>1328</v>
      </c>
      <c r="G264" s="1" t="s">
        <v>42</v>
      </c>
      <c r="H264">
        <v>2</v>
      </c>
      <c r="I264">
        <v>3</v>
      </c>
      <c r="J264" s="1" t="s">
        <v>43</v>
      </c>
      <c r="K264">
        <v>1</v>
      </c>
      <c r="L264">
        <v>94</v>
      </c>
      <c r="M264">
        <v>3</v>
      </c>
      <c r="N264" s="1" t="s">
        <v>44</v>
      </c>
      <c r="O264">
        <v>76</v>
      </c>
      <c r="P264">
        <v>3</v>
      </c>
      <c r="Q264">
        <v>1</v>
      </c>
      <c r="R264" s="1" t="s">
        <v>60</v>
      </c>
      <c r="S264">
        <v>2</v>
      </c>
      <c r="T264" s="1" t="s">
        <v>105</v>
      </c>
      <c r="U264">
        <v>2703</v>
      </c>
      <c r="V264" s="1" t="s">
        <v>47</v>
      </c>
      <c r="W264">
        <v>4956</v>
      </c>
      <c r="X264">
        <v>0</v>
      </c>
      <c r="Y264" s="1" t="s">
        <v>48</v>
      </c>
      <c r="Z264" s="1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8">
      <c r="A265" s="1" t="s">
        <v>331</v>
      </c>
      <c r="B265">
        <v>29</v>
      </c>
      <c r="C265" s="1" t="s">
        <v>190</v>
      </c>
      <c r="D265" s="1" t="s">
        <v>49</v>
      </c>
      <c r="E265" s="1" t="s">
        <v>59</v>
      </c>
      <c r="F265">
        <v>1496</v>
      </c>
      <c r="G265" s="1" t="s">
        <v>42</v>
      </c>
      <c r="H265">
        <v>1</v>
      </c>
      <c r="I265">
        <v>1</v>
      </c>
      <c r="J265" s="1" t="s">
        <v>68</v>
      </c>
      <c r="K265">
        <v>1</v>
      </c>
      <c r="L265">
        <v>208</v>
      </c>
      <c r="M265">
        <v>4</v>
      </c>
      <c r="N265" s="1" t="s">
        <v>44</v>
      </c>
      <c r="O265">
        <v>41</v>
      </c>
      <c r="P265">
        <v>3</v>
      </c>
      <c r="Q265">
        <v>2</v>
      </c>
      <c r="R265" s="1" t="s">
        <v>112</v>
      </c>
      <c r="S265">
        <v>3</v>
      </c>
      <c r="T265" s="1" t="s">
        <v>105</v>
      </c>
      <c r="U265">
        <v>4319</v>
      </c>
      <c r="V265" s="1" t="s">
        <v>47</v>
      </c>
      <c r="W265">
        <v>26283</v>
      </c>
      <c r="X265">
        <v>1</v>
      </c>
      <c r="Y265" s="1" t="s">
        <v>48</v>
      </c>
      <c r="Z265" s="1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8">
      <c r="A266" s="1" t="s">
        <v>332</v>
      </c>
      <c r="B266">
        <v>29</v>
      </c>
      <c r="C266" s="1" t="s">
        <v>190</v>
      </c>
      <c r="D266" s="1" t="s">
        <v>40</v>
      </c>
      <c r="E266" s="1" t="s">
        <v>41</v>
      </c>
      <c r="F266">
        <v>121</v>
      </c>
      <c r="G266" s="1" t="s">
        <v>51</v>
      </c>
      <c r="H266">
        <v>27</v>
      </c>
      <c r="I266">
        <v>3</v>
      </c>
      <c r="J266" s="1" t="s">
        <v>57</v>
      </c>
      <c r="K266">
        <v>1</v>
      </c>
      <c r="L266">
        <v>283</v>
      </c>
      <c r="M266">
        <v>2</v>
      </c>
      <c r="N266" s="1" t="s">
        <v>53</v>
      </c>
      <c r="O266">
        <v>35</v>
      </c>
      <c r="P266">
        <v>3</v>
      </c>
      <c r="Q266">
        <v>3</v>
      </c>
      <c r="R266" s="1" t="s">
        <v>137</v>
      </c>
      <c r="S266">
        <v>4</v>
      </c>
      <c r="T266" s="1" t="s">
        <v>105</v>
      </c>
      <c r="U266">
        <v>7639</v>
      </c>
      <c r="V266" s="1" t="s">
        <v>163</v>
      </c>
      <c r="W266">
        <v>24525</v>
      </c>
      <c r="X266">
        <v>1</v>
      </c>
      <c r="Y266" s="1" t="s">
        <v>48</v>
      </c>
      <c r="Z266" s="1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8">
      <c r="A267" s="1" t="s">
        <v>333</v>
      </c>
      <c r="B267">
        <v>29</v>
      </c>
      <c r="C267" s="1" t="s">
        <v>190</v>
      </c>
      <c r="D267" s="1" t="s">
        <v>40</v>
      </c>
      <c r="E267" s="1" t="s">
        <v>41</v>
      </c>
      <c r="F267">
        <v>992</v>
      </c>
      <c r="G267" s="1" t="s">
        <v>42</v>
      </c>
      <c r="H267">
        <v>1</v>
      </c>
      <c r="I267">
        <v>3</v>
      </c>
      <c r="J267" s="1" t="s">
        <v>68</v>
      </c>
      <c r="K267">
        <v>1</v>
      </c>
      <c r="L267">
        <v>300</v>
      </c>
      <c r="M267">
        <v>3</v>
      </c>
      <c r="N267" s="1" t="s">
        <v>44</v>
      </c>
      <c r="O267">
        <v>85</v>
      </c>
      <c r="P267">
        <v>3</v>
      </c>
      <c r="Q267">
        <v>1</v>
      </c>
      <c r="R267" s="1" t="s">
        <v>60</v>
      </c>
      <c r="S267">
        <v>3</v>
      </c>
      <c r="T267" s="1" t="s">
        <v>46</v>
      </c>
      <c r="U267">
        <v>2058</v>
      </c>
      <c r="V267" s="1" t="s">
        <v>47</v>
      </c>
      <c r="W267">
        <v>19757</v>
      </c>
      <c r="X267">
        <v>0</v>
      </c>
      <c r="Y267" s="1" t="s">
        <v>48</v>
      </c>
      <c r="Z267" s="1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8">
      <c r="A268" s="1" t="s">
        <v>334</v>
      </c>
      <c r="B268">
        <v>29</v>
      </c>
      <c r="C268" s="1" t="s">
        <v>190</v>
      </c>
      <c r="D268" s="1" t="s">
        <v>49</v>
      </c>
      <c r="E268" s="1" t="s">
        <v>56</v>
      </c>
      <c r="F268">
        <v>1413</v>
      </c>
      <c r="G268" s="1" t="s">
        <v>51</v>
      </c>
      <c r="H268">
        <v>1</v>
      </c>
      <c r="I268">
        <v>1</v>
      </c>
      <c r="J268" s="1" t="s">
        <v>52</v>
      </c>
      <c r="K268">
        <v>1</v>
      </c>
      <c r="L268">
        <v>312</v>
      </c>
      <c r="M268">
        <v>2</v>
      </c>
      <c r="N268" s="1" t="s">
        <v>53</v>
      </c>
      <c r="O268">
        <v>42</v>
      </c>
      <c r="P268">
        <v>3</v>
      </c>
      <c r="Q268">
        <v>3</v>
      </c>
      <c r="R268" s="1" t="s">
        <v>137</v>
      </c>
      <c r="S268">
        <v>4</v>
      </c>
      <c r="T268" s="1" t="s">
        <v>105</v>
      </c>
      <c r="U268">
        <v>7918</v>
      </c>
      <c r="V268" s="1" t="s">
        <v>163</v>
      </c>
      <c r="W268">
        <v>6599</v>
      </c>
      <c r="X268">
        <v>1</v>
      </c>
      <c r="Y268" s="1" t="s">
        <v>48</v>
      </c>
      <c r="Z268" s="1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8">
      <c r="A269" s="1" t="s">
        <v>335</v>
      </c>
      <c r="B269">
        <v>29</v>
      </c>
      <c r="C269" s="1" t="s">
        <v>190</v>
      </c>
      <c r="D269" s="1" t="s">
        <v>40</v>
      </c>
      <c r="E269" s="1" t="s">
        <v>41</v>
      </c>
      <c r="F269">
        <v>896</v>
      </c>
      <c r="G269" s="1" t="s">
        <v>42</v>
      </c>
      <c r="H269">
        <v>18</v>
      </c>
      <c r="I269">
        <v>1</v>
      </c>
      <c r="J269" s="1" t="s">
        <v>52</v>
      </c>
      <c r="K269">
        <v>1</v>
      </c>
      <c r="L269">
        <v>315</v>
      </c>
      <c r="M269">
        <v>3</v>
      </c>
      <c r="N269" s="1" t="s">
        <v>44</v>
      </c>
      <c r="O269">
        <v>86</v>
      </c>
      <c r="P269">
        <v>2</v>
      </c>
      <c r="Q269">
        <v>1</v>
      </c>
      <c r="R269" s="1" t="s">
        <v>60</v>
      </c>
      <c r="S269">
        <v>4</v>
      </c>
      <c r="T269" s="1" t="s">
        <v>46</v>
      </c>
      <c r="U269">
        <v>2389</v>
      </c>
      <c r="V269" s="1" t="s">
        <v>47</v>
      </c>
      <c r="W269">
        <v>14961</v>
      </c>
      <c r="X269">
        <v>1</v>
      </c>
      <c r="Y269" s="1" t="s">
        <v>48</v>
      </c>
      <c r="Z269" s="1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8">
      <c r="A270" s="1" t="s">
        <v>336</v>
      </c>
      <c r="B270">
        <v>29</v>
      </c>
      <c r="C270" s="1" t="s">
        <v>190</v>
      </c>
      <c r="D270" s="1" t="s">
        <v>49</v>
      </c>
      <c r="E270" s="1" t="s">
        <v>41</v>
      </c>
      <c r="F270">
        <v>665</v>
      </c>
      <c r="G270" s="1" t="s">
        <v>42</v>
      </c>
      <c r="H270">
        <v>15</v>
      </c>
      <c r="I270">
        <v>3</v>
      </c>
      <c r="J270" s="1" t="s">
        <v>43</v>
      </c>
      <c r="K270">
        <v>1</v>
      </c>
      <c r="L270">
        <v>346</v>
      </c>
      <c r="M270">
        <v>3</v>
      </c>
      <c r="N270" s="1" t="s">
        <v>44</v>
      </c>
      <c r="O270">
        <v>60</v>
      </c>
      <c r="P270">
        <v>3</v>
      </c>
      <c r="Q270">
        <v>1</v>
      </c>
      <c r="R270" s="1" t="s">
        <v>60</v>
      </c>
      <c r="S270">
        <v>4</v>
      </c>
      <c r="T270" s="1" t="s">
        <v>46</v>
      </c>
      <c r="U270">
        <v>2340</v>
      </c>
      <c r="V270" s="1" t="s">
        <v>47</v>
      </c>
      <c r="W270">
        <v>22673</v>
      </c>
      <c r="X270">
        <v>1</v>
      </c>
      <c r="Y270" s="1" t="s">
        <v>48</v>
      </c>
      <c r="Z270" s="1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8">
      <c r="A271" s="1" t="s">
        <v>337</v>
      </c>
      <c r="B271">
        <v>29</v>
      </c>
      <c r="C271" s="1" t="s">
        <v>190</v>
      </c>
      <c r="D271" s="1" t="s">
        <v>49</v>
      </c>
      <c r="E271" s="1" t="s">
        <v>41</v>
      </c>
      <c r="F271">
        <v>1247</v>
      </c>
      <c r="G271" s="1" t="s">
        <v>51</v>
      </c>
      <c r="H271">
        <v>20</v>
      </c>
      <c r="I271">
        <v>2</v>
      </c>
      <c r="J271" s="1" t="s">
        <v>57</v>
      </c>
      <c r="K271">
        <v>1</v>
      </c>
      <c r="L271">
        <v>349</v>
      </c>
      <c r="M271">
        <v>4</v>
      </c>
      <c r="N271" s="1" t="s">
        <v>44</v>
      </c>
      <c r="O271">
        <v>45</v>
      </c>
      <c r="P271">
        <v>3</v>
      </c>
      <c r="Q271">
        <v>2</v>
      </c>
      <c r="R271" s="1" t="s">
        <v>137</v>
      </c>
      <c r="S271">
        <v>4</v>
      </c>
      <c r="T271" s="1" t="s">
        <v>102</v>
      </c>
      <c r="U271">
        <v>6931</v>
      </c>
      <c r="V271" s="1" t="s">
        <v>163</v>
      </c>
      <c r="W271">
        <v>10732</v>
      </c>
      <c r="X271">
        <v>2</v>
      </c>
      <c r="Y271" s="1" t="s">
        <v>48</v>
      </c>
      <c r="Z271" s="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8">
      <c r="A272" s="1" t="s">
        <v>338</v>
      </c>
      <c r="B272">
        <v>29</v>
      </c>
      <c r="C272" s="1" t="s">
        <v>190</v>
      </c>
      <c r="D272" s="1" t="s">
        <v>49</v>
      </c>
      <c r="E272" s="1" t="s">
        <v>41</v>
      </c>
      <c r="F272">
        <v>1210</v>
      </c>
      <c r="G272" s="1" t="s">
        <v>51</v>
      </c>
      <c r="H272">
        <v>2</v>
      </c>
      <c r="I272">
        <v>3</v>
      </c>
      <c r="J272" s="1" t="s">
        <v>52</v>
      </c>
      <c r="K272">
        <v>1</v>
      </c>
      <c r="L272">
        <v>366</v>
      </c>
      <c r="M272">
        <v>1</v>
      </c>
      <c r="N272" s="1" t="s">
        <v>44</v>
      </c>
      <c r="O272">
        <v>78</v>
      </c>
      <c r="P272">
        <v>2</v>
      </c>
      <c r="Q272">
        <v>2</v>
      </c>
      <c r="R272" s="1" t="s">
        <v>137</v>
      </c>
      <c r="S272">
        <v>2</v>
      </c>
      <c r="T272" s="1" t="s">
        <v>105</v>
      </c>
      <c r="U272">
        <v>6644</v>
      </c>
      <c r="V272" s="1" t="s">
        <v>163</v>
      </c>
      <c r="W272">
        <v>3687</v>
      </c>
      <c r="X272">
        <v>2</v>
      </c>
      <c r="Y272" s="1" t="s">
        <v>48</v>
      </c>
      <c r="Z272" s="1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8">
      <c r="A273" s="1" t="s">
        <v>339</v>
      </c>
      <c r="B273">
        <v>29</v>
      </c>
      <c r="C273" s="1" t="s">
        <v>190</v>
      </c>
      <c r="D273" s="1" t="s">
        <v>49</v>
      </c>
      <c r="E273" s="1" t="s">
        <v>56</v>
      </c>
      <c r="F273">
        <v>442</v>
      </c>
      <c r="G273" s="1" t="s">
        <v>51</v>
      </c>
      <c r="H273">
        <v>2</v>
      </c>
      <c r="I273">
        <v>2</v>
      </c>
      <c r="J273" s="1" t="s">
        <v>43</v>
      </c>
      <c r="K273">
        <v>1</v>
      </c>
      <c r="L273">
        <v>388</v>
      </c>
      <c r="M273">
        <v>2</v>
      </c>
      <c r="N273" s="1" t="s">
        <v>44</v>
      </c>
      <c r="O273">
        <v>44</v>
      </c>
      <c r="P273">
        <v>3</v>
      </c>
      <c r="Q273">
        <v>2</v>
      </c>
      <c r="R273" s="1" t="s">
        <v>137</v>
      </c>
      <c r="S273">
        <v>4</v>
      </c>
      <c r="T273" s="1" t="s">
        <v>46</v>
      </c>
      <c r="U273">
        <v>4554</v>
      </c>
      <c r="V273" s="1" t="s">
        <v>47</v>
      </c>
      <c r="W273">
        <v>20260</v>
      </c>
      <c r="X273">
        <v>1</v>
      </c>
      <c r="Y273" s="1" t="s">
        <v>48</v>
      </c>
      <c r="Z273" s="1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8">
      <c r="A274" s="1" t="s">
        <v>340</v>
      </c>
      <c r="B274">
        <v>29</v>
      </c>
      <c r="C274" s="1" t="s">
        <v>190</v>
      </c>
      <c r="D274" s="1" t="s">
        <v>40</v>
      </c>
      <c r="E274" s="1" t="s">
        <v>41</v>
      </c>
      <c r="F274">
        <v>318</v>
      </c>
      <c r="G274" s="1" t="s">
        <v>42</v>
      </c>
      <c r="H274">
        <v>8</v>
      </c>
      <c r="I274">
        <v>4</v>
      </c>
      <c r="J274" s="1" t="s">
        <v>73</v>
      </c>
      <c r="K274">
        <v>1</v>
      </c>
      <c r="L274">
        <v>454</v>
      </c>
      <c r="M274">
        <v>2</v>
      </c>
      <c r="N274" s="1" t="s">
        <v>44</v>
      </c>
      <c r="O274">
        <v>77</v>
      </c>
      <c r="P274">
        <v>1</v>
      </c>
      <c r="Q274">
        <v>1</v>
      </c>
      <c r="R274" s="1" t="s">
        <v>45</v>
      </c>
      <c r="S274">
        <v>1</v>
      </c>
      <c r="T274" s="1" t="s">
        <v>105</v>
      </c>
      <c r="U274">
        <v>2119</v>
      </c>
      <c r="V274" s="1" t="s">
        <v>47</v>
      </c>
      <c r="W274">
        <v>4759</v>
      </c>
      <c r="X274">
        <v>1</v>
      </c>
      <c r="Y274" s="1" t="s">
        <v>48</v>
      </c>
      <c r="Z274" s="1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8">
      <c r="A275" s="1" t="s">
        <v>341</v>
      </c>
      <c r="B275">
        <v>29</v>
      </c>
      <c r="C275" s="1" t="s">
        <v>190</v>
      </c>
      <c r="D275" s="1" t="s">
        <v>49</v>
      </c>
      <c r="E275" s="1" t="s">
        <v>41</v>
      </c>
      <c r="F275">
        <v>738</v>
      </c>
      <c r="G275" s="1" t="s">
        <v>42</v>
      </c>
      <c r="H275">
        <v>9</v>
      </c>
      <c r="I275">
        <v>5</v>
      </c>
      <c r="J275" s="1" t="s">
        <v>73</v>
      </c>
      <c r="K275">
        <v>1</v>
      </c>
      <c r="L275">
        <v>455</v>
      </c>
      <c r="M275">
        <v>2</v>
      </c>
      <c r="N275" s="1" t="s">
        <v>44</v>
      </c>
      <c r="O275">
        <v>30</v>
      </c>
      <c r="P275">
        <v>2</v>
      </c>
      <c r="Q275">
        <v>1</v>
      </c>
      <c r="R275" s="1" t="s">
        <v>45</v>
      </c>
      <c r="S275">
        <v>4</v>
      </c>
      <c r="T275" s="1" t="s">
        <v>46</v>
      </c>
      <c r="U275">
        <v>3983</v>
      </c>
      <c r="V275" s="1" t="s">
        <v>47</v>
      </c>
      <c r="W275">
        <v>7621</v>
      </c>
      <c r="X275">
        <v>0</v>
      </c>
      <c r="Y275" s="1" t="s">
        <v>48</v>
      </c>
      <c r="Z275" s="1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8">
      <c r="A276" s="1" t="s">
        <v>342</v>
      </c>
      <c r="B276">
        <v>29</v>
      </c>
      <c r="C276" s="1" t="s">
        <v>190</v>
      </c>
      <c r="D276" s="1" t="s">
        <v>49</v>
      </c>
      <c r="E276" s="1" t="s">
        <v>41</v>
      </c>
      <c r="F276">
        <v>144</v>
      </c>
      <c r="G276" s="1" t="s">
        <v>51</v>
      </c>
      <c r="H276">
        <v>10</v>
      </c>
      <c r="I276">
        <v>1</v>
      </c>
      <c r="J276" s="1" t="s">
        <v>57</v>
      </c>
      <c r="K276">
        <v>1</v>
      </c>
      <c r="L276">
        <v>463</v>
      </c>
      <c r="M276">
        <v>4</v>
      </c>
      <c r="N276" s="1" t="s">
        <v>53</v>
      </c>
      <c r="O276">
        <v>39</v>
      </c>
      <c r="P276">
        <v>2</v>
      </c>
      <c r="Q276">
        <v>2</v>
      </c>
      <c r="R276" s="1" t="s">
        <v>137</v>
      </c>
      <c r="S276">
        <v>2</v>
      </c>
      <c r="T276" s="1" t="s">
        <v>102</v>
      </c>
      <c r="U276">
        <v>8268</v>
      </c>
      <c r="V276" s="1" t="s">
        <v>163</v>
      </c>
      <c r="W276">
        <v>11866</v>
      </c>
      <c r="X276">
        <v>1</v>
      </c>
      <c r="Y276" s="1" t="s">
        <v>48</v>
      </c>
      <c r="Z276" s="1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8">
      <c r="A277" s="1" t="s">
        <v>343</v>
      </c>
      <c r="B277">
        <v>29</v>
      </c>
      <c r="C277" s="1" t="s">
        <v>190</v>
      </c>
      <c r="D277" s="1" t="s">
        <v>49</v>
      </c>
      <c r="E277" s="1" t="s">
        <v>59</v>
      </c>
      <c r="F277">
        <v>746</v>
      </c>
      <c r="G277" s="1" t="s">
        <v>51</v>
      </c>
      <c r="H277">
        <v>2</v>
      </c>
      <c r="I277">
        <v>3</v>
      </c>
      <c r="J277" s="1" t="s">
        <v>43</v>
      </c>
      <c r="K277">
        <v>1</v>
      </c>
      <c r="L277">
        <v>469</v>
      </c>
      <c r="M277">
        <v>4</v>
      </c>
      <c r="N277" s="1" t="s">
        <v>44</v>
      </c>
      <c r="O277">
        <v>61</v>
      </c>
      <c r="P277">
        <v>3</v>
      </c>
      <c r="Q277">
        <v>2</v>
      </c>
      <c r="R277" s="1" t="s">
        <v>137</v>
      </c>
      <c r="S277">
        <v>3</v>
      </c>
      <c r="T277" s="1" t="s">
        <v>105</v>
      </c>
      <c r="U277">
        <v>4649</v>
      </c>
      <c r="V277" s="1" t="s">
        <v>47</v>
      </c>
      <c r="W277">
        <v>16928</v>
      </c>
      <c r="X277">
        <v>1</v>
      </c>
      <c r="Y277" s="1" t="s">
        <v>48</v>
      </c>
      <c r="Z277" s="1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8">
      <c r="A278" s="1" t="s">
        <v>344</v>
      </c>
      <c r="B278">
        <v>29</v>
      </c>
      <c r="C278" s="1" t="s">
        <v>190</v>
      </c>
      <c r="D278" s="1" t="s">
        <v>49</v>
      </c>
      <c r="E278" s="1" t="s">
        <v>41</v>
      </c>
      <c r="F278">
        <v>1283</v>
      </c>
      <c r="G278" s="1" t="s">
        <v>42</v>
      </c>
      <c r="H278">
        <v>23</v>
      </c>
      <c r="I278">
        <v>3</v>
      </c>
      <c r="J278" s="1" t="s">
        <v>43</v>
      </c>
      <c r="K278">
        <v>1</v>
      </c>
      <c r="L278">
        <v>495</v>
      </c>
      <c r="M278">
        <v>4</v>
      </c>
      <c r="N278" s="1" t="s">
        <v>44</v>
      </c>
      <c r="O278">
        <v>54</v>
      </c>
      <c r="P278">
        <v>3</v>
      </c>
      <c r="Q278">
        <v>1</v>
      </c>
      <c r="R278" s="1" t="s">
        <v>60</v>
      </c>
      <c r="S278">
        <v>4</v>
      </c>
      <c r="T278" s="1" t="s">
        <v>46</v>
      </c>
      <c r="U278">
        <v>2201</v>
      </c>
      <c r="V278" s="1" t="s">
        <v>47</v>
      </c>
      <c r="W278">
        <v>18168</v>
      </c>
      <c r="X278">
        <v>9</v>
      </c>
      <c r="Y278" s="1" t="s">
        <v>48</v>
      </c>
      <c r="Z278" s="1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8">
      <c r="A279" s="1" t="s">
        <v>345</v>
      </c>
      <c r="B279">
        <v>29</v>
      </c>
      <c r="C279" s="1" t="s">
        <v>190</v>
      </c>
      <c r="D279" s="1" t="s">
        <v>49</v>
      </c>
      <c r="E279" s="1" t="s">
        <v>41</v>
      </c>
      <c r="F279">
        <v>986</v>
      </c>
      <c r="G279" s="1" t="s">
        <v>42</v>
      </c>
      <c r="H279">
        <v>3</v>
      </c>
      <c r="I279">
        <v>4</v>
      </c>
      <c r="J279" s="1" t="s">
        <v>52</v>
      </c>
      <c r="K279">
        <v>1</v>
      </c>
      <c r="L279">
        <v>564</v>
      </c>
      <c r="M279">
        <v>2</v>
      </c>
      <c r="N279" s="1" t="s">
        <v>44</v>
      </c>
      <c r="O279">
        <v>93</v>
      </c>
      <c r="P279">
        <v>2</v>
      </c>
      <c r="Q279">
        <v>3</v>
      </c>
      <c r="R279" s="1" t="s">
        <v>252</v>
      </c>
      <c r="S279">
        <v>3</v>
      </c>
      <c r="T279" s="1" t="s">
        <v>105</v>
      </c>
      <c r="U279">
        <v>11935</v>
      </c>
      <c r="V279" s="1" t="s">
        <v>253</v>
      </c>
      <c r="W279">
        <v>21526</v>
      </c>
      <c r="X279">
        <v>1</v>
      </c>
      <c r="Y279" s="1" t="s">
        <v>48</v>
      </c>
      <c r="Z279" s="1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8">
      <c r="A280" s="1" t="s">
        <v>346</v>
      </c>
      <c r="B280">
        <v>29</v>
      </c>
      <c r="C280" s="1" t="s">
        <v>190</v>
      </c>
      <c r="D280" s="1" t="s">
        <v>40</v>
      </c>
      <c r="E280" s="1" t="s">
        <v>41</v>
      </c>
      <c r="F280">
        <v>408</v>
      </c>
      <c r="G280" s="1" t="s">
        <v>42</v>
      </c>
      <c r="H280">
        <v>25</v>
      </c>
      <c r="I280">
        <v>5</v>
      </c>
      <c r="J280" s="1" t="s">
        <v>68</v>
      </c>
      <c r="K280">
        <v>1</v>
      </c>
      <c r="L280">
        <v>565</v>
      </c>
      <c r="M280">
        <v>3</v>
      </c>
      <c r="N280" s="1" t="s">
        <v>53</v>
      </c>
      <c r="O280">
        <v>71</v>
      </c>
      <c r="P280">
        <v>2</v>
      </c>
      <c r="Q280">
        <v>1</v>
      </c>
      <c r="R280" s="1" t="s">
        <v>60</v>
      </c>
      <c r="S280">
        <v>2</v>
      </c>
      <c r="T280" s="1" t="s">
        <v>105</v>
      </c>
      <c r="U280">
        <v>2546</v>
      </c>
      <c r="V280" s="1" t="s">
        <v>47</v>
      </c>
      <c r="W280">
        <v>18300</v>
      </c>
      <c r="X280">
        <v>5</v>
      </c>
      <c r="Y280" s="1" t="s">
        <v>48</v>
      </c>
      <c r="Z280" s="1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8">
      <c r="A281" s="1" t="s">
        <v>347</v>
      </c>
      <c r="B281">
        <v>29</v>
      </c>
      <c r="C281" s="1" t="s">
        <v>190</v>
      </c>
      <c r="D281" s="1" t="s">
        <v>49</v>
      </c>
      <c r="E281" s="1" t="s">
        <v>41</v>
      </c>
      <c r="F281">
        <v>232</v>
      </c>
      <c r="G281" s="1" t="s">
        <v>42</v>
      </c>
      <c r="H281">
        <v>19</v>
      </c>
      <c r="I281">
        <v>3</v>
      </c>
      <c r="J281" s="1" t="s">
        <v>68</v>
      </c>
      <c r="K281">
        <v>1</v>
      </c>
      <c r="L281">
        <v>611</v>
      </c>
      <c r="M281">
        <v>4</v>
      </c>
      <c r="N281" s="1" t="s">
        <v>44</v>
      </c>
      <c r="O281">
        <v>34</v>
      </c>
      <c r="P281">
        <v>3</v>
      </c>
      <c r="Q281">
        <v>2</v>
      </c>
      <c r="R281" s="1" t="s">
        <v>112</v>
      </c>
      <c r="S281">
        <v>4</v>
      </c>
      <c r="T281" s="1" t="s">
        <v>102</v>
      </c>
      <c r="U281">
        <v>4262</v>
      </c>
      <c r="V281" s="1" t="s">
        <v>47</v>
      </c>
      <c r="W281">
        <v>22645</v>
      </c>
      <c r="X281">
        <v>4</v>
      </c>
      <c r="Y281" s="1" t="s">
        <v>48</v>
      </c>
      <c r="Z281" s="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8">
      <c r="A282" s="1" t="s">
        <v>348</v>
      </c>
      <c r="B282">
        <v>29</v>
      </c>
      <c r="C282" s="1" t="s">
        <v>190</v>
      </c>
      <c r="D282" s="1" t="s">
        <v>49</v>
      </c>
      <c r="E282" s="1" t="s">
        <v>41</v>
      </c>
      <c r="F282">
        <v>1176</v>
      </c>
      <c r="G282" s="1" t="s">
        <v>51</v>
      </c>
      <c r="H282">
        <v>3</v>
      </c>
      <c r="I282">
        <v>2</v>
      </c>
      <c r="J282" s="1" t="s">
        <v>52</v>
      </c>
      <c r="K282">
        <v>1</v>
      </c>
      <c r="L282">
        <v>690</v>
      </c>
      <c r="M282">
        <v>2</v>
      </c>
      <c r="N282" s="1" t="s">
        <v>53</v>
      </c>
      <c r="O282">
        <v>62</v>
      </c>
      <c r="P282">
        <v>3</v>
      </c>
      <c r="Q282">
        <v>2</v>
      </c>
      <c r="R282" s="1" t="s">
        <v>137</v>
      </c>
      <c r="S282">
        <v>3</v>
      </c>
      <c r="T282" s="1" t="s">
        <v>105</v>
      </c>
      <c r="U282">
        <v>5561</v>
      </c>
      <c r="V282" s="1" t="s">
        <v>163</v>
      </c>
      <c r="W282">
        <v>3487</v>
      </c>
      <c r="X282">
        <v>1</v>
      </c>
      <c r="Y282" s="1" t="s">
        <v>48</v>
      </c>
      <c r="Z282" s="1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8">
      <c r="A283" s="1" t="s">
        <v>349</v>
      </c>
      <c r="B283">
        <v>29</v>
      </c>
      <c r="C283" s="1" t="s">
        <v>190</v>
      </c>
      <c r="D283" s="1" t="s">
        <v>49</v>
      </c>
      <c r="E283" s="1" t="s">
        <v>56</v>
      </c>
      <c r="F283">
        <v>806</v>
      </c>
      <c r="G283" s="1" t="s">
        <v>42</v>
      </c>
      <c r="H283">
        <v>1</v>
      </c>
      <c r="I283">
        <v>4</v>
      </c>
      <c r="J283" s="1" t="s">
        <v>43</v>
      </c>
      <c r="K283">
        <v>1</v>
      </c>
      <c r="L283">
        <v>710</v>
      </c>
      <c r="M283">
        <v>2</v>
      </c>
      <c r="N283" s="1" t="s">
        <v>44</v>
      </c>
      <c r="O283">
        <v>76</v>
      </c>
      <c r="P283">
        <v>1</v>
      </c>
      <c r="Q283">
        <v>1</v>
      </c>
      <c r="R283" s="1" t="s">
        <v>60</v>
      </c>
      <c r="S283">
        <v>4</v>
      </c>
      <c r="T283" s="1" t="s">
        <v>102</v>
      </c>
      <c r="U283">
        <v>2720</v>
      </c>
      <c r="V283" s="1" t="s">
        <v>47</v>
      </c>
      <c r="W283">
        <v>18959</v>
      </c>
      <c r="X283">
        <v>1</v>
      </c>
      <c r="Y283" s="1" t="s">
        <v>48</v>
      </c>
      <c r="Z283" s="1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8">
      <c r="A284" s="1" t="s">
        <v>350</v>
      </c>
      <c r="B284">
        <v>29</v>
      </c>
      <c r="C284" s="1" t="s">
        <v>190</v>
      </c>
      <c r="D284" s="1" t="s">
        <v>49</v>
      </c>
      <c r="E284" s="1" t="s">
        <v>41</v>
      </c>
      <c r="F284">
        <v>1396</v>
      </c>
      <c r="G284" s="1" t="s">
        <v>51</v>
      </c>
      <c r="H284">
        <v>10</v>
      </c>
      <c r="I284">
        <v>3</v>
      </c>
      <c r="J284" s="1" t="s">
        <v>43</v>
      </c>
      <c r="K284">
        <v>1</v>
      </c>
      <c r="L284">
        <v>749</v>
      </c>
      <c r="M284">
        <v>3</v>
      </c>
      <c r="N284" s="1" t="s">
        <v>44</v>
      </c>
      <c r="O284">
        <v>99</v>
      </c>
      <c r="P284">
        <v>3</v>
      </c>
      <c r="Q284">
        <v>1</v>
      </c>
      <c r="R284" s="1" t="s">
        <v>54</v>
      </c>
      <c r="S284">
        <v>3</v>
      </c>
      <c r="T284" s="1" t="s">
        <v>46</v>
      </c>
      <c r="U284">
        <v>2642</v>
      </c>
      <c r="V284" s="1" t="s">
        <v>47</v>
      </c>
      <c r="W284">
        <v>2755</v>
      </c>
      <c r="X284">
        <v>1</v>
      </c>
      <c r="Y284" s="1" t="s">
        <v>48</v>
      </c>
      <c r="Z284" s="1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8">
      <c r="A285" s="1" t="s">
        <v>351</v>
      </c>
      <c r="B285">
        <v>29</v>
      </c>
      <c r="C285" s="1" t="s">
        <v>190</v>
      </c>
      <c r="D285" s="1" t="s">
        <v>49</v>
      </c>
      <c r="E285" s="1" t="s">
        <v>41</v>
      </c>
      <c r="F285">
        <v>1090</v>
      </c>
      <c r="G285" s="1" t="s">
        <v>51</v>
      </c>
      <c r="H285">
        <v>10</v>
      </c>
      <c r="I285">
        <v>3</v>
      </c>
      <c r="J285" s="1" t="s">
        <v>57</v>
      </c>
      <c r="K285">
        <v>1</v>
      </c>
      <c r="L285">
        <v>766</v>
      </c>
      <c r="M285">
        <v>4</v>
      </c>
      <c r="N285" s="1" t="s">
        <v>44</v>
      </c>
      <c r="O285">
        <v>83</v>
      </c>
      <c r="P285">
        <v>3</v>
      </c>
      <c r="Q285">
        <v>1</v>
      </c>
      <c r="R285" s="1" t="s">
        <v>54</v>
      </c>
      <c r="S285">
        <v>2</v>
      </c>
      <c r="T285" s="1" t="s">
        <v>102</v>
      </c>
      <c r="U285">
        <v>2297</v>
      </c>
      <c r="V285" s="1" t="s">
        <v>47</v>
      </c>
      <c r="W285">
        <v>17967</v>
      </c>
      <c r="X285">
        <v>1</v>
      </c>
      <c r="Y285" s="1" t="s">
        <v>48</v>
      </c>
      <c r="Z285" s="1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8">
      <c r="A286" s="1" t="s">
        <v>352</v>
      </c>
      <c r="B286">
        <v>29</v>
      </c>
      <c r="C286" s="1" t="s">
        <v>190</v>
      </c>
      <c r="D286" s="1" t="s">
        <v>49</v>
      </c>
      <c r="E286" s="1" t="s">
        <v>41</v>
      </c>
      <c r="F286">
        <v>657</v>
      </c>
      <c r="G286" s="1" t="s">
        <v>42</v>
      </c>
      <c r="H286">
        <v>27</v>
      </c>
      <c r="I286">
        <v>3</v>
      </c>
      <c r="J286" s="1" t="s">
        <v>52</v>
      </c>
      <c r="K286">
        <v>1</v>
      </c>
      <c r="L286">
        <v>793</v>
      </c>
      <c r="M286">
        <v>2</v>
      </c>
      <c r="N286" s="1" t="s">
        <v>53</v>
      </c>
      <c r="O286">
        <v>66</v>
      </c>
      <c r="P286">
        <v>3</v>
      </c>
      <c r="Q286">
        <v>2</v>
      </c>
      <c r="R286" s="1" t="s">
        <v>161</v>
      </c>
      <c r="S286">
        <v>3</v>
      </c>
      <c r="T286" s="1" t="s">
        <v>105</v>
      </c>
      <c r="U286">
        <v>4335</v>
      </c>
      <c r="V286" s="1" t="s">
        <v>47</v>
      </c>
      <c r="W286">
        <v>25549</v>
      </c>
      <c r="X286">
        <v>4</v>
      </c>
      <c r="Y286" s="1" t="s">
        <v>48</v>
      </c>
      <c r="Z286" s="1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8">
      <c r="A287" s="1" t="s">
        <v>353</v>
      </c>
      <c r="B287">
        <v>29</v>
      </c>
      <c r="C287" s="1" t="s">
        <v>190</v>
      </c>
      <c r="D287" s="1" t="s">
        <v>40</v>
      </c>
      <c r="E287" s="1" t="s">
        <v>41</v>
      </c>
      <c r="F287">
        <v>805</v>
      </c>
      <c r="G287" s="1" t="s">
        <v>42</v>
      </c>
      <c r="H287">
        <v>1</v>
      </c>
      <c r="I287">
        <v>2</v>
      </c>
      <c r="J287" s="1" t="s">
        <v>43</v>
      </c>
      <c r="K287">
        <v>1</v>
      </c>
      <c r="L287">
        <v>816</v>
      </c>
      <c r="M287">
        <v>2</v>
      </c>
      <c r="N287" s="1" t="s">
        <v>53</v>
      </c>
      <c r="O287">
        <v>36</v>
      </c>
      <c r="P287">
        <v>2</v>
      </c>
      <c r="Q287">
        <v>1</v>
      </c>
      <c r="R287" s="1" t="s">
        <v>45</v>
      </c>
      <c r="S287">
        <v>1</v>
      </c>
      <c r="T287" s="1" t="s">
        <v>105</v>
      </c>
      <c r="U287">
        <v>2319</v>
      </c>
      <c r="V287" s="1" t="s">
        <v>47</v>
      </c>
      <c r="W287">
        <v>6689</v>
      </c>
      <c r="X287">
        <v>1</v>
      </c>
      <c r="Y287" s="1" t="s">
        <v>48</v>
      </c>
      <c r="Z287" s="1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8">
      <c r="A288" s="1" t="s">
        <v>354</v>
      </c>
      <c r="B288">
        <v>29</v>
      </c>
      <c r="C288" s="1" t="s">
        <v>190</v>
      </c>
      <c r="D288" s="1" t="s">
        <v>49</v>
      </c>
      <c r="E288" s="1" t="s">
        <v>41</v>
      </c>
      <c r="F288">
        <v>1252</v>
      </c>
      <c r="G288" s="1" t="s">
        <v>42</v>
      </c>
      <c r="H288">
        <v>23</v>
      </c>
      <c r="I288">
        <v>2</v>
      </c>
      <c r="J288" s="1" t="s">
        <v>43</v>
      </c>
      <c r="K288">
        <v>1</v>
      </c>
      <c r="L288">
        <v>824</v>
      </c>
      <c r="M288">
        <v>3</v>
      </c>
      <c r="N288" s="1" t="s">
        <v>44</v>
      </c>
      <c r="O288">
        <v>81</v>
      </c>
      <c r="P288">
        <v>4</v>
      </c>
      <c r="Q288">
        <v>1</v>
      </c>
      <c r="R288" s="1" t="s">
        <v>60</v>
      </c>
      <c r="S288">
        <v>3</v>
      </c>
      <c r="T288" s="1" t="s">
        <v>105</v>
      </c>
      <c r="U288">
        <v>2700</v>
      </c>
      <c r="V288" s="1" t="s">
        <v>47</v>
      </c>
      <c r="W288">
        <v>23779</v>
      </c>
      <c r="X288">
        <v>1</v>
      </c>
      <c r="Y288" s="1" t="s">
        <v>48</v>
      </c>
      <c r="Z288" s="1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8">
      <c r="A289" s="1" t="s">
        <v>355</v>
      </c>
      <c r="B289">
        <v>29</v>
      </c>
      <c r="C289" s="1" t="s">
        <v>190</v>
      </c>
      <c r="D289" s="1" t="s">
        <v>40</v>
      </c>
      <c r="E289" s="1" t="s">
        <v>41</v>
      </c>
      <c r="F289">
        <v>341</v>
      </c>
      <c r="G289" s="1" t="s">
        <v>51</v>
      </c>
      <c r="H289">
        <v>1</v>
      </c>
      <c r="I289">
        <v>3</v>
      </c>
      <c r="J289" s="1" t="s">
        <v>52</v>
      </c>
      <c r="K289">
        <v>1</v>
      </c>
      <c r="L289">
        <v>896</v>
      </c>
      <c r="M289">
        <v>2</v>
      </c>
      <c r="N289" s="1" t="s">
        <v>53</v>
      </c>
      <c r="O289">
        <v>48</v>
      </c>
      <c r="P289">
        <v>2</v>
      </c>
      <c r="Q289">
        <v>1</v>
      </c>
      <c r="R289" s="1" t="s">
        <v>54</v>
      </c>
      <c r="S289">
        <v>3</v>
      </c>
      <c r="T289" s="1" t="s">
        <v>102</v>
      </c>
      <c r="U289">
        <v>2800</v>
      </c>
      <c r="V289" s="1" t="s">
        <v>47</v>
      </c>
      <c r="W289">
        <v>23522</v>
      </c>
      <c r="X289">
        <v>6</v>
      </c>
      <c r="Y289" s="1" t="s">
        <v>48</v>
      </c>
      <c r="Z289" s="1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8">
      <c r="A290" s="1" t="s">
        <v>356</v>
      </c>
      <c r="B290">
        <v>29</v>
      </c>
      <c r="C290" s="1" t="s">
        <v>190</v>
      </c>
      <c r="D290" s="1" t="s">
        <v>49</v>
      </c>
      <c r="E290" s="1" t="s">
        <v>41</v>
      </c>
      <c r="F290">
        <v>1086</v>
      </c>
      <c r="G290" s="1" t="s">
        <v>42</v>
      </c>
      <c r="H290">
        <v>7</v>
      </c>
      <c r="I290">
        <v>1</v>
      </c>
      <c r="J290" s="1" t="s">
        <v>52</v>
      </c>
      <c r="K290">
        <v>1</v>
      </c>
      <c r="L290">
        <v>912</v>
      </c>
      <c r="M290">
        <v>1</v>
      </c>
      <c r="N290" s="1" t="s">
        <v>53</v>
      </c>
      <c r="O290">
        <v>62</v>
      </c>
      <c r="P290">
        <v>2</v>
      </c>
      <c r="Q290">
        <v>1</v>
      </c>
      <c r="R290" s="1" t="s">
        <v>45</v>
      </c>
      <c r="S290">
        <v>4</v>
      </c>
      <c r="T290" s="1" t="s">
        <v>102</v>
      </c>
      <c r="U290">
        <v>2532</v>
      </c>
      <c r="V290" s="1" t="s">
        <v>47</v>
      </c>
      <c r="W290">
        <v>6054</v>
      </c>
      <c r="X290">
        <v>6</v>
      </c>
      <c r="Y290" s="1" t="s">
        <v>48</v>
      </c>
      <c r="Z290" s="1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8">
      <c r="A291" s="1" t="s">
        <v>357</v>
      </c>
      <c r="B291">
        <v>29</v>
      </c>
      <c r="C291" s="1" t="s">
        <v>190</v>
      </c>
      <c r="D291" s="1" t="s">
        <v>49</v>
      </c>
      <c r="E291" s="1" t="s">
        <v>56</v>
      </c>
      <c r="F291">
        <v>1404</v>
      </c>
      <c r="G291" s="1" t="s">
        <v>51</v>
      </c>
      <c r="H291">
        <v>20</v>
      </c>
      <c r="I291">
        <v>3</v>
      </c>
      <c r="J291" s="1" t="s">
        <v>68</v>
      </c>
      <c r="K291">
        <v>1</v>
      </c>
      <c r="L291">
        <v>974</v>
      </c>
      <c r="M291">
        <v>3</v>
      </c>
      <c r="N291" s="1" t="s">
        <v>53</v>
      </c>
      <c r="O291">
        <v>84</v>
      </c>
      <c r="P291">
        <v>3</v>
      </c>
      <c r="Q291">
        <v>1</v>
      </c>
      <c r="R291" s="1" t="s">
        <v>54</v>
      </c>
      <c r="S291">
        <v>4</v>
      </c>
      <c r="T291" s="1" t="s">
        <v>105</v>
      </c>
      <c r="U291">
        <v>2157</v>
      </c>
      <c r="V291" s="1" t="s">
        <v>47</v>
      </c>
      <c r="W291">
        <v>18203</v>
      </c>
      <c r="X291">
        <v>1</v>
      </c>
      <c r="Y291" s="1" t="s">
        <v>48</v>
      </c>
      <c r="Z291" s="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8">
      <c r="A292" s="1" t="s">
        <v>358</v>
      </c>
      <c r="B292">
        <v>29</v>
      </c>
      <c r="C292" s="1" t="s">
        <v>190</v>
      </c>
      <c r="D292" s="1" t="s">
        <v>40</v>
      </c>
      <c r="E292" s="1" t="s">
        <v>41</v>
      </c>
      <c r="F292">
        <v>906</v>
      </c>
      <c r="G292" s="1" t="s">
        <v>42</v>
      </c>
      <c r="H292">
        <v>10</v>
      </c>
      <c r="I292">
        <v>3</v>
      </c>
      <c r="J292" s="1" t="s">
        <v>43</v>
      </c>
      <c r="K292">
        <v>1</v>
      </c>
      <c r="L292">
        <v>994</v>
      </c>
      <c r="M292">
        <v>4</v>
      </c>
      <c r="N292" s="1" t="s">
        <v>53</v>
      </c>
      <c r="O292">
        <v>92</v>
      </c>
      <c r="P292">
        <v>2</v>
      </c>
      <c r="Q292">
        <v>1</v>
      </c>
      <c r="R292" s="1" t="s">
        <v>60</v>
      </c>
      <c r="S292">
        <v>1</v>
      </c>
      <c r="T292" s="1" t="s">
        <v>46</v>
      </c>
      <c r="U292">
        <v>2404</v>
      </c>
      <c r="V292" s="1" t="s">
        <v>47</v>
      </c>
      <c r="W292">
        <v>11479</v>
      </c>
      <c r="X292">
        <v>6</v>
      </c>
      <c r="Y292" s="1" t="s">
        <v>48</v>
      </c>
      <c r="Z292" s="1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8">
      <c r="A293" s="1" t="s">
        <v>359</v>
      </c>
      <c r="B293">
        <v>29</v>
      </c>
      <c r="C293" s="1" t="s">
        <v>190</v>
      </c>
      <c r="D293" s="1" t="s">
        <v>49</v>
      </c>
      <c r="E293" s="1" t="s">
        <v>41</v>
      </c>
      <c r="F293">
        <v>1107</v>
      </c>
      <c r="G293" s="1" t="s">
        <v>42</v>
      </c>
      <c r="H293">
        <v>28</v>
      </c>
      <c r="I293">
        <v>4</v>
      </c>
      <c r="J293" s="1" t="s">
        <v>43</v>
      </c>
      <c r="K293">
        <v>1</v>
      </c>
      <c r="L293">
        <v>1120</v>
      </c>
      <c r="M293">
        <v>3</v>
      </c>
      <c r="N293" s="1" t="s">
        <v>53</v>
      </c>
      <c r="O293">
        <v>93</v>
      </c>
      <c r="P293">
        <v>3</v>
      </c>
      <c r="Q293">
        <v>1</v>
      </c>
      <c r="R293" s="1" t="s">
        <v>60</v>
      </c>
      <c r="S293">
        <v>4</v>
      </c>
      <c r="T293" s="1" t="s">
        <v>102</v>
      </c>
      <c r="U293">
        <v>2514</v>
      </c>
      <c r="V293" s="1" t="s">
        <v>47</v>
      </c>
      <c r="W293">
        <v>26968</v>
      </c>
      <c r="X293">
        <v>4</v>
      </c>
      <c r="Y293" s="1" t="s">
        <v>48</v>
      </c>
      <c r="Z293" s="1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8">
      <c r="A294" s="1" t="s">
        <v>360</v>
      </c>
      <c r="B294">
        <v>29</v>
      </c>
      <c r="C294" s="1" t="s">
        <v>190</v>
      </c>
      <c r="D294" s="1" t="s">
        <v>49</v>
      </c>
      <c r="E294" s="1" t="s">
        <v>56</v>
      </c>
      <c r="F294">
        <v>490</v>
      </c>
      <c r="G294" s="1" t="s">
        <v>42</v>
      </c>
      <c r="H294">
        <v>10</v>
      </c>
      <c r="I294">
        <v>3</v>
      </c>
      <c r="J294" s="1" t="s">
        <v>43</v>
      </c>
      <c r="K294">
        <v>1</v>
      </c>
      <c r="L294">
        <v>1143</v>
      </c>
      <c r="M294">
        <v>4</v>
      </c>
      <c r="N294" s="1" t="s">
        <v>53</v>
      </c>
      <c r="O294">
        <v>61</v>
      </c>
      <c r="P294">
        <v>3</v>
      </c>
      <c r="Q294">
        <v>1</v>
      </c>
      <c r="R294" s="1" t="s">
        <v>60</v>
      </c>
      <c r="S294">
        <v>2</v>
      </c>
      <c r="T294" s="1" t="s">
        <v>102</v>
      </c>
      <c r="U294">
        <v>3291</v>
      </c>
      <c r="V294" s="1" t="s">
        <v>47</v>
      </c>
      <c r="W294">
        <v>17940</v>
      </c>
      <c r="X294">
        <v>0</v>
      </c>
      <c r="Y294" s="1" t="s">
        <v>48</v>
      </c>
      <c r="Z294" s="1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8">
      <c r="A295" s="1" t="s">
        <v>361</v>
      </c>
      <c r="B295">
        <v>29</v>
      </c>
      <c r="C295" s="1" t="s">
        <v>190</v>
      </c>
      <c r="D295" s="1" t="s">
        <v>49</v>
      </c>
      <c r="E295" s="1" t="s">
        <v>41</v>
      </c>
      <c r="F295">
        <v>718</v>
      </c>
      <c r="G295" s="1" t="s">
        <v>42</v>
      </c>
      <c r="H295">
        <v>8</v>
      </c>
      <c r="I295">
        <v>1</v>
      </c>
      <c r="J295" s="1" t="s">
        <v>52</v>
      </c>
      <c r="K295">
        <v>1</v>
      </c>
      <c r="L295">
        <v>1150</v>
      </c>
      <c r="M295">
        <v>2</v>
      </c>
      <c r="N295" s="1" t="s">
        <v>44</v>
      </c>
      <c r="O295">
        <v>79</v>
      </c>
      <c r="P295">
        <v>2</v>
      </c>
      <c r="Q295">
        <v>2</v>
      </c>
      <c r="R295" s="1" t="s">
        <v>112</v>
      </c>
      <c r="S295">
        <v>4</v>
      </c>
      <c r="T295" s="1" t="s">
        <v>105</v>
      </c>
      <c r="U295">
        <v>5056</v>
      </c>
      <c r="V295" s="1" t="s">
        <v>163</v>
      </c>
      <c r="W295">
        <v>17689</v>
      </c>
      <c r="X295">
        <v>1</v>
      </c>
      <c r="Y295" s="1" t="s">
        <v>48</v>
      </c>
      <c r="Z295" s="1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8">
      <c r="A296" s="1" t="s">
        <v>362</v>
      </c>
      <c r="B296">
        <v>29</v>
      </c>
      <c r="C296" s="1" t="s">
        <v>190</v>
      </c>
      <c r="D296" s="1" t="s">
        <v>40</v>
      </c>
      <c r="E296" s="1" t="s">
        <v>41</v>
      </c>
      <c r="F296">
        <v>408</v>
      </c>
      <c r="G296" s="1" t="s">
        <v>51</v>
      </c>
      <c r="H296">
        <v>23</v>
      </c>
      <c r="I296">
        <v>1</v>
      </c>
      <c r="J296" s="1" t="s">
        <v>43</v>
      </c>
      <c r="K296">
        <v>1</v>
      </c>
      <c r="L296">
        <v>1165</v>
      </c>
      <c r="M296">
        <v>4</v>
      </c>
      <c r="N296" s="1" t="s">
        <v>53</v>
      </c>
      <c r="O296">
        <v>45</v>
      </c>
      <c r="P296">
        <v>2</v>
      </c>
      <c r="Q296">
        <v>3</v>
      </c>
      <c r="R296" s="1" t="s">
        <v>137</v>
      </c>
      <c r="S296">
        <v>1</v>
      </c>
      <c r="T296" s="1" t="s">
        <v>105</v>
      </c>
      <c r="U296">
        <v>7336</v>
      </c>
      <c r="V296" s="1" t="s">
        <v>163</v>
      </c>
      <c r="W296">
        <v>11162</v>
      </c>
      <c r="X296">
        <v>1</v>
      </c>
      <c r="Y296" s="1" t="s">
        <v>48</v>
      </c>
      <c r="Z296" s="1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8">
      <c r="A297" s="1" t="s">
        <v>363</v>
      </c>
      <c r="B297">
        <v>29</v>
      </c>
      <c r="C297" s="1" t="s">
        <v>190</v>
      </c>
      <c r="D297" s="1" t="s">
        <v>49</v>
      </c>
      <c r="E297" s="1" t="s">
        <v>41</v>
      </c>
      <c r="F297">
        <v>1401</v>
      </c>
      <c r="G297" s="1" t="s">
        <v>42</v>
      </c>
      <c r="H297">
        <v>6</v>
      </c>
      <c r="I297">
        <v>1</v>
      </c>
      <c r="J297" s="1" t="s">
        <v>52</v>
      </c>
      <c r="K297">
        <v>1</v>
      </c>
      <c r="L297">
        <v>1192</v>
      </c>
      <c r="M297">
        <v>2</v>
      </c>
      <c r="N297" s="1" t="s">
        <v>53</v>
      </c>
      <c r="O297">
        <v>54</v>
      </c>
      <c r="P297">
        <v>3</v>
      </c>
      <c r="Q297">
        <v>1</v>
      </c>
      <c r="R297" s="1" t="s">
        <v>45</v>
      </c>
      <c r="S297">
        <v>4</v>
      </c>
      <c r="T297" s="1" t="s">
        <v>105</v>
      </c>
      <c r="U297">
        <v>3131</v>
      </c>
      <c r="V297" s="1" t="s">
        <v>47</v>
      </c>
      <c r="W297">
        <v>26342</v>
      </c>
      <c r="X297">
        <v>1</v>
      </c>
      <c r="Y297" s="1" t="s">
        <v>48</v>
      </c>
      <c r="Z297" s="1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8">
      <c r="A298" s="1" t="s">
        <v>364</v>
      </c>
      <c r="B298">
        <v>29</v>
      </c>
      <c r="C298" s="1" t="s">
        <v>190</v>
      </c>
      <c r="D298" s="1" t="s">
        <v>49</v>
      </c>
      <c r="E298" s="1" t="s">
        <v>41</v>
      </c>
      <c r="F298">
        <v>942</v>
      </c>
      <c r="G298" s="1" t="s">
        <v>42</v>
      </c>
      <c r="H298">
        <v>15</v>
      </c>
      <c r="I298">
        <v>1</v>
      </c>
      <c r="J298" s="1" t="s">
        <v>43</v>
      </c>
      <c r="K298">
        <v>1</v>
      </c>
      <c r="L298">
        <v>1202</v>
      </c>
      <c r="M298">
        <v>2</v>
      </c>
      <c r="N298" s="1" t="s">
        <v>53</v>
      </c>
      <c r="O298">
        <v>69</v>
      </c>
      <c r="P298">
        <v>1</v>
      </c>
      <c r="Q298">
        <v>1</v>
      </c>
      <c r="R298" s="1" t="s">
        <v>60</v>
      </c>
      <c r="S298">
        <v>4</v>
      </c>
      <c r="T298" s="1" t="s">
        <v>105</v>
      </c>
      <c r="U298">
        <v>2168</v>
      </c>
      <c r="V298" s="1" t="s">
        <v>47</v>
      </c>
      <c r="W298">
        <v>26933</v>
      </c>
      <c r="X298">
        <v>0</v>
      </c>
      <c r="Y298" s="1" t="s">
        <v>48</v>
      </c>
      <c r="Z298" s="1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8">
      <c r="A299" s="1" t="s">
        <v>365</v>
      </c>
      <c r="B299">
        <v>29</v>
      </c>
      <c r="C299" s="1" t="s">
        <v>190</v>
      </c>
      <c r="D299" s="1" t="s">
        <v>49</v>
      </c>
      <c r="E299" s="1" t="s">
        <v>41</v>
      </c>
      <c r="F299">
        <v>1010</v>
      </c>
      <c r="G299" s="1" t="s">
        <v>42</v>
      </c>
      <c r="H299">
        <v>1</v>
      </c>
      <c r="I299">
        <v>3</v>
      </c>
      <c r="J299" s="1" t="s">
        <v>43</v>
      </c>
      <c r="K299">
        <v>1</v>
      </c>
      <c r="L299">
        <v>1249</v>
      </c>
      <c r="M299">
        <v>1</v>
      </c>
      <c r="N299" s="1" t="s">
        <v>53</v>
      </c>
      <c r="O299">
        <v>97</v>
      </c>
      <c r="P299">
        <v>3</v>
      </c>
      <c r="Q299">
        <v>1</v>
      </c>
      <c r="R299" s="1" t="s">
        <v>60</v>
      </c>
      <c r="S299">
        <v>4</v>
      </c>
      <c r="T299" s="1" t="s">
        <v>102</v>
      </c>
      <c r="U299">
        <v>3760</v>
      </c>
      <c r="V299" s="1" t="s">
        <v>47</v>
      </c>
      <c r="W299">
        <v>5598</v>
      </c>
      <c r="X299">
        <v>1</v>
      </c>
      <c r="Y299" s="1" t="s">
        <v>48</v>
      </c>
      <c r="Z299" s="1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8">
      <c r="A300" s="1" t="s">
        <v>366</v>
      </c>
      <c r="B300">
        <v>29</v>
      </c>
      <c r="C300" s="1" t="s">
        <v>190</v>
      </c>
      <c r="D300" s="1" t="s">
        <v>49</v>
      </c>
      <c r="E300" s="1" t="s">
        <v>41</v>
      </c>
      <c r="F300">
        <v>1329</v>
      </c>
      <c r="G300" s="1" t="s">
        <v>42</v>
      </c>
      <c r="H300">
        <v>7</v>
      </c>
      <c r="I300">
        <v>3</v>
      </c>
      <c r="J300" s="1" t="s">
        <v>43</v>
      </c>
      <c r="K300">
        <v>1</v>
      </c>
      <c r="L300">
        <v>1260</v>
      </c>
      <c r="M300">
        <v>3</v>
      </c>
      <c r="N300" s="1" t="s">
        <v>44</v>
      </c>
      <c r="O300">
        <v>82</v>
      </c>
      <c r="P300">
        <v>3</v>
      </c>
      <c r="Q300">
        <v>2</v>
      </c>
      <c r="R300" s="1" t="s">
        <v>161</v>
      </c>
      <c r="S300">
        <v>4</v>
      </c>
      <c r="T300" s="1" t="s">
        <v>102</v>
      </c>
      <c r="U300">
        <v>6623</v>
      </c>
      <c r="V300" s="1" t="s">
        <v>163</v>
      </c>
      <c r="W300">
        <v>4204</v>
      </c>
      <c r="X300">
        <v>1</v>
      </c>
      <c r="Y300" s="1" t="s">
        <v>48</v>
      </c>
      <c r="Z300" s="1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8">
      <c r="A301" s="1" t="s">
        <v>367</v>
      </c>
      <c r="B301">
        <v>29</v>
      </c>
      <c r="C301" s="1" t="s">
        <v>190</v>
      </c>
      <c r="D301" s="1" t="s">
        <v>49</v>
      </c>
      <c r="E301" s="1" t="s">
        <v>41</v>
      </c>
      <c r="F301">
        <v>694</v>
      </c>
      <c r="G301" s="1" t="s">
        <v>42</v>
      </c>
      <c r="H301">
        <v>1</v>
      </c>
      <c r="I301">
        <v>3</v>
      </c>
      <c r="J301" s="1" t="s">
        <v>43</v>
      </c>
      <c r="K301">
        <v>1</v>
      </c>
      <c r="L301">
        <v>1264</v>
      </c>
      <c r="M301">
        <v>4</v>
      </c>
      <c r="N301" s="1" t="s">
        <v>53</v>
      </c>
      <c r="O301">
        <v>87</v>
      </c>
      <c r="P301">
        <v>2</v>
      </c>
      <c r="Q301">
        <v>4</v>
      </c>
      <c r="R301" s="1" t="s">
        <v>252</v>
      </c>
      <c r="S301">
        <v>4</v>
      </c>
      <c r="T301" s="1" t="s">
        <v>102</v>
      </c>
      <c r="U301">
        <v>16124</v>
      </c>
      <c r="V301" s="1" t="s">
        <v>368</v>
      </c>
      <c r="W301">
        <v>3423</v>
      </c>
      <c r="X301">
        <v>3</v>
      </c>
      <c r="Y301" s="1" t="s">
        <v>48</v>
      </c>
      <c r="Z301" s="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8">
      <c r="A302" s="1" t="s">
        <v>369</v>
      </c>
      <c r="B302">
        <v>29</v>
      </c>
      <c r="C302" s="1" t="s">
        <v>190</v>
      </c>
      <c r="D302" s="1" t="s">
        <v>40</v>
      </c>
      <c r="E302" s="1" t="s">
        <v>41</v>
      </c>
      <c r="F302">
        <v>806</v>
      </c>
      <c r="G302" s="1" t="s">
        <v>42</v>
      </c>
      <c r="H302">
        <v>7</v>
      </c>
      <c r="I302">
        <v>3</v>
      </c>
      <c r="J302" s="1" t="s">
        <v>68</v>
      </c>
      <c r="K302">
        <v>1</v>
      </c>
      <c r="L302">
        <v>1299</v>
      </c>
      <c r="M302">
        <v>2</v>
      </c>
      <c r="N302" s="1" t="s">
        <v>53</v>
      </c>
      <c r="O302">
        <v>39</v>
      </c>
      <c r="P302">
        <v>3</v>
      </c>
      <c r="Q302">
        <v>1</v>
      </c>
      <c r="R302" s="1" t="s">
        <v>45</v>
      </c>
      <c r="S302">
        <v>3</v>
      </c>
      <c r="T302" s="1" t="s">
        <v>102</v>
      </c>
      <c r="U302">
        <v>3339</v>
      </c>
      <c r="V302" s="1" t="s">
        <v>47</v>
      </c>
      <c r="W302">
        <v>17285</v>
      </c>
      <c r="X302">
        <v>3</v>
      </c>
      <c r="Y302" s="1" t="s">
        <v>48</v>
      </c>
      <c r="Z302" s="1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8">
      <c r="A303" s="1" t="s">
        <v>370</v>
      </c>
      <c r="B303">
        <v>29</v>
      </c>
      <c r="C303" s="1" t="s">
        <v>190</v>
      </c>
      <c r="D303" s="1" t="s">
        <v>49</v>
      </c>
      <c r="E303" s="1" t="s">
        <v>41</v>
      </c>
      <c r="F303">
        <v>332</v>
      </c>
      <c r="G303" s="1" t="s">
        <v>71</v>
      </c>
      <c r="H303">
        <v>17</v>
      </c>
      <c r="I303">
        <v>3</v>
      </c>
      <c r="J303" s="1" t="s">
        <v>73</v>
      </c>
      <c r="K303">
        <v>1</v>
      </c>
      <c r="L303">
        <v>1419</v>
      </c>
      <c r="M303">
        <v>2</v>
      </c>
      <c r="N303" s="1" t="s">
        <v>44</v>
      </c>
      <c r="O303">
        <v>51</v>
      </c>
      <c r="P303">
        <v>2</v>
      </c>
      <c r="Q303">
        <v>3</v>
      </c>
      <c r="R303" s="1" t="s">
        <v>71</v>
      </c>
      <c r="S303">
        <v>1</v>
      </c>
      <c r="T303" s="1" t="s">
        <v>46</v>
      </c>
      <c r="U303">
        <v>7988</v>
      </c>
      <c r="V303" s="1" t="s">
        <v>163</v>
      </c>
      <c r="W303">
        <v>9769</v>
      </c>
      <c r="X303">
        <v>1</v>
      </c>
      <c r="Y303" s="1" t="s">
        <v>48</v>
      </c>
      <c r="Z303" s="1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8">
      <c r="A304" s="1" t="s">
        <v>371</v>
      </c>
      <c r="B304">
        <v>29</v>
      </c>
      <c r="C304" s="1" t="s">
        <v>190</v>
      </c>
      <c r="D304" s="1" t="s">
        <v>40</v>
      </c>
      <c r="E304" s="1" t="s">
        <v>56</v>
      </c>
      <c r="F304">
        <v>337</v>
      </c>
      <c r="G304" s="1" t="s">
        <v>42</v>
      </c>
      <c r="H304">
        <v>14</v>
      </c>
      <c r="I304">
        <v>1</v>
      </c>
      <c r="J304" s="1" t="s">
        <v>73</v>
      </c>
      <c r="K304">
        <v>1</v>
      </c>
      <c r="L304">
        <v>1421</v>
      </c>
      <c r="M304">
        <v>3</v>
      </c>
      <c r="N304" s="1" t="s">
        <v>53</v>
      </c>
      <c r="O304">
        <v>84</v>
      </c>
      <c r="P304">
        <v>3</v>
      </c>
      <c r="Q304">
        <v>3</v>
      </c>
      <c r="R304" s="1" t="s">
        <v>161</v>
      </c>
      <c r="S304">
        <v>4</v>
      </c>
      <c r="T304" s="1" t="s">
        <v>46</v>
      </c>
      <c r="U304">
        <v>7553</v>
      </c>
      <c r="V304" s="1" t="s">
        <v>163</v>
      </c>
      <c r="W304">
        <v>22930</v>
      </c>
      <c r="X304">
        <v>0</v>
      </c>
      <c r="Y304" s="1" t="s">
        <v>48</v>
      </c>
      <c r="Z304" s="1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8">
      <c r="A305" s="1" t="s">
        <v>372</v>
      </c>
      <c r="B305">
        <v>29</v>
      </c>
      <c r="C305" s="1" t="s">
        <v>190</v>
      </c>
      <c r="D305" s="1" t="s">
        <v>40</v>
      </c>
      <c r="E305" s="1" t="s">
        <v>56</v>
      </c>
      <c r="F305">
        <v>115</v>
      </c>
      <c r="G305" s="1" t="s">
        <v>51</v>
      </c>
      <c r="H305">
        <v>13</v>
      </c>
      <c r="I305">
        <v>3</v>
      </c>
      <c r="J305" s="1" t="s">
        <v>68</v>
      </c>
      <c r="K305">
        <v>1</v>
      </c>
      <c r="L305">
        <v>1487</v>
      </c>
      <c r="M305">
        <v>1</v>
      </c>
      <c r="N305" s="1" t="s">
        <v>53</v>
      </c>
      <c r="O305">
        <v>51</v>
      </c>
      <c r="P305">
        <v>3</v>
      </c>
      <c r="Q305">
        <v>2</v>
      </c>
      <c r="R305" s="1" t="s">
        <v>137</v>
      </c>
      <c r="S305">
        <v>2</v>
      </c>
      <c r="T305" s="1" t="s">
        <v>46</v>
      </c>
      <c r="U305">
        <v>5765</v>
      </c>
      <c r="V305" s="1" t="s">
        <v>163</v>
      </c>
      <c r="W305">
        <v>17485</v>
      </c>
      <c r="X305">
        <v>5</v>
      </c>
      <c r="Y305" s="1" t="s">
        <v>48</v>
      </c>
      <c r="Z305" s="1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8">
      <c r="A306" s="1" t="s">
        <v>373</v>
      </c>
      <c r="B306">
        <v>29</v>
      </c>
      <c r="C306" s="1" t="s">
        <v>190</v>
      </c>
      <c r="D306" s="1" t="s">
        <v>49</v>
      </c>
      <c r="E306" s="1" t="s">
        <v>41</v>
      </c>
      <c r="F306">
        <v>1246</v>
      </c>
      <c r="G306" s="1" t="s">
        <v>51</v>
      </c>
      <c r="H306">
        <v>19</v>
      </c>
      <c r="I306">
        <v>3</v>
      </c>
      <c r="J306" s="1" t="s">
        <v>43</v>
      </c>
      <c r="K306">
        <v>1</v>
      </c>
      <c r="L306">
        <v>1497</v>
      </c>
      <c r="M306">
        <v>3</v>
      </c>
      <c r="N306" s="1" t="s">
        <v>44</v>
      </c>
      <c r="O306">
        <v>77</v>
      </c>
      <c r="P306">
        <v>2</v>
      </c>
      <c r="Q306">
        <v>2</v>
      </c>
      <c r="R306" s="1" t="s">
        <v>137</v>
      </c>
      <c r="S306">
        <v>3</v>
      </c>
      <c r="T306" s="1" t="s">
        <v>102</v>
      </c>
      <c r="U306">
        <v>8620</v>
      </c>
      <c r="V306" s="1" t="s">
        <v>163</v>
      </c>
      <c r="W306">
        <v>23757</v>
      </c>
      <c r="X306">
        <v>1</v>
      </c>
      <c r="Y306" s="1" t="s">
        <v>48</v>
      </c>
      <c r="Z306" s="1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8">
      <c r="A307" s="1" t="s">
        <v>374</v>
      </c>
      <c r="B307">
        <v>29</v>
      </c>
      <c r="C307" s="1" t="s">
        <v>190</v>
      </c>
      <c r="D307" s="1" t="s">
        <v>49</v>
      </c>
      <c r="E307" s="1" t="s">
        <v>56</v>
      </c>
      <c r="F307">
        <v>410</v>
      </c>
      <c r="G307" s="1" t="s">
        <v>42</v>
      </c>
      <c r="H307">
        <v>2</v>
      </c>
      <c r="I307">
        <v>1</v>
      </c>
      <c r="J307" s="1" t="s">
        <v>43</v>
      </c>
      <c r="K307">
        <v>1</v>
      </c>
      <c r="L307">
        <v>1513</v>
      </c>
      <c r="M307">
        <v>4</v>
      </c>
      <c r="N307" s="1" t="s">
        <v>53</v>
      </c>
      <c r="O307">
        <v>97</v>
      </c>
      <c r="P307">
        <v>3</v>
      </c>
      <c r="Q307">
        <v>1</v>
      </c>
      <c r="R307" s="1" t="s">
        <v>45</v>
      </c>
      <c r="S307">
        <v>2</v>
      </c>
      <c r="T307" s="1" t="s">
        <v>105</v>
      </c>
      <c r="U307">
        <v>3180</v>
      </c>
      <c r="V307" s="1" t="s">
        <v>47</v>
      </c>
      <c r="W307">
        <v>4668</v>
      </c>
      <c r="X307">
        <v>0</v>
      </c>
      <c r="Y307" s="1" t="s">
        <v>48</v>
      </c>
      <c r="Z307" s="1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8">
      <c r="A308" s="1" t="s">
        <v>375</v>
      </c>
      <c r="B308">
        <v>29</v>
      </c>
      <c r="C308" s="1" t="s">
        <v>190</v>
      </c>
      <c r="D308" s="1" t="s">
        <v>40</v>
      </c>
      <c r="E308" s="1" t="s">
        <v>41</v>
      </c>
      <c r="F308">
        <v>224</v>
      </c>
      <c r="G308" s="1" t="s">
        <v>42</v>
      </c>
      <c r="H308">
        <v>1</v>
      </c>
      <c r="I308">
        <v>4</v>
      </c>
      <c r="J308" s="1" t="s">
        <v>68</v>
      </c>
      <c r="K308">
        <v>1</v>
      </c>
      <c r="L308">
        <v>1522</v>
      </c>
      <c r="M308">
        <v>1</v>
      </c>
      <c r="N308" s="1" t="s">
        <v>44</v>
      </c>
      <c r="O308">
        <v>100</v>
      </c>
      <c r="P308">
        <v>2</v>
      </c>
      <c r="Q308">
        <v>1</v>
      </c>
      <c r="R308" s="1" t="s">
        <v>60</v>
      </c>
      <c r="S308">
        <v>1</v>
      </c>
      <c r="T308" s="1" t="s">
        <v>46</v>
      </c>
      <c r="U308">
        <v>2362</v>
      </c>
      <c r="V308" s="1" t="s">
        <v>47</v>
      </c>
      <c r="W308">
        <v>7568</v>
      </c>
      <c r="X308">
        <v>6</v>
      </c>
      <c r="Y308" s="1" t="s">
        <v>48</v>
      </c>
      <c r="Z308" s="1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8">
      <c r="A309" s="1" t="s">
        <v>376</v>
      </c>
      <c r="B309">
        <v>29</v>
      </c>
      <c r="C309" s="1" t="s">
        <v>190</v>
      </c>
      <c r="D309" s="1" t="s">
        <v>49</v>
      </c>
      <c r="E309" s="1" t="s">
        <v>41</v>
      </c>
      <c r="F309">
        <v>441</v>
      </c>
      <c r="G309" s="1" t="s">
        <v>42</v>
      </c>
      <c r="H309">
        <v>8</v>
      </c>
      <c r="I309">
        <v>1</v>
      </c>
      <c r="J309" s="1" t="s">
        <v>73</v>
      </c>
      <c r="K309">
        <v>1</v>
      </c>
      <c r="L309">
        <v>1544</v>
      </c>
      <c r="M309">
        <v>3</v>
      </c>
      <c r="N309" s="1" t="s">
        <v>53</v>
      </c>
      <c r="O309">
        <v>39</v>
      </c>
      <c r="P309">
        <v>1</v>
      </c>
      <c r="Q309">
        <v>2</v>
      </c>
      <c r="R309" s="1" t="s">
        <v>161</v>
      </c>
      <c r="S309">
        <v>1</v>
      </c>
      <c r="T309" s="1" t="s">
        <v>105</v>
      </c>
      <c r="U309">
        <v>9715</v>
      </c>
      <c r="V309" s="1" t="s">
        <v>163</v>
      </c>
      <c r="W309">
        <v>7288</v>
      </c>
      <c r="X309">
        <v>3</v>
      </c>
      <c r="Y309" s="1" t="s">
        <v>48</v>
      </c>
      <c r="Z309" s="1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8">
      <c r="A310" s="1" t="s">
        <v>377</v>
      </c>
      <c r="B310">
        <v>29</v>
      </c>
      <c r="C310" s="1" t="s">
        <v>190</v>
      </c>
      <c r="D310" s="1" t="s">
        <v>49</v>
      </c>
      <c r="E310" s="1" t="s">
        <v>41</v>
      </c>
      <c r="F310">
        <v>598</v>
      </c>
      <c r="G310" s="1" t="s">
        <v>42</v>
      </c>
      <c r="H310">
        <v>9</v>
      </c>
      <c r="I310">
        <v>3</v>
      </c>
      <c r="J310" s="1" t="s">
        <v>43</v>
      </c>
      <c r="K310">
        <v>1</v>
      </c>
      <c r="L310">
        <v>1558</v>
      </c>
      <c r="M310">
        <v>3</v>
      </c>
      <c r="N310" s="1" t="s">
        <v>44</v>
      </c>
      <c r="O310">
        <v>91</v>
      </c>
      <c r="P310">
        <v>4</v>
      </c>
      <c r="Q310">
        <v>1</v>
      </c>
      <c r="R310" s="1" t="s">
        <v>60</v>
      </c>
      <c r="S310">
        <v>3</v>
      </c>
      <c r="T310" s="1" t="s">
        <v>105</v>
      </c>
      <c r="U310">
        <v>2451</v>
      </c>
      <c r="V310" s="1" t="s">
        <v>47</v>
      </c>
      <c r="W310">
        <v>22376</v>
      </c>
      <c r="X310">
        <v>6</v>
      </c>
      <c r="Y310" s="1" t="s">
        <v>48</v>
      </c>
      <c r="Z310" s="1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8">
      <c r="A311" s="1" t="s">
        <v>378</v>
      </c>
      <c r="B311">
        <v>29</v>
      </c>
      <c r="C311" s="1" t="s">
        <v>190</v>
      </c>
      <c r="D311" s="1" t="s">
        <v>49</v>
      </c>
      <c r="E311" s="1" t="s">
        <v>41</v>
      </c>
      <c r="F311">
        <v>1370</v>
      </c>
      <c r="G311" s="1" t="s">
        <v>42</v>
      </c>
      <c r="H311">
        <v>3</v>
      </c>
      <c r="I311">
        <v>1</v>
      </c>
      <c r="J311" s="1" t="s">
        <v>52</v>
      </c>
      <c r="K311">
        <v>1</v>
      </c>
      <c r="L311">
        <v>1586</v>
      </c>
      <c r="M311">
        <v>2</v>
      </c>
      <c r="N311" s="1" t="s">
        <v>44</v>
      </c>
      <c r="O311">
        <v>87</v>
      </c>
      <c r="P311">
        <v>3</v>
      </c>
      <c r="Q311">
        <v>1</v>
      </c>
      <c r="R311" s="1" t="s">
        <v>45</v>
      </c>
      <c r="S311">
        <v>1</v>
      </c>
      <c r="T311" s="1" t="s">
        <v>46</v>
      </c>
      <c r="U311">
        <v>4723</v>
      </c>
      <c r="V311" s="1" t="s">
        <v>47</v>
      </c>
      <c r="W311">
        <v>16213</v>
      </c>
      <c r="X311">
        <v>1</v>
      </c>
      <c r="Y311" s="1" t="s">
        <v>48</v>
      </c>
      <c r="Z311" s="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8">
      <c r="A312" s="1" t="s">
        <v>379</v>
      </c>
      <c r="B312">
        <v>29</v>
      </c>
      <c r="C312" s="1" t="s">
        <v>190</v>
      </c>
      <c r="D312" s="1" t="s">
        <v>49</v>
      </c>
      <c r="E312" s="1" t="s">
        <v>56</v>
      </c>
      <c r="F312">
        <v>995</v>
      </c>
      <c r="G312" s="1" t="s">
        <v>42</v>
      </c>
      <c r="H312">
        <v>2</v>
      </c>
      <c r="I312">
        <v>1</v>
      </c>
      <c r="J312" s="1" t="s">
        <v>43</v>
      </c>
      <c r="K312">
        <v>1</v>
      </c>
      <c r="L312">
        <v>1590</v>
      </c>
      <c r="M312">
        <v>1</v>
      </c>
      <c r="N312" s="1" t="s">
        <v>44</v>
      </c>
      <c r="O312">
        <v>87</v>
      </c>
      <c r="P312">
        <v>3</v>
      </c>
      <c r="Q312">
        <v>2</v>
      </c>
      <c r="R312" s="1" t="s">
        <v>161</v>
      </c>
      <c r="S312">
        <v>4</v>
      </c>
      <c r="T312" s="1" t="s">
        <v>102</v>
      </c>
      <c r="U312">
        <v>8853</v>
      </c>
      <c r="V312" s="1" t="s">
        <v>163</v>
      </c>
      <c r="W312">
        <v>24483</v>
      </c>
      <c r="X312">
        <v>1</v>
      </c>
      <c r="Y312" s="1" t="s">
        <v>48</v>
      </c>
      <c r="Z312" s="1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8">
      <c r="A313" s="1" t="s">
        <v>380</v>
      </c>
      <c r="B313">
        <v>29</v>
      </c>
      <c r="C313" s="1" t="s">
        <v>190</v>
      </c>
      <c r="D313" s="1" t="s">
        <v>49</v>
      </c>
      <c r="E313" s="1" t="s">
        <v>41</v>
      </c>
      <c r="F313">
        <v>469</v>
      </c>
      <c r="G313" s="1" t="s">
        <v>51</v>
      </c>
      <c r="H313">
        <v>10</v>
      </c>
      <c r="I313">
        <v>3</v>
      </c>
      <c r="J313" s="1" t="s">
        <v>52</v>
      </c>
      <c r="K313">
        <v>1</v>
      </c>
      <c r="L313">
        <v>1650</v>
      </c>
      <c r="M313">
        <v>3</v>
      </c>
      <c r="N313" s="1" t="s">
        <v>44</v>
      </c>
      <c r="O313">
        <v>42</v>
      </c>
      <c r="P313">
        <v>2</v>
      </c>
      <c r="Q313">
        <v>2</v>
      </c>
      <c r="R313" s="1" t="s">
        <v>137</v>
      </c>
      <c r="S313">
        <v>3</v>
      </c>
      <c r="T313" s="1" t="s">
        <v>46</v>
      </c>
      <c r="U313">
        <v>5869</v>
      </c>
      <c r="V313" s="1" t="s">
        <v>163</v>
      </c>
      <c r="W313">
        <v>23413</v>
      </c>
      <c r="X313">
        <v>9</v>
      </c>
      <c r="Y313" s="1" t="s">
        <v>48</v>
      </c>
      <c r="Z313" s="1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8">
      <c r="A314" s="1" t="s">
        <v>381</v>
      </c>
      <c r="B314">
        <v>29</v>
      </c>
      <c r="C314" s="1" t="s">
        <v>190</v>
      </c>
      <c r="D314" s="1" t="s">
        <v>49</v>
      </c>
      <c r="E314" s="1" t="s">
        <v>41</v>
      </c>
      <c r="F314">
        <v>991</v>
      </c>
      <c r="G314" s="1" t="s">
        <v>51</v>
      </c>
      <c r="H314">
        <v>5</v>
      </c>
      <c r="I314">
        <v>3</v>
      </c>
      <c r="J314" s="1" t="s">
        <v>52</v>
      </c>
      <c r="K314">
        <v>1</v>
      </c>
      <c r="L314">
        <v>1669</v>
      </c>
      <c r="M314">
        <v>1</v>
      </c>
      <c r="N314" s="1" t="s">
        <v>44</v>
      </c>
      <c r="O314">
        <v>43</v>
      </c>
      <c r="P314">
        <v>2</v>
      </c>
      <c r="Q314">
        <v>2</v>
      </c>
      <c r="R314" s="1" t="s">
        <v>137</v>
      </c>
      <c r="S314">
        <v>2</v>
      </c>
      <c r="T314" s="1" t="s">
        <v>102</v>
      </c>
      <c r="U314">
        <v>4187</v>
      </c>
      <c r="V314" s="1" t="s">
        <v>47</v>
      </c>
      <c r="W314">
        <v>3356</v>
      </c>
      <c r="X314">
        <v>1</v>
      </c>
      <c r="Y314" s="1" t="s">
        <v>48</v>
      </c>
      <c r="Z314" s="1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8">
      <c r="A315" s="1" t="s">
        <v>382</v>
      </c>
      <c r="B315">
        <v>29</v>
      </c>
      <c r="C315" s="1" t="s">
        <v>190</v>
      </c>
      <c r="D315" s="1" t="s">
        <v>49</v>
      </c>
      <c r="E315" s="1" t="s">
        <v>41</v>
      </c>
      <c r="F315">
        <v>1082</v>
      </c>
      <c r="G315" s="1" t="s">
        <v>42</v>
      </c>
      <c r="H315">
        <v>9</v>
      </c>
      <c r="I315">
        <v>4</v>
      </c>
      <c r="J315" s="1" t="s">
        <v>52</v>
      </c>
      <c r="K315">
        <v>1</v>
      </c>
      <c r="L315">
        <v>1709</v>
      </c>
      <c r="M315">
        <v>4</v>
      </c>
      <c r="N315" s="1" t="s">
        <v>53</v>
      </c>
      <c r="O315">
        <v>43</v>
      </c>
      <c r="P315">
        <v>3</v>
      </c>
      <c r="Q315">
        <v>1</v>
      </c>
      <c r="R315" s="1" t="s">
        <v>45</v>
      </c>
      <c r="S315">
        <v>3</v>
      </c>
      <c r="T315" s="1" t="s">
        <v>105</v>
      </c>
      <c r="U315">
        <v>2974</v>
      </c>
      <c r="V315" s="1" t="s">
        <v>47</v>
      </c>
      <c r="W315">
        <v>25412</v>
      </c>
      <c r="X315">
        <v>9</v>
      </c>
      <c r="Y315" s="1" t="s">
        <v>48</v>
      </c>
      <c r="Z315" s="1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8">
      <c r="A316" s="1" t="s">
        <v>383</v>
      </c>
      <c r="B316">
        <v>29</v>
      </c>
      <c r="C316" s="1" t="s">
        <v>190</v>
      </c>
      <c r="D316" s="1" t="s">
        <v>40</v>
      </c>
      <c r="E316" s="1" t="s">
        <v>41</v>
      </c>
      <c r="F316">
        <v>428</v>
      </c>
      <c r="G316" s="1" t="s">
        <v>51</v>
      </c>
      <c r="H316">
        <v>9</v>
      </c>
      <c r="I316">
        <v>3</v>
      </c>
      <c r="J316" s="1" t="s">
        <v>57</v>
      </c>
      <c r="K316">
        <v>1</v>
      </c>
      <c r="L316">
        <v>1752</v>
      </c>
      <c r="M316">
        <v>2</v>
      </c>
      <c r="N316" s="1" t="s">
        <v>53</v>
      </c>
      <c r="O316">
        <v>52</v>
      </c>
      <c r="P316">
        <v>1</v>
      </c>
      <c r="Q316">
        <v>1</v>
      </c>
      <c r="R316" s="1" t="s">
        <v>54</v>
      </c>
      <c r="S316">
        <v>2</v>
      </c>
      <c r="T316" s="1" t="s">
        <v>46</v>
      </c>
      <c r="U316">
        <v>2760</v>
      </c>
      <c r="V316" s="1" t="s">
        <v>47</v>
      </c>
      <c r="W316">
        <v>14630</v>
      </c>
      <c r="X316">
        <v>1</v>
      </c>
      <c r="Y316" s="1" t="s">
        <v>48</v>
      </c>
      <c r="Z316" s="1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8">
      <c r="A317" s="1" t="s">
        <v>384</v>
      </c>
      <c r="B317">
        <v>29</v>
      </c>
      <c r="C317" s="1" t="s">
        <v>190</v>
      </c>
      <c r="D317" s="1" t="s">
        <v>49</v>
      </c>
      <c r="E317" s="1" t="s">
        <v>56</v>
      </c>
      <c r="F317">
        <v>461</v>
      </c>
      <c r="G317" s="1" t="s">
        <v>42</v>
      </c>
      <c r="H317">
        <v>1</v>
      </c>
      <c r="I317">
        <v>3</v>
      </c>
      <c r="J317" s="1" t="s">
        <v>43</v>
      </c>
      <c r="K317">
        <v>1</v>
      </c>
      <c r="L317">
        <v>1753</v>
      </c>
      <c r="M317">
        <v>4</v>
      </c>
      <c r="N317" s="1" t="s">
        <v>44</v>
      </c>
      <c r="O317">
        <v>70</v>
      </c>
      <c r="P317">
        <v>4</v>
      </c>
      <c r="Q317">
        <v>2</v>
      </c>
      <c r="R317" s="1" t="s">
        <v>161</v>
      </c>
      <c r="S317">
        <v>3</v>
      </c>
      <c r="T317" s="1" t="s">
        <v>46</v>
      </c>
      <c r="U317">
        <v>6294</v>
      </c>
      <c r="V317" s="1" t="s">
        <v>163</v>
      </c>
      <c r="W317">
        <v>23060</v>
      </c>
      <c r="X317">
        <v>8</v>
      </c>
      <c r="Y317" s="1" t="s">
        <v>48</v>
      </c>
      <c r="Z317" s="1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8">
      <c r="A318" s="1" t="s">
        <v>385</v>
      </c>
      <c r="B318">
        <v>29</v>
      </c>
      <c r="C318" s="1" t="s">
        <v>190</v>
      </c>
      <c r="D318" s="1" t="s">
        <v>49</v>
      </c>
      <c r="E318" s="1" t="s">
        <v>41</v>
      </c>
      <c r="F318">
        <v>590</v>
      </c>
      <c r="G318" s="1" t="s">
        <v>42</v>
      </c>
      <c r="H318">
        <v>4</v>
      </c>
      <c r="I318">
        <v>3</v>
      </c>
      <c r="J318" s="1" t="s">
        <v>68</v>
      </c>
      <c r="K318">
        <v>1</v>
      </c>
      <c r="L318">
        <v>1762</v>
      </c>
      <c r="M318">
        <v>4</v>
      </c>
      <c r="N318" s="1" t="s">
        <v>53</v>
      </c>
      <c r="O318">
        <v>91</v>
      </c>
      <c r="P318">
        <v>2</v>
      </c>
      <c r="Q318">
        <v>1</v>
      </c>
      <c r="R318" s="1" t="s">
        <v>60</v>
      </c>
      <c r="S318">
        <v>1</v>
      </c>
      <c r="T318" s="1" t="s">
        <v>102</v>
      </c>
      <c r="U318">
        <v>2109</v>
      </c>
      <c r="V318" s="1" t="s">
        <v>47</v>
      </c>
      <c r="W318">
        <v>10007</v>
      </c>
      <c r="X318">
        <v>1</v>
      </c>
      <c r="Y318" s="1" t="s">
        <v>48</v>
      </c>
      <c r="Z318" s="1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8">
      <c r="A319" s="1" t="s">
        <v>386</v>
      </c>
      <c r="B319">
        <v>29</v>
      </c>
      <c r="C319" s="1" t="s">
        <v>190</v>
      </c>
      <c r="D319" s="1" t="s">
        <v>40</v>
      </c>
      <c r="E319" s="1" t="s">
        <v>41</v>
      </c>
      <c r="F319">
        <v>350</v>
      </c>
      <c r="G319" s="1" t="s">
        <v>71</v>
      </c>
      <c r="H319">
        <v>13</v>
      </c>
      <c r="I319">
        <v>3</v>
      </c>
      <c r="J319" s="1" t="s">
        <v>71</v>
      </c>
      <c r="K319">
        <v>1</v>
      </c>
      <c r="L319">
        <v>1844</v>
      </c>
      <c r="M319">
        <v>1</v>
      </c>
      <c r="N319" s="1" t="s">
        <v>44</v>
      </c>
      <c r="O319">
        <v>56</v>
      </c>
      <c r="P319">
        <v>2</v>
      </c>
      <c r="Q319">
        <v>1</v>
      </c>
      <c r="R319" s="1" t="s">
        <v>71</v>
      </c>
      <c r="S319">
        <v>1</v>
      </c>
      <c r="T319" s="1" t="s">
        <v>102</v>
      </c>
      <c r="U319">
        <v>2335</v>
      </c>
      <c r="V319" s="1" t="s">
        <v>47</v>
      </c>
      <c r="W319">
        <v>3157</v>
      </c>
      <c r="X319">
        <v>4</v>
      </c>
      <c r="Y319" s="1" t="s">
        <v>48</v>
      </c>
      <c r="Z319" s="1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8">
      <c r="A320" s="1" t="s">
        <v>387</v>
      </c>
      <c r="B320">
        <v>29</v>
      </c>
      <c r="C320" s="1" t="s">
        <v>190</v>
      </c>
      <c r="D320" s="1" t="s">
        <v>49</v>
      </c>
      <c r="E320" s="1" t="s">
        <v>56</v>
      </c>
      <c r="F320">
        <v>574</v>
      </c>
      <c r="G320" s="1" t="s">
        <v>42</v>
      </c>
      <c r="H320">
        <v>20</v>
      </c>
      <c r="I320">
        <v>1</v>
      </c>
      <c r="J320" s="1" t="s">
        <v>52</v>
      </c>
      <c r="K320">
        <v>1</v>
      </c>
      <c r="L320">
        <v>1852</v>
      </c>
      <c r="M320">
        <v>4</v>
      </c>
      <c r="N320" s="1" t="s">
        <v>44</v>
      </c>
      <c r="O320">
        <v>40</v>
      </c>
      <c r="P320">
        <v>3</v>
      </c>
      <c r="Q320">
        <v>1</v>
      </c>
      <c r="R320" s="1" t="s">
        <v>45</v>
      </c>
      <c r="S320">
        <v>4</v>
      </c>
      <c r="T320" s="1" t="s">
        <v>105</v>
      </c>
      <c r="U320">
        <v>3812</v>
      </c>
      <c r="V320" s="1" t="s">
        <v>47</v>
      </c>
      <c r="W320">
        <v>7003</v>
      </c>
      <c r="X320">
        <v>1</v>
      </c>
      <c r="Y320" s="1" t="s">
        <v>48</v>
      </c>
      <c r="Z320" s="1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8">
      <c r="A321" s="1" t="s">
        <v>388</v>
      </c>
      <c r="B321">
        <v>29</v>
      </c>
      <c r="C321" s="1" t="s">
        <v>190</v>
      </c>
      <c r="D321" s="1" t="s">
        <v>49</v>
      </c>
      <c r="E321" s="1" t="s">
        <v>41</v>
      </c>
      <c r="F321">
        <v>726</v>
      </c>
      <c r="G321" s="1" t="s">
        <v>42</v>
      </c>
      <c r="H321">
        <v>29</v>
      </c>
      <c r="I321">
        <v>1</v>
      </c>
      <c r="J321" s="1" t="s">
        <v>43</v>
      </c>
      <c r="K321">
        <v>1</v>
      </c>
      <c r="L321">
        <v>1859</v>
      </c>
      <c r="M321">
        <v>4</v>
      </c>
      <c r="N321" s="1" t="s">
        <v>44</v>
      </c>
      <c r="O321">
        <v>93</v>
      </c>
      <c r="P321">
        <v>1</v>
      </c>
      <c r="Q321">
        <v>2</v>
      </c>
      <c r="R321" s="1" t="s">
        <v>161</v>
      </c>
      <c r="S321">
        <v>3</v>
      </c>
      <c r="T321" s="1" t="s">
        <v>102</v>
      </c>
      <c r="U321">
        <v>6384</v>
      </c>
      <c r="V321" s="1" t="s">
        <v>163</v>
      </c>
      <c r="W321">
        <v>21143</v>
      </c>
      <c r="X321">
        <v>8</v>
      </c>
      <c r="Y321" s="1" t="s">
        <v>48</v>
      </c>
      <c r="Z321" s="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8">
      <c r="A322" s="1" t="s">
        <v>389</v>
      </c>
      <c r="B322">
        <v>29</v>
      </c>
      <c r="C322" s="1" t="s">
        <v>190</v>
      </c>
      <c r="D322" s="1" t="s">
        <v>49</v>
      </c>
      <c r="E322" s="1" t="s">
        <v>276</v>
      </c>
      <c r="F322">
        <v>352</v>
      </c>
      <c r="G322" s="1" t="s">
        <v>71</v>
      </c>
      <c r="H322">
        <v>6</v>
      </c>
      <c r="I322">
        <v>1</v>
      </c>
      <c r="J322" s="1" t="s">
        <v>52</v>
      </c>
      <c r="K322">
        <v>1</v>
      </c>
      <c r="L322">
        <v>1865</v>
      </c>
      <c r="M322">
        <v>4</v>
      </c>
      <c r="N322" s="1" t="s">
        <v>44</v>
      </c>
      <c r="O322">
        <v>87</v>
      </c>
      <c r="P322">
        <v>2</v>
      </c>
      <c r="Q322">
        <v>1</v>
      </c>
      <c r="R322" s="1" t="s">
        <v>71</v>
      </c>
      <c r="S322">
        <v>2</v>
      </c>
      <c r="T322" s="1" t="s">
        <v>105</v>
      </c>
      <c r="U322">
        <v>2804</v>
      </c>
      <c r="V322" s="1" t="s">
        <v>47</v>
      </c>
      <c r="W322">
        <v>15434</v>
      </c>
      <c r="X322">
        <v>1</v>
      </c>
      <c r="Y322" s="1" t="s">
        <v>48</v>
      </c>
      <c r="Z322" s="1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8">
      <c r="A323" s="1" t="s">
        <v>390</v>
      </c>
      <c r="B323">
        <v>29</v>
      </c>
      <c r="C323" s="1" t="s">
        <v>190</v>
      </c>
      <c r="D323" s="1" t="s">
        <v>40</v>
      </c>
      <c r="E323" s="1" t="s">
        <v>56</v>
      </c>
      <c r="F323">
        <v>459</v>
      </c>
      <c r="G323" s="1" t="s">
        <v>42</v>
      </c>
      <c r="H323">
        <v>24</v>
      </c>
      <c r="I323">
        <v>2</v>
      </c>
      <c r="J323" s="1" t="s">
        <v>43</v>
      </c>
      <c r="K323">
        <v>1</v>
      </c>
      <c r="L323">
        <v>1868</v>
      </c>
      <c r="M323">
        <v>4</v>
      </c>
      <c r="N323" s="1" t="s">
        <v>44</v>
      </c>
      <c r="O323">
        <v>73</v>
      </c>
      <c r="P323">
        <v>2</v>
      </c>
      <c r="Q323">
        <v>1</v>
      </c>
      <c r="R323" s="1" t="s">
        <v>60</v>
      </c>
      <c r="S323">
        <v>4</v>
      </c>
      <c r="T323" s="1" t="s">
        <v>46</v>
      </c>
      <c r="U323">
        <v>2439</v>
      </c>
      <c r="V323" s="1" t="s">
        <v>47</v>
      </c>
      <c r="W323">
        <v>14753</v>
      </c>
      <c r="X323">
        <v>1</v>
      </c>
      <c r="Y323" s="1" t="s">
        <v>48</v>
      </c>
      <c r="Z323" s="1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8">
      <c r="A324" s="1" t="s">
        <v>391</v>
      </c>
      <c r="B324">
        <v>29</v>
      </c>
      <c r="C324" s="1" t="s">
        <v>190</v>
      </c>
      <c r="D324" s="1" t="s">
        <v>49</v>
      </c>
      <c r="E324" s="1" t="s">
        <v>41</v>
      </c>
      <c r="F324">
        <v>592</v>
      </c>
      <c r="G324" s="1" t="s">
        <v>42</v>
      </c>
      <c r="H324">
        <v>7</v>
      </c>
      <c r="I324">
        <v>3</v>
      </c>
      <c r="J324" s="1" t="s">
        <v>43</v>
      </c>
      <c r="K324">
        <v>1</v>
      </c>
      <c r="L324">
        <v>1883</v>
      </c>
      <c r="M324">
        <v>4</v>
      </c>
      <c r="N324" s="1" t="s">
        <v>44</v>
      </c>
      <c r="O324">
        <v>59</v>
      </c>
      <c r="P324">
        <v>3</v>
      </c>
      <c r="Q324">
        <v>1</v>
      </c>
      <c r="R324" s="1" t="s">
        <v>45</v>
      </c>
      <c r="S324">
        <v>1</v>
      </c>
      <c r="T324" s="1" t="s">
        <v>46</v>
      </c>
      <c r="U324">
        <v>2062</v>
      </c>
      <c r="V324" s="1" t="s">
        <v>47</v>
      </c>
      <c r="W324">
        <v>19384</v>
      </c>
      <c r="X324">
        <v>3</v>
      </c>
      <c r="Y324" s="1" t="s">
        <v>48</v>
      </c>
      <c r="Z324" s="1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8">
      <c r="A325" s="1" t="s">
        <v>392</v>
      </c>
      <c r="B325">
        <v>29</v>
      </c>
      <c r="C325" s="1" t="s">
        <v>190</v>
      </c>
      <c r="D325" s="1" t="s">
        <v>40</v>
      </c>
      <c r="E325" s="1" t="s">
        <v>56</v>
      </c>
      <c r="F325">
        <v>746</v>
      </c>
      <c r="G325" s="1" t="s">
        <v>51</v>
      </c>
      <c r="H325">
        <v>24</v>
      </c>
      <c r="I325">
        <v>3</v>
      </c>
      <c r="J325" s="1" t="s">
        <v>68</v>
      </c>
      <c r="K325">
        <v>1</v>
      </c>
      <c r="L325">
        <v>1928</v>
      </c>
      <c r="M325">
        <v>3</v>
      </c>
      <c r="N325" s="1" t="s">
        <v>44</v>
      </c>
      <c r="O325">
        <v>45</v>
      </c>
      <c r="P325">
        <v>4</v>
      </c>
      <c r="Q325">
        <v>1</v>
      </c>
      <c r="R325" s="1" t="s">
        <v>54</v>
      </c>
      <c r="S325">
        <v>1</v>
      </c>
      <c r="T325" s="1" t="s">
        <v>46</v>
      </c>
      <c r="U325">
        <v>1091</v>
      </c>
      <c r="V325" s="1" t="s">
        <v>47</v>
      </c>
      <c r="W325">
        <v>10642</v>
      </c>
      <c r="X325">
        <v>1</v>
      </c>
      <c r="Y325" s="1" t="s">
        <v>48</v>
      </c>
      <c r="Z325" s="1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8">
      <c r="A326" s="1" t="s">
        <v>393</v>
      </c>
      <c r="B326">
        <v>29</v>
      </c>
      <c r="C326" s="1" t="s">
        <v>190</v>
      </c>
      <c r="D326" s="1" t="s">
        <v>49</v>
      </c>
      <c r="E326" s="1" t="s">
        <v>41</v>
      </c>
      <c r="F326">
        <v>136</v>
      </c>
      <c r="G326" s="1" t="s">
        <v>42</v>
      </c>
      <c r="H326">
        <v>1</v>
      </c>
      <c r="I326">
        <v>3</v>
      </c>
      <c r="J326" s="1" t="s">
        <v>43</v>
      </c>
      <c r="K326">
        <v>1</v>
      </c>
      <c r="L326">
        <v>1954</v>
      </c>
      <c r="M326">
        <v>1</v>
      </c>
      <c r="N326" s="1" t="s">
        <v>44</v>
      </c>
      <c r="O326">
        <v>89</v>
      </c>
      <c r="P326">
        <v>3</v>
      </c>
      <c r="Q326">
        <v>2</v>
      </c>
      <c r="R326" s="1" t="s">
        <v>161</v>
      </c>
      <c r="S326">
        <v>1</v>
      </c>
      <c r="T326" s="1" t="s">
        <v>105</v>
      </c>
      <c r="U326">
        <v>5373</v>
      </c>
      <c r="V326" s="1" t="s">
        <v>163</v>
      </c>
      <c r="W326">
        <v>6225</v>
      </c>
      <c r="X326">
        <v>0</v>
      </c>
      <c r="Y326" s="1" t="s">
        <v>48</v>
      </c>
      <c r="Z326" s="1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8">
      <c r="A327" s="1" t="s">
        <v>394</v>
      </c>
      <c r="B327">
        <v>29</v>
      </c>
      <c r="C327" s="1" t="s">
        <v>190</v>
      </c>
      <c r="D327" s="1" t="s">
        <v>40</v>
      </c>
      <c r="E327" s="1" t="s">
        <v>41</v>
      </c>
      <c r="F327">
        <v>1092</v>
      </c>
      <c r="G327" s="1" t="s">
        <v>42</v>
      </c>
      <c r="H327">
        <v>1</v>
      </c>
      <c r="I327">
        <v>4</v>
      </c>
      <c r="J327" s="1" t="s">
        <v>52</v>
      </c>
      <c r="K327">
        <v>1</v>
      </c>
      <c r="L327">
        <v>2027</v>
      </c>
      <c r="M327">
        <v>1</v>
      </c>
      <c r="N327" s="1" t="s">
        <v>44</v>
      </c>
      <c r="O327">
        <v>36</v>
      </c>
      <c r="P327">
        <v>3</v>
      </c>
      <c r="Q327">
        <v>1</v>
      </c>
      <c r="R327" s="1" t="s">
        <v>60</v>
      </c>
      <c r="S327">
        <v>4</v>
      </c>
      <c r="T327" s="1" t="s">
        <v>105</v>
      </c>
      <c r="U327">
        <v>4787</v>
      </c>
      <c r="V327" s="1" t="s">
        <v>47</v>
      </c>
      <c r="W327">
        <v>26124</v>
      </c>
      <c r="X327">
        <v>9</v>
      </c>
      <c r="Y327" s="1" t="s">
        <v>48</v>
      </c>
      <c r="Z327" s="1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8">
      <c r="A328" s="1" t="s">
        <v>395</v>
      </c>
      <c r="B328">
        <v>29</v>
      </c>
      <c r="C328" s="1" t="s">
        <v>190</v>
      </c>
      <c r="D328" s="1" t="s">
        <v>49</v>
      </c>
      <c r="E328" s="1" t="s">
        <v>41</v>
      </c>
      <c r="F328">
        <v>1378</v>
      </c>
      <c r="G328" s="1" t="s">
        <v>42</v>
      </c>
      <c r="H328">
        <v>13</v>
      </c>
      <c r="I328">
        <v>2</v>
      </c>
      <c r="J328" s="1" t="s">
        <v>73</v>
      </c>
      <c r="K328">
        <v>1</v>
      </c>
      <c r="L328">
        <v>2053</v>
      </c>
      <c r="M328">
        <v>4</v>
      </c>
      <c r="N328" s="1" t="s">
        <v>44</v>
      </c>
      <c r="O328">
        <v>46</v>
      </c>
      <c r="P328">
        <v>2</v>
      </c>
      <c r="Q328">
        <v>2</v>
      </c>
      <c r="R328" s="1" t="s">
        <v>45</v>
      </c>
      <c r="S328">
        <v>2</v>
      </c>
      <c r="T328" s="1" t="s">
        <v>105</v>
      </c>
      <c r="U328">
        <v>4025</v>
      </c>
      <c r="V328" s="1" t="s">
        <v>47</v>
      </c>
      <c r="W328">
        <v>23679</v>
      </c>
      <c r="X328">
        <v>4</v>
      </c>
      <c r="Y328" s="1" t="s">
        <v>48</v>
      </c>
      <c r="Z328" s="1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8">
      <c r="A329" s="1" t="s">
        <v>396</v>
      </c>
      <c r="B329">
        <v>29</v>
      </c>
      <c r="C329" s="1" t="s">
        <v>190</v>
      </c>
      <c r="D329" s="1" t="s">
        <v>49</v>
      </c>
      <c r="E329" s="1" t="s">
        <v>41</v>
      </c>
      <c r="F329">
        <v>468</v>
      </c>
      <c r="G329" s="1" t="s">
        <v>42</v>
      </c>
      <c r="H329">
        <v>28</v>
      </c>
      <c r="I329">
        <v>4</v>
      </c>
      <c r="J329" s="1" t="s">
        <v>52</v>
      </c>
      <c r="K329">
        <v>1</v>
      </c>
      <c r="L329">
        <v>2054</v>
      </c>
      <c r="M329">
        <v>4</v>
      </c>
      <c r="N329" s="1" t="s">
        <v>53</v>
      </c>
      <c r="O329">
        <v>73</v>
      </c>
      <c r="P329">
        <v>2</v>
      </c>
      <c r="Q329">
        <v>1</v>
      </c>
      <c r="R329" s="1" t="s">
        <v>60</v>
      </c>
      <c r="S329">
        <v>1</v>
      </c>
      <c r="T329" s="1" t="s">
        <v>46</v>
      </c>
      <c r="U329">
        <v>3785</v>
      </c>
      <c r="V329" s="1" t="s">
        <v>47</v>
      </c>
      <c r="W329">
        <v>8489</v>
      </c>
      <c r="X329">
        <v>1</v>
      </c>
      <c r="Y329" s="1" t="s">
        <v>48</v>
      </c>
      <c r="Z329" s="1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8">
      <c r="A330" s="1" t="s">
        <v>396</v>
      </c>
      <c r="B330">
        <v>29</v>
      </c>
      <c r="C330" s="1" t="s">
        <v>190</v>
      </c>
      <c r="D330" s="1" t="s">
        <v>49</v>
      </c>
      <c r="E330" s="1" t="s">
        <v>41</v>
      </c>
      <c r="F330">
        <v>468</v>
      </c>
      <c r="G330" s="1" t="s">
        <v>42</v>
      </c>
      <c r="H330">
        <v>28</v>
      </c>
      <c r="I330">
        <v>4</v>
      </c>
      <c r="J330" s="1" t="s">
        <v>52</v>
      </c>
      <c r="K330">
        <v>1</v>
      </c>
      <c r="L330">
        <v>2054</v>
      </c>
      <c r="M330">
        <v>4</v>
      </c>
      <c r="N330" s="1" t="s">
        <v>53</v>
      </c>
      <c r="O330">
        <v>73</v>
      </c>
      <c r="P330">
        <v>2</v>
      </c>
      <c r="Q330">
        <v>1</v>
      </c>
      <c r="R330" s="1" t="s">
        <v>60</v>
      </c>
      <c r="S330">
        <v>1</v>
      </c>
      <c r="T330" s="1" t="s">
        <v>46</v>
      </c>
      <c r="U330">
        <v>3785</v>
      </c>
      <c r="V330" s="1" t="s">
        <v>47</v>
      </c>
      <c r="W330">
        <v>8489</v>
      </c>
      <c r="X330">
        <v>1</v>
      </c>
      <c r="Y330" s="1" t="s">
        <v>48</v>
      </c>
      <c r="Z330" s="1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8">
      <c r="A331" s="1" t="s">
        <v>397</v>
      </c>
      <c r="B331">
        <v>30</v>
      </c>
      <c r="C331" s="1" t="s">
        <v>190</v>
      </c>
      <c r="D331" s="1" t="s">
        <v>49</v>
      </c>
      <c r="E331" s="1" t="s">
        <v>41</v>
      </c>
      <c r="F331">
        <v>1358</v>
      </c>
      <c r="G331" s="1" t="s">
        <v>42</v>
      </c>
      <c r="H331">
        <v>24</v>
      </c>
      <c r="I331">
        <v>1</v>
      </c>
      <c r="J331" s="1" t="s">
        <v>43</v>
      </c>
      <c r="K331">
        <v>1</v>
      </c>
      <c r="L331">
        <v>11</v>
      </c>
      <c r="M331">
        <v>4</v>
      </c>
      <c r="N331" s="1" t="s">
        <v>44</v>
      </c>
      <c r="O331">
        <v>67</v>
      </c>
      <c r="P331">
        <v>3</v>
      </c>
      <c r="Q331">
        <v>1</v>
      </c>
      <c r="R331" s="1" t="s">
        <v>45</v>
      </c>
      <c r="S331">
        <v>3</v>
      </c>
      <c r="T331" s="1" t="s">
        <v>102</v>
      </c>
      <c r="U331">
        <v>2693</v>
      </c>
      <c r="V331" s="1" t="s">
        <v>47</v>
      </c>
      <c r="W331">
        <v>13335</v>
      </c>
      <c r="X331">
        <v>1</v>
      </c>
      <c r="Y331" s="1" t="s">
        <v>48</v>
      </c>
      <c r="Z331" s="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8">
      <c r="A332" s="1" t="s">
        <v>398</v>
      </c>
      <c r="B332">
        <v>30</v>
      </c>
      <c r="C332" s="1" t="s">
        <v>190</v>
      </c>
      <c r="D332" s="1" t="s">
        <v>49</v>
      </c>
      <c r="E332" s="1" t="s">
        <v>41</v>
      </c>
      <c r="F332">
        <v>125</v>
      </c>
      <c r="G332" s="1" t="s">
        <v>42</v>
      </c>
      <c r="H332">
        <v>9</v>
      </c>
      <c r="I332">
        <v>2</v>
      </c>
      <c r="J332" s="1" t="s">
        <v>52</v>
      </c>
      <c r="K332">
        <v>1</v>
      </c>
      <c r="L332">
        <v>41</v>
      </c>
      <c r="M332">
        <v>4</v>
      </c>
      <c r="N332" s="1" t="s">
        <v>44</v>
      </c>
      <c r="O332">
        <v>83</v>
      </c>
      <c r="P332">
        <v>2</v>
      </c>
      <c r="Q332">
        <v>1</v>
      </c>
      <c r="R332" s="1" t="s">
        <v>45</v>
      </c>
      <c r="S332">
        <v>3</v>
      </c>
      <c r="T332" s="1" t="s">
        <v>46</v>
      </c>
      <c r="U332">
        <v>2206</v>
      </c>
      <c r="V332" s="1" t="s">
        <v>47</v>
      </c>
      <c r="W332">
        <v>16117</v>
      </c>
      <c r="X332">
        <v>1</v>
      </c>
      <c r="Y332" s="1" t="s">
        <v>48</v>
      </c>
      <c r="Z332" s="1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8">
      <c r="A333" s="1" t="s">
        <v>399</v>
      </c>
      <c r="B333">
        <v>30</v>
      </c>
      <c r="C333" s="1" t="s">
        <v>190</v>
      </c>
      <c r="D333" s="1" t="s">
        <v>49</v>
      </c>
      <c r="E333" s="1" t="s">
        <v>56</v>
      </c>
      <c r="F333">
        <v>721</v>
      </c>
      <c r="G333" s="1" t="s">
        <v>42</v>
      </c>
      <c r="H333">
        <v>1</v>
      </c>
      <c r="I333">
        <v>2</v>
      </c>
      <c r="J333" s="1" t="s">
        <v>52</v>
      </c>
      <c r="K333">
        <v>1</v>
      </c>
      <c r="L333">
        <v>57</v>
      </c>
      <c r="M333">
        <v>3</v>
      </c>
      <c r="N333" s="1" t="s">
        <v>53</v>
      </c>
      <c r="O333">
        <v>58</v>
      </c>
      <c r="P333">
        <v>3</v>
      </c>
      <c r="Q333">
        <v>2</v>
      </c>
      <c r="R333" s="1" t="s">
        <v>45</v>
      </c>
      <c r="S333">
        <v>4</v>
      </c>
      <c r="T333" s="1" t="s">
        <v>46</v>
      </c>
      <c r="U333">
        <v>4011</v>
      </c>
      <c r="V333" s="1" t="s">
        <v>47</v>
      </c>
      <c r="W333">
        <v>10781</v>
      </c>
      <c r="X333">
        <v>1</v>
      </c>
      <c r="Y333" s="1" t="s">
        <v>48</v>
      </c>
      <c r="Z333" s="1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8">
      <c r="A334" s="1" t="s">
        <v>400</v>
      </c>
      <c r="B334">
        <v>30</v>
      </c>
      <c r="C334" s="1" t="s">
        <v>190</v>
      </c>
      <c r="D334" s="1" t="s">
        <v>49</v>
      </c>
      <c r="E334" s="1" t="s">
        <v>41</v>
      </c>
      <c r="F334">
        <v>852</v>
      </c>
      <c r="G334" s="1" t="s">
        <v>42</v>
      </c>
      <c r="H334">
        <v>1</v>
      </c>
      <c r="I334">
        <v>1</v>
      </c>
      <c r="J334" s="1" t="s">
        <v>43</v>
      </c>
      <c r="K334">
        <v>1</v>
      </c>
      <c r="L334">
        <v>104</v>
      </c>
      <c r="M334">
        <v>4</v>
      </c>
      <c r="N334" s="1" t="s">
        <v>44</v>
      </c>
      <c r="O334">
        <v>55</v>
      </c>
      <c r="P334">
        <v>2</v>
      </c>
      <c r="Q334">
        <v>2</v>
      </c>
      <c r="R334" s="1" t="s">
        <v>45</v>
      </c>
      <c r="S334">
        <v>4</v>
      </c>
      <c r="T334" s="1" t="s">
        <v>105</v>
      </c>
      <c r="U334">
        <v>5126</v>
      </c>
      <c r="V334" s="1" t="s">
        <v>163</v>
      </c>
      <c r="W334">
        <v>15998</v>
      </c>
      <c r="X334">
        <v>1</v>
      </c>
      <c r="Y334" s="1" t="s">
        <v>48</v>
      </c>
      <c r="Z334" s="1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8">
      <c r="A335" s="1" t="s">
        <v>401</v>
      </c>
      <c r="B335">
        <v>30</v>
      </c>
      <c r="C335" s="1" t="s">
        <v>190</v>
      </c>
      <c r="D335" s="1" t="s">
        <v>49</v>
      </c>
      <c r="E335" s="1" t="s">
        <v>41</v>
      </c>
      <c r="F335">
        <v>288</v>
      </c>
      <c r="G335" s="1" t="s">
        <v>42</v>
      </c>
      <c r="H335">
        <v>2</v>
      </c>
      <c r="I335">
        <v>3</v>
      </c>
      <c r="J335" s="1" t="s">
        <v>43</v>
      </c>
      <c r="K335">
        <v>1</v>
      </c>
      <c r="L335">
        <v>117</v>
      </c>
      <c r="M335">
        <v>3</v>
      </c>
      <c r="N335" s="1" t="s">
        <v>44</v>
      </c>
      <c r="O335">
        <v>99</v>
      </c>
      <c r="P335">
        <v>2</v>
      </c>
      <c r="Q335">
        <v>2</v>
      </c>
      <c r="R335" s="1" t="s">
        <v>161</v>
      </c>
      <c r="S335">
        <v>4</v>
      </c>
      <c r="T335" s="1" t="s">
        <v>105</v>
      </c>
      <c r="U335">
        <v>4152</v>
      </c>
      <c r="V335" s="1" t="s">
        <v>47</v>
      </c>
      <c r="W335">
        <v>15830</v>
      </c>
      <c r="X335">
        <v>1</v>
      </c>
      <c r="Y335" s="1" t="s">
        <v>48</v>
      </c>
      <c r="Z335" s="1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8">
      <c r="A336" s="1" t="s">
        <v>402</v>
      </c>
      <c r="B336">
        <v>30</v>
      </c>
      <c r="C336" s="1" t="s">
        <v>190</v>
      </c>
      <c r="D336" s="1" t="s">
        <v>49</v>
      </c>
      <c r="E336" s="1" t="s">
        <v>41</v>
      </c>
      <c r="F336">
        <v>1334</v>
      </c>
      <c r="G336" s="1" t="s">
        <v>51</v>
      </c>
      <c r="H336">
        <v>4</v>
      </c>
      <c r="I336">
        <v>2</v>
      </c>
      <c r="J336" s="1" t="s">
        <v>52</v>
      </c>
      <c r="K336">
        <v>1</v>
      </c>
      <c r="L336">
        <v>121</v>
      </c>
      <c r="M336">
        <v>3</v>
      </c>
      <c r="N336" s="1" t="s">
        <v>53</v>
      </c>
      <c r="O336">
        <v>63</v>
      </c>
      <c r="P336">
        <v>2</v>
      </c>
      <c r="Q336">
        <v>2</v>
      </c>
      <c r="R336" s="1" t="s">
        <v>137</v>
      </c>
      <c r="S336">
        <v>2</v>
      </c>
      <c r="T336" s="1" t="s">
        <v>102</v>
      </c>
      <c r="U336">
        <v>5209</v>
      </c>
      <c r="V336" s="1" t="s">
        <v>163</v>
      </c>
      <c r="W336">
        <v>19760</v>
      </c>
      <c r="X336">
        <v>1</v>
      </c>
      <c r="Y336" s="1" t="s">
        <v>48</v>
      </c>
      <c r="Z336" s="1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8">
      <c r="A337" s="1" t="s">
        <v>403</v>
      </c>
      <c r="B337">
        <v>30</v>
      </c>
      <c r="C337" s="1" t="s">
        <v>190</v>
      </c>
      <c r="D337" s="1" t="s">
        <v>49</v>
      </c>
      <c r="E337" s="1" t="s">
        <v>56</v>
      </c>
      <c r="F337">
        <v>1312</v>
      </c>
      <c r="G337" s="1" t="s">
        <v>42</v>
      </c>
      <c r="H337">
        <v>23</v>
      </c>
      <c r="I337">
        <v>3</v>
      </c>
      <c r="J337" s="1" t="s">
        <v>43</v>
      </c>
      <c r="K337">
        <v>1</v>
      </c>
      <c r="L337">
        <v>159</v>
      </c>
      <c r="M337">
        <v>1</v>
      </c>
      <c r="N337" s="1" t="s">
        <v>44</v>
      </c>
      <c r="O337">
        <v>96</v>
      </c>
      <c r="P337">
        <v>1</v>
      </c>
      <c r="Q337">
        <v>1</v>
      </c>
      <c r="R337" s="1" t="s">
        <v>60</v>
      </c>
      <c r="S337">
        <v>3</v>
      </c>
      <c r="T337" s="1" t="s">
        <v>102</v>
      </c>
      <c r="U337">
        <v>2613</v>
      </c>
      <c r="V337" s="1" t="s">
        <v>47</v>
      </c>
      <c r="W337">
        <v>22310</v>
      </c>
      <c r="X337">
        <v>1</v>
      </c>
      <c r="Y337" s="1" t="s">
        <v>48</v>
      </c>
      <c r="Z337" s="1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8">
      <c r="A338" s="1" t="s">
        <v>404</v>
      </c>
      <c r="B338">
        <v>30</v>
      </c>
      <c r="C338" s="1" t="s">
        <v>190</v>
      </c>
      <c r="D338" s="1" t="s">
        <v>49</v>
      </c>
      <c r="E338" s="1" t="s">
        <v>41</v>
      </c>
      <c r="F338">
        <v>1240</v>
      </c>
      <c r="G338" s="1" t="s">
        <v>71</v>
      </c>
      <c r="H338">
        <v>9</v>
      </c>
      <c r="I338">
        <v>3</v>
      </c>
      <c r="J338" s="1" t="s">
        <v>71</v>
      </c>
      <c r="K338">
        <v>1</v>
      </c>
      <c r="L338">
        <v>184</v>
      </c>
      <c r="M338">
        <v>3</v>
      </c>
      <c r="N338" s="1" t="s">
        <v>44</v>
      </c>
      <c r="O338">
        <v>48</v>
      </c>
      <c r="P338">
        <v>3</v>
      </c>
      <c r="Q338">
        <v>2</v>
      </c>
      <c r="R338" s="1" t="s">
        <v>71</v>
      </c>
      <c r="S338">
        <v>4</v>
      </c>
      <c r="T338" s="1" t="s">
        <v>105</v>
      </c>
      <c r="U338">
        <v>6347</v>
      </c>
      <c r="V338" s="1" t="s">
        <v>163</v>
      </c>
      <c r="W338">
        <v>13982</v>
      </c>
      <c r="X338">
        <v>0</v>
      </c>
      <c r="Y338" s="1" t="s">
        <v>48</v>
      </c>
      <c r="Z338" s="1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8">
      <c r="A339" s="1" t="s">
        <v>405</v>
      </c>
      <c r="B339">
        <v>30</v>
      </c>
      <c r="C339" s="1" t="s">
        <v>190</v>
      </c>
      <c r="D339" s="1" t="s">
        <v>49</v>
      </c>
      <c r="E339" s="1" t="s">
        <v>41</v>
      </c>
      <c r="F339">
        <v>438</v>
      </c>
      <c r="G339" s="1" t="s">
        <v>42</v>
      </c>
      <c r="H339">
        <v>18</v>
      </c>
      <c r="I339">
        <v>3</v>
      </c>
      <c r="J339" s="1" t="s">
        <v>43</v>
      </c>
      <c r="K339">
        <v>1</v>
      </c>
      <c r="L339">
        <v>194</v>
      </c>
      <c r="M339">
        <v>1</v>
      </c>
      <c r="N339" s="1" t="s">
        <v>53</v>
      </c>
      <c r="O339">
        <v>75</v>
      </c>
      <c r="P339">
        <v>3</v>
      </c>
      <c r="Q339">
        <v>1</v>
      </c>
      <c r="R339" s="1" t="s">
        <v>60</v>
      </c>
      <c r="S339">
        <v>3</v>
      </c>
      <c r="T339" s="1" t="s">
        <v>46</v>
      </c>
      <c r="U339">
        <v>2632</v>
      </c>
      <c r="V339" s="1" t="s">
        <v>47</v>
      </c>
      <c r="W339">
        <v>23910</v>
      </c>
      <c r="X339">
        <v>1</v>
      </c>
      <c r="Y339" s="1" t="s">
        <v>48</v>
      </c>
      <c r="Z339" s="1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8">
      <c r="A340" s="1" t="s">
        <v>406</v>
      </c>
      <c r="B340">
        <v>30</v>
      </c>
      <c r="C340" s="1" t="s">
        <v>190</v>
      </c>
      <c r="D340" s="1" t="s">
        <v>49</v>
      </c>
      <c r="E340" s="1" t="s">
        <v>41</v>
      </c>
      <c r="F340">
        <v>201</v>
      </c>
      <c r="G340" s="1" t="s">
        <v>42</v>
      </c>
      <c r="H340">
        <v>5</v>
      </c>
      <c r="I340">
        <v>3</v>
      </c>
      <c r="J340" s="1" t="s">
        <v>68</v>
      </c>
      <c r="K340">
        <v>1</v>
      </c>
      <c r="L340">
        <v>197</v>
      </c>
      <c r="M340">
        <v>4</v>
      </c>
      <c r="N340" s="1" t="s">
        <v>53</v>
      </c>
      <c r="O340">
        <v>84</v>
      </c>
      <c r="P340">
        <v>3</v>
      </c>
      <c r="Q340">
        <v>1</v>
      </c>
      <c r="R340" s="1" t="s">
        <v>60</v>
      </c>
      <c r="S340">
        <v>1</v>
      </c>
      <c r="T340" s="1" t="s">
        <v>102</v>
      </c>
      <c r="U340">
        <v>3204</v>
      </c>
      <c r="V340" s="1" t="s">
        <v>47</v>
      </c>
      <c r="W340">
        <v>10415</v>
      </c>
      <c r="X340">
        <v>5</v>
      </c>
      <c r="Y340" s="1" t="s">
        <v>48</v>
      </c>
      <c r="Z340" s="1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8">
      <c r="A341" s="1" t="s">
        <v>407</v>
      </c>
      <c r="B341">
        <v>30</v>
      </c>
      <c r="C341" s="1" t="s">
        <v>190</v>
      </c>
      <c r="D341" s="1" t="s">
        <v>49</v>
      </c>
      <c r="E341" s="1" t="s">
        <v>41</v>
      </c>
      <c r="F341">
        <v>1427</v>
      </c>
      <c r="G341" s="1" t="s">
        <v>42</v>
      </c>
      <c r="H341">
        <v>2</v>
      </c>
      <c r="I341">
        <v>1</v>
      </c>
      <c r="J341" s="1" t="s">
        <v>52</v>
      </c>
      <c r="K341">
        <v>1</v>
      </c>
      <c r="L341">
        <v>198</v>
      </c>
      <c r="M341">
        <v>2</v>
      </c>
      <c r="N341" s="1" t="s">
        <v>44</v>
      </c>
      <c r="O341">
        <v>35</v>
      </c>
      <c r="P341">
        <v>2</v>
      </c>
      <c r="Q341">
        <v>1</v>
      </c>
      <c r="R341" s="1" t="s">
        <v>45</v>
      </c>
      <c r="S341">
        <v>4</v>
      </c>
      <c r="T341" s="1" t="s">
        <v>46</v>
      </c>
      <c r="U341">
        <v>2720</v>
      </c>
      <c r="V341" s="1" t="s">
        <v>47</v>
      </c>
      <c r="W341">
        <v>11162</v>
      </c>
      <c r="X341">
        <v>0</v>
      </c>
      <c r="Y341" s="1" t="s">
        <v>48</v>
      </c>
      <c r="Z341" s="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8">
      <c r="A342" s="1" t="s">
        <v>408</v>
      </c>
      <c r="B342">
        <v>30</v>
      </c>
      <c r="C342" s="1" t="s">
        <v>190</v>
      </c>
      <c r="D342" s="1" t="s">
        <v>49</v>
      </c>
      <c r="E342" s="1" t="s">
        <v>41</v>
      </c>
      <c r="F342">
        <v>1339</v>
      </c>
      <c r="G342" s="1" t="s">
        <v>51</v>
      </c>
      <c r="H342">
        <v>5</v>
      </c>
      <c r="I342">
        <v>3</v>
      </c>
      <c r="J342" s="1" t="s">
        <v>43</v>
      </c>
      <c r="K342">
        <v>1</v>
      </c>
      <c r="L342">
        <v>228</v>
      </c>
      <c r="M342">
        <v>2</v>
      </c>
      <c r="N342" s="1" t="s">
        <v>53</v>
      </c>
      <c r="O342">
        <v>41</v>
      </c>
      <c r="P342">
        <v>3</v>
      </c>
      <c r="Q342">
        <v>3</v>
      </c>
      <c r="R342" s="1" t="s">
        <v>137</v>
      </c>
      <c r="S342">
        <v>4</v>
      </c>
      <c r="T342" s="1" t="s">
        <v>105</v>
      </c>
      <c r="U342">
        <v>9419</v>
      </c>
      <c r="V342" s="1" t="s">
        <v>163</v>
      </c>
      <c r="W342">
        <v>8053</v>
      </c>
      <c r="X342">
        <v>2</v>
      </c>
      <c r="Y342" s="1" t="s">
        <v>48</v>
      </c>
      <c r="Z342" s="1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8">
      <c r="A343" s="1" t="s">
        <v>409</v>
      </c>
      <c r="B343">
        <v>30</v>
      </c>
      <c r="C343" s="1" t="s">
        <v>190</v>
      </c>
      <c r="D343" s="1" t="s">
        <v>49</v>
      </c>
      <c r="E343" s="1" t="s">
        <v>59</v>
      </c>
      <c r="F343">
        <v>111</v>
      </c>
      <c r="G343" s="1" t="s">
        <v>42</v>
      </c>
      <c r="H343">
        <v>9</v>
      </c>
      <c r="I343">
        <v>3</v>
      </c>
      <c r="J343" s="1" t="s">
        <v>52</v>
      </c>
      <c r="K343">
        <v>1</v>
      </c>
      <c r="L343">
        <v>239</v>
      </c>
      <c r="M343">
        <v>3</v>
      </c>
      <c r="N343" s="1" t="s">
        <v>44</v>
      </c>
      <c r="O343">
        <v>66</v>
      </c>
      <c r="P343">
        <v>3</v>
      </c>
      <c r="Q343">
        <v>2</v>
      </c>
      <c r="R343" s="1" t="s">
        <v>45</v>
      </c>
      <c r="S343">
        <v>1</v>
      </c>
      <c r="T343" s="1" t="s">
        <v>102</v>
      </c>
      <c r="U343">
        <v>3072</v>
      </c>
      <c r="V343" s="1" t="s">
        <v>47</v>
      </c>
      <c r="W343">
        <v>11012</v>
      </c>
      <c r="X343">
        <v>1</v>
      </c>
      <c r="Y343" s="1" t="s">
        <v>48</v>
      </c>
      <c r="Z343" s="1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8">
      <c r="A344" s="1" t="s">
        <v>410</v>
      </c>
      <c r="B344">
        <v>30</v>
      </c>
      <c r="C344" s="1" t="s">
        <v>190</v>
      </c>
      <c r="D344" s="1" t="s">
        <v>49</v>
      </c>
      <c r="E344" s="1" t="s">
        <v>59</v>
      </c>
      <c r="F344">
        <v>829</v>
      </c>
      <c r="G344" s="1" t="s">
        <v>42</v>
      </c>
      <c r="H344">
        <v>1</v>
      </c>
      <c r="I344">
        <v>1</v>
      </c>
      <c r="J344" s="1" t="s">
        <v>43</v>
      </c>
      <c r="K344">
        <v>1</v>
      </c>
      <c r="L344">
        <v>292</v>
      </c>
      <c r="M344">
        <v>3</v>
      </c>
      <c r="N344" s="1" t="s">
        <v>44</v>
      </c>
      <c r="O344">
        <v>88</v>
      </c>
      <c r="P344">
        <v>2</v>
      </c>
      <c r="Q344">
        <v>3</v>
      </c>
      <c r="R344" s="1" t="s">
        <v>112</v>
      </c>
      <c r="S344">
        <v>3</v>
      </c>
      <c r="T344" s="1" t="s">
        <v>46</v>
      </c>
      <c r="U344">
        <v>8474</v>
      </c>
      <c r="V344" s="1" t="s">
        <v>163</v>
      </c>
      <c r="W344">
        <v>20925</v>
      </c>
      <c r="X344">
        <v>1</v>
      </c>
      <c r="Y344" s="1" t="s">
        <v>48</v>
      </c>
      <c r="Z344" s="1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8">
      <c r="A345" s="1" t="s">
        <v>411</v>
      </c>
      <c r="B345">
        <v>30</v>
      </c>
      <c r="C345" s="1" t="s">
        <v>190</v>
      </c>
      <c r="D345" s="1" t="s">
        <v>40</v>
      </c>
      <c r="E345" s="1" t="s">
        <v>41</v>
      </c>
      <c r="F345">
        <v>1005</v>
      </c>
      <c r="G345" s="1" t="s">
        <v>42</v>
      </c>
      <c r="H345">
        <v>3</v>
      </c>
      <c r="I345">
        <v>3</v>
      </c>
      <c r="J345" s="1" t="s">
        <v>68</v>
      </c>
      <c r="K345">
        <v>1</v>
      </c>
      <c r="L345">
        <v>297</v>
      </c>
      <c r="M345">
        <v>4</v>
      </c>
      <c r="N345" s="1" t="s">
        <v>53</v>
      </c>
      <c r="O345">
        <v>88</v>
      </c>
      <c r="P345">
        <v>3</v>
      </c>
      <c r="Q345">
        <v>1</v>
      </c>
      <c r="R345" s="1" t="s">
        <v>60</v>
      </c>
      <c r="S345">
        <v>1</v>
      </c>
      <c r="T345" s="1" t="s">
        <v>46</v>
      </c>
      <c r="U345">
        <v>2657</v>
      </c>
      <c r="V345" s="1" t="s">
        <v>47</v>
      </c>
      <c r="W345">
        <v>8556</v>
      </c>
      <c r="X345">
        <v>5</v>
      </c>
      <c r="Y345" s="1" t="s">
        <v>48</v>
      </c>
      <c r="Z345" s="1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8">
      <c r="A346" s="1" t="s">
        <v>412</v>
      </c>
      <c r="B346">
        <v>30</v>
      </c>
      <c r="C346" s="1" t="s">
        <v>190</v>
      </c>
      <c r="D346" s="1" t="s">
        <v>40</v>
      </c>
      <c r="E346" s="1" t="s">
        <v>56</v>
      </c>
      <c r="F346">
        <v>334</v>
      </c>
      <c r="G346" s="1" t="s">
        <v>51</v>
      </c>
      <c r="H346">
        <v>26</v>
      </c>
      <c r="I346">
        <v>4</v>
      </c>
      <c r="J346" s="1" t="s">
        <v>57</v>
      </c>
      <c r="K346">
        <v>1</v>
      </c>
      <c r="L346">
        <v>299</v>
      </c>
      <c r="M346">
        <v>3</v>
      </c>
      <c r="N346" s="1" t="s">
        <v>53</v>
      </c>
      <c r="O346">
        <v>52</v>
      </c>
      <c r="P346">
        <v>2</v>
      </c>
      <c r="Q346">
        <v>2</v>
      </c>
      <c r="R346" s="1" t="s">
        <v>137</v>
      </c>
      <c r="S346">
        <v>1</v>
      </c>
      <c r="T346" s="1" t="s">
        <v>46</v>
      </c>
      <c r="U346">
        <v>6696</v>
      </c>
      <c r="V346" s="1" t="s">
        <v>163</v>
      </c>
      <c r="W346">
        <v>22967</v>
      </c>
      <c r="X346">
        <v>5</v>
      </c>
      <c r="Y346" s="1" t="s">
        <v>48</v>
      </c>
      <c r="Z346" s="1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8">
      <c r="A347" s="1" t="s">
        <v>413</v>
      </c>
      <c r="B347">
        <v>30</v>
      </c>
      <c r="C347" s="1" t="s">
        <v>190</v>
      </c>
      <c r="D347" s="1" t="s">
        <v>49</v>
      </c>
      <c r="E347" s="1" t="s">
        <v>41</v>
      </c>
      <c r="F347">
        <v>1275</v>
      </c>
      <c r="G347" s="1" t="s">
        <v>42</v>
      </c>
      <c r="H347">
        <v>28</v>
      </c>
      <c r="I347">
        <v>2</v>
      </c>
      <c r="J347" s="1" t="s">
        <v>52</v>
      </c>
      <c r="K347">
        <v>1</v>
      </c>
      <c r="L347">
        <v>441</v>
      </c>
      <c r="M347">
        <v>4</v>
      </c>
      <c r="N347" s="1" t="s">
        <v>53</v>
      </c>
      <c r="O347">
        <v>64</v>
      </c>
      <c r="P347">
        <v>3</v>
      </c>
      <c r="Q347">
        <v>2</v>
      </c>
      <c r="R347" s="1" t="s">
        <v>60</v>
      </c>
      <c r="S347">
        <v>4</v>
      </c>
      <c r="T347" s="1" t="s">
        <v>105</v>
      </c>
      <c r="U347">
        <v>5775</v>
      </c>
      <c r="V347" s="1" t="s">
        <v>163</v>
      </c>
      <c r="W347">
        <v>11934</v>
      </c>
      <c r="X347">
        <v>1</v>
      </c>
      <c r="Y347" s="1" t="s">
        <v>48</v>
      </c>
      <c r="Z347" s="1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8">
      <c r="A348" s="1" t="s">
        <v>414</v>
      </c>
      <c r="B348">
        <v>30</v>
      </c>
      <c r="C348" s="1" t="s">
        <v>190</v>
      </c>
      <c r="D348" s="1" t="s">
        <v>49</v>
      </c>
      <c r="E348" s="1" t="s">
        <v>41</v>
      </c>
      <c r="F348">
        <v>570</v>
      </c>
      <c r="G348" s="1" t="s">
        <v>51</v>
      </c>
      <c r="H348">
        <v>5</v>
      </c>
      <c r="I348">
        <v>3</v>
      </c>
      <c r="J348" s="1" t="s">
        <v>57</v>
      </c>
      <c r="K348">
        <v>1</v>
      </c>
      <c r="L348">
        <v>456</v>
      </c>
      <c r="M348">
        <v>4</v>
      </c>
      <c r="N348" s="1" t="s">
        <v>53</v>
      </c>
      <c r="O348">
        <v>30</v>
      </c>
      <c r="P348">
        <v>2</v>
      </c>
      <c r="Q348">
        <v>2</v>
      </c>
      <c r="R348" s="1" t="s">
        <v>137</v>
      </c>
      <c r="S348">
        <v>3</v>
      </c>
      <c r="T348" s="1" t="s">
        <v>102</v>
      </c>
      <c r="U348">
        <v>6118</v>
      </c>
      <c r="V348" s="1" t="s">
        <v>163</v>
      </c>
      <c r="W348">
        <v>5431</v>
      </c>
      <c r="X348">
        <v>1</v>
      </c>
      <c r="Y348" s="1" t="s">
        <v>48</v>
      </c>
      <c r="Z348" s="1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8">
      <c r="A349" s="1" t="s">
        <v>415</v>
      </c>
      <c r="B349">
        <v>30</v>
      </c>
      <c r="C349" s="1" t="s">
        <v>190</v>
      </c>
      <c r="D349" s="1" t="s">
        <v>49</v>
      </c>
      <c r="E349" s="1" t="s">
        <v>59</v>
      </c>
      <c r="F349">
        <v>641</v>
      </c>
      <c r="G349" s="1" t="s">
        <v>51</v>
      </c>
      <c r="H349">
        <v>25</v>
      </c>
      <c r="I349">
        <v>2</v>
      </c>
      <c r="J349" s="1" t="s">
        <v>68</v>
      </c>
      <c r="K349">
        <v>1</v>
      </c>
      <c r="L349">
        <v>475</v>
      </c>
      <c r="M349">
        <v>4</v>
      </c>
      <c r="N349" s="1" t="s">
        <v>53</v>
      </c>
      <c r="O349">
        <v>85</v>
      </c>
      <c r="P349">
        <v>3</v>
      </c>
      <c r="Q349">
        <v>2</v>
      </c>
      <c r="R349" s="1" t="s">
        <v>137</v>
      </c>
      <c r="S349">
        <v>3</v>
      </c>
      <c r="T349" s="1" t="s">
        <v>105</v>
      </c>
      <c r="U349">
        <v>4736</v>
      </c>
      <c r="V349" s="1" t="s">
        <v>47</v>
      </c>
      <c r="W349">
        <v>6069</v>
      </c>
      <c r="X349">
        <v>7</v>
      </c>
      <c r="Y349" s="1" t="s">
        <v>48</v>
      </c>
      <c r="Z349" s="1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8">
      <c r="A350" s="1" t="s">
        <v>416</v>
      </c>
      <c r="B350">
        <v>30</v>
      </c>
      <c r="C350" s="1" t="s">
        <v>190</v>
      </c>
      <c r="D350" s="1" t="s">
        <v>49</v>
      </c>
      <c r="E350" s="1" t="s">
        <v>41</v>
      </c>
      <c r="F350">
        <v>202</v>
      </c>
      <c r="G350" s="1" t="s">
        <v>51</v>
      </c>
      <c r="H350">
        <v>2</v>
      </c>
      <c r="I350">
        <v>1</v>
      </c>
      <c r="J350" s="1" t="s">
        <v>68</v>
      </c>
      <c r="K350">
        <v>1</v>
      </c>
      <c r="L350">
        <v>508</v>
      </c>
      <c r="M350">
        <v>3</v>
      </c>
      <c r="N350" s="1" t="s">
        <v>44</v>
      </c>
      <c r="O350">
        <v>72</v>
      </c>
      <c r="P350">
        <v>3</v>
      </c>
      <c r="Q350">
        <v>1</v>
      </c>
      <c r="R350" s="1" t="s">
        <v>54</v>
      </c>
      <c r="S350">
        <v>2</v>
      </c>
      <c r="T350" s="1" t="s">
        <v>105</v>
      </c>
      <c r="U350">
        <v>2476</v>
      </c>
      <c r="V350" s="1" t="s">
        <v>47</v>
      </c>
      <c r="W350">
        <v>17434</v>
      </c>
      <c r="X350">
        <v>1</v>
      </c>
      <c r="Y350" s="1" t="s">
        <v>48</v>
      </c>
      <c r="Z350" s="1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8">
      <c r="A351" s="1" t="s">
        <v>417</v>
      </c>
      <c r="B351">
        <v>30</v>
      </c>
      <c r="C351" s="1" t="s">
        <v>190</v>
      </c>
      <c r="D351" s="1" t="s">
        <v>40</v>
      </c>
      <c r="E351" s="1" t="s">
        <v>56</v>
      </c>
      <c r="F351">
        <v>464</v>
      </c>
      <c r="G351" s="1" t="s">
        <v>42</v>
      </c>
      <c r="H351">
        <v>4</v>
      </c>
      <c r="I351">
        <v>3</v>
      </c>
      <c r="J351" s="1" t="s">
        <v>68</v>
      </c>
      <c r="K351">
        <v>1</v>
      </c>
      <c r="L351">
        <v>514</v>
      </c>
      <c r="M351">
        <v>3</v>
      </c>
      <c r="N351" s="1" t="s">
        <v>44</v>
      </c>
      <c r="O351">
        <v>40</v>
      </c>
      <c r="P351">
        <v>3</v>
      </c>
      <c r="Q351">
        <v>1</v>
      </c>
      <c r="R351" s="1" t="s">
        <v>60</v>
      </c>
      <c r="S351">
        <v>4</v>
      </c>
      <c r="T351" s="1" t="s">
        <v>46</v>
      </c>
      <c r="U351">
        <v>2285</v>
      </c>
      <c r="V351" s="1" t="s">
        <v>47</v>
      </c>
      <c r="W351">
        <v>3427</v>
      </c>
      <c r="X351">
        <v>9</v>
      </c>
      <c r="Y351" s="1" t="s">
        <v>48</v>
      </c>
      <c r="Z351" s="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8">
      <c r="A352" s="1" t="s">
        <v>418</v>
      </c>
      <c r="B352">
        <v>30</v>
      </c>
      <c r="C352" s="1" t="s">
        <v>190</v>
      </c>
      <c r="D352" s="1" t="s">
        <v>49</v>
      </c>
      <c r="E352" s="1" t="s">
        <v>41</v>
      </c>
      <c r="F352">
        <v>1082</v>
      </c>
      <c r="G352" s="1" t="s">
        <v>51</v>
      </c>
      <c r="H352">
        <v>12</v>
      </c>
      <c r="I352">
        <v>3</v>
      </c>
      <c r="J352" s="1" t="s">
        <v>68</v>
      </c>
      <c r="K352">
        <v>1</v>
      </c>
      <c r="L352">
        <v>533</v>
      </c>
      <c r="M352">
        <v>2</v>
      </c>
      <c r="N352" s="1" t="s">
        <v>53</v>
      </c>
      <c r="O352">
        <v>83</v>
      </c>
      <c r="P352">
        <v>3</v>
      </c>
      <c r="Q352">
        <v>2</v>
      </c>
      <c r="R352" s="1" t="s">
        <v>137</v>
      </c>
      <c r="S352">
        <v>3</v>
      </c>
      <c r="T352" s="1" t="s">
        <v>46</v>
      </c>
      <c r="U352">
        <v>6577</v>
      </c>
      <c r="V352" s="1" t="s">
        <v>163</v>
      </c>
      <c r="W352">
        <v>19558</v>
      </c>
      <c r="X352">
        <v>0</v>
      </c>
      <c r="Y352" s="1" t="s">
        <v>48</v>
      </c>
      <c r="Z352" s="1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8">
      <c r="A353" s="1" t="s">
        <v>419</v>
      </c>
      <c r="B353">
        <v>30</v>
      </c>
      <c r="C353" s="1" t="s">
        <v>190</v>
      </c>
      <c r="D353" s="1" t="s">
        <v>49</v>
      </c>
      <c r="E353" s="1" t="s">
        <v>41</v>
      </c>
      <c r="F353">
        <v>317</v>
      </c>
      <c r="G353" s="1" t="s">
        <v>42</v>
      </c>
      <c r="H353">
        <v>2</v>
      </c>
      <c r="I353">
        <v>3</v>
      </c>
      <c r="J353" s="1" t="s">
        <v>43</v>
      </c>
      <c r="K353">
        <v>1</v>
      </c>
      <c r="L353">
        <v>548</v>
      </c>
      <c r="M353">
        <v>3</v>
      </c>
      <c r="N353" s="1" t="s">
        <v>53</v>
      </c>
      <c r="O353">
        <v>43</v>
      </c>
      <c r="P353">
        <v>1</v>
      </c>
      <c r="Q353">
        <v>2</v>
      </c>
      <c r="R353" s="1" t="s">
        <v>112</v>
      </c>
      <c r="S353">
        <v>4</v>
      </c>
      <c r="T353" s="1" t="s">
        <v>46</v>
      </c>
      <c r="U353">
        <v>6091</v>
      </c>
      <c r="V353" s="1" t="s">
        <v>163</v>
      </c>
      <c r="W353">
        <v>24793</v>
      </c>
      <c r="X353">
        <v>2</v>
      </c>
      <c r="Y353" s="1" t="s">
        <v>48</v>
      </c>
      <c r="Z353" s="1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8">
      <c r="A354" s="1" t="s">
        <v>420</v>
      </c>
      <c r="B354">
        <v>30</v>
      </c>
      <c r="C354" s="1" t="s">
        <v>190</v>
      </c>
      <c r="D354" s="1" t="s">
        <v>49</v>
      </c>
      <c r="E354" s="1" t="s">
        <v>59</v>
      </c>
      <c r="F354">
        <v>1400</v>
      </c>
      <c r="G354" s="1" t="s">
        <v>42</v>
      </c>
      <c r="H354">
        <v>3</v>
      </c>
      <c r="I354">
        <v>3</v>
      </c>
      <c r="J354" s="1" t="s">
        <v>43</v>
      </c>
      <c r="K354">
        <v>1</v>
      </c>
      <c r="L354">
        <v>562</v>
      </c>
      <c r="M354">
        <v>3</v>
      </c>
      <c r="N354" s="1" t="s">
        <v>44</v>
      </c>
      <c r="O354">
        <v>53</v>
      </c>
      <c r="P354">
        <v>3</v>
      </c>
      <c r="Q354">
        <v>1</v>
      </c>
      <c r="R354" s="1" t="s">
        <v>45</v>
      </c>
      <c r="S354">
        <v>4</v>
      </c>
      <c r="T354" s="1" t="s">
        <v>105</v>
      </c>
      <c r="U354">
        <v>2097</v>
      </c>
      <c r="V354" s="1" t="s">
        <v>47</v>
      </c>
      <c r="W354">
        <v>16734</v>
      </c>
      <c r="X354">
        <v>4</v>
      </c>
      <c r="Y354" s="1" t="s">
        <v>48</v>
      </c>
      <c r="Z354" s="1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8">
      <c r="A355" s="1" t="s">
        <v>421</v>
      </c>
      <c r="B355">
        <v>30</v>
      </c>
      <c r="C355" s="1" t="s">
        <v>190</v>
      </c>
      <c r="D355" s="1" t="s">
        <v>49</v>
      </c>
      <c r="E355" s="1" t="s">
        <v>59</v>
      </c>
      <c r="F355">
        <v>1398</v>
      </c>
      <c r="G355" s="1" t="s">
        <v>51</v>
      </c>
      <c r="H355">
        <v>22</v>
      </c>
      <c r="I355">
        <v>4</v>
      </c>
      <c r="J355" s="1" t="s">
        <v>73</v>
      </c>
      <c r="K355">
        <v>1</v>
      </c>
      <c r="L355">
        <v>567</v>
      </c>
      <c r="M355">
        <v>3</v>
      </c>
      <c r="N355" s="1" t="s">
        <v>53</v>
      </c>
      <c r="O355">
        <v>69</v>
      </c>
      <c r="P355">
        <v>3</v>
      </c>
      <c r="Q355">
        <v>3</v>
      </c>
      <c r="R355" s="1" t="s">
        <v>137</v>
      </c>
      <c r="S355">
        <v>1</v>
      </c>
      <c r="T355" s="1" t="s">
        <v>105</v>
      </c>
      <c r="U355">
        <v>8412</v>
      </c>
      <c r="V355" s="1" t="s">
        <v>163</v>
      </c>
      <c r="W355">
        <v>2890</v>
      </c>
      <c r="X355">
        <v>0</v>
      </c>
      <c r="Y355" s="1" t="s">
        <v>48</v>
      </c>
      <c r="Z355" s="1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8">
      <c r="A356" s="1" t="s">
        <v>422</v>
      </c>
      <c r="B356">
        <v>30</v>
      </c>
      <c r="C356" s="1" t="s">
        <v>190</v>
      </c>
      <c r="D356" s="1" t="s">
        <v>49</v>
      </c>
      <c r="E356" s="1" t="s">
        <v>59</v>
      </c>
      <c r="F356">
        <v>1116</v>
      </c>
      <c r="G356" s="1" t="s">
        <v>42</v>
      </c>
      <c r="H356">
        <v>2</v>
      </c>
      <c r="I356">
        <v>3</v>
      </c>
      <c r="J356" s="1" t="s">
        <v>52</v>
      </c>
      <c r="K356">
        <v>1</v>
      </c>
      <c r="L356">
        <v>571</v>
      </c>
      <c r="M356">
        <v>3</v>
      </c>
      <c r="N356" s="1" t="s">
        <v>53</v>
      </c>
      <c r="O356">
        <v>49</v>
      </c>
      <c r="P356">
        <v>3</v>
      </c>
      <c r="Q356">
        <v>1</v>
      </c>
      <c r="R356" s="1" t="s">
        <v>45</v>
      </c>
      <c r="S356">
        <v>4</v>
      </c>
      <c r="T356" s="1" t="s">
        <v>46</v>
      </c>
      <c r="U356">
        <v>2564</v>
      </c>
      <c r="V356" s="1" t="s">
        <v>47</v>
      </c>
      <c r="W356">
        <v>7181</v>
      </c>
      <c r="X356">
        <v>0</v>
      </c>
      <c r="Y356" s="1" t="s">
        <v>48</v>
      </c>
      <c r="Z356" s="1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8">
      <c r="A357" s="1" t="s">
        <v>423</v>
      </c>
      <c r="B357">
        <v>30</v>
      </c>
      <c r="C357" s="1" t="s">
        <v>190</v>
      </c>
      <c r="D357" s="1" t="s">
        <v>49</v>
      </c>
      <c r="E357" s="1" t="s">
        <v>41</v>
      </c>
      <c r="F357">
        <v>413</v>
      </c>
      <c r="G357" s="1" t="s">
        <v>51</v>
      </c>
      <c r="H357">
        <v>7</v>
      </c>
      <c r="I357">
        <v>1</v>
      </c>
      <c r="J357" s="1" t="s">
        <v>57</v>
      </c>
      <c r="K357">
        <v>1</v>
      </c>
      <c r="L357">
        <v>585</v>
      </c>
      <c r="M357">
        <v>4</v>
      </c>
      <c r="N357" s="1" t="s">
        <v>44</v>
      </c>
      <c r="O357">
        <v>57</v>
      </c>
      <c r="P357">
        <v>3</v>
      </c>
      <c r="Q357">
        <v>1</v>
      </c>
      <c r="R357" s="1" t="s">
        <v>54</v>
      </c>
      <c r="S357">
        <v>2</v>
      </c>
      <c r="T357" s="1" t="s">
        <v>46</v>
      </c>
      <c r="U357">
        <v>2983</v>
      </c>
      <c r="V357" s="1" t="s">
        <v>47</v>
      </c>
      <c r="W357">
        <v>18398</v>
      </c>
      <c r="X357">
        <v>0</v>
      </c>
      <c r="Y357" s="1" t="s">
        <v>48</v>
      </c>
      <c r="Z357" s="1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8">
      <c r="A358" s="1" t="s">
        <v>424</v>
      </c>
      <c r="B358">
        <v>30</v>
      </c>
      <c r="C358" s="1" t="s">
        <v>190</v>
      </c>
      <c r="D358" s="1" t="s">
        <v>40</v>
      </c>
      <c r="E358" s="1" t="s">
        <v>56</v>
      </c>
      <c r="F358">
        <v>448</v>
      </c>
      <c r="G358" s="1" t="s">
        <v>51</v>
      </c>
      <c r="H358">
        <v>12</v>
      </c>
      <c r="I358">
        <v>4</v>
      </c>
      <c r="J358" s="1" t="s">
        <v>43</v>
      </c>
      <c r="K358">
        <v>1</v>
      </c>
      <c r="L358">
        <v>648</v>
      </c>
      <c r="M358">
        <v>2</v>
      </c>
      <c r="N358" s="1" t="s">
        <v>44</v>
      </c>
      <c r="O358">
        <v>74</v>
      </c>
      <c r="P358">
        <v>2</v>
      </c>
      <c r="Q358">
        <v>1</v>
      </c>
      <c r="R358" s="1" t="s">
        <v>54</v>
      </c>
      <c r="S358">
        <v>1</v>
      </c>
      <c r="T358" s="1" t="s">
        <v>105</v>
      </c>
      <c r="U358">
        <v>2033</v>
      </c>
      <c r="V358" s="1" t="s">
        <v>47</v>
      </c>
      <c r="W358">
        <v>14470</v>
      </c>
      <c r="X358">
        <v>1</v>
      </c>
      <c r="Y358" s="1" t="s">
        <v>48</v>
      </c>
      <c r="Z358" s="1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8">
      <c r="A359" s="1" t="s">
        <v>425</v>
      </c>
      <c r="B359">
        <v>30</v>
      </c>
      <c r="C359" s="1" t="s">
        <v>190</v>
      </c>
      <c r="D359" s="1" t="s">
        <v>49</v>
      </c>
      <c r="E359" s="1" t="s">
        <v>56</v>
      </c>
      <c r="F359">
        <v>160</v>
      </c>
      <c r="G359" s="1" t="s">
        <v>42</v>
      </c>
      <c r="H359">
        <v>3</v>
      </c>
      <c r="I359">
        <v>3</v>
      </c>
      <c r="J359" s="1" t="s">
        <v>52</v>
      </c>
      <c r="K359">
        <v>1</v>
      </c>
      <c r="L359">
        <v>680</v>
      </c>
      <c r="M359">
        <v>3</v>
      </c>
      <c r="N359" s="1" t="s">
        <v>53</v>
      </c>
      <c r="O359">
        <v>71</v>
      </c>
      <c r="P359">
        <v>3</v>
      </c>
      <c r="Q359">
        <v>1</v>
      </c>
      <c r="R359" s="1" t="s">
        <v>60</v>
      </c>
      <c r="S359">
        <v>3</v>
      </c>
      <c r="T359" s="1" t="s">
        <v>102</v>
      </c>
      <c r="U359">
        <v>2083</v>
      </c>
      <c r="V359" s="1" t="s">
        <v>47</v>
      </c>
      <c r="W359">
        <v>22653</v>
      </c>
      <c r="X359">
        <v>1</v>
      </c>
      <c r="Y359" s="1" t="s">
        <v>48</v>
      </c>
      <c r="Z359" s="1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8">
      <c r="A360" s="1" t="s">
        <v>426</v>
      </c>
      <c r="B360">
        <v>30</v>
      </c>
      <c r="C360" s="1" t="s">
        <v>190</v>
      </c>
      <c r="D360" s="1" t="s">
        <v>49</v>
      </c>
      <c r="E360" s="1" t="s">
        <v>41</v>
      </c>
      <c r="F360">
        <v>501</v>
      </c>
      <c r="G360" s="1" t="s">
        <v>51</v>
      </c>
      <c r="H360">
        <v>27</v>
      </c>
      <c r="I360">
        <v>5</v>
      </c>
      <c r="J360" s="1" t="s">
        <v>57</v>
      </c>
      <c r="K360">
        <v>1</v>
      </c>
      <c r="L360">
        <v>747</v>
      </c>
      <c r="M360">
        <v>3</v>
      </c>
      <c r="N360" s="1" t="s">
        <v>44</v>
      </c>
      <c r="O360">
        <v>99</v>
      </c>
      <c r="P360">
        <v>3</v>
      </c>
      <c r="Q360">
        <v>2</v>
      </c>
      <c r="R360" s="1" t="s">
        <v>137</v>
      </c>
      <c r="S360">
        <v>4</v>
      </c>
      <c r="T360" s="1" t="s">
        <v>102</v>
      </c>
      <c r="U360">
        <v>5304</v>
      </c>
      <c r="V360" s="1" t="s">
        <v>163</v>
      </c>
      <c r="W360">
        <v>25275</v>
      </c>
      <c r="X360">
        <v>7</v>
      </c>
      <c r="Y360" s="1" t="s">
        <v>48</v>
      </c>
      <c r="Z360" s="1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8">
      <c r="A361" s="1" t="s">
        <v>427</v>
      </c>
      <c r="B361">
        <v>30</v>
      </c>
      <c r="C361" s="1" t="s">
        <v>190</v>
      </c>
      <c r="D361" s="1" t="s">
        <v>49</v>
      </c>
      <c r="E361" s="1" t="s">
        <v>41</v>
      </c>
      <c r="F361">
        <v>921</v>
      </c>
      <c r="G361" s="1" t="s">
        <v>42</v>
      </c>
      <c r="H361">
        <v>1</v>
      </c>
      <c r="I361">
        <v>3</v>
      </c>
      <c r="J361" s="1" t="s">
        <v>43</v>
      </c>
      <c r="K361">
        <v>1</v>
      </c>
      <c r="L361">
        <v>806</v>
      </c>
      <c r="M361">
        <v>4</v>
      </c>
      <c r="N361" s="1" t="s">
        <v>44</v>
      </c>
      <c r="O361">
        <v>38</v>
      </c>
      <c r="P361">
        <v>1</v>
      </c>
      <c r="Q361">
        <v>1</v>
      </c>
      <c r="R361" s="1" t="s">
        <v>45</v>
      </c>
      <c r="S361">
        <v>3</v>
      </c>
      <c r="T361" s="1" t="s">
        <v>105</v>
      </c>
      <c r="U361">
        <v>3833</v>
      </c>
      <c r="V361" s="1" t="s">
        <v>47</v>
      </c>
      <c r="W361">
        <v>24375</v>
      </c>
      <c r="X361">
        <v>3</v>
      </c>
      <c r="Y361" s="1" t="s">
        <v>48</v>
      </c>
      <c r="Z361" s="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8">
      <c r="A362" s="1" t="s">
        <v>428</v>
      </c>
      <c r="B362">
        <v>30</v>
      </c>
      <c r="C362" s="1" t="s">
        <v>190</v>
      </c>
      <c r="D362" s="1" t="s">
        <v>49</v>
      </c>
      <c r="E362" s="1" t="s">
        <v>41</v>
      </c>
      <c r="F362">
        <v>946</v>
      </c>
      <c r="G362" s="1" t="s">
        <v>42</v>
      </c>
      <c r="H362">
        <v>2</v>
      </c>
      <c r="I362">
        <v>3</v>
      </c>
      <c r="J362" s="1" t="s">
        <v>52</v>
      </c>
      <c r="K362">
        <v>1</v>
      </c>
      <c r="L362">
        <v>833</v>
      </c>
      <c r="M362">
        <v>3</v>
      </c>
      <c r="N362" s="1" t="s">
        <v>53</v>
      </c>
      <c r="O362">
        <v>52</v>
      </c>
      <c r="P362">
        <v>2</v>
      </c>
      <c r="Q362">
        <v>2</v>
      </c>
      <c r="R362" s="1" t="s">
        <v>112</v>
      </c>
      <c r="S362">
        <v>4</v>
      </c>
      <c r="T362" s="1" t="s">
        <v>46</v>
      </c>
      <c r="U362">
        <v>6877</v>
      </c>
      <c r="V362" s="1" t="s">
        <v>163</v>
      </c>
      <c r="W362">
        <v>20234</v>
      </c>
      <c r="X362">
        <v>5</v>
      </c>
      <c r="Y362" s="1" t="s">
        <v>48</v>
      </c>
      <c r="Z362" s="1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8">
      <c r="A363" s="1" t="s">
        <v>429</v>
      </c>
      <c r="B363">
        <v>30</v>
      </c>
      <c r="C363" s="1" t="s">
        <v>190</v>
      </c>
      <c r="D363" s="1" t="s">
        <v>49</v>
      </c>
      <c r="E363" s="1" t="s">
        <v>56</v>
      </c>
      <c r="F363">
        <v>1012</v>
      </c>
      <c r="G363" s="1" t="s">
        <v>42</v>
      </c>
      <c r="H363">
        <v>5</v>
      </c>
      <c r="I363">
        <v>4</v>
      </c>
      <c r="J363" s="1" t="s">
        <v>43</v>
      </c>
      <c r="K363">
        <v>1</v>
      </c>
      <c r="L363">
        <v>861</v>
      </c>
      <c r="M363">
        <v>2</v>
      </c>
      <c r="N363" s="1" t="s">
        <v>44</v>
      </c>
      <c r="O363">
        <v>75</v>
      </c>
      <c r="P363">
        <v>2</v>
      </c>
      <c r="Q363">
        <v>1</v>
      </c>
      <c r="R363" s="1" t="s">
        <v>60</v>
      </c>
      <c r="S363">
        <v>4</v>
      </c>
      <c r="T363" s="1" t="s">
        <v>102</v>
      </c>
      <c r="U363">
        <v>3761</v>
      </c>
      <c r="V363" s="1" t="s">
        <v>47</v>
      </c>
      <c r="W363">
        <v>2373</v>
      </c>
      <c r="X363">
        <v>9</v>
      </c>
      <c r="Y363" s="1" t="s">
        <v>48</v>
      </c>
      <c r="Z363" s="1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8">
      <c r="A364" s="1" t="s">
        <v>430</v>
      </c>
      <c r="B364">
        <v>30</v>
      </c>
      <c r="C364" s="1" t="s">
        <v>190</v>
      </c>
      <c r="D364" s="1" t="s">
        <v>49</v>
      </c>
      <c r="E364" s="1" t="s">
        <v>41</v>
      </c>
      <c r="F364">
        <v>231</v>
      </c>
      <c r="G364" s="1" t="s">
        <v>51</v>
      </c>
      <c r="H364">
        <v>8</v>
      </c>
      <c r="I364">
        <v>2</v>
      </c>
      <c r="J364" s="1" t="s">
        <v>73</v>
      </c>
      <c r="K364">
        <v>1</v>
      </c>
      <c r="L364">
        <v>982</v>
      </c>
      <c r="M364">
        <v>3</v>
      </c>
      <c r="N364" s="1" t="s">
        <v>44</v>
      </c>
      <c r="O364">
        <v>62</v>
      </c>
      <c r="P364">
        <v>3</v>
      </c>
      <c r="Q364">
        <v>3</v>
      </c>
      <c r="R364" s="1" t="s">
        <v>137</v>
      </c>
      <c r="S364">
        <v>3</v>
      </c>
      <c r="T364" s="1" t="s">
        <v>102</v>
      </c>
      <c r="U364">
        <v>7264</v>
      </c>
      <c r="V364" s="1" t="s">
        <v>163</v>
      </c>
      <c r="W364">
        <v>9977</v>
      </c>
      <c r="X364">
        <v>5</v>
      </c>
      <c r="Y364" s="1" t="s">
        <v>48</v>
      </c>
      <c r="Z364" s="1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8">
      <c r="A365" s="1" t="s">
        <v>431</v>
      </c>
      <c r="B365">
        <v>30</v>
      </c>
      <c r="C365" s="1" t="s">
        <v>190</v>
      </c>
      <c r="D365" s="1" t="s">
        <v>40</v>
      </c>
      <c r="E365" s="1" t="s">
        <v>41</v>
      </c>
      <c r="F365">
        <v>138</v>
      </c>
      <c r="G365" s="1" t="s">
        <v>42</v>
      </c>
      <c r="H365">
        <v>22</v>
      </c>
      <c r="I365">
        <v>3</v>
      </c>
      <c r="J365" s="1" t="s">
        <v>43</v>
      </c>
      <c r="K365">
        <v>1</v>
      </c>
      <c r="L365">
        <v>1004</v>
      </c>
      <c r="M365">
        <v>1</v>
      </c>
      <c r="N365" s="1" t="s">
        <v>53</v>
      </c>
      <c r="O365">
        <v>48</v>
      </c>
      <c r="P365">
        <v>3</v>
      </c>
      <c r="Q365">
        <v>1</v>
      </c>
      <c r="R365" s="1" t="s">
        <v>60</v>
      </c>
      <c r="S365">
        <v>3</v>
      </c>
      <c r="T365" s="1" t="s">
        <v>105</v>
      </c>
      <c r="U365">
        <v>2132</v>
      </c>
      <c r="V365" s="1" t="s">
        <v>47</v>
      </c>
      <c r="W365">
        <v>11539</v>
      </c>
      <c r="X365">
        <v>4</v>
      </c>
      <c r="Y365" s="1" t="s">
        <v>48</v>
      </c>
      <c r="Z365" s="1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8">
      <c r="A366" s="1" t="s">
        <v>432</v>
      </c>
      <c r="B366">
        <v>30</v>
      </c>
      <c r="C366" s="1" t="s">
        <v>190</v>
      </c>
      <c r="D366" s="1" t="s">
        <v>49</v>
      </c>
      <c r="E366" s="1" t="s">
        <v>41</v>
      </c>
      <c r="F366">
        <v>153</v>
      </c>
      <c r="G366" s="1" t="s">
        <v>42</v>
      </c>
      <c r="H366">
        <v>8</v>
      </c>
      <c r="I366">
        <v>2</v>
      </c>
      <c r="J366" s="1" t="s">
        <v>43</v>
      </c>
      <c r="K366">
        <v>1</v>
      </c>
      <c r="L366">
        <v>1015</v>
      </c>
      <c r="M366">
        <v>2</v>
      </c>
      <c r="N366" s="1" t="s">
        <v>53</v>
      </c>
      <c r="O366">
        <v>73</v>
      </c>
      <c r="P366">
        <v>4</v>
      </c>
      <c r="Q366">
        <v>3</v>
      </c>
      <c r="R366" s="1" t="s">
        <v>252</v>
      </c>
      <c r="S366">
        <v>1</v>
      </c>
      <c r="T366" s="1" t="s">
        <v>105</v>
      </c>
      <c r="U366">
        <v>11416</v>
      </c>
      <c r="V366" s="1" t="s">
        <v>253</v>
      </c>
      <c r="W366">
        <v>17802</v>
      </c>
      <c r="X366">
        <v>0</v>
      </c>
      <c r="Y366" s="1" t="s">
        <v>48</v>
      </c>
      <c r="Z366" s="1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8">
      <c r="A367" s="1" t="s">
        <v>433</v>
      </c>
      <c r="B367">
        <v>30</v>
      </c>
      <c r="C367" s="1" t="s">
        <v>190</v>
      </c>
      <c r="D367" s="1" t="s">
        <v>40</v>
      </c>
      <c r="E367" s="1" t="s">
        <v>56</v>
      </c>
      <c r="F367">
        <v>109</v>
      </c>
      <c r="G367" s="1" t="s">
        <v>42</v>
      </c>
      <c r="H367">
        <v>5</v>
      </c>
      <c r="I367">
        <v>3</v>
      </c>
      <c r="J367" s="1" t="s">
        <v>52</v>
      </c>
      <c r="K367">
        <v>1</v>
      </c>
      <c r="L367">
        <v>1017</v>
      </c>
      <c r="M367">
        <v>2</v>
      </c>
      <c r="N367" s="1" t="s">
        <v>53</v>
      </c>
      <c r="O367">
        <v>60</v>
      </c>
      <c r="P367">
        <v>3</v>
      </c>
      <c r="Q367">
        <v>1</v>
      </c>
      <c r="R367" s="1" t="s">
        <v>45</v>
      </c>
      <c r="S367">
        <v>2</v>
      </c>
      <c r="T367" s="1" t="s">
        <v>46</v>
      </c>
      <c r="U367">
        <v>2422</v>
      </c>
      <c r="V367" s="1" t="s">
        <v>47</v>
      </c>
      <c r="W367">
        <v>25725</v>
      </c>
      <c r="X367">
        <v>0</v>
      </c>
      <c r="Y367" s="1" t="s">
        <v>48</v>
      </c>
      <c r="Z367" s="1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8">
      <c r="A368" s="1" t="s">
        <v>434</v>
      </c>
      <c r="B368">
        <v>30</v>
      </c>
      <c r="C368" s="1" t="s">
        <v>190</v>
      </c>
      <c r="D368" s="1" t="s">
        <v>49</v>
      </c>
      <c r="E368" s="1" t="s">
        <v>41</v>
      </c>
      <c r="F368">
        <v>1176</v>
      </c>
      <c r="G368" s="1" t="s">
        <v>42</v>
      </c>
      <c r="H368">
        <v>20</v>
      </c>
      <c r="I368">
        <v>3</v>
      </c>
      <c r="J368" s="1" t="s">
        <v>73</v>
      </c>
      <c r="K368">
        <v>1</v>
      </c>
      <c r="L368">
        <v>1084</v>
      </c>
      <c r="M368">
        <v>3</v>
      </c>
      <c r="N368" s="1" t="s">
        <v>44</v>
      </c>
      <c r="O368">
        <v>85</v>
      </c>
      <c r="P368">
        <v>3</v>
      </c>
      <c r="Q368">
        <v>2</v>
      </c>
      <c r="R368" s="1" t="s">
        <v>112</v>
      </c>
      <c r="S368">
        <v>1</v>
      </c>
      <c r="T368" s="1" t="s">
        <v>105</v>
      </c>
      <c r="U368">
        <v>9957</v>
      </c>
      <c r="V368" s="1" t="s">
        <v>163</v>
      </c>
      <c r="W368">
        <v>9096</v>
      </c>
      <c r="X368">
        <v>0</v>
      </c>
      <c r="Y368" s="1" t="s">
        <v>48</v>
      </c>
      <c r="Z368" s="1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8">
      <c r="A369" s="1" t="s">
        <v>435</v>
      </c>
      <c r="B369">
        <v>30</v>
      </c>
      <c r="C369" s="1" t="s">
        <v>190</v>
      </c>
      <c r="D369" s="1" t="s">
        <v>49</v>
      </c>
      <c r="E369" s="1" t="s">
        <v>41</v>
      </c>
      <c r="F369">
        <v>852</v>
      </c>
      <c r="G369" s="1" t="s">
        <v>51</v>
      </c>
      <c r="H369">
        <v>10</v>
      </c>
      <c r="I369">
        <v>3</v>
      </c>
      <c r="J369" s="1" t="s">
        <v>57</v>
      </c>
      <c r="K369">
        <v>1</v>
      </c>
      <c r="L369">
        <v>1179</v>
      </c>
      <c r="M369">
        <v>3</v>
      </c>
      <c r="N369" s="1" t="s">
        <v>44</v>
      </c>
      <c r="O369">
        <v>72</v>
      </c>
      <c r="P369">
        <v>2</v>
      </c>
      <c r="Q369">
        <v>2</v>
      </c>
      <c r="R369" s="1" t="s">
        <v>137</v>
      </c>
      <c r="S369">
        <v>3</v>
      </c>
      <c r="T369" s="1" t="s">
        <v>105</v>
      </c>
      <c r="U369">
        <v>6578</v>
      </c>
      <c r="V369" s="1" t="s">
        <v>163</v>
      </c>
      <c r="W369">
        <v>2706</v>
      </c>
      <c r="X369">
        <v>1</v>
      </c>
      <c r="Y369" s="1" t="s">
        <v>48</v>
      </c>
      <c r="Z369" s="1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8">
      <c r="A370" s="1" t="s">
        <v>436</v>
      </c>
      <c r="B370">
        <v>30</v>
      </c>
      <c r="C370" s="1" t="s">
        <v>190</v>
      </c>
      <c r="D370" s="1" t="s">
        <v>49</v>
      </c>
      <c r="E370" s="1" t="s">
        <v>41</v>
      </c>
      <c r="F370">
        <v>1329</v>
      </c>
      <c r="G370" s="1" t="s">
        <v>51</v>
      </c>
      <c r="H370">
        <v>29</v>
      </c>
      <c r="I370">
        <v>4</v>
      </c>
      <c r="J370" s="1" t="s">
        <v>43</v>
      </c>
      <c r="K370">
        <v>1</v>
      </c>
      <c r="L370">
        <v>1211</v>
      </c>
      <c r="M370">
        <v>3</v>
      </c>
      <c r="N370" s="1" t="s">
        <v>44</v>
      </c>
      <c r="O370">
        <v>61</v>
      </c>
      <c r="P370">
        <v>3</v>
      </c>
      <c r="Q370">
        <v>2</v>
      </c>
      <c r="R370" s="1" t="s">
        <v>137</v>
      </c>
      <c r="S370">
        <v>1</v>
      </c>
      <c r="T370" s="1" t="s">
        <v>102</v>
      </c>
      <c r="U370">
        <v>4115</v>
      </c>
      <c r="V370" s="1" t="s">
        <v>47</v>
      </c>
      <c r="W370">
        <v>13192</v>
      </c>
      <c r="X370">
        <v>8</v>
      </c>
      <c r="Y370" s="1" t="s">
        <v>48</v>
      </c>
      <c r="Z370" s="1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8">
      <c r="A371" s="1" t="s">
        <v>437</v>
      </c>
      <c r="B371">
        <v>30</v>
      </c>
      <c r="C371" s="1" t="s">
        <v>190</v>
      </c>
      <c r="D371" s="1" t="s">
        <v>49</v>
      </c>
      <c r="E371" s="1" t="s">
        <v>41</v>
      </c>
      <c r="F371">
        <v>853</v>
      </c>
      <c r="G371" s="1" t="s">
        <v>42</v>
      </c>
      <c r="H371">
        <v>7</v>
      </c>
      <c r="I371">
        <v>4</v>
      </c>
      <c r="J371" s="1" t="s">
        <v>43</v>
      </c>
      <c r="K371">
        <v>1</v>
      </c>
      <c r="L371">
        <v>1224</v>
      </c>
      <c r="M371">
        <v>3</v>
      </c>
      <c r="N371" s="1" t="s">
        <v>44</v>
      </c>
      <c r="O371">
        <v>49</v>
      </c>
      <c r="P371">
        <v>3</v>
      </c>
      <c r="Q371">
        <v>2</v>
      </c>
      <c r="R371" s="1" t="s">
        <v>45</v>
      </c>
      <c r="S371">
        <v>3</v>
      </c>
      <c r="T371" s="1" t="s">
        <v>102</v>
      </c>
      <c r="U371">
        <v>3491</v>
      </c>
      <c r="V371" s="1" t="s">
        <v>47</v>
      </c>
      <c r="W371">
        <v>11309</v>
      </c>
      <c r="X371">
        <v>1</v>
      </c>
      <c r="Y371" s="1" t="s">
        <v>48</v>
      </c>
      <c r="Z371" s="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8">
      <c r="A372" s="1" t="s">
        <v>438</v>
      </c>
      <c r="B372">
        <v>30</v>
      </c>
      <c r="C372" s="1" t="s">
        <v>190</v>
      </c>
      <c r="D372" s="1" t="s">
        <v>49</v>
      </c>
      <c r="E372" s="1" t="s">
        <v>41</v>
      </c>
      <c r="F372">
        <v>1465</v>
      </c>
      <c r="G372" s="1" t="s">
        <v>42</v>
      </c>
      <c r="H372">
        <v>1</v>
      </c>
      <c r="I372">
        <v>3</v>
      </c>
      <c r="J372" s="1" t="s">
        <v>52</v>
      </c>
      <c r="K372">
        <v>1</v>
      </c>
      <c r="L372">
        <v>1241</v>
      </c>
      <c r="M372">
        <v>4</v>
      </c>
      <c r="N372" s="1" t="s">
        <v>44</v>
      </c>
      <c r="O372">
        <v>63</v>
      </c>
      <c r="P372">
        <v>3</v>
      </c>
      <c r="Q372">
        <v>1</v>
      </c>
      <c r="R372" s="1" t="s">
        <v>60</v>
      </c>
      <c r="S372">
        <v>2</v>
      </c>
      <c r="T372" s="1" t="s">
        <v>105</v>
      </c>
      <c r="U372">
        <v>3579</v>
      </c>
      <c r="V372" s="1" t="s">
        <v>47</v>
      </c>
      <c r="W372">
        <v>9369</v>
      </c>
      <c r="X372">
        <v>0</v>
      </c>
      <c r="Y372" s="1" t="s">
        <v>48</v>
      </c>
      <c r="Z372" s="1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8">
      <c r="A373" s="1" t="s">
        <v>439</v>
      </c>
      <c r="B373">
        <v>30</v>
      </c>
      <c r="C373" s="1" t="s">
        <v>190</v>
      </c>
      <c r="D373" s="1" t="s">
        <v>49</v>
      </c>
      <c r="E373" s="1" t="s">
        <v>59</v>
      </c>
      <c r="F373">
        <v>879</v>
      </c>
      <c r="G373" s="1" t="s">
        <v>42</v>
      </c>
      <c r="H373">
        <v>9</v>
      </c>
      <c r="I373">
        <v>2</v>
      </c>
      <c r="J373" s="1" t="s">
        <v>52</v>
      </c>
      <c r="K373">
        <v>1</v>
      </c>
      <c r="L373">
        <v>1298</v>
      </c>
      <c r="M373">
        <v>3</v>
      </c>
      <c r="N373" s="1" t="s">
        <v>53</v>
      </c>
      <c r="O373">
        <v>72</v>
      </c>
      <c r="P373">
        <v>3</v>
      </c>
      <c r="Q373">
        <v>2</v>
      </c>
      <c r="R373" s="1" t="s">
        <v>112</v>
      </c>
      <c r="S373">
        <v>3</v>
      </c>
      <c r="T373" s="1" t="s">
        <v>46</v>
      </c>
      <c r="U373">
        <v>4695</v>
      </c>
      <c r="V373" s="1" t="s">
        <v>47</v>
      </c>
      <c r="W373">
        <v>12858</v>
      </c>
      <c r="X373">
        <v>7</v>
      </c>
      <c r="Y373" s="1" t="s">
        <v>48</v>
      </c>
      <c r="Z373" s="1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8">
      <c r="A374" s="1" t="s">
        <v>440</v>
      </c>
      <c r="B374">
        <v>30</v>
      </c>
      <c r="C374" s="1" t="s">
        <v>190</v>
      </c>
      <c r="D374" s="1" t="s">
        <v>49</v>
      </c>
      <c r="E374" s="1" t="s">
        <v>41</v>
      </c>
      <c r="F374">
        <v>1138</v>
      </c>
      <c r="G374" s="1" t="s">
        <v>42</v>
      </c>
      <c r="H374">
        <v>6</v>
      </c>
      <c r="I374">
        <v>3</v>
      </c>
      <c r="J374" s="1" t="s">
        <v>68</v>
      </c>
      <c r="K374">
        <v>1</v>
      </c>
      <c r="L374">
        <v>1311</v>
      </c>
      <c r="M374">
        <v>1</v>
      </c>
      <c r="N374" s="1" t="s">
        <v>53</v>
      </c>
      <c r="O374">
        <v>48</v>
      </c>
      <c r="P374">
        <v>2</v>
      </c>
      <c r="Q374">
        <v>2</v>
      </c>
      <c r="R374" s="1" t="s">
        <v>45</v>
      </c>
      <c r="S374">
        <v>4</v>
      </c>
      <c r="T374" s="1" t="s">
        <v>105</v>
      </c>
      <c r="U374">
        <v>4627</v>
      </c>
      <c r="V374" s="1" t="s">
        <v>47</v>
      </c>
      <c r="W374">
        <v>23631</v>
      </c>
      <c r="X374">
        <v>0</v>
      </c>
      <c r="Y374" s="1" t="s">
        <v>48</v>
      </c>
      <c r="Z374" s="1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8">
      <c r="A375" s="1" t="s">
        <v>441</v>
      </c>
      <c r="B375">
        <v>30</v>
      </c>
      <c r="C375" s="1" t="s">
        <v>190</v>
      </c>
      <c r="D375" s="1" t="s">
        <v>49</v>
      </c>
      <c r="E375" s="1" t="s">
        <v>41</v>
      </c>
      <c r="F375">
        <v>634</v>
      </c>
      <c r="G375" s="1" t="s">
        <v>42</v>
      </c>
      <c r="H375">
        <v>17</v>
      </c>
      <c r="I375">
        <v>4</v>
      </c>
      <c r="J375" s="1" t="s">
        <v>52</v>
      </c>
      <c r="K375">
        <v>1</v>
      </c>
      <c r="L375">
        <v>1321</v>
      </c>
      <c r="M375">
        <v>2</v>
      </c>
      <c r="N375" s="1" t="s">
        <v>53</v>
      </c>
      <c r="O375">
        <v>95</v>
      </c>
      <c r="P375">
        <v>3</v>
      </c>
      <c r="Q375">
        <v>3</v>
      </c>
      <c r="R375" s="1" t="s">
        <v>442</v>
      </c>
      <c r="S375">
        <v>1</v>
      </c>
      <c r="T375" s="1" t="s">
        <v>105</v>
      </c>
      <c r="U375">
        <v>11916</v>
      </c>
      <c r="V375" s="1" t="s">
        <v>253</v>
      </c>
      <c r="W375">
        <v>25927</v>
      </c>
      <c r="X375">
        <v>1</v>
      </c>
      <c r="Y375" s="1" t="s">
        <v>48</v>
      </c>
      <c r="Z375" s="1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8">
      <c r="A376" s="1" t="s">
        <v>443</v>
      </c>
      <c r="B376">
        <v>30</v>
      </c>
      <c r="C376" s="1" t="s">
        <v>190</v>
      </c>
      <c r="D376" s="1" t="s">
        <v>49</v>
      </c>
      <c r="E376" s="1" t="s">
        <v>41</v>
      </c>
      <c r="F376">
        <v>855</v>
      </c>
      <c r="G376" s="1" t="s">
        <v>51</v>
      </c>
      <c r="H376">
        <v>7</v>
      </c>
      <c r="I376">
        <v>4</v>
      </c>
      <c r="J376" s="1" t="s">
        <v>57</v>
      </c>
      <c r="K376">
        <v>1</v>
      </c>
      <c r="L376">
        <v>1428</v>
      </c>
      <c r="M376">
        <v>4</v>
      </c>
      <c r="N376" s="1" t="s">
        <v>53</v>
      </c>
      <c r="O376">
        <v>73</v>
      </c>
      <c r="P376">
        <v>3</v>
      </c>
      <c r="Q376">
        <v>2</v>
      </c>
      <c r="R376" s="1" t="s">
        <v>137</v>
      </c>
      <c r="S376">
        <v>1</v>
      </c>
      <c r="T376" s="1" t="s">
        <v>102</v>
      </c>
      <c r="U376">
        <v>4779</v>
      </c>
      <c r="V376" s="1" t="s">
        <v>47</v>
      </c>
      <c r="W376">
        <v>12761</v>
      </c>
      <c r="X376">
        <v>7</v>
      </c>
      <c r="Y376" s="1" t="s">
        <v>48</v>
      </c>
      <c r="Z376" s="1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8">
      <c r="A377" s="1" t="s">
        <v>444</v>
      </c>
      <c r="B377">
        <v>30</v>
      </c>
      <c r="C377" s="1" t="s">
        <v>190</v>
      </c>
      <c r="D377" s="1" t="s">
        <v>49</v>
      </c>
      <c r="E377" s="1" t="s">
        <v>41</v>
      </c>
      <c r="F377">
        <v>1358</v>
      </c>
      <c r="G377" s="1" t="s">
        <v>51</v>
      </c>
      <c r="H377">
        <v>16</v>
      </c>
      <c r="I377">
        <v>1</v>
      </c>
      <c r="J377" s="1" t="s">
        <v>43</v>
      </c>
      <c r="K377">
        <v>1</v>
      </c>
      <c r="L377">
        <v>1479</v>
      </c>
      <c r="M377">
        <v>4</v>
      </c>
      <c r="N377" s="1" t="s">
        <v>44</v>
      </c>
      <c r="O377">
        <v>96</v>
      </c>
      <c r="P377">
        <v>3</v>
      </c>
      <c r="Q377">
        <v>2</v>
      </c>
      <c r="R377" s="1" t="s">
        <v>137</v>
      </c>
      <c r="S377">
        <v>3</v>
      </c>
      <c r="T377" s="1" t="s">
        <v>105</v>
      </c>
      <c r="U377">
        <v>5301</v>
      </c>
      <c r="V377" s="1" t="s">
        <v>163</v>
      </c>
      <c r="W377">
        <v>2939</v>
      </c>
      <c r="X377">
        <v>8</v>
      </c>
      <c r="Y377" s="1" t="s">
        <v>48</v>
      </c>
      <c r="Z377" s="1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8">
      <c r="A378" s="1" t="s">
        <v>445</v>
      </c>
      <c r="B378">
        <v>30</v>
      </c>
      <c r="C378" s="1" t="s">
        <v>190</v>
      </c>
      <c r="D378" s="1" t="s">
        <v>49</v>
      </c>
      <c r="E378" s="1" t="s">
        <v>59</v>
      </c>
      <c r="F378">
        <v>990</v>
      </c>
      <c r="G378" s="1" t="s">
        <v>42</v>
      </c>
      <c r="H378">
        <v>7</v>
      </c>
      <c r="I378">
        <v>3</v>
      </c>
      <c r="J378" s="1" t="s">
        <v>68</v>
      </c>
      <c r="K378">
        <v>1</v>
      </c>
      <c r="L378">
        <v>1482</v>
      </c>
      <c r="M378">
        <v>3</v>
      </c>
      <c r="N378" s="1" t="s">
        <v>44</v>
      </c>
      <c r="O378">
        <v>64</v>
      </c>
      <c r="P378">
        <v>3</v>
      </c>
      <c r="Q378">
        <v>1</v>
      </c>
      <c r="R378" s="1" t="s">
        <v>60</v>
      </c>
      <c r="S378">
        <v>3</v>
      </c>
      <c r="T378" s="1" t="s">
        <v>102</v>
      </c>
      <c r="U378">
        <v>1274</v>
      </c>
      <c r="V378" s="1" t="s">
        <v>47</v>
      </c>
      <c r="W378">
        <v>7152</v>
      </c>
      <c r="X378">
        <v>1</v>
      </c>
      <c r="Y378" s="1" t="s">
        <v>48</v>
      </c>
      <c r="Z378" s="1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8">
      <c r="A379" s="1" t="s">
        <v>446</v>
      </c>
      <c r="B379">
        <v>30</v>
      </c>
      <c r="C379" s="1" t="s">
        <v>190</v>
      </c>
      <c r="D379" s="1" t="s">
        <v>49</v>
      </c>
      <c r="E379" s="1" t="s">
        <v>41</v>
      </c>
      <c r="F379">
        <v>330</v>
      </c>
      <c r="G379" s="1" t="s">
        <v>71</v>
      </c>
      <c r="H379">
        <v>1</v>
      </c>
      <c r="I379">
        <v>3</v>
      </c>
      <c r="J379" s="1" t="s">
        <v>43</v>
      </c>
      <c r="K379">
        <v>1</v>
      </c>
      <c r="L379">
        <v>1499</v>
      </c>
      <c r="M379">
        <v>3</v>
      </c>
      <c r="N379" s="1" t="s">
        <v>44</v>
      </c>
      <c r="O379">
        <v>46</v>
      </c>
      <c r="P379">
        <v>3</v>
      </c>
      <c r="Q379">
        <v>1</v>
      </c>
      <c r="R379" s="1" t="s">
        <v>71</v>
      </c>
      <c r="S379">
        <v>3</v>
      </c>
      <c r="T379" s="1" t="s">
        <v>102</v>
      </c>
      <c r="U379">
        <v>2064</v>
      </c>
      <c r="V379" s="1" t="s">
        <v>47</v>
      </c>
      <c r="W379">
        <v>15428</v>
      </c>
      <c r="X379">
        <v>0</v>
      </c>
      <c r="Y379" s="1" t="s">
        <v>48</v>
      </c>
      <c r="Z379" s="1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8">
      <c r="A380" s="1" t="s">
        <v>447</v>
      </c>
      <c r="B380">
        <v>30</v>
      </c>
      <c r="C380" s="1" t="s">
        <v>190</v>
      </c>
      <c r="D380" s="1" t="s">
        <v>40</v>
      </c>
      <c r="E380" s="1" t="s">
        <v>41</v>
      </c>
      <c r="F380">
        <v>740</v>
      </c>
      <c r="G380" s="1" t="s">
        <v>51</v>
      </c>
      <c r="H380">
        <v>1</v>
      </c>
      <c r="I380">
        <v>3</v>
      </c>
      <c r="J380" s="1" t="s">
        <v>43</v>
      </c>
      <c r="K380">
        <v>1</v>
      </c>
      <c r="L380">
        <v>1562</v>
      </c>
      <c r="M380">
        <v>2</v>
      </c>
      <c r="N380" s="1" t="s">
        <v>44</v>
      </c>
      <c r="O380">
        <v>64</v>
      </c>
      <c r="P380">
        <v>2</v>
      </c>
      <c r="Q380">
        <v>2</v>
      </c>
      <c r="R380" s="1" t="s">
        <v>137</v>
      </c>
      <c r="S380">
        <v>1</v>
      </c>
      <c r="T380" s="1" t="s">
        <v>105</v>
      </c>
      <c r="U380">
        <v>9714</v>
      </c>
      <c r="V380" s="1" t="s">
        <v>163</v>
      </c>
      <c r="W380">
        <v>5323</v>
      </c>
      <c r="X380">
        <v>1</v>
      </c>
      <c r="Y380" s="1" t="s">
        <v>48</v>
      </c>
      <c r="Z380" s="1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8">
      <c r="A381" s="1" t="s">
        <v>448</v>
      </c>
      <c r="B381">
        <v>30</v>
      </c>
      <c r="C381" s="1" t="s">
        <v>190</v>
      </c>
      <c r="D381" s="1" t="s">
        <v>49</v>
      </c>
      <c r="E381" s="1" t="s">
        <v>41</v>
      </c>
      <c r="F381">
        <v>1288</v>
      </c>
      <c r="G381" s="1" t="s">
        <v>51</v>
      </c>
      <c r="H381">
        <v>29</v>
      </c>
      <c r="I381">
        <v>4</v>
      </c>
      <c r="J381" s="1" t="s">
        <v>68</v>
      </c>
      <c r="K381">
        <v>1</v>
      </c>
      <c r="L381">
        <v>1568</v>
      </c>
      <c r="M381">
        <v>3</v>
      </c>
      <c r="N381" s="1" t="s">
        <v>44</v>
      </c>
      <c r="O381">
        <v>33</v>
      </c>
      <c r="P381">
        <v>3</v>
      </c>
      <c r="Q381">
        <v>3</v>
      </c>
      <c r="R381" s="1" t="s">
        <v>137</v>
      </c>
      <c r="S381">
        <v>2</v>
      </c>
      <c r="T381" s="1" t="s">
        <v>105</v>
      </c>
      <c r="U381">
        <v>9250</v>
      </c>
      <c r="V381" s="1" t="s">
        <v>163</v>
      </c>
      <c r="W381">
        <v>17799</v>
      </c>
      <c r="X381">
        <v>3</v>
      </c>
      <c r="Y381" s="1" t="s">
        <v>48</v>
      </c>
      <c r="Z381" s="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8">
      <c r="A382" s="1" t="s">
        <v>449</v>
      </c>
      <c r="B382">
        <v>30</v>
      </c>
      <c r="C382" s="1" t="s">
        <v>190</v>
      </c>
      <c r="D382" s="1" t="s">
        <v>49</v>
      </c>
      <c r="E382" s="1" t="s">
        <v>41</v>
      </c>
      <c r="F382">
        <v>241</v>
      </c>
      <c r="G382" s="1" t="s">
        <v>42</v>
      </c>
      <c r="H382">
        <v>7</v>
      </c>
      <c r="I382">
        <v>3</v>
      </c>
      <c r="J382" s="1" t="s">
        <v>52</v>
      </c>
      <c r="K382">
        <v>1</v>
      </c>
      <c r="L382">
        <v>1609</v>
      </c>
      <c r="M382">
        <v>2</v>
      </c>
      <c r="N382" s="1" t="s">
        <v>44</v>
      </c>
      <c r="O382">
        <v>48</v>
      </c>
      <c r="P382">
        <v>2</v>
      </c>
      <c r="Q382">
        <v>1</v>
      </c>
      <c r="R382" s="1" t="s">
        <v>60</v>
      </c>
      <c r="S382">
        <v>2</v>
      </c>
      <c r="T382" s="1" t="s">
        <v>105</v>
      </c>
      <c r="U382">
        <v>2141</v>
      </c>
      <c r="V382" s="1" t="s">
        <v>47</v>
      </c>
      <c r="W382">
        <v>5348</v>
      </c>
      <c r="X382">
        <v>1</v>
      </c>
      <c r="Y382" s="1" t="s">
        <v>48</v>
      </c>
      <c r="Z382" s="1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8">
      <c r="A383" s="1" t="s">
        <v>450</v>
      </c>
      <c r="B383">
        <v>30</v>
      </c>
      <c r="C383" s="1" t="s">
        <v>190</v>
      </c>
      <c r="D383" s="1" t="s">
        <v>49</v>
      </c>
      <c r="E383" s="1" t="s">
        <v>41</v>
      </c>
      <c r="F383">
        <v>793</v>
      </c>
      <c r="G383" s="1" t="s">
        <v>42</v>
      </c>
      <c r="H383">
        <v>16</v>
      </c>
      <c r="I383">
        <v>1</v>
      </c>
      <c r="J383" s="1" t="s">
        <v>43</v>
      </c>
      <c r="K383">
        <v>1</v>
      </c>
      <c r="L383">
        <v>1729</v>
      </c>
      <c r="M383">
        <v>2</v>
      </c>
      <c r="N383" s="1" t="s">
        <v>44</v>
      </c>
      <c r="O383">
        <v>33</v>
      </c>
      <c r="P383">
        <v>3</v>
      </c>
      <c r="Q383">
        <v>1</v>
      </c>
      <c r="R383" s="1" t="s">
        <v>60</v>
      </c>
      <c r="S383">
        <v>4</v>
      </c>
      <c r="T383" s="1" t="s">
        <v>105</v>
      </c>
      <c r="U383">
        <v>2862</v>
      </c>
      <c r="V383" s="1" t="s">
        <v>47</v>
      </c>
      <c r="W383">
        <v>3811</v>
      </c>
      <c r="X383">
        <v>1</v>
      </c>
      <c r="Y383" s="1" t="s">
        <v>48</v>
      </c>
      <c r="Z383" s="1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8">
      <c r="A384" s="1" t="s">
        <v>451</v>
      </c>
      <c r="B384">
        <v>30</v>
      </c>
      <c r="C384" s="1" t="s">
        <v>190</v>
      </c>
      <c r="D384" s="1" t="s">
        <v>49</v>
      </c>
      <c r="E384" s="1" t="s">
        <v>56</v>
      </c>
      <c r="F384">
        <v>1312</v>
      </c>
      <c r="G384" s="1" t="s">
        <v>42</v>
      </c>
      <c r="H384">
        <v>2</v>
      </c>
      <c r="I384">
        <v>4</v>
      </c>
      <c r="J384" s="1" t="s">
        <v>68</v>
      </c>
      <c r="K384">
        <v>1</v>
      </c>
      <c r="L384">
        <v>1745</v>
      </c>
      <c r="M384">
        <v>4</v>
      </c>
      <c r="N384" s="1" t="s">
        <v>53</v>
      </c>
      <c r="O384">
        <v>78</v>
      </c>
      <c r="P384">
        <v>2</v>
      </c>
      <c r="Q384">
        <v>1</v>
      </c>
      <c r="R384" s="1" t="s">
        <v>60</v>
      </c>
      <c r="S384">
        <v>1</v>
      </c>
      <c r="T384" s="1" t="s">
        <v>46</v>
      </c>
      <c r="U384">
        <v>4968</v>
      </c>
      <c r="V384" s="1" t="s">
        <v>47</v>
      </c>
      <c r="W384">
        <v>26427</v>
      </c>
      <c r="X384">
        <v>0</v>
      </c>
      <c r="Y384" s="1" t="s">
        <v>48</v>
      </c>
      <c r="Z384" s="1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8">
      <c r="A385" s="1" t="s">
        <v>452</v>
      </c>
      <c r="B385">
        <v>30</v>
      </c>
      <c r="C385" s="1" t="s">
        <v>190</v>
      </c>
      <c r="D385" s="1" t="s">
        <v>40</v>
      </c>
      <c r="E385" s="1" t="s">
        <v>56</v>
      </c>
      <c r="F385">
        <v>600</v>
      </c>
      <c r="G385" s="1" t="s">
        <v>71</v>
      </c>
      <c r="H385">
        <v>8</v>
      </c>
      <c r="I385">
        <v>3</v>
      </c>
      <c r="J385" s="1" t="s">
        <v>71</v>
      </c>
      <c r="K385">
        <v>1</v>
      </c>
      <c r="L385">
        <v>1747</v>
      </c>
      <c r="M385">
        <v>3</v>
      </c>
      <c r="N385" s="1" t="s">
        <v>53</v>
      </c>
      <c r="O385">
        <v>66</v>
      </c>
      <c r="P385">
        <v>2</v>
      </c>
      <c r="Q385">
        <v>1</v>
      </c>
      <c r="R385" s="1" t="s">
        <v>71</v>
      </c>
      <c r="S385">
        <v>4</v>
      </c>
      <c r="T385" s="1" t="s">
        <v>102</v>
      </c>
      <c r="U385">
        <v>2180</v>
      </c>
      <c r="V385" s="1" t="s">
        <v>47</v>
      </c>
      <c r="W385">
        <v>9732</v>
      </c>
      <c r="X385">
        <v>6</v>
      </c>
      <c r="Y385" s="1" t="s">
        <v>48</v>
      </c>
      <c r="Z385" s="1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8">
      <c r="A386" s="1" t="s">
        <v>453</v>
      </c>
      <c r="B386">
        <v>30</v>
      </c>
      <c r="C386" s="1" t="s">
        <v>190</v>
      </c>
      <c r="D386" s="1" t="s">
        <v>49</v>
      </c>
      <c r="E386" s="1" t="s">
        <v>41</v>
      </c>
      <c r="F386">
        <v>979</v>
      </c>
      <c r="G386" s="1" t="s">
        <v>51</v>
      </c>
      <c r="H386">
        <v>15</v>
      </c>
      <c r="I386">
        <v>2</v>
      </c>
      <c r="J386" s="1" t="s">
        <v>57</v>
      </c>
      <c r="K386">
        <v>1</v>
      </c>
      <c r="L386">
        <v>1754</v>
      </c>
      <c r="M386">
        <v>3</v>
      </c>
      <c r="N386" s="1" t="s">
        <v>44</v>
      </c>
      <c r="O386">
        <v>94</v>
      </c>
      <c r="P386">
        <v>2</v>
      </c>
      <c r="Q386">
        <v>3</v>
      </c>
      <c r="R386" s="1" t="s">
        <v>137</v>
      </c>
      <c r="S386">
        <v>1</v>
      </c>
      <c r="T386" s="1" t="s">
        <v>102</v>
      </c>
      <c r="U386">
        <v>7140</v>
      </c>
      <c r="V386" s="1" t="s">
        <v>163</v>
      </c>
      <c r="W386">
        <v>3088</v>
      </c>
      <c r="X386">
        <v>2</v>
      </c>
      <c r="Y386" s="1" t="s">
        <v>48</v>
      </c>
      <c r="Z386" s="1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8">
      <c r="A387" s="1" t="s">
        <v>454</v>
      </c>
      <c r="B387">
        <v>30</v>
      </c>
      <c r="C387" s="1" t="s">
        <v>190</v>
      </c>
      <c r="D387" s="1" t="s">
        <v>49</v>
      </c>
      <c r="E387" s="1" t="s">
        <v>41</v>
      </c>
      <c r="F387">
        <v>305</v>
      </c>
      <c r="G387" s="1" t="s">
        <v>42</v>
      </c>
      <c r="H387">
        <v>16</v>
      </c>
      <c r="I387">
        <v>3</v>
      </c>
      <c r="J387" s="1" t="s">
        <v>43</v>
      </c>
      <c r="K387">
        <v>1</v>
      </c>
      <c r="L387">
        <v>1763</v>
      </c>
      <c r="M387">
        <v>3</v>
      </c>
      <c r="N387" s="1" t="s">
        <v>44</v>
      </c>
      <c r="O387">
        <v>58</v>
      </c>
      <c r="P387">
        <v>4</v>
      </c>
      <c r="Q387">
        <v>2</v>
      </c>
      <c r="R387" s="1" t="s">
        <v>161</v>
      </c>
      <c r="S387">
        <v>3</v>
      </c>
      <c r="T387" s="1" t="s">
        <v>105</v>
      </c>
      <c r="U387">
        <v>5294</v>
      </c>
      <c r="V387" s="1" t="s">
        <v>163</v>
      </c>
      <c r="W387">
        <v>9128</v>
      </c>
      <c r="X387">
        <v>3</v>
      </c>
      <c r="Y387" s="1" t="s">
        <v>48</v>
      </c>
      <c r="Z387" s="1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8">
      <c r="A388" s="1" t="s">
        <v>455</v>
      </c>
      <c r="B388">
        <v>30</v>
      </c>
      <c r="C388" s="1" t="s">
        <v>190</v>
      </c>
      <c r="D388" s="1" t="s">
        <v>49</v>
      </c>
      <c r="E388" s="1" t="s">
        <v>41</v>
      </c>
      <c r="F388">
        <v>1092</v>
      </c>
      <c r="G388" s="1" t="s">
        <v>42</v>
      </c>
      <c r="H388">
        <v>10</v>
      </c>
      <c r="I388">
        <v>3</v>
      </c>
      <c r="J388" s="1" t="s">
        <v>52</v>
      </c>
      <c r="K388">
        <v>1</v>
      </c>
      <c r="L388">
        <v>1816</v>
      </c>
      <c r="M388">
        <v>1</v>
      </c>
      <c r="N388" s="1" t="s">
        <v>53</v>
      </c>
      <c r="O388">
        <v>64</v>
      </c>
      <c r="P388">
        <v>3</v>
      </c>
      <c r="Q388">
        <v>3</v>
      </c>
      <c r="R388" s="1" t="s">
        <v>112</v>
      </c>
      <c r="S388">
        <v>3</v>
      </c>
      <c r="T388" s="1" t="s">
        <v>46</v>
      </c>
      <c r="U388">
        <v>9667</v>
      </c>
      <c r="V388" s="1" t="s">
        <v>163</v>
      </c>
      <c r="W388">
        <v>2739</v>
      </c>
      <c r="X388">
        <v>9</v>
      </c>
      <c r="Y388" s="1" t="s">
        <v>48</v>
      </c>
      <c r="Z388" s="1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8">
      <c r="A389" s="1" t="s">
        <v>456</v>
      </c>
      <c r="B389">
        <v>30</v>
      </c>
      <c r="C389" s="1" t="s">
        <v>190</v>
      </c>
      <c r="D389" s="1" t="s">
        <v>40</v>
      </c>
      <c r="E389" s="1" t="s">
        <v>41</v>
      </c>
      <c r="F389">
        <v>945</v>
      </c>
      <c r="G389" s="1" t="s">
        <v>51</v>
      </c>
      <c r="H389">
        <v>9</v>
      </c>
      <c r="I389">
        <v>3</v>
      </c>
      <c r="J389" s="1" t="s">
        <v>52</v>
      </c>
      <c r="K389">
        <v>1</v>
      </c>
      <c r="L389">
        <v>1876</v>
      </c>
      <c r="M389">
        <v>2</v>
      </c>
      <c r="N389" s="1" t="s">
        <v>44</v>
      </c>
      <c r="O389">
        <v>89</v>
      </c>
      <c r="P389">
        <v>3</v>
      </c>
      <c r="Q389">
        <v>1</v>
      </c>
      <c r="R389" s="1" t="s">
        <v>54</v>
      </c>
      <c r="S389">
        <v>4</v>
      </c>
      <c r="T389" s="1" t="s">
        <v>46</v>
      </c>
      <c r="U389">
        <v>1081</v>
      </c>
      <c r="V389" s="1" t="s">
        <v>47</v>
      </c>
      <c r="W389">
        <v>16019</v>
      </c>
      <c r="X389">
        <v>1</v>
      </c>
      <c r="Y389" s="1" t="s">
        <v>48</v>
      </c>
      <c r="Z389" s="1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8">
      <c r="A390" s="1" t="s">
        <v>457</v>
      </c>
      <c r="B390">
        <v>30</v>
      </c>
      <c r="C390" s="1" t="s">
        <v>190</v>
      </c>
      <c r="D390" s="1" t="s">
        <v>49</v>
      </c>
      <c r="E390" s="1" t="s">
        <v>41</v>
      </c>
      <c r="F390">
        <v>911</v>
      </c>
      <c r="G390" s="1" t="s">
        <v>42</v>
      </c>
      <c r="H390">
        <v>1</v>
      </c>
      <c r="I390">
        <v>2</v>
      </c>
      <c r="J390" s="1" t="s">
        <v>52</v>
      </c>
      <c r="K390">
        <v>1</v>
      </c>
      <c r="L390">
        <v>1989</v>
      </c>
      <c r="M390">
        <v>4</v>
      </c>
      <c r="N390" s="1" t="s">
        <v>44</v>
      </c>
      <c r="O390">
        <v>76</v>
      </c>
      <c r="P390">
        <v>3</v>
      </c>
      <c r="Q390">
        <v>1</v>
      </c>
      <c r="R390" s="1" t="s">
        <v>45</v>
      </c>
      <c r="S390">
        <v>2</v>
      </c>
      <c r="T390" s="1" t="s">
        <v>105</v>
      </c>
      <c r="U390">
        <v>3748</v>
      </c>
      <c r="V390" s="1" t="s">
        <v>47</v>
      </c>
      <c r="W390">
        <v>4077</v>
      </c>
      <c r="X390">
        <v>1</v>
      </c>
      <c r="Y390" s="1" t="s">
        <v>48</v>
      </c>
      <c r="Z390" s="1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8">
      <c r="A391" s="1" t="s">
        <v>458</v>
      </c>
      <c r="B391">
        <v>31</v>
      </c>
      <c r="C391" s="1" t="s">
        <v>190</v>
      </c>
      <c r="D391" s="1" t="s">
        <v>49</v>
      </c>
      <c r="E391" s="1" t="s">
        <v>41</v>
      </c>
      <c r="F391">
        <v>670</v>
      </c>
      <c r="G391" s="1" t="s">
        <v>42</v>
      </c>
      <c r="H391">
        <v>26</v>
      </c>
      <c r="I391">
        <v>1</v>
      </c>
      <c r="J391" s="1" t="s">
        <v>43</v>
      </c>
      <c r="K391">
        <v>1</v>
      </c>
      <c r="L391">
        <v>16</v>
      </c>
      <c r="M391">
        <v>1</v>
      </c>
      <c r="N391" s="1" t="s">
        <v>44</v>
      </c>
      <c r="O391">
        <v>31</v>
      </c>
      <c r="P391">
        <v>3</v>
      </c>
      <c r="Q391">
        <v>1</v>
      </c>
      <c r="R391" s="1" t="s">
        <v>60</v>
      </c>
      <c r="S391">
        <v>3</v>
      </c>
      <c r="T391" s="1" t="s">
        <v>102</v>
      </c>
      <c r="U391">
        <v>2911</v>
      </c>
      <c r="V391" s="1" t="s">
        <v>47</v>
      </c>
      <c r="W391">
        <v>15170</v>
      </c>
      <c r="X391">
        <v>1</v>
      </c>
      <c r="Y391" s="1" t="s">
        <v>48</v>
      </c>
      <c r="Z391" s="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8">
      <c r="A392" s="1" t="s">
        <v>459</v>
      </c>
      <c r="B392">
        <v>31</v>
      </c>
      <c r="C392" s="1" t="s">
        <v>190</v>
      </c>
      <c r="D392" s="1" t="s">
        <v>49</v>
      </c>
      <c r="E392" s="1" t="s">
        <v>41</v>
      </c>
      <c r="F392">
        <v>655</v>
      </c>
      <c r="G392" s="1" t="s">
        <v>42</v>
      </c>
      <c r="H392">
        <v>7</v>
      </c>
      <c r="I392">
        <v>4</v>
      </c>
      <c r="J392" s="1" t="s">
        <v>43</v>
      </c>
      <c r="K392">
        <v>1</v>
      </c>
      <c r="L392">
        <v>76</v>
      </c>
      <c r="M392">
        <v>4</v>
      </c>
      <c r="N392" s="1" t="s">
        <v>44</v>
      </c>
      <c r="O392">
        <v>48</v>
      </c>
      <c r="P392">
        <v>3</v>
      </c>
      <c r="Q392">
        <v>2</v>
      </c>
      <c r="R392" s="1" t="s">
        <v>45</v>
      </c>
      <c r="S392">
        <v>4</v>
      </c>
      <c r="T392" s="1" t="s">
        <v>102</v>
      </c>
      <c r="U392">
        <v>5915</v>
      </c>
      <c r="V392" s="1" t="s">
        <v>163</v>
      </c>
      <c r="W392">
        <v>9528</v>
      </c>
      <c r="X392">
        <v>3</v>
      </c>
      <c r="Y392" s="1" t="s">
        <v>48</v>
      </c>
      <c r="Z392" s="1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8">
      <c r="A393" s="1" t="s">
        <v>460</v>
      </c>
      <c r="B393">
        <v>31</v>
      </c>
      <c r="C393" s="1" t="s">
        <v>190</v>
      </c>
      <c r="D393" s="1" t="s">
        <v>49</v>
      </c>
      <c r="E393" s="1" t="s">
        <v>41</v>
      </c>
      <c r="F393">
        <v>1082</v>
      </c>
      <c r="G393" s="1" t="s">
        <v>42</v>
      </c>
      <c r="H393">
        <v>1</v>
      </c>
      <c r="I393">
        <v>4</v>
      </c>
      <c r="J393" s="1" t="s">
        <v>52</v>
      </c>
      <c r="K393">
        <v>1</v>
      </c>
      <c r="L393">
        <v>95</v>
      </c>
      <c r="M393">
        <v>3</v>
      </c>
      <c r="N393" s="1" t="s">
        <v>44</v>
      </c>
      <c r="O393">
        <v>87</v>
      </c>
      <c r="P393">
        <v>3</v>
      </c>
      <c r="Q393">
        <v>1</v>
      </c>
      <c r="R393" s="1" t="s">
        <v>60</v>
      </c>
      <c r="S393">
        <v>2</v>
      </c>
      <c r="T393" s="1" t="s">
        <v>46</v>
      </c>
      <c r="U393">
        <v>2501</v>
      </c>
      <c r="V393" s="1" t="s">
        <v>47</v>
      </c>
      <c r="W393">
        <v>18775</v>
      </c>
      <c r="X393">
        <v>1</v>
      </c>
      <c r="Y393" s="1" t="s">
        <v>48</v>
      </c>
      <c r="Z393" s="1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8">
      <c r="A394" s="1" t="s">
        <v>461</v>
      </c>
      <c r="B394">
        <v>31</v>
      </c>
      <c r="C394" s="1" t="s">
        <v>190</v>
      </c>
      <c r="D394" s="1" t="s">
        <v>49</v>
      </c>
      <c r="E394" s="1" t="s">
        <v>41</v>
      </c>
      <c r="F394">
        <v>746</v>
      </c>
      <c r="G394" s="1" t="s">
        <v>42</v>
      </c>
      <c r="H394">
        <v>8</v>
      </c>
      <c r="I394">
        <v>4</v>
      </c>
      <c r="J394" s="1" t="s">
        <v>43</v>
      </c>
      <c r="K394">
        <v>1</v>
      </c>
      <c r="L394">
        <v>98</v>
      </c>
      <c r="M394">
        <v>3</v>
      </c>
      <c r="N394" s="1" t="s">
        <v>53</v>
      </c>
      <c r="O394">
        <v>61</v>
      </c>
      <c r="P394">
        <v>3</v>
      </c>
      <c r="Q394">
        <v>2</v>
      </c>
      <c r="R394" s="1" t="s">
        <v>112</v>
      </c>
      <c r="S394">
        <v>4</v>
      </c>
      <c r="T394" s="1" t="s">
        <v>46</v>
      </c>
      <c r="U394">
        <v>4424</v>
      </c>
      <c r="V394" s="1" t="s">
        <v>47</v>
      </c>
      <c r="W394">
        <v>20682</v>
      </c>
      <c r="X394">
        <v>1</v>
      </c>
      <c r="Y394" s="1" t="s">
        <v>48</v>
      </c>
      <c r="Z394" s="1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8">
      <c r="A395" s="1" t="s">
        <v>462</v>
      </c>
      <c r="B395">
        <v>31</v>
      </c>
      <c r="C395" s="1" t="s">
        <v>190</v>
      </c>
      <c r="D395" s="1" t="s">
        <v>40</v>
      </c>
      <c r="E395" s="1" t="s">
        <v>41</v>
      </c>
      <c r="F395">
        <v>249</v>
      </c>
      <c r="G395" s="1" t="s">
        <v>51</v>
      </c>
      <c r="H395">
        <v>6</v>
      </c>
      <c r="I395">
        <v>4</v>
      </c>
      <c r="J395" s="1" t="s">
        <v>43</v>
      </c>
      <c r="K395">
        <v>1</v>
      </c>
      <c r="L395">
        <v>163</v>
      </c>
      <c r="M395">
        <v>2</v>
      </c>
      <c r="N395" s="1" t="s">
        <v>44</v>
      </c>
      <c r="O395">
        <v>76</v>
      </c>
      <c r="P395">
        <v>1</v>
      </c>
      <c r="Q395">
        <v>2</v>
      </c>
      <c r="R395" s="1" t="s">
        <v>137</v>
      </c>
      <c r="S395">
        <v>3</v>
      </c>
      <c r="T395" s="1" t="s">
        <v>105</v>
      </c>
      <c r="U395">
        <v>6172</v>
      </c>
      <c r="V395" s="1" t="s">
        <v>163</v>
      </c>
      <c r="W395">
        <v>20739</v>
      </c>
      <c r="X395">
        <v>4</v>
      </c>
      <c r="Y395" s="1" t="s">
        <v>48</v>
      </c>
      <c r="Z395" s="1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8">
      <c r="A396" s="1" t="s">
        <v>463</v>
      </c>
      <c r="B396">
        <v>31</v>
      </c>
      <c r="C396" s="1" t="s">
        <v>190</v>
      </c>
      <c r="D396" s="1" t="s">
        <v>40</v>
      </c>
      <c r="E396" s="1" t="s">
        <v>41</v>
      </c>
      <c r="F396">
        <v>542</v>
      </c>
      <c r="G396" s="1" t="s">
        <v>51</v>
      </c>
      <c r="H396">
        <v>20</v>
      </c>
      <c r="I396">
        <v>3</v>
      </c>
      <c r="J396" s="1" t="s">
        <v>43</v>
      </c>
      <c r="K396">
        <v>1</v>
      </c>
      <c r="L396">
        <v>175</v>
      </c>
      <c r="M396">
        <v>2</v>
      </c>
      <c r="N396" s="1" t="s">
        <v>53</v>
      </c>
      <c r="O396">
        <v>71</v>
      </c>
      <c r="P396">
        <v>1</v>
      </c>
      <c r="Q396">
        <v>2</v>
      </c>
      <c r="R396" s="1" t="s">
        <v>137</v>
      </c>
      <c r="S396">
        <v>3</v>
      </c>
      <c r="T396" s="1" t="s">
        <v>105</v>
      </c>
      <c r="U396">
        <v>4559</v>
      </c>
      <c r="V396" s="1" t="s">
        <v>47</v>
      </c>
      <c r="W396">
        <v>24788</v>
      </c>
      <c r="X396">
        <v>3</v>
      </c>
      <c r="Y396" s="1" t="s">
        <v>48</v>
      </c>
      <c r="Z396" s="1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8">
      <c r="A397" s="1" t="s">
        <v>464</v>
      </c>
      <c r="B397">
        <v>31</v>
      </c>
      <c r="C397" s="1" t="s">
        <v>190</v>
      </c>
      <c r="D397" s="1" t="s">
        <v>49</v>
      </c>
      <c r="E397" s="1" t="s">
        <v>41</v>
      </c>
      <c r="F397">
        <v>140</v>
      </c>
      <c r="G397" s="1" t="s">
        <v>42</v>
      </c>
      <c r="H397">
        <v>12</v>
      </c>
      <c r="I397">
        <v>1</v>
      </c>
      <c r="J397" s="1" t="s">
        <v>52</v>
      </c>
      <c r="K397">
        <v>1</v>
      </c>
      <c r="L397">
        <v>246</v>
      </c>
      <c r="M397">
        <v>3</v>
      </c>
      <c r="N397" s="1" t="s">
        <v>53</v>
      </c>
      <c r="O397">
        <v>95</v>
      </c>
      <c r="P397">
        <v>3</v>
      </c>
      <c r="Q397">
        <v>1</v>
      </c>
      <c r="R397" s="1" t="s">
        <v>60</v>
      </c>
      <c r="S397">
        <v>4</v>
      </c>
      <c r="T397" s="1" t="s">
        <v>105</v>
      </c>
      <c r="U397">
        <v>3929</v>
      </c>
      <c r="V397" s="1" t="s">
        <v>47</v>
      </c>
      <c r="W397">
        <v>6984</v>
      </c>
      <c r="X397">
        <v>8</v>
      </c>
      <c r="Y397" s="1" t="s">
        <v>48</v>
      </c>
      <c r="Z397" s="1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8">
      <c r="A398" s="1" t="s">
        <v>465</v>
      </c>
      <c r="B398">
        <v>31</v>
      </c>
      <c r="C398" s="1" t="s">
        <v>190</v>
      </c>
      <c r="D398" s="1" t="s">
        <v>49</v>
      </c>
      <c r="E398" s="1" t="s">
        <v>59</v>
      </c>
      <c r="F398">
        <v>979</v>
      </c>
      <c r="G398" s="1" t="s">
        <v>42</v>
      </c>
      <c r="H398">
        <v>1</v>
      </c>
      <c r="I398">
        <v>4</v>
      </c>
      <c r="J398" s="1" t="s">
        <v>52</v>
      </c>
      <c r="K398">
        <v>1</v>
      </c>
      <c r="L398">
        <v>308</v>
      </c>
      <c r="M398">
        <v>3</v>
      </c>
      <c r="N398" s="1" t="s">
        <v>44</v>
      </c>
      <c r="O398">
        <v>90</v>
      </c>
      <c r="P398">
        <v>1</v>
      </c>
      <c r="Q398">
        <v>2</v>
      </c>
      <c r="R398" s="1" t="s">
        <v>112</v>
      </c>
      <c r="S398">
        <v>3</v>
      </c>
      <c r="T398" s="1" t="s">
        <v>105</v>
      </c>
      <c r="U398">
        <v>4345</v>
      </c>
      <c r="V398" s="1" t="s">
        <v>47</v>
      </c>
      <c r="W398">
        <v>4381</v>
      </c>
      <c r="X398">
        <v>0</v>
      </c>
      <c r="Y398" s="1" t="s">
        <v>48</v>
      </c>
      <c r="Z398" s="1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8">
      <c r="A399" s="1" t="s">
        <v>466</v>
      </c>
      <c r="B399">
        <v>31</v>
      </c>
      <c r="C399" s="1" t="s">
        <v>190</v>
      </c>
      <c r="D399" s="1" t="s">
        <v>49</v>
      </c>
      <c r="E399" s="1" t="s">
        <v>56</v>
      </c>
      <c r="F399">
        <v>1327</v>
      </c>
      <c r="G399" s="1" t="s">
        <v>42</v>
      </c>
      <c r="H399">
        <v>3</v>
      </c>
      <c r="I399">
        <v>4</v>
      </c>
      <c r="J399" s="1" t="s">
        <v>52</v>
      </c>
      <c r="K399">
        <v>1</v>
      </c>
      <c r="L399">
        <v>337</v>
      </c>
      <c r="M399">
        <v>2</v>
      </c>
      <c r="N399" s="1" t="s">
        <v>44</v>
      </c>
      <c r="O399">
        <v>73</v>
      </c>
      <c r="P399">
        <v>3</v>
      </c>
      <c r="Q399">
        <v>3</v>
      </c>
      <c r="R399" s="1" t="s">
        <v>252</v>
      </c>
      <c r="S399">
        <v>3</v>
      </c>
      <c r="T399" s="1" t="s">
        <v>102</v>
      </c>
      <c r="U399">
        <v>13675</v>
      </c>
      <c r="V399" s="1" t="s">
        <v>253</v>
      </c>
      <c r="W399">
        <v>13523</v>
      </c>
      <c r="X399">
        <v>9</v>
      </c>
      <c r="Y399" s="1" t="s">
        <v>48</v>
      </c>
      <c r="Z399" s="1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8">
      <c r="A400" s="1" t="s">
        <v>467</v>
      </c>
      <c r="B400">
        <v>31</v>
      </c>
      <c r="C400" s="1" t="s">
        <v>190</v>
      </c>
      <c r="D400" s="1" t="s">
        <v>40</v>
      </c>
      <c r="E400" s="1" t="s">
        <v>56</v>
      </c>
      <c r="F400">
        <v>307</v>
      </c>
      <c r="G400" s="1" t="s">
        <v>42</v>
      </c>
      <c r="H400">
        <v>29</v>
      </c>
      <c r="I400">
        <v>2</v>
      </c>
      <c r="J400" s="1" t="s">
        <v>52</v>
      </c>
      <c r="K400">
        <v>1</v>
      </c>
      <c r="L400">
        <v>355</v>
      </c>
      <c r="M400">
        <v>3</v>
      </c>
      <c r="N400" s="1" t="s">
        <v>44</v>
      </c>
      <c r="O400">
        <v>71</v>
      </c>
      <c r="P400">
        <v>2</v>
      </c>
      <c r="Q400">
        <v>1</v>
      </c>
      <c r="R400" s="1" t="s">
        <v>45</v>
      </c>
      <c r="S400">
        <v>2</v>
      </c>
      <c r="T400" s="1" t="s">
        <v>46</v>
      </c>
      <c r="U400">
        <v>3479</v>
      </c>
      <c r="V400" s="1" t="s">
        <v>47</v>
      </c>
      <c r="W400">
        <v>11652</v>
      </c>
      <c r="X400">
        <v>0</v>
      </c>
      <c r="Y400" s="1" t="s">
        <v>48</v>
      </c>
      <c r="Z400" s="1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8">
      <c r="A401" s="1" t="s">
        <v>468</v>
      </c>
      <c r="B401">
        <v>31</v>
      </c>
      <c r="C401" s="1" t="s">
        <v>190</v>
      </c>
      <c r="D401" s="1" t="s">
        <v>49</v>
      </c>
      <c r="E401" s="1" t="s">
        <v>41</v>
      </c>
      <c r="F401">
        <v>1463</v>
      </c>
      <c r="G401" s="1" t="s">
        <v>42</v>
      </c>
      <c r="H401">
        <v>23</v>
      </c>
      <c r="I401">
        <v>3</v>
      </c>
      <c r="J401" s="1" t="s">
        <v>52</v>
      </c>
      <c r="K401">
        <v>1</v>
      </c>
      <c r="L401">
        <v>367</v>
      </c>
      <c r="M401">
        <v>2</v>
      </c>
      <c r="N401" s="1" t="s">
        <v>44</v>
      </c>
      <c r="O401">
        <v>64</v>
      </c>
      <c r="P401">
        <v>2</v>
      </c>
      <c r="Q401">
        <v>2</v>
      </c>
      <c r="R401" s="1" t="s">
        <v>161</v>
      </c>
      <c r="S401">
        <v>4</v>
      </c>
      <c r="T401" s="1" t="s">
        <v>105</v>
      </c>
      <c r="U401">
        <v>5582</v>
      </c>
      <c r="V401" s="1" t="s">
        <v>163</v>
      </c>
      <c r="W401">
        <v>14408</v>
      </c>
      <c r="X401">
        <v>0</v>
      </c>
      <c r="Y401" s="1" t="s">
        <v>48</v>
      </c>
      <c r="Z401" s="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8">
      <c r="A402" s="1" t="s">
        <v>469</v>
      </c>
      <c r="B402">
        <v>31</v>
      </c>
      <c r="C402" s="1" t="s">
        <v>190</v>
      </c>
      <c r="D402" s="1" t="s">
        <v>49</v>
      </c>
      <c r="E402" s="1" t="s">
        <v>56</v>
      </c>
      <c r="F402">
        <v>444</v>
      </c>
      <c r="G402" s="1" t="s">
        <v>51</v>
      </c>
      <c r="H402">
        <v>5</v>
      </c>
      <c r="I402">
        <v>3</v>
      </c>
      <c r="J402" s="1" t="s">
        <v>57</v>
      </c>
      <c r="K402">
        <v>1</v>
      </c>
      <c r="L402">
        <v>399</v>
      </c>
      <c r="M402">
        <v>4</v>
      </c>
      <c r="N402" s="1" t="s">
        <v>53</v>
      </c>
      <c r="O402">
        <v>84</v>
      </c>
      <c r="P402">
        <v>3</v>
      </c>
      <c r="Q402">
        <v>1</v>
      </c>
      <c r="R402" s="1" t="s">
        <v>54</v>
      </c>
      <c r="S402">
        <v>2</v>
      </c>
      <c r="T402" s="1" t="s">
        <v>102</v>
      </c>
      <c r="U402">
        <v>2789</v>
      </c>
      <c r="V402" s="1" t="s">
        <v>47</v>
      </c>
      <c r="W402">
        <v>3909</v>
      </c>
      <c r="X402">
        <v>1</v>
      </c>
      <c r="Y402" s="1" t="s">
        <v>48</v>
      </c>
      <c r="Z402" s="1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8">
      <c r="A403" s="1" t="s">
        <v>470</v>
      </c>
      <c r="B403">
        <v>31</v>
      </c>
      <c r="C403" s="1" t="s">
        <v>190</v>
      </c>
      <c r="D403" s="1" t="s">
        <v>49</v>
      </c>
      <c r="E403" s="1" t="s">
        <v>41</v>
      </c>
      <c r="F403">
        <v>218</v>
      </c>
      <c r="G403" s="1" t="s">
        <v>51</v>
      </c>
      <c r="H403">
        <v>7</v>
      </c>
      <c r="I403">
        <v>3</v>
      </c>
      <c r="J403" s="1" t="s">
        <v>68</v>
      </c>
      <c r="K403">
        <v>1</v>
      </c>
      <c r="L403">
        <v>416</v>
      </c>
      <c r="M403">
        <v>2</v>
      </c>
      <c r="N403" s="1" t="s">
        <v>44</v>
      </c>
      <c r="O403">
        <v>100</v>
      </c>
      <c r="P403">
        <v>4</v>
      </c>
      <c r="Q403">
        <v>2</v>
      </c>
      <c r="R403" s="1" t="s">
        <v>137</v>
      </c>
      <c r="S403">
        <v>4</v>
      </c>
      <c r="T403" s="1" t="s">
        <v>105</v>
      </c>
      <c r="U403">
        <v>6929</v>
      </c>
      <c r="V403" s="1" t="s">
        <v>163</v>
      </c>
      <c r="W403">
        <v>12241</v>
      </c>
      <c r="X403">
        <v>4</v>
      </c>
      <c r="Y403" s="1" t="s">
        <v>48</v>
      </c>
      <c r="Z403" s="1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8">
      <c r="A404" s="1" t="s">
        <v>471</v>
      </c>
      <c r="B404">
        <v>31</v>
      </c>
      <c r="C404" s="1" t="s">
        <v>190</v>
      </c>
      <c r="D404" s="1" t="s">
        <v>49</v>
      </c>
      <c r="E404" s="1" t="s">
        <v>41</v>
      </c>
      <c r="F404">
        <v>691</v>
      </c>
      <c r="G404" s="1" t="s">
        <v>42</v>
      </c>
      <c r="H404">
        <v>5</v>
      </c>
      <c r="I404">
        <v>4</v>
      </c>
      <c r="J404" s="1" t="s">
        <v>68</v>
      </c>
      <c r="K404">
        <v>1</v>
      </c>
      <c r="L404">
        <v>423</v>
      </c>
      <c r="M404">
        <v>3</v>
      </c>
      <c r="N404" s="1" t="s">
        <v>44</v>
      </c>
      <c r="O404">
        <v>86</v>
      </c>
      <c r="P404">
        <v>3</v>
      </c>
      <c r="Q404">
        <v>1</v>
      </c>
      <c r="R404" s="1" t="s">
        <v>60</v>
      </c>
      <c r="S404">
        <v>4</v>
      </c>
      <c r="T404" s="1" t="s">
        <v>105</v>
      </c>
      <c r="U404">
        <v>4821</v>
      </c>
      <c r="V404" s="1" t="s">
        <v>47</v>
      </c>
      <c r="W404">
        <v>10077</v>
      </c>
      <c r="X404">
        <v>0</v>
      </c>
      <c r="Y404" s="1" t="s">
        <v>48</v>
      </c>
      <c r="Z404" s="1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8">
      <c r="A405" s="1" t="s">
        <v>472</v>
      </c>
      <c r="B405">
        <v>31</v>
      </c>
      <c r="C405" s="1" t="s">
        <v>190</v>
      </c>
      <c r="D405" s="1" t="s">
        <v>49</v>
      </c>
      <c r="E405" s="1" t="s">
        <v>41</v>
      </c>
      <c r="F405">
        <v>106</v>
      </c>
      <c r="G405" s="1" t="s">
        <v>71</v>
      </c>
      <c r="H405">
        <v>2</v>
      </c>
      <c r="I405">
        <v>3</v>
      </c>
      <c r="J405" s="1" t="s">
        <v>71</v>
      </c>
      <c r="K405">
        <v>1</v>
      </c>
      <c r="L405">
        <v>424</v>
      </c>
      <c r="M405">
        <v>1</v>
      </c>
      <c r="N405" s="1" t="s">
        <v>44</v>
      </c>
      <c r="O405">
        <v>62</v>
      </c>
      <c r="P405">
        <v>2</v>
      </c>
      <c r="Q405">
        <v>2</v>
      </c>
      <c r="R405" s="1" t="s">
        <v>71</v>
      </c>
      <c r="S405">
        <v>1</v>
      </c>
      <c r="T405" s="1" t="s">
        <v>105</v>
      </c>
      <c r="U405">
        <v>6410</v>
      </c>
      <c r="V405" s="1" t="s">
        <v>163</v>
      </c>
      <c r="W405">
        <v>17822</v>
      </c>
      <c r="X405">
        <v>3</v>
      </c>
      <c r="Y405" s="1" t="s">
        <v>48</v>
      </c>
      <c r="Z405" s="1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8">
      <c r="A406" s="1" t="s">
        <v>473</v>
      </c>
      <c r="B406">
        <v>31</v>
      </c>
      <c r="C406" s="1" t="s">
        <v>190</v>
      </c>
      <c r="D406" s="1" t="s">
        <v>49</v>
      </c>
      <c r="E406" s="1" t="s">
        <v>41</v>
      </c>
      <c r="F406">
        <v>192</v>
      </c>
      <c r="G406" s="1" t="s">
        <v>42</v>
      </c>
      <c r="H406">
        <v>2</v>
      </c>
      <c r="I406">
        <v>4</v>
      </c>
      <c r="J406" s="1" t="s">
        <v>43</v>
      </c>
      <c r="K406">
        <v>1</v>
      </c>
      <c r="L406">
        <v>426</v>
      </c>
      <c r="M406">
        <v>3</v>
      </c>
      <c r="N406" s="1" t="s">
        <v>44</v>
      </c>
      <c r="O406">
        <v>32</v>
      </c>
      <c r="P406">
        <v>3</v>
      </c>
      <c r="Q406">
        <v>1</v>
      </c>
      <c r="R406" s="1" t="s">
        <v>60</v>
      </c>
      <c r="S406">
        <v>4</v>
      </c>
      <c r="T406" s="1" t="s">
        <v>102</v>
      </c>
      <c r="U406">
        <v>2695</v>
      </c>
      <c r="V406" s="1" t="s">
        <v>47</v>
      </c>
      <c r="W406">
        <v>7747</v>
      </c>
      <c r="X406">
        <v>0</v>
      </c>
      <c r="Y406" s="1" t="s">
        <v>48</v>
      </c>
      <c r="Z406" s="1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8">
      <c r="A407" s="1" t="s">
        <v>474</v>
      </c>
      <c r="B407">
        <v>31</v>
      </c>
      <c r="C407" s="1" t="s">
        <v>190</v>
      </c>
      <c r="D407" s="1" t="s">
        <v>49</v>
      </c>
      <c r="E407" s="1" t="s">
        <v>41</v>
      </c>
      <c r="F407">
        <v>691</v>
      </c>
      <c r="G407" s="1" t="s">
        <v>51</v>
      </c>
      <c r="H407">
        <v>7</v>
      </c>
      <c r="I407">
        <v>3</v>
      </c>
      <c r="J407" s="1" t="s">
        <v>57</v>
      </c>
      <c r="K407">
        <v>1</v>
      </c>
      <c r="L407">
        <v>438</v>
      </c>
      <c r="M407">
        <v>4</v>
      </c>
      <c r="N407" s="1" t="s">
        <v>44</v>
      </c>
      <c r="O407">
        <v>73</v>
      </c>
      <c r="P407">
        <v>3</v>
      </c>
      <c r="Q407">
        <v>2</v>
      </c>
      <c r="R407" s="1" t="s">
        <v>137</v>
      </c>
      <c r="S407">
        <v>4</v>
      </c>
      <c r="T407" s="1" t="s">
        <v>102</v>
      </c>
      <c r="U407">
        <v>7547</v>
      </c>
      <c r="V407" s="1" t="s">
        <v>163</v>
      </c>
      <c r="W407">
        <v>7143</v>
      </c>
      <c r="X407">
        <v>4</v>
      </c>
      <c r="Y407" s="1" t="s">
        <v>48</v>
      </c>
      <c r="Z407" s="1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8">
      <c r="A408" s="1" t="s">
        <v>475</v>
      </c>
      <c r="B408">
        <v>31</v>
      </c>
      <c r="C408" s="1" t="s">
        <v>190</v>
      </c>
      <c r="D408" s="1" t="s">
        <v>49</v>
      </c>
      <c r="E408" s="1" t="s">
        <v>56</v>
      </c>
      <c r="F408">
        <v>798</v>
      </c>
      <c r="G408" s="1" t="s">
        <v>42</v>
      </c>
      <c r="H408">
        <v>7</v>
      </c>
      <c r="I408">
        <v>2</v>
      </c>
      <c r="J408" s="1" t="s">
        <v>43</v>
      </c>
      <c r="K408">
        <v>1</v>
      </c>
      <c r="L408">
        <v>442</v>
      </c>
      <c r="M408">
        <v>3</v>
      </c>
      <c r="N408" s="1" t="s">
        <v>53</v>
      </c>
      <c r="O408">
        <v>48</v>
      </c>
      <c r="P408">
        <v>2</v>
      </c>
      <c r="Q408">
        <v>3</v>
      </c>
      <c r="R408" s="1" t="s">
        <v>112</v>
      </c>
      <c r="S408">
        <v>3</v>
      </c>
      <c r="T408" s="1" t="s">
        <v>105</v>
      </c>
      <c r="U408">
        <v>8943</v>
      </c>
      <c r="V408" s="1" t="s">
        <v>163</v>
      </c>
      <c r="W408">
        <v>14034</v>
      </c>
      <c r="X408">
        <v>1</v>
      </c>
      <c r="Y408" s="1" t="s">
        <v>48</v>
      </c>
      <c r="Z408" s="1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8">
      <c r="A409" s="1" t="s">
        <v>476</v>
      </c>
      <c r="B409">
        <v>31</v>
      </c>
      <c r="C409" s="1" t="s">
        <v>190</v>
      </c>
      <c r="D409" s="1" t="s">
        <v>49</v>
      </c>
      <c r="E409" s="1" t="s">
        <v>41</v>
      </c>
      <c r="F409">
        <v>1232</v>
      </c>
      <c r="G409" s="1" t="s">
        <v>42</v>
      </c>
      <c r="H409">
        <v>7</v>
      </c>
      <c r="I409">
        <v>4</v>
      </c>
      <c r="J409" s="1" t="s">
        <v>52</v>
      </c>
      <c r="K409">
        <v>1</v>
      </c>
      <c r="L409">
        <v>462</v>
      </c>
      <c r="M409">
        <v>3</v>
      </c>
      <c r="N409" s="1" t="s">
        <v>53</v>
      </c>
      <c r="O409">
        <v>39</v>
      </c>
      <c r="P409">
        <v>3</v>
      </c>
      <c r="Q409">
        <v>3</v>
      </c>
      <c r="R409" s="1" t="s">
        <v>112</v>
      </c>
      <c r="S409">
        <v>4</v>
      </c>
      <c r="T409" s="1" t="s">
        <v>46</v>
      </c>
      <c r="U409">
        <v>7143</v>
      </c>
      <c r="V409" s="1" t="s">
        <v>163</v>
      </c>
      <c r="W409">
        <v>25713</v>
      </c>
      <c r="X409">
        <v>1</v>
      </c>
      <c r="Y409" s="1" t="s">
        <v>48</v>
      </c>
      <c r="Z409" s="1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8">
      <c r="A410" s="1" t="s">
        <v>477</v>
      </c>
      <c r="B410">
        <v>31</v>
      </c>
      <c r="C410" s="1" t="s">
        <v>190</v>
      </c>
      <c r="D410" s="1" t="s">
        <v>49</v>
      </c>
      <c r="E410" s="1" t="s">
        <v>41</v>
      </c>
      <c r="F410">
        <v>408</v>
      </c>
      <c r="G410" s="1" t="s">
        <v>42</v>
      </c>
      <c r="H410">
        <v>9</v>
      </c>
      <c r="I410">
        <v>4</v>
      </c>
      <c r="J410" s="1" t="s">
        <v>43</v>
      </c>
      <c r="K410">
        <v>1</v>
      </c>
      <c r="L410">
        <v>493</v>
      </c>
      <c r="M410">
        <v>3</v>
      </c>
      <c r="N410" s="1" t="s">
        <v>44</v>
      </c>
      <c r="O410">
        <v>42</v>
      </c>
      <c r="P410">
        <v>2</v>
      </c>
      <c r="Q410">
        <v>1</v>
      </c>
      <c r="R410" s="1" t="s">
        <v>60</v>
      </c>
      <c r="S410">
        <v>2</v>
      </c>
      <c r="T410" s="1" t="s">
        <v>46</v>
      </c>
      <c r="U410">
        <v>2657</v>
      </c>
      <c r="V410" s="1" t="s">
        <v>47</v>
      </c>
      <c r="W410">
        <v>7551</v>
      </c>
      <c r="X410">
        <v>0</v>
      </c>
      <c r="Y410" s="1" t="s">
        <v>48</v>
      </c>
      <c r="Z410" s="1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8">
      <c r="A411" s="1" t="s">
        <v>478</v>
      </c>
      <c r="B411">
        <v>31</v>
      </c>
      <c r="C411" s="1" t="s">
        <v>190</v>
      </c>
      <c r="D411" s="1" t="s">
        <v>49</v>
      </c>
      <c r="E411" s="1" t="s">
        <v>41</v>
      </c>
      <c r="F411">
        <v>480</v>
      </c>
      <c r="G411" s="1" t="s">
        <v>42</v>
      </c>
      <c r="H411">
        <v>7</v>
      </c>
      <c r="I411">
        <v>2</v>
      </c>
      <c r="J411" s="1" t="s">
        <v>52</v>
      </c>
      <c r="K411">
        <v>1</v>
      </c>
      <c r="L411">
        <v>524</v>
      </c>
      <c r="M411">
        <v>2</v>
      </c>
      <c r="N411" s="1" t="s">
        <v>53</v>
      </c>
      <c r="O411">
        <v>31</v>
      </c>
      <c r="P411">
        <v>3</v>
      </c>
      <c r="Q411">
        <v>2</v>
      </c>
      <c r="R411" s="1" t="s">
        <v>112</v>
      </c>
      <c r="S411">
        <v>1</v>
      </c>
      <c r="T411" s="1" t="s">
        <v>105</v>
      </c>
      <c r="U411">
        <v>4306</v>
      </c>
      <c r="V411" s="1" t="s">
        <v>47</v>
      </c>
      <c r="W411">
        <v>4156</v>
      </c>
      <c r="X411">
        <v>1</v>
      </c>
      <c r="Y411" s="1" t="s">
        <v>48</v>
      </c>
      <c r="Z411" s="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8">
      <c r="A412" s="1" t="s">
        <v>479</v>
      </c>
      <c r="B412">
        <v>31</v>
      </c>
      <c r="C412" s="1" t="s">
        <v>190</v>
      </c>
      <c r="D412" s="1" t="s">
        <v>49</v>
      </c>
      <c r="E412" s="1" t="s">
        <v>41</v>
      </c>
      <c r="F412">
        <v>329</v>
      </c>
      <c r="G412" s="1" t="s">
        <v>42</v>
      </c>
      <c r="H412">
        <v>1</v>
      </c>
      <c r="I412">
        <v>2</v>
      </c>
      <c r="J412" s="1" t="s">
        <v>43</v>
      </c>
      <c r="K412">
        <v>1</v>
      </c>
      <c r="L412">
        <v>530</v>
      </c>
      <c r="M412">
        <v>4</v>
      </c>
      <c r="N412" s="1" t="s">
        <v>44</v>
      </c>
      <c r="O412">
        <v>98</v>
      </c>
      <c r="P412">
        <v>2</v>
      </c>
      <c r="Q412">
        <v>1</v>
      </c>
      <c r="R412" s="1" t="s">
        <v>45</v>
      </c>
      <c r="S412">
        <v>1</v>
      </c>
      <c r="T412" s="1" t="s">
        <v>105</v>
      </c>
      <c r="U412">
        <v>2218</v>
      </c>
      <c r="V412" s="1" t="s">
        <v>47</v>
      </c>
      <c r="W412">
        <v>16193</v>
      </c>
      <c r="X412">
        <v>1</v>
      </c>
      <c r="Y412" s="1" t="s">
        <v>48</v>
      </c>
      <c r="Z412" s="1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8">
      <c r="A413" s="1" t="s">
        <v>480</v>
      </c>
      <c r="B413">
        <v>31</v>
      </c>
      <c r="C413" s="1" t="s">
        <v>190</v>
      </c>
      <c r="D413" s="1" t="s">
        <v>49</v>
      </c>
      <c r="E413" s="1" t="s">
        <v>41</v>
      </c>
      <c r="F413">
        <v>1274</v>
      </c>
      <c r="G413" s="1" t="s">
        <v>42</v>
      </c>
      <c r="H413">
        <v>9</v>
      </c>
      <c r="I413">
        <v>1</v>
      </c>
      <c r="J413" s="1" t="s">
        <v>43</v>
      </c>
      <c r="K413">
        <v>1</v>
      </c>
      <c r="L413">
        <v>581</v>
      </c>
      <c r="M413">
        <v>3</v>
      </c>
      <c r="N413" s="1" t="s">
        <v>44</v>
      </c>
      <c r="O413">
        <v>33</v>
      </c>
      <c r="P413">
        <v>3</v>
      </c>
      <c r="Q413">
        <v>3</v>
      </c>
      <c r="R413" s="1" t="s">
        <v>112</v>
      </c>
      <c r="S413">
        <v>2</v>
      </c>
      <c r="T413" s="1" t="s">
        <v>102</v>
      </c>
      <c r="U413">
        <v>10648</v>
      </c>
      <c r="V413" s="1" t="s">
        <v>253</v>
      </c>
      <c r="W413">
        <v>14394</v>
      </c>
      <c r="X413">
        <v>1</v>
      </c>
      <c r="Y413" s="1" t="s">
        <v>48</v>
      </c>
      <c r="Z413" s="1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8">
      <c r="A414" s="1" t="s">
        <v>481</v>
      </c>
      <c r="B414">
        <v>31</v>
      </c>
      <c r="C414" s="1" t="s">
        <v>190</v>
      </c>
      <c r="D414" s="1" t="s">
        <v>40</v>
      </c>
      <c r="E414" s="1" t="s">
        <v>56</v>
      </c>
      <c r="F414">
        <v>534</v>
      </c>
      <c r="G414" s="1" t="s">
        <v>42</v>
      </c>
      <c r="H414">
        <v>20</v>
      </c>
      <c r="I414">
        <v>3</v>
      </c>
      <c r="J414" s="1" t="s">
        <v>43</v>
      </c>
      <c r="K414">
        <v>1</v>
      </c>
      <c r="L414">
        <v>587</v>
      </c>
      <c r="M414">
        <v>1</v>
      </c>
      <c r="N414" s="1" t="s">
        <v>44</v>
      </c>
      <c r="O414">
        <v>66</v>
      </c>
      <c r="P414">
        <v>3</v>
      </c>
      <c r="Q414">
        <v>3</v>
      </c>
      <c r="R414" s="1" t="s">
        <v>161</v>
      </c>
      <c r="S414">
        <v>3</v>
      </c>
      <c r="T414" s="1" t="s">
        <v>105</v>
      </c>
      <c r="U414">
        <v>9824</v>
      </c>
      <c r="V414" s="1" t="s">
        <v>163</v>
      </c>
      <c r="W414">
        <v>22908</v>
      </c>
      <c r="X414">
        <v>3</v>
      </c>
      <c r="Y414" s="1" t="s">
        <v>48</v>
      </c>
      <c r="Z414" s="1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8">
      <c r="A415" s="1" t="s">
        <v>482</v>
      </c>
      <c r="B415">
        <v>31</v>
      </c>
      <c r="C415" s="1" t="s">
        <v>190</v>
      </c>
      <c r="D415" s="1" t="s">
        <v>49</v>
      </c>
      <c r="E415" s="1" t="s">
        <v>41</v>
      </c>
      <c r="F415">
        <v>828</v>
      </c>
      <c r="G415" s="1" t="s">
        <v>51</v>
      </c>
      <c r="H415">
        <v>2</v>
      </c>
      <c r="I415">
        <v>1</v>
      </c>
      <c r="J415" s="1" t="s">
        <v>43</v>
      </c>
      <c r="K415">
        <v>1</v>
      </c>
      <c r="L415">
        <v>604</v>
      </c>
      <c r="M415">
        <v>2</v>
      </c>
      <c r="N415" s="1" t="s">
        <v>44</v>
      </c>
      <c r="O415">
        <v>77</v>
      </c>
      <c r="P415">
        <v>3</v>
      </c>
      <c r="Q415">
        <v>2</v>
      </c>
      <c r="R415" s="1" t="s">
        <v>137</v>
      </c>
      <c r="S415">
        <v>4</v>
      </c>
      <c r="T415" s="1" t="s">
        <v>46</v>
      </c>
      <c r="U415">
        <v>6582</v>
      </c>
      <c r="V415" s="1" t="s">
        <v>163</v>
      </c>
      <c r="W415">
        <v>8346</v>
      </c>
      <c r="X415">
        <v>4</v>
      </c>
      <c r="Y415" s="1" t="s">
        <v>48</v>
      </c>
      <c r="Z415" s="1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8">
      <c r="A416" s="1" t="s">
        <v>483</v>
      </c>
      <c r="B416">
        <v>31</v>
      </c>
      <c r="C416" s="1" t="s">
        <v>190</v>
      </c>
      <c r="D416" s="1" t="s">
        <v>49</v>
      </c>
      <c r="E416" s="1" t="s">
        <v>41</v>
      </c>
      <c r="F416">
        <v>688</v>
      </c>
      <c r="G416" s="1" t="s">
        <v>51</v>
      </c>
      <c r="H416">
        <v>7</v>
      </c>
      <c r="I416">
        <v>3</v>
      </c>
      <c r="J416" s="1" t="s">
        <v>43</v>
      </c>
      <c r="K416">
        <v>1</v>
      </c>
      <c r="L416">
        <v>613</v>
      </c>
      <c r="M416">
        <v>3</v>
      </c>
      <c r="N416" s="1" t="s">
        <v>44</v>
      </c>
      <c r="O416">
        <v>44</v>
      </c>
      <c r="P416">
        <v>2</v>
      </c>
      <c r="Q416">
        <v>3</v>
      </c>
      <c r="R416" s="1" t="s">
        <v>442</v>
      </c>
      <c r="S416">
        <v>4</v>
      </c>
      <c r="T416" s="1" t="s">
        <v>102</v>
      </c>
      <c r="U416">
        <v>11557</v>
      </c>
      <c r="V416" s="1" t="s">
        <v>253</v>
      </c>
      <c r="W416">
        <v>25291</v>
      </c>
      <c r="X416">
        <v>9</v>
      </c>
      <c r="Y416" s="1" t="s">
        <v>48</v>
      </c>
      <c r="Z416" s="1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8">
      <c r="A417" s="1" t="s">
        <v>484</v>
      </c>
      <c r="B417">
        <v>31</v>
      </c>
      <c r="C417" s="1" t="s">
        <v>190</v>
      </c>
      <c r="D417" s="1" t="s">
        <v>40</v>
      </c>
      <c r="E417" s="1" t="s">
        <v>41</v>
      </c>
      <c r="F417">
        <v>1365</v>
      </c>
      <c r="G417" s="1" t="s">
        <v>51</v>
      </c>
      <c r="H417">
        <v>13</v>
      </c>
      <c r="I417">
        <v>4</v>
      </c>
      <c r="J417" s="1" t="s">
        <v>52</v>
      </c>
      <c r="K417">
        <v>1</v>
      </c>
      <c r="L417">
        <v>650</v>
      </c>
      <c r="M417">
        <v>2</v>
      </c>
      <c r="N417" s="1" t="s">
        <v>44</v>
      </c>
      <c r="O417">
        <v>46</v>
      </c>
      <c r="P417">
        <v>3</v>
      </c>
      <c r="Q417">
        <v>2</v>
      </c>
      <c r="R417" s="1" t="s">
        <v>137</v>
      </c>
      <c r="S417">
        <v>1</v>
      </c>
      <c r="T417" s="1" t="s">
        <v>102</v>
      </c>
      <c r="U417">
        <v>4233</v>
      </c>
      <c r="V417" s="1" t="s">
        <v>47</v>
      </c>
      <c r="W417">
        <v>11512</v>
      </c>
      <c r="X417">
        <v>2</v>
      </c>
      <c r="Y417" s="1" t="s">
        <v>48</v>
      </c>
      <c r="Z417" s="1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8">
      <c r="A418" s="1" t="s">
        <v>485</v>
      </c>
      <c r="B418">
        <v>31</v>
      </c>
      <c r="C418" s="1" t="s">
        <v>190</v>
      </c>
      <c r="D418" s="1" t="s">
        <v>49</v>
      </c>
      <c r="E418" s="1" t="s">
        <v>41</v>
      </c>
      <c r="F418">
        <v>525</v>
      </c>
      <c r="G418" s="1" t="s">
        <v>51</v>
      </c>
      <c r="H418">
        <v>6</v>
      </c>
      <c r="I418">
        <v>4</v>
      </c>
      <c r="J418" s="1" t="s">
        <v>52</v>
      </c>
      <c r="K418">
        <v>1</v>
      </c>
      <c r="L418">
        <v>653</v>
      </c>
      <c r="M418">
        <v>1</v>
      </c>
      <c r="N418" s="1" t="s">
        <v>44</v>
      </c>
      <c r="O418">
        <v>66</v>
      </c>
      <c r="P418">
        <v>4</v>
      </c>
      <c r="Q418">
        <v>2</v>
      </c>
      <c r="R418" s="1" t="s">
        <v>137</v>
      </c>
      <c r="S418">
        <v>4</v>
      </c>
      <c r="T418" s="1" t="s">
        <v>102</v>
      </c>
      <c r="U418">
        <v>5460</v>
      </c>
      <c r="V418" s="1" t="s">
        <v>163</v>
      </c>
      <c r="W418">
        <v>6219</v>
      </c>
      <c r="X418">
        <v>4</v>
      </c>
      <c r="Y418" s="1" t="s">
        <v>48</v>
      </c>
      <c r="Z418" s="1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8">
      <c r="A419" s="1" t="s">
        <v>486</v>
      </c>
      <c r="B419">
        <v>31</v>
      </c>
      <c r="C419" s="1" t="s">
        <v>190</v>
      </c>
      <c r="D419" s="1" t="s">
        <v>49</v>
      </c>
      <c r="E419" s="1" t="s">
        <v>41</v>
      </c>
      <c r="F419">
        <v>1222</v>
      </c>
      <c r="G419" s="1" t="s">
        <v>42</v>
      </c>
      <c r="H419">
        <v>11</v>
      </c>
      <c r="I419">
        <v>4</v>
      </c>
      <c r="J419" s="1" t="s">
        <v>43</v>
      </c>
      <c r="K419">
        <v>1</v>
      </c>
      <c r="L419">
        <v>895</v>
      </c>
      <c r="M419">
        <v>4</v>
      </c>
      <c r="N419" s="1" t="s">
        <v>44</v>
      </c>
      <c r="O419">
        <v>48</v>
      </c>
      <c r="P419">
        <v>3</v>
      </c>
      <c r="Q419">
        <v>1</v>
      </c>
      <c r="R419" s="1" t="s">
        <v>60</v>
      </c>
      <c r="S419">
        <v>4</v>
      </c>
      <c r="T419" s="1" t="s">
        <v>105</v>
      </c>
      <c r="U419">
        <v>2356</v>
      </c>
      <c r="V419" s="1" t="s">
        <v>47</v>
      </c>
      <c r="W419">
        <v>14871</v>
      </c>
      <c r="X419">
        <v>3</v>
      </c>
      <c r="Y419" s="1" t="s">
        <v>48</v>
      </c>
      <c r="Z419" s="1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8">
      <c r="A420" s="1" t="s">
        <v>487</v>
      </c>
      <c r="B420">
        <v>31</v>
      </c>
      <c r="C420" s="1" t="s">
        <v>190</v>
      </c>
      <c r="D420" s="1" t="s">
        <v>49</v>
      </c>
      <c r="E420" s="1" t="s">
        <v>41</v>
      </c>
      <c r="F420">
        <v>154</v>
      </c>
      <c r="G420" s="1" t="s">
        <v>51</v>
      </c>
      <c r="H420">
        <v>7</v>
      </c>
      <c r="I420">
        <v>4</v>
      </c>
      <c r="J420" s="1" t="s">
        <v>43</v>
      </c>
      <c r="K420">
        <v>1</v>
      </c>
      <c r="L420">
        <v>941</v>
      </c>
      <c r="M420">
        <v>2</v>
      </c>
      <c r="N420" s="1" t="s">
        <v>44</v>
      </c>
      <c r="O420">
        <v>41</v>
      </c>
      <c r="P420">
        <v>2</v>
      </c>
      <c r="Q420">
        <v>1</v>
      </c>
      <c r="R420" s="1" t="s">
        <v>54</v>
      </c>
      <c r="S420">
        <v>3</v>
      </c>
      <c r="T420" s="1" t="s">
        <v>105</v>
      </c>
      <c r="U420">
        <v>2329</v>
      </c>
      <c r="V420" s="1" t="s">
        <v>47</v>
      </c>
      <c r="W420">
        <v>11737</v>
      </c>
      <c r="X420">
        <v>3</v>
      </c>
      <c r="Y420" s="1" t="s">
        <v>48</v>
      </c>
      <c r="Z420" s="1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8">
      <c r="A421" s="1" t="s">
        <v>488</v>
      </c>
      <c r="B421">
        <v>31</v>
      </c>
      <c r="C421" s="1" t="s">
        <v>190</v>
      </c>
      <c r="D421" s="1" t="s">
        <v>49</v>
      </c>
      <c r="E421" s="1" t="s">
        <v>59</v>
      </c>
      <c r="F421">
        <v>1188</v>
      </c>
      <c r="G421" s="1" t="s">
        <v>51</v>
      </c>
      <c r="H421">
        <v>20</v>
      </c>
      <c r="I421">
        <v>2</v>
      </c>
      <c r="J421" s="1" t="s">
        <v>57</v>
      </c>
      <c r="K421">
        <v>1</v>
      </c>
      <c r="L421">
        <v>947</v>
      </c>
      <c r="M421">
        <v>4</v>
      </c>
      <c r="N421" s="1" t="s">
        <v>53</v>
      </c>
      <c r="O421">
        <v>45</v>
      </c>
      <c r="P421">
        <v>3</v>
      </c>
      <c r="Q421">
        <v>2</v>
      </c>
      <c r="R421" s="1" t="s">
        <v>137</v>
      </c>
      <c r="S421">
        <v>3</v>
      </c>
      <c r="T421" s="1" t="s">
        <v>105</v>
      </c>
      <c r="U421">
        <v>6932</v>
      </c>
      <c r="V421" s="1" t="s">
        <v>163</v>
      </c>
      <c r="W421">
        <v>24406</v>
      </c>
      <c r="X421">
        <v>1</v>
      </c>
      <c r="Y421" s="1" t="s">
        <v>48</v>
      </c>
      <c r="Z421" s="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8">
      <c r="A422" s="1" t="s">
        <v>489</v>
      </c>
      <c r="B422">
        <v>31</v>
      </c>
      <c r="C422" s="1" t="s">
        <v>190</v>
      </c>
      <c r="D422" s="1" t="s">
        <v>49</v>
      </c>
      <c r="E422" s="1" t="s">
        <v>41</v>
      </c>
      <c r="F422">
        <v>616</v>
      </c>
      <c r="G422" s="1" t="s">
        <v>42</v>
      </c>
      <c r="H422">
        <v>12</v>
      </c>
      <c r="I422">
        <v>3</v>
      </c>
      <c r="J422" s="1" t="s">
        <v>52</v>
      </c>
      <c r="K422">
        <v>1</v>
      </c>
      <c r="L422">
        <v>961</v>
      </c>
      <c r="M422">
        <v>4</v>
      </c>
      <c r="N422" s="1" t="s">
        <v>53</v>
      </c>
      <c r="O422">
        <v>41</v>
      </c>
      <c r="P422">
        <v>3</v>
      </c>
      <c r="Q422">
        <v>2</v>
      </c>
      <c r="R422" s="1" t="s">
        <v>161</v>
      </c>
      <c r="S422">
        <v>4</v>
      </c>
      <c r="T422" s="1" t="s">
        <v>105</v>
      </c>
      <c r="U422">
        <v>5855</v>
      </c>
      <c r="V422" s="1" t="s">
        <v>163</v>
      </c>
      <c r="W422">
        <v>17369</v>
      </c>
      <c r="X422">
        <v>0</v>
      </c>
      <c r="Y422" s="1" t="s">
        <v>48</v>
      </c>
      <c r="Z422" s="1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8">
      <c r="A423" s="1" t="s">
        <v>490</v>
      </c>
      <c r="B423">
        <v>31</v>
      </c>
      <c r="C423" s="1" t="s">
        <v>190</v>
      </c>
      <c r="D423" s="1" t="s">
        <v>40</v>
      </c>
      <c r="E423" s="1" t="s">
        <v>59</v>
      </c>
      <c r="F423">
        <v>335</v>
      </c>
      <c r="G423" s="1" t="s">
        <v>42</v>
      </c>
      <c r="H423">
        <v>9</v>
      </c>
      <c r="I423">
        <v>2</v>
      </c>
      <c r="J423" s="1" t="s">
        <v>52</v>
      </c>
      <c r="K423">
        <v>1</v>
      </c>
      <c r="L423">
        <v>991</v>
      </c>
      <c r="M423">
        <v>3</v>
      </c>
      <c r="N423" s="1" t="s">
        <v>44</v>
      </c>
      <c r="O423">
        <v>46</v>
      </c>
      <c r="P423">
        <v>2</v>
      </c>
      <c r="Q423">
        <v>1</v>
      </c>
      <c r="R423" s="1" t="s">
        <v>60</v>
      </c>
      <c r="S423">
        <v>1</v>
      </c>
      <c r="T423" s="1" t="s">
        <v>46</v>
      </c>
      <c r="U423">
        <v>2321</v>
      </c>
      <c r="V423" s="1" t="s">
        <v>47</v>
      </c>
      <c r="W423">
        <v>10322</v>
      </c>
      <c r="X423">
        <v>0</v>
      </c>
      <c r="Y423" s="1" t="s">
        <v>48</v>
      </c>
      <c r="Z423" s="1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8">
      <c r="A424" s="1" t="s">
        <v>491</v>
      </c>
      <c r="B424">
        <v>31</v>
      </c>
      <c r="C424" s="1" t="s">
        <v>190</v>
      </c>
      <c r="D424" s="1" t="s">
        <v>49</v>
      </c>
      <c r="E424" s="1" t="s">
        <v>56</v>
      </c>
      <c r="F424">
        <v>853</v>
      </c>
      <c r="G424" s="1" t="s">
        <v>42</v>
      </c>
      <c r="H424">
        <v>1</v>
      </c>
      <c r="I424">
        <v>1</v>
      </c>
      <c r="J424" s="1" t="s">
        <v>43</v>
      </c>
      <c r="K424">
        <v>1</v>
      </c>
      <c r="L424">
        <v>1011</v>
      </c>
      <c r="M424">
        <v>3</v>
      </c>
      <c r="N424" s="1" t="s">
        <v>53</v>
      </c>
      <c r="O424">
        <v>96</v>
      </c>
      <c r="P424">
        <v>3</v>
      </c>
      <c r="Q424">
        <v>2</v>
      </c>
      <c r="R424" s="1" t="s">
        <v>112</v>
      </c>
      <c r="S424">
        <v>1</v>
      </c>
      <c r="T424" s="1" t="s">
        <v>105</v>
      </c>
      <c r="U424">
        <v>4148</v>
      </c>
      <c r="V424" s="1" t="s">
        <v>47</v>
      </c>
      <c r="W424">
        <v>11275</v>
      </c>
      <c r="X424">
        <v>1</v>
      </c>
      <c r="Y424" s="1" t="s">
        <v>48</v>
      </c>
      <c r="Z424" s="1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8">
      <c r="A425" s="1" t="s">
        <v>492</v>
      </c>
      <c r="B425">
        <v>31</v>
      </c>
      <c r="C425" s="1" t="s">
        <v>190</v>
      </c>
      <c r="D425" s="1" t="s">
        <v>49</v>
      </c>
      <c r="E425" s="1" t="s">
        <v>56</v>
      </c>
      <c r="F425">
        <v>793</v>
      </c>
      <c r="G425" s="1" t="s">
        <v>51</v>
      </c>
      <c r="H425">
        <v>20</v>
      </c>
      <c r="I425">
        <v>3</v>
      </c>
      <c r="J425" s="1" t="s">
        <v>43</v>
      </c>
      <c r="K425">
        <v>1</v>
      </c>
      <c r="L425">
        <v>1135</v>
      </c>
      <c r="M425">
        <v>3</v>
      </c>
      <c r="N425" s="1" t="s">
        <v>44</v>
      </c>
      <c r="O425">
        <v>67</v>
      </c>
      <c r="P425">
        <v>4</v>
      </c>
      <c r="Q425">
        <v>1</v>
      </c>
      <c r="R425" s="1" t="s">
        <v>54</v>
      </c>
      <c r="S425">
        <v>4</v>
      </c>
      <c r="T425" s="1" t="s">
        <v>105</v>
      </c>
      <c r="U425">
        <v>2791</v>
      </c>
      <c r="V425" s="1" t="s">
        <v>47</v>
      </c>
      <c r="W425">
        <v>21981</v>
      </c>
      <c r="X425">
        <v>0</v>
      </c>
      <c r="Y425" s="1" t="s">
        <v>48</v>
      </c>
      <c r="Z425" s="1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8">
      <c r="A426" s="1" t="s">
        <v>493</v>
      </c>
      <c r="B426">
        <v>31</v>
      </c>
      <c r="C426" s="1" t="s">
        <v>190</v>
      </c>
      <c r="D426" s="1" t="s">
        <v>40</v>
      </c>
      <c r="E426" s="1" t="s">
        <v>56</v>
      </c>
      <c r="F426">
        <v>874</v>
      </c>
      <c r="G426" s="1" t="s">
        <v>42</v>
      </c>
      <c r="H426">
        <v>15</v>
      </c>
      <c r="I426">
        <v>3</v>
      </c>
      <c r="J426" s="1" t="s">
        <v>52</v>
      </c>
      <c r="K426">
        <v>1</v>
      </c>
      <c r="L426">
        <v>1160</v>
      </c>
      <c r="M426">
        <v>3</v>
      </c>
      <c r="N426" s="1" t="s">
        <v>44</v>
      </c>
      <c r="O426">
        <v>72</v>
      </c>
      <c r="P426">
        <v>3</v>
      </c>
      <c r="Q426">
        <v>1</v>
      </c>
      <c r="R426" s="1" t="s">
        <v>45</v>
      </c>
      <c r="S426">
        <v>3</v>
      </c>
      <c r="T426" s="1" t="s">
        <v>105</v>
      </c>
      <c r="U426">
        <v>2610</v>
      </c>
      <c r="V426" s="1" t="s">
        <v>47</v>
      </c>
      <c r="W426">
        <v>6233</v>
      </c>
      <c r="X426">
        <v>1</v>
      </c>
      <c r="Y426" s="1" t="s">
        <v>48</v>
      </c>
      <c r="Z426" s="1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8">
      <c r="A427" s="1" t="s">
        <v>494</v>
      </c>
      <c r="B427">
        <v>31</v>
      </c>
      <c r="C427" s="1" t="s">
        <v>190</v>
      </c>
      <c r="D427" s="1" t="s">
        <v>49</v>
      </c>
      <c r="E427" s="1" t="s">
        <v>41</v>
      </c>
      <c r="F427">
        <v>1332</v>
      </c>
      <c r="G427" s="1" t="s">
        <v>42</v>
      </c>
      <c r="H427">
        <v>11</v>
      </c>
      <c r="I427">
        <v>2</v>
      </c>
      <c r="J427" s="1" t="s">
        <v>52</v>
      </c>
      <c r="K427">
        <v>1</v>
      </c>
      <c r="L427">
        <v>1251</v>
      </c>
      <c r="M427">
        <v>3</v>
      </c>
      <c r="N427" s="1" t="s">
        <v>44</v>
      </c>
      <c r="O427">
        <v>80</v>
      </c>
      <c r="P427">
        <v>3</v>
      </c>
      <c r="Q427">
        <v>2</v>
      </c>
      <c r="R427" s="1" t="s">
        <v>161</v>
      </c>
      <c r="S427">
        <v>1</v>
      </c>
      <c r="T427" s="1" t="s">
        <v>105</v>
      </c>
      <c r="U427">
        <v>6833</v>
      </c>
      <c r="V427" s="1" t="s">
        <v>163</v>
      </c>
      <c r="W427">
        <v>17089</v>
      </c>
      <c r="X427">
        <v>1</v>
      </c>
      <c r="Y427" s="1" t="s">
        <v>48</v>
      </c>
      <c r="Z427" s="1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8">
      <c r="A428" s="1" t="s">
        <v>495</v>
      </c>
      <c r="B428">
        <v>31</v>
      </c>
      <c r="C428" s="1" t="s">
        <v>190</v>
      </c>
      <c r="D428" s="1" t="s">
        <v>49</v>
      </c>
      <c r="E428" s="1" t="s">
        <v>41</v>
      </c>
      <c r="F428">
        <v>1062</v>
      </c>
      <c r="G428" s="1" t="s">
        <v>42</v>
      </c>
      <c r="H428">
        <v>24</v>
      </c>
      <c r="I428">
        <v>3</v>
      </c>
      <c r="J428" s="1" t="s">
        <v>52</v>
      </c>
      <c r="K428">
        <v>1</v>
      </c>
      <c r="L428">
        <v>1252</v>
      </c>
      <c r="M428">
        <v>3</v>
      </c>
      <c r="N428" s="1" t="s">
        <v>53</v>
      </c>
      <c r="O428">
        <v>96</v>
      </c>
      <c r="P428">
        <v>2</v>
      </c>
      <c r="Q428">
        <v>2</v>
      </c>
      <c r="R428" s="1" t="s">
        <v>161</v>
      </c>
      <c r="S428">
        <v>1</v>
      </c>
      <c r="T428" s="1" t="s">
        <v>46</v>
      </c>
      <c r="U428">
        <v>6812</v>
      </c>
      <c r="V428" s="1" t="s">
        <v>163</v>
      </c>
      <c r="W428">
        <v>17198</v>
      </c>
      <c r="X428">
        <v>1</v>
      </c>
      <c r="Y428" s="1" t="s">
        <v>48</v>
      </c>
      <c r="Z428" s="1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8">
      <c r="A429" s="1" t="s">
        <v>496</v>
      </c>
      <c r="B429">
        <v>31</v>
      </c>
      <c r="C429" s="1" t="s">
        <v>190</v>
      </c>
      <c r="D429" s="1" t="s">
        <v>49</v>
      </c>
      <c r="E429" s="1" t="s">
        <v>59</v>
      </c>
      <c r="F429">
        <v>587</v>
      </c>
      <c r="G429" s="1" t="s">
        <v>51</v>
      </c>
      <c r="H429">
        <v>2</v>
      </c>
      <c r="I429">
        <v>4</v>
      </c>
      <c r="J429" s="1" t="s">
        <v>43</v>
      </c>
      <c r="K429">
        <v>1</v>
      </c>
      <c r="L429">
        <v>1324</v>
      </c>
      <c r="M429">
        <v>4</v>
      </c>
      <c r="N429" s="1" t="s">
        <v>53</v>
      </c>
      <c r="O429">
        <v>57</v>
      </c>
      <c r="P429">
        <v>3</v>
      </c>
      <c r="Q429">
        <v>3</v>
      </c>
      <c r="R429" s="1" t="s">
        <v>137</v>
      </c>
      <c r="S429">
        <v>3</v>
      </c>
      <c r="T429" s="1" t="s">
        <v>102</v>
      </c>
      <c r="U429">
        <v>9852</v>
      </c>
      <c r="V429" s="1" t="s">
        <v>163</v>
      </c>
      <c r="W429">
        <v>8935</v>
      </c>
      <c r="X429">
        <v>1</v>
      </c>
      <c r="Y429" s="1" t="s">
        <v>48</v>
      </c>
      <c r="Z429" s="1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8">
      <c r="A430" s="1" t="s">
        <v>497</v>
      </c>
      <c r="B430">
        <v>31</v>
      </c>
      <c r="C430" s="1" t="s">
        <v>190</v>
      </c>
      <c r="D430" s="1" t="s">
        <v>40</v>
      </c>
      <c r="E430" s="1" t="s">
        <v>56</v>
      </c>
      <c r="F430">
        <v>1060</v>
      </c>
      <c r="G430" s="1" t="s">
        <v>51</v>
      </c>
      <c r="H430">
        <v>1</v>
      </c>
      <c r="I430">
        <v>3</v>
      </c>
      <c r="J430" s="1" t="s">
        <v>43</v>
      </c>
      <c r="K430">
        <v>1</v>
      </c>
      <c r="L430">
        <v>1331</v>
      </c>
      <c r="M430">
        <v>4</v>
      </c>
      <c r="N430" s="1" t="s">
        <v>53</v>
      </c>
      <c r="O430">
        <v>54</v>
      </c>
      <c r="P430">
        <v>3</v>
      </c>
      <c r="Q430">
        <v>1</v>
      </c>
      <c r="R430" s="1" t="s">
        <v>54</v>
      </c>
      <c r="S430">
        <v>2</v>
      </c>
      <c r="T430" s="1" t="s">
        <v>46</v>
      </c>
      <c r="U430">
        <v>2302</v>
      </c>
      <c r="V430" s="1" t="s">
        <v>47</v>
      </c>
      <c r="W430">
        <v>8319</v>
      </c>
      <c r="X430">
        <v>1</v>
      </c>
      <c r="Y430" s="1" t="s">
        <v>48</v>
      </c>
      <c r="Z430" s="1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8">
      <c r="A431" s="1" t="s">
        <v>498</v>
      </c>
      <c r="B431">
        <v>31</v>
      </c>
      <c r="C431" s="1" t="s">
        <v>190</v>
      </c>
      <c r="D431" s="1" t="s">
        <v>40</v>
      </c>
      <c r="E431" s="1" t="s">
        <v>56</v>
      </c>
      <c r="F431">
        <v>703</v>
      </c>
      <c r="G431" s="1" t="s">
        <v>51</v>
      </c>
      <c r="H431">
        <v>2</v>
      </c>
      <c r="I431">
        <v>3</v>
      </c>
      <c r="J431" s="1" t="s">
        <v>43</v>
      </c>
      <c r="K431">
        <v>1</v>
      </c>
      <c r="L431">
        <v>1379</v>
      </c>
      <c r="M431">
        <v>3</v>
      </c>
      <c r="N431" s="1" t="s">
        <v>53</v>
      </c>
      <c r="O431">
        <v>90</v>
      </c>
      <c r="P431">
        <v>2</v>
      </c>
      <c r="Q431">
        <v>1</v>
      </c>
      <c r="R431" s="1" t="s">
        <v>54</v>
      </c>
      <c r="S431">
        <v>4</v>
      </c>
      <c r="T431" s="1" t="s">
        <v>46</v>
      </c>
      <c r="U431">
        <v>2785</v>
      </c>
      <c r="V431" s="1" t="s">
        <v>47</v>
      </c>
      <c r="W431">
        <v>11882</v>
      </c>
      <c r="X431">
        <v>7</v>
      </c>
      <c r="Y431" s="1" t="s">
        <v>48</v>
      </c>
      <c r="Z431" s="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8">
      <c r="A432" s="1" t="s">
        <v>499</v>
      </c>
      <c r="B432">
        <v>31</v>
      </c>
      <c r="C432" s="1" t="s">
        <v>190</v>
      </c>
      <c r="D432" s="1" t="s">
        <v>40</v>
      </c>
      <c r="E432" s="1" t="s">
        <v>41</v>
      </c>
      <c r="F432">
        <v>330</v>
      </c>
      <c r="G432" s="1" t="s">
        <v>42</v>
      </c>
      <c r="H432">
        <v>22</v>
      </c>
      <c r="I432">
        <v>4</v>
      </c>
      <c r="J432" s="1" t="s">
        <v>52</v>
      </c>
      <c r="K432">
        <v>1</v>
      </c>
      <c r="L432">
        <v>1389</v>
      </c>
      <c r="M432">
        <v>4</v>
      </c>
      <c r="N432" s="1" t="s">
        <v>44</v>
      </c>
      <c r="O432">
        <v>98</v>
      </c>
      <c r="P432">
        <v>3</v>
      </c>
      <c r="Q432">
        <v>2</v>
      </c>
      <c r="R432" s="1" t="s">
        <v>112</v>
      </c>
      <c r="S432">
        <v>3</v>
      </c>
      <c r="T432" s="1" t="s">
        <v>105</v>
      </c>
      <c r="U432">
        <v>6179</v>
      </c>
      <c r="V432" s="1" t="s">
        <v>163</v>
      </c>
      <c r="W432">
        <v>21057</v>
      </c>
      <c r="X432">
        <v>1</v>
      </c>
      <c r="Y432" s="1" t="s">
        <v>48</v>
      </c>
      <c r="Z432" s="1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8">
      <c r="A433" s="1" t="s">
        <v>500</v>
      </c>
      <c r="B433">
        <v>31</v>
      </c>
      <c r="C433" s="1" t="s">
        <v>190</v>
      </c>
      <c r="D433" s="1" t="s">
        <v>40</v>
      </c>
      <c r="E433" s="1" t="s">
        <v>56</v>
      </c>
      <c r="F433">
        <v>667</v>
      </c>
      <c r="G433" s="1" t="s">
        <v>51</v>
      </c>
      <c r="H433">
        <v>1</v>
      </c>
      <c r="I433">
        <v>4</v>
      </c>
      <c r="J433" s="1" t="s">
        <v>43</v>
      </c>
      <c r="K433">
        <v>1</v>
      </c>
      <c r="L433">
        <v>1427</v>
      </c>
      <c r="M433">
        <v>2</v>
      </c>
      <c r="N433" s="1" t="s">
        <v>53</v>
      </c>
      <c r="O433">
        <v>50</v>
      </c>
      <c r="P433">
        <v>1</v>
      </c>
      <c r="Q433">
        <v>1</v>
      </c>
      <c r="R433" s="1" t="s">
        <v>54</v>
      </c>
      <c r="S433">
        <v>3</v>
      </c>
      <c r="T433" s="1" t="s">
        <v>46</v>
      </c>
      <c r="U433">
        <v>1359</v>
      </c>
      <c r="V433" s="1" t="s">
        <v>47</v>
      </c>
      <c r="W433">
        <v>16154</v>
      </c>
      <c r="X433">
        <v>1</v>
      </c>
      <c r="Y433" s="1" t="s">
        <v>48</v>
      </c>
      <c r="Z433" s="1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8">
      <c r="A434" s="1" t="s">
        <v>501</v>
      </c>
      <c r="B434">
        <v>31</v>
      </c>
      <c r="C434" s="1" t="s">
        <v>190</v>
      </c>
      <c r="D434" s="1" t="s">
        <v>49</v>
      </c>
      <c r="E434" s="1" t="s">
        <v>41</v>
      </c>
      <c r="F434">
        <v>182</v>
      </c>
      <c r="G434" s="1" t="s">
        <v>42</v>
      </c>
      <c r="H434">
        <v>8</v>
      </c>
      <c r="I434">
        <v>5</v>
      </c>
      <c r="J434" s="1" t="s">
        <v>43</v>
      </c>
      <c r="K434">
        <v>1</v>
      </c>
      <c r="L434">
        <v>1430</v>
      </c>
      <c r="M434">
        <v>1</v>
      </c>
      <c r="N434" s="1" t="s">
        <v>53</v>
      </c>
      <c r="O434">
        <v>93</v>
      </c>
      <c r="P434">
        <v>3</v>
      </c>
      <c r="Q434">
        <v>4</v>
      </c>
      <c r="R434" s="1" t="s">
        <v>252</v>
      </c>
      <c r="S434">
        <v>2</v>
      </c>
      <c r="T434" s="1" t="s">
        <v>46</v>
      </c>
      <c r="U434">
        <v>16422</v>
      </c>
      <c r="V434" s="1" t="s">
        <v>368</v>
      </c>
      <c r="W434">
        <v>8847</v>
      </c>
      <c r="X434">
        <v>3</v>
      </c>
      <c r="Y434" s="1" t="s">
        <v>48</v>
      </c>
      <c r="Z434" s="1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8">
      <c r="A435" s="1" t="s">
        <v>502</v>
      </c>
      <c r="B435">
        <v>31</v>
      </c>
      <c r="C435" s="1" t="s">
        <v>190</v>
      </c>
      <c r="D435" s="1" t="s">
        <v>40</v>
      </c>
      <c r="E435" s="1" t="s">
        <v>41</v>
      </c>
      <c r="F435">
        <v>202</v>
      </c>
      <c r="G435" s="1" t="s">
        <v>42</v>
      </c>
      <c r="H435">
        <v>8</v>
      </c>
      <c r="I435">
        <v>3</v>
      </c>
      <c r="J435" s="1" t="s">
        <v>43</v>
      </c>
      <c r="K435">
        <v>1</v>
      </c>
      <c r="L435">
        <v>1433</v>
      </c>
      <c r="M435">
        <v>1</v>
      </c>
      <c r="N435" s="1" t="s">
        <v>53</v>
      </c>
      <c r="O435">
        <v>34</v>
      </c>
      <c r="P435">
        <v>2</v>
      </c>
      <c r="Q435">
        <v>1</v>
      </c>
      <c r="R435" s="1" t="s">
        <v>60</v>
      </c>
      <c r="S435">
        <v>2</v>
      </c>
      <c r="T435" s="1" t="s">
        <v>46</v>
      </c>
      <c r="U435">
        <v>1261</v>
      </c>
      <c r="V435" s="1" t="s">
        <v>47</v>
      </c>
      <c r="W435">
        <v>22262</v>
      </c>
      <c r="X435">
        <v>1</v>
      </c>
      <c r="Y435" s="1" t="s">
        <v>48</v>
      </c>
      <c r="Z435" s="1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8">
      <c r="A436" s="1" t="s">
        <v>503</v>
      </c>
      <c r="B436">
        <v>31</v>
      </c>
      <c r="C436" s="1" t="s">
        <v>190</v>
      </c>
      <c r="D436" s="1" t="s">
        <v>49</v>
      </c>
      <c r="E436" s="1" t="s">
        <v>41</v>
      </c>
      <c r="F436">
        <v>326</v>
      </c>
      <c r="G436" s="1" t="s">
        <v>51</v>
      </c>
      <c r="H436">
        <v>8</v>
      </c>
      <c r="I436">
        <v>2</v>
      </c>
      <c r="J436" s="1" t="s">
        <v>43</v>
      </c>
      <c r="K436">
        <v>1</v>
      </c>
      <c r="L436">
        <v>1453</v>
      </c>
      <c r="M436">
        <v>1</v>
      </c>
      <c r="N436" s="1" t="s">
        <v>44</v>
      </c>
      <c r="O436">
        <v>31</v>
      </c>
      <c r="P436">
        <v>3</v>
      </c>
      <c r="Q436">
        <v>3</v>
      </c>
      <c r="R436" s="1" t="s">
        <v>137</v>
      </c>
      <c r="S436">
        <v>4</v>
      </c>
      <c r="T436" s="1" t="s">
        <v>102</v>
      </c>
      <c r="U436">
        <v>10793</v>
      </c>
      <c r="V436" s="1" t="s">
        <v>253</v>
      </c>
      <c r="W436">
        <v>8386</v>
      </c>
      <c r="X436">
        <v>1</v>
      </c>
      <c r="Y436" s="1" t="s">
        <v>48</v>
      </c>
      <c r="Z436" s="1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8">
      <c r="A437" s="1" t="s">
        <v>504</v>
      </c>
      <c r="B437">
        <v>31</v>
      </c>
      <c r="C437" s="1" t="s">
        <v>190</v>
      </c>
      <c r="D437" s="1" t="s">
        <v>40</v>
      </c>
      <c r="E437" s="1" t="s">
        <v>56</v>
      </c>
      <c r="F437">
        <v>1445</v>
      </c>
      <c r="G437" s="1" t="s">
        <v>42</v>
      </c>
      <c r="H437">
        <v>1</v>
      </c>
      <c r="I437">
        <v>5</v>
      </c>
      <c r="J437" s="1" t="s">
        <v>43</v>
      </c>
      <c r="K437">
        <v>1</v>
      </c>
      <c r="L437">
        <v>1459</v>
      </c>
      <c r="M437">
        <v>3</v>
      </c>
      <c r="N437" s="1" t="s">
        <v>53</v>
      </c>
      <c r="O437">
        <v>100</v>
      </c>
      <c r="P437">
        <v>4</v>
      </c>
      <c r="Q437">
        <v>3</v>
      </c>
      <c r="R437" s="1" t="s">
        <v>112</v>
      </c>
      <c r="S437">
        <v>2</v>
      </c>
      <c r="T437" s="1" t="s">
        <v>46</v>
      </c>
      <c r="U437">
        <v>7446</v>
      </c>
      <c r="V437" s="1" t="s">
        <v>163</v>
      </c>
      <c r="W437">
        <v>8931</v>
      </c>
      <c r="X437">
        <v>1</v>
      </c>
      <c r="Y437" s="1" t="s">
        <v>48</v>
      </c>
      <c r="Z437" s="1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8">
      <c r="A438" s="1" t="s">
        <v>505</v>
      </c>
      <c r="B438">
        <v>31</v>
      </c>
      <c r="C438" s="1" t="s">
        <v>190</v>
      </c>
      <c r="D438" s="1" t="s">
        <v>49</v>
      </c>
      <c r="E438" s="1" t="s">
        <v>41</v>
      </c>
      <c r="F438">
        <v>1398</v>
      </c>
      <c r="G438" s="1" t="s">
        <v>71</v>
      </c>
      <c r="H438">
        <v>8</v>
      </c>
      <c r="I438">
        <v>2</v>
      </c>
      <c r="J438" s="1" t="s">
        <v>52</v>
      </c>
      <c r="K438">
        <v>1</v>
      </c>
      <c r="L438">
        <v>1461</v>
      </c>
      <c r="M438">
        <v>4</v>
      </c>
      <c r="N438" s="1" t="s">
        <v>53</v>
      </c>
      <c r="O438">
        <v>96</v>
      </c>
      <c r="P438">
        <v>4</v>
      </c>
      <c r="Q438">
        <v>1</v>
      </c>
      <c r="R438" s="1" t="s">
        <v>71</v>
      </c>
      <c r="S438">
        <v>2</v>
      </c>
      <c r="T438" s="1" t="s">
        <v>46</v>
      </c>
      <c r="U438">
        <v>2109</v>
      </c>
      <c r="V438" s="1" t="s">
        <v>47</v>
      </c>
      <c r="W438">
        <v>24609</v>
      </c>
      <c r="X438">
        <v>9</v>
      </c>
      <c r="Y438" s="1" t="s">
        <v>48</v>
      </c>
      <c r="Z438" s="1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8">
      <c r="A439" s="1" t="s">
        <v>506</v>
      </c>
      <c r="B439">
        <v>31</v>
      </c>
      <c r="C439" s="1" t="s">
        <v>190</v>
      </c>
      <c r="D439" s="1" t="s">
        <v>40</v>
      </c>
      <c r="E439" s="1" t="s">
        <v>56</v>
      </c>
      <c r="F439">
        <v>523</v>
      </c>
      <c r="G439" s="1" t="s">
        <v>42</v>
      </c>
      <c r="H439">
        <v>2</v>
      </c>
      <c r="I439">
        <v>3</v>
      </c>
      <c r="J439" s="1" t="s">
        <v>43</v>
      </c>
      <c r="K439">
        <v>1</v>
      </c>
      <c r="L439">
        <v>1464</v>
      </c>
      <c r="M439">
        <v>2</v>
      </c>
      <c r="N439" s="1" t="s">
        <v>44</v>
      </c>
      <c r="O439">
        <v>94</v>
      </c>
      <c r="P439">
        <v>3</v>
      </c>
      <c r="Q439">
        <v>1</v>
      </c>
      <c r="R439" s="1" t="s">
        <v>45</v>
      </c>
      <c r="S439">
        <v>4</v>
      </c>
      <c r="T439" s="1" t="s">
        <v>105</v>
      </c>
      <c r="U439">
        <v>3722</v>
      </c>
      <c r="V439" s="1" t="s">
        <v>47</v>
      </c>
      <c r="W439">
        <v>21081</v>
      </c>
      <c r="X439">
        <v>6</v>
      </c>
      <c r="Y439" s="1" t="s">
        <v>48</v>
      </c>
      <c r="Z439" s="1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8">
      <c r="A440" s="1" t="s">
        <v>507</v>
      </c>
      <c r="B440">
        <v>31</v>
      </c>
      <c r="C440" s="1" t="s">
        <v>190</v>
      </c>
      <c r="D440" s="1" t="s">
        <v>40</v>
      </c>
      <c r="E440" s="1" t="s">
        <v>56</v>
      </c>
      <c r="F440">
        <v>561</v>
      </c>
      <c r="G440" s="1" t="s">
        <v>42</v>
      </c>
      <c r="H440">
        <v>3</v>
      </c>
      <c r="I440">
        <v>3</v>
      </c>
      <c r="J440" s="1" t="s">
        <v>43</v>
      </c>
      <c r="K440">
        <v>1</v>
      </c>
      <c r="L440">
        <v>1537</v>
      </c>
      <c r="M440">
        <v>4</v>
      </c>
      <c r="N440" s="1" t="s">
        <v>53</v>
      </c>
      <c r="O440">
        <v>33</v>
      </c>
      <c r="P440">
        <v>3</v>
      </c>
      <c r="Q440">
        <v>1</v>
      </c>
      <c r="R440" s="1" t="s">
        <v>60</v>
      </c>
      <c r="S440">
        <v>3</v>
      </c>
      <c r="T440" s="1" t="s">
        <v>46</v>
      </c>
      <c r="U440">
        <v>4084</v>
      </c>
      <c r="V440" s="1" t="s">
        <v>47</v>
      </c>
      <c r="W440">
        <v>4156</v>
      </c>
      <c r="X440">
        <v>1</v>
      </c>
      <c r="Y440" s="1" t="s">
        <v>48</v>
      </c>
      <c r="Z440" s="1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8">
      <c r="A441" s="1" t="s">
        <v>508</v>
      </c>
      <c r="B441">
        <v>31</v>
      </c>
      <c r="C441" s="1" t="s">
        <v>190</v>
      </c>
      <c r="D441" s="1" t="s">
        <v>49</v>
      </c>
      <c r="E441" s="1" t="s">
        <v>56</v>
      </c>
      <c r="F441">
        <v>715</v>
      </c>
      <c r="G441" s="1" t="s">
        <v>51</v>
      </c>
      <c r="H441">
        <v>2</v>
      </c>
      <c r="I441">
        <v>4</v>
      </c>
      <c r="J441" s="1" t="s">
        <v>73</v>
      </c>
      <c r="K441">
        <v>1</v>
      </c>
      <c r="L441">
        <v>1613</v>
      </c>
      <c r="M441">
        <v>4</v>
      </c>
      <c r="N441" s="1" t="s">
        <v>44</v>
      </c>
      <c r="O441">
        <v>54</v>
      </c>
      <c r="P441">
        <v>3</v>
      </c>
      <c r="Q441">
        <v>2</v>
      </c>
      <c r="R441" s="1" t="s">
        <v>137</v>
      </c>
      <c r="S441">
        <v>1</v>
      </c>
      <c r="T441" s="1" t="s">
        <v>46</v>
      </c>
      <c r="U441">
        <v>5332</v>
      </c>
      <c r="V441" s="1" t="s">
        <v>163</v>
      </c>
      <c r="W441">
        <v>21602</v>
      </c>
      <c r="X441">
        <v>7</v>
      </c>
      <c r="Y441" s="1" t="s">
        <v>48</v>
      </c>
      <c r="Z441" s="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8">
      <c r="A442" s="1" t="s">
        <v>509</v>
      </c>
      <c r="B442">
        <v>31</v>
      </c>
      <c r="C442" s="1" t="s">
        <v>190</v>
      </c>
      <c r="D442" s="1" t="s">
        <v>49</v>
      </c>
      <c r="E442" s="1" t="s">
        <v>41</v>
      </c>
      <c r="F442">
        <v>1112</v>
      </c>
      <c r="G442" s="1" t="s">
        <v>51</v>
      </c>
      <c r="H442">
        <v>5</v>
      </c>
      <c r="I442">
        <v>4</v>
      </c>
      <c r="J442" s="1" t="s">
        <v>43</v>
      </c>
      <c r="K442">
        <v>1</v>
      </c>
      <c r="L442">
        <v>1673</v>
      </c>
      <c r="M442">
        <v>1</v>
      </c>
      <c r="N442" s="1" t="s">
        <v>53</v>
      </c>
      <c r="O442">
        <v>67</v>
      </c>
      <c r="P442">
        <v>3</v>
      </c>
      <c r="Q442">
        <v>2</v>
      </c>
      <c r="R442" s="1" t="s">
        <v>137</v>
      </c>
      <c r="S442">
        <v>4</v>
      </c>
      <c r="T442" s="1" t="s">
        <v>105</v>
      </c>
      <c r="U442">
        <v>5476</v>
      </c>
      <c r="V442" s="1" t="s">
        <v>163</v>
      </c>
      <c r="W442">
        <v>22589</v>
      </c>
      <c r="X442">
        <v>1</v>
      </c>
      <c r="Y442" s="1" t="s">
        <v>48</v>
      </c>
      <c r="Z442" s="1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8">
      <c r="A443" s="1" t="s">
        <v>510</v>
      </c>
      <c r="B443">
        <v>31</v>
      </c>
      <c r="C443" s="1" t="s">
        <v>190</v>
      </c>
      <c r="D443" s="1" t="s">
        <v>49</v>
      </c>
      <c r="E443" s="1" t="s">
        <v>41</v>
      </c>
      <c r="F443">
        <v>741</v>
      </c>
      <c r="G443" s="1" t="s">
        <v>42</v>
      </c>
      <c r="H443">
        <v>2</v>
      </c>
      <c r="I443">
        <v>4</v>
      </c>
      <c r="J443" s="1" t="s">
        <v>43</v>
      </c>
      <c r="K443">
        <v>1</v>
      </c>
      <c r="L443">
        <v>1721</v>
      </c>
      <c r="M443">
        <v>2</v>
      </c>
      <c r="N443" s="1" t="s">
        <v>44</v>
      </c>
      <c r="O443">
        <v>69</v>
      </c>
      <c r="P443">
        <v>3</v>
      </c>
      <c r="Q443">
        <v>1</v>
      </c>
      <c r="R443" s="1" t="s">
        <v>45</v>
      </c>
      <c r="S443">
        <v>3</v>
      </c>
      <c r="T443" s="1" t="s">
        <v>105</v>
      </c>
      <c r="U443">
        <v>3477</v>
      </c>
      <c r="V443" s="1" t="s">
        <v>47</v>
      </c>
      <c r="W443">
        <v>18103</v>
      </c>
      <c r="X443">
        <v>1</v>
      </c>
      <c r="Y443" s="1" t="s">
        <v>48</v>
      </c>
      <c r="Z443" s="1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8">
      <c r="A444" s="1" t="s">
        <v>511</v>
      </c>
      <c r="B444">
        <v>31</v>
      </c>
      <c r="C444" s="1" t="s">
        <v>190</v>
      </c>
      <c r="D444" s="1" t="s">
        <v>49</v>
      </c>
      <c r="E444" s="1" t="s">
        <v>56</v>
      </c>
      <c r="F444">
        <v>163</v>
      </c>
      <c r="G444" s="1" t="s">
        <v>42</v>
      </c>
      <c r="H444">
        <v>24</v>
      </c>
      <c r="I444">
        <v>1</v>
      </c>
      <c r="J444" s="1" t="s">
        <v>68</v>
      </c>
      <c r="K444">
        <v>1</v>
      </c>
      <c r="L444">
        <v>1736</v>
      </c>
      <c r="M444">
        <v>4</v>
      </c>
      <c r="N444" s="1" t="s">
        <v>53</v>
      </c>
      <c r="O444">
        <v>30</v>
      </c>
      <c r="P444">
        <v>3</v>
      </c>
      <c r="Q444">
        <v>2</v>
      </c>
      <c r="R444" s="1" t="s">
        <v>112</v>
      </c>
      <c r="S444">
        <v>4</v>
      </c>
      <c r="T444" s="1" t="s">
        <v>46</v>
      </c>
      <c r="U444">
        <v>5238</v>
      </c>
      <c r="V444" s="1" t="s">
        <v>163</v>
      </c>
      <c r="W444">
        <v>6670</v>
      </c>
      <c r="X444">
        <v>2</v>
      </c>
      <c r="Y444" s="1" t="s">
        <v>48</v>
      </c>
      <c r="Z444" s="1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8">
      <c r="A445" s="1" t="s">
        <v>512</v>
      </c>
      <c r="B445">
        <v>31</v>
      </c>
      <c r="C445" s="1" t="s">
        <v>190</v>
      </c>
      <c r="D445" s="1" t="s">
        <v>49</v>
      </c>
      <c r="E445" s="1" t="s">
        <v>41</v>
      </c>
      <c r="F445">
        <v>1003</v>
      </c>
      <c r="G445" s="1" t="s">
        <v>51</v>
      </c>
      <c r="H445">
        <v>5</v>
      </c>
      <c r="I445">
        <v>3</v>
      </c>
      <c r="J445" s="1" t="s">
        <v>68</v>
      </c>
      <c r="K445">
        <v>1</v>
      </c>
      <c r="L445">
        <v>1749</v>
      </c>
      <c r="M445">
        <v>1</v>
      </c>
      <c r="N445" s="1" t="s">
        <v>44</v>
      </c>
      <c r="O445">
        <v>51</v>
      </c>
      <c r="P445">
        <v>3</v>
      </c>
      <c r="Q445">
        <v>2</v>
      </c>
      <c r="R445" s="1" t="s">
        <v>137</v>
      </c>
      <c r="S445">
        <v>3</v>
      </c>
      <c r="T445" s="1" t="s">
        <v>105</v>
      </c>
      <c r="U445">
        <v>8346</v>
      </c>
      <c r="V445" s="1" t="s">
        <v>163</v>
      </c>
      <c r="W445">
        <v>20943</v>
      </c>
      <c r="X445">
        <v>1</v>
      </c>
      <c r="Y445" s="1" t="s">
        <v>48</v>
      </c>
      <c r="Z445" s="1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8">
      <c r="A446" s="1" t="s">
        <v>513</v>
      </c>
      <c r="B446">
        <v>31</v>
      </c>
      <c r="C446" s="1" t="s">
        <v>190</v>
      </c>
      <c r="D446" s="1" t="s">
        <v>40</v>
      </c>
      <c r="E446" s="1" t="s">
        <v>41</v>
      </c>
      <c r="F446">
        <v>1079</v>
      </c>
      <c r="G446" s="1" t="s">
        <v>51</v>
      </c>
      <c r="H446">
        <v>16</v>
      </c>
      <c r="I446">
        <v>4</v>
      </c>
      <c r="J446" s="1" t="s">
        <v>57</v>
      </c>
      <c r="K446">
        <v>1</v>
      </c>
      <c r="L446">
        <v>1761</v>
      </c>
      <c r="M446">
        <v>1</v>
      </c>
      <c r="N446" s="1" t="s">
        <v>44</v>
      </c>
      <c r="O446">
        <v>70</v>
      </c>
      <c r="P446">
        <v>3</v>
      </c>
      <c r="Q446">
        <v>3</v>
      </c>
      <c r="R446" s="1" t="s">
        <v>137</v>
      </c>
      <c r="S446">
        <v>3</v>
      </c>
      <c r="T446" s="1" t="s">
        <v>105</v>
      </c>
      <c r="U446">
        <v>8161</v>
      </c>
      <c r="V446" s="1" t="s">
        <v>163</v>
      </c>
      <c r="W446">
        <v>19002</v>
      </c>
      <c r="X446">
        <v>2</v>
      </c>
      <c r="Y446" s="1" t="s">
        <v>48</v>
      </c>
      <c r="Z446" s="1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8">
      <c r="A447" s="1" t="s">
        <v>514</v>
      </c>
      <c r="B447">
        <v>31</v>
      </c>
      <c r="C447" s="1" t="s">
        <v>190</v>
      </c>
      <c r="D447" s="1" t="s">
        <v>49</v>
      </c>
      <c r="E447" s="1" t="s">
        <v>41</v>
      </c>
      <c r="F447">
        <v>196</v>
      </c>
      <c r="G447" s="1" t="s">
        <v>51</v>
      </c>
      <c r="H447">
        <v>29</v>
      </c>
      <c r="I447">
        <v>4</v>
      </c>
      <c r="J447" s="1" t="s">
        <v>57</v>
      </c>
      <c r="K447">
        <v>1</v>
      </c>
      <c r="L447">
        <v>1784</v>
      </c>
      <c r="M447">
        <v>1</v>
      </c>
      <c r="N447" s="1" t="s">
        <v>53</v>
      </c>
      <c r="O447">
        <v>91</v>
      </c>
      <c r="P447">
        <v>2</v>
      </c>
      <c r="Q447">
        <v>2</v>
      </c>
      <c r="R447" s="1" t="s">
        <v>137</v>
      </c>
      <c r="S447">
        <v>4</v>
      </c>
      <c r="T447" s="1" t="s">
        <v>105</v>
      </c>
      <c r="U447">
        <v>5468</v>
      </c>
      <c r="V447" s="1" t="s">
        <v>163</v>
      </c>
      <c r="W447">
        <v>13402</v>
      </c>
      <c r="X447">
        <v>1</v>
      </c>
      <c r="Y447" s="1" t="s">
        <v>48</v>
      </c>
      <c r="Z447" s="1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8">
      <c r="A448" s="1" t="s">
        <v>515</v>
      </c>
      <c r="B448">
        <v>31</v>
      </c>
      <c r="C448" s="1" t="s">
        <v>190</v>
      </c>
      <c r="D448" s="1" t="s">
        <v>49</v>
      </c>
      <c r="E448" s="1" t="s">
        <v>56</v>
      </c>
      <c r="F448">
        <v>1125</v>
      </c>
      <c r="G448" s="1" t="s">
        <v>51</v>
      </c>
      <c r="H448">
        <v>7</v>
      </c>
      <c r="I448">
        <v>4</v>
      </c>
      <c r="J448" s="1" t="s">
        <v>57</v>
      </c>
      <c r="K448">
        <v>1</v>
      </c>
      <c r="L448">
        <v>1833</v>
      </c>
      <c r="M448">
        <v>1</v>
      </c>
      <c r="N448" s="1" t="s">
        <v>53</v>
      </c>
      <c r="O448">
        <v>68</v>
      </c>
      <c r="P448">
        <v>3</v>
      </c>
      <c r="Q448">
        <v>3</v>
      </c>
      <c r="R448" s="1" t="s">
        <v>137</v>
      </c>
      <c r="S448">
        <v>1</v>
      </c>
      <c r="T448" s="1" t="s">
        <v>105</v>
      </c>
      <c r="U448">
        <v>9637</v>
      </c>
      <c r="V448" s="1" t="s">
        <v>163</v>
      </c>
      <c r="W448">
        <v>8277</v>
      </c>
      <c r="X448">
        <v>2</v>
      </c>
      <c r="Y448" s="1" t="s">
        <v>48</v>
      </c>
      <c r="Z448" s="1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8">
      <c r="A449" s="1" t="s">
        <v>516</v>
      </c>
      <c r="B449">
        <v>31</v>
      </c>
      <c r="C449" s="1" t="s">
        <v>190</v>
      </c>
      <c r="D449" s="1" t="s">
        <v>40</v>
      </c>
      <c r="E449" s="1" t="s">
        <v>41</v>
      </c>
      <c r="F449">
        <v>359</v>
      </c>
      <c r="G449" s="1" t="s">
        <v>71</v>
      </c>
      <c r="H449">
        <v>18</v>
      </c>
      <c r="I449">
        <v>5</v>
      </c>
      <c r="J449" s="1" t="s">
        <v>71</v>
      </c>
      <c r="K449">
        <v>1</v>
      </c>
      <c r="L449">
        <v>1842</v>
      </c>
      <c r="M449">
        <v>4</v>
      </c>
      <c r="N449" s="1" t="s">
        <v>44</v>
      </c>
      <c r="O449">
        <v>89</v>
      </c>
      <c r="P449">
        <v>4</v>
      </c>
      <c r="Q449">
        <v>1</v>
      </c>
      <c r="R449" s="1" t="s">
        <v>71</v>
      </c>
      <c r="S449">
        <v>1</v>
      </c>
      <c r="T449" s="1" t="s">
        <v>105</v>
      </c>
      <c r="U449">
        <v>2956</v>
      </c>
      <c r="V449" s="1" t="s">
        <v>47</v>
      </c>
      <c r="W449">
        <v>21495</v>
      </c>
      <c r="X449">
        <v>0</v>
      </c>
      <c r="Y449" s="1" t="s">
        <v>48</v>
      </c>
      <c r="Z449" s="1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8">
      <c r="A450" s="1" t="s">
        <v>517</v>
      </c>
      <c r="B450">
        <v>31</v>
      </c>
      <c r="C450" s="1" t="s">
        <v>190</v>
      </c>
      <c r="D450" s="1" t="s">
        <v>49</v>
      </c>
      <c r="E450" s="1" t="s">
        <v>41</v>
      </c>
      <c r="F450">
        <v>311</v>
      </c>
      <c r="G450" s="1" t="s">
        <v>42</v>
      </c>
      <c r="H450">
        <v>20</v>
      </c>
      <c r="I450">
        <v>3</v>
      </c>
      <c r="J450" s="1" t="s">
        <v>43</v>
      </c>
      <c r="K450">
        <v>1</v>
      </c>
      <c r="L450">
        <v>1881</v>
      </c>
      <c r="M450">
        <v>2</v>
      </c>
      <c r="N450" s="1" t="s">
        <v>44</v>
      </c>
      <c r="O450">
        <v>89</v>
      </c>
      <c r="P450">
        <v>3</v>
      </c>
      <c r="Q450">
        <v>2</v>
      </c>
      <c r="R450" s="1" t="s">
        <v>45</v>
      </c>
      <c r="S450">
        <v>3</v>
      </c>
      <c r="T450" s="1" t="s">
        <v>102</v>
      </c>
      <c r="U450">
        <v>4197</v>
      </c>
      <c r="V450" s="1" t="s">
        <v>47</v>
      </c>
      <c r="W450">
        <v>18624</v>
      </c>
      <c r="X450">
        <v>1</v>
      </c>
      <c r="Y450" s="1" t="s">
        <v>48</v>
      </c>
      <c r="Z450" s="1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8">
      <c r="A451" s="1" t="s">
        <v>518</v>
      </c>
      <c r="B451">
        <v>31</v>
      </c>
      <c r="C451" s="1" t="s">
        <v>190</v>
      </c>
      <c r="D451" s="1" t="s">
        <v>49</v>
      </c>
      <c r="E451" s="1" t="s">
        <v>41</v>
      </c>
      <c r="F451">
        <v>1079</v>
      </c>
      <c r="G451" s="1" t="s">
        <v>51</v>
      </c>
      <c r="H451">
        <v>10</v>
      </c>
      <c r="I451">
        <v>2</v>
      </c>
      <c r="J451" s="1" t="s">
        <v>52</v>
      </c>
      <c r="K451">
        <v>1</v>
      </c>
      <c r="L451">
        <v>1912</v>
      </c>
      <c r="M451">
        <v>3</v>
      </c>
      <c r="N451" s="1" t="s">
        <v>53</v>
      </c>
      <c r="O451">
        <v>86</v>
      </c>
      <c r="P451">
        <v>3</v>
      </c>
      <c r="Q451">
        <v>2</v>
      </c>
      <c r="R451" s="1" t="s">
        <v>137</v>
      </c>
      <c r="S451">
        <v>4</v>
      </c>
      <c r="T451" s="1" t="s">
        <v>102</v>
      </c>
      <c r="U451">
        <v>6583</v>
      </c>
      <c r="V451" s="1" t="s">
        <v>163</v>
      </c>
      <c r="W451">
        <v>20115</v>
      </c>
      <c r="X451">
        <v>2</v>
      </c>
      <c r="Y451" s="1" t="s">
        <v>48</v>
      </c>
      <c r="Z451" s="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8">
      <c r="A452" s="1" t="s">
        <v>519</v>
      </c>
      <c r="B452">
        <v>31</v>
      </c>
      <c r="C452" s="1" t="s">
        <v>190</v>
      </c>
      <c r="D452" s="1" t="s">
        <v>49</v>
      </c>
      <c r="E452" s="1" t="s">
        <v>41</v>
      </c>
      <c r="F452">
        <v>471</v>
      </c>
      <c r="G452" s="1" t="s">
        <v>42</v>
      </c>
      <c r="H452">
        <v>4</v>
      </c>
      <c r="I452">
        <v>3</v>
      </c>
      <c r="J452" s="1" t="s">
        <v>52</v>
      </c>
      <c r="K452">
        <v>1</v>
      </c>
      <c r="L452">
        <v>1916</v>
      </c>
      <c r="M452">
        <v>1</v>
      </c>
      <c r="N452" s="1" t="s">
        <v>53</v>
      </c>
      <c r="O452">
        <v>62</v>
      </c>
      <c r="P452">
        <v>4</v>
      </c>
      <c r="Q452">
        <v>1</v>
      </c>
      <c r="R452" s="1" t="s">
        <v>45</v>
      </c>
      <c r="S452">
        <v>3</v>
      </c>
      <c r="T452" s="1" t="s">
        <v>102</v>
      </c>
      <c r="U452">
        <v>3978</v>
      </c>
      <c r="V452" s="1" t="s">
        <v>47</v>
      </c>
      <c r="W452">
        <v>16031</v>
      </c>
      <c r="X452">
        <v>8</v>
      </c>
      <c r="Y452" s="1" t="s">
        <v>48</v>
      </c>
      <c r="Z452" s="1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8">
      <c r="A453" s="1" t="s">
        <v>520</v>
      </c>
      <c r="B453">
        <v>31</v>
      </c>
      <c r="C453" s="1" t="s">
        <v>190</v>
      </c>
      <c r="D453" s="1" t="s">
        <v>49</v>
      </c>
      <c r="E453" s="1" t="s">
        <v>59</v>
      </c>
      <c r="F453">
        <v>976</v>
      </c>
      <c r="G453" s="1" t="s">
        <v>42</v>
      </c>
      <c r="H453">
        <v>3</v>
      </c>
      <c r="I453">
        <v>2</v>
      </c>
      <c r="J453" s="1" t="s">
        <v>52</v>
      </c>
      <c r="K453">
        <v>1</v>
      </c>
      <c r="L453">
        <v>1948</v>
      </c>
      <c r="M453">
        <v>3</v>
      </c>
      <c r="N453" s="1" t="s">
        <v>44</v>
      </c>
      <c r="O453">
        <v>48</v>
      </c>
      <c r="P453">
        <v>3</v>
      </c>
      <c r="Q453">
        <v>1</v>
      </c>
      <c r="R453" s="1" t="s">
        <v>60</v>
      </c>
      <c r="S453">
        <v>1</v>
      </c>
      <c r="T453" s="1" t="s">
        <v>102</v>
      </c>
      <c r="U453">
        <v>3065</v>
      </c>
      <c r="V453" s="1" t="s">
        <v>47</v>
      </c>
      <c r="W453">
        <v>3995</v>
      </c>
      <c r="X453">
        <v>1</v>
      </c>
      <c r="Y453" s="1" t="s">
        <v>48</v>
      </c>
      <c r="Z453" s="1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8">
      <c r="A454" s="1" t="s">
        <v>521</v>
      </c>
      <c r="B454">
        <v>31</v>
      </c>
      <c r="C454" s="1" t="s">
        <v>190</v>
      </c>
      <c r="D454" s="1" t="s">
        <v>49</v>
      </c>
      <c r="E454" s="1" t="s">
        <v>56</v>
      </c>
      <c r="F454">
        <v>1125</v>
      </c>
      <c r="G454" s="1" t="s">
        <v>42</v>
      </c>
      <c r="H454">
        <v>1</v>
      </c>
      <c r="I454">
        <v>3</v>
      </c>
      <c r="J454" s="1" t="s">
        <v>43</v>
      </c>
      <c r="K454">
        <v>1</v>
      </c>
      <c r="L454">
        <v>1956</v>
      </c>
      <c r="M454">
        <v>4</v>
      </c>
      <c r="N454" s="1" t="s">
        <v>44</v>
      </c>
      <c r="O454">
        <v>48</v>
      </c>
      <c r="P454">
        <v>1</v>
      </c>
      <c r="Q454">
        <v>2</v>
      </c>
      <c r="R454" s="1" t="s">
        <v>60</v>
      </c>
      <c r="S454">
        <v>1</v>
      </c>
      <c r="T454" s="1" t="s">
        <v>105</v>
      </c>
      <c r="U454">
        <v>5003</v>
      </c>
      <c r="V454" s="1" t="s">
        <v>163</v>
      </c>
      <c r="W454">
        <v>5771</v>
      </c>
      <c r="X454">
        <v>1</v>
      </c>
      <c r="Y454" s="1" t="s">
        <v>48</v>
      </c>
      <c r="Z454" s="1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8">
      <c r="A455" s="1" t="s">
        <v>522</v>
      </c>
      <c r="B455">
        <v>31</v>
      </c>
      <c r="C455" s="1" t="s">
        <v>190</v>
      </c>
      <c r="D455" s="1" t="s">
        <v>40</v>
      </c>
      <c r="E455" s="1" t="s">
        <v>56</v>
      </c>
      <c r="F455">
        <v>754</v>
      </c>
      <c r="G455" s="1" t="s">
        <v>51</v>
      </c>
      <c r="H455">
        <v>26</v>
      </c>
      <c r="I455">
        <v>4</v>
      </c>
      <c r="J455" s="1" t="s">
        <v>57</v>
      </c>
      <c r="K455">
        <v>1</v>
      </c>
      <c r="L455">
        <v>1967</v>
      </c>
      <c r="M455">
        <v>1</v>
      </c>
      <c r="N455" s="1" t="s">
        <v>44</v>
      </c>
      <c r="O455">
        <v>63</v>
      </c>
      <c r="P455">
        <v>3</v>
      </c>
      <c r="Q455">
        <v>2</v>
      </c>
      <c r="R455" s="1" t="s">
        <v>137</v>
      </c>
      <c r="S455">
        <v>4</v>
      </c>
      <c r="T455" s="1" t="s">
        <v>105</v>
      </c>
      <c r="U455">
        <v>5617</v>
      </c>
      <c r="V455" s="1" t="s">
        <v>163</v>
      </c>
      <c r="W455">
        <v>21075</v>
      </c>
      <c r="X455">
        <v>1</v>
      </c>
      <c r="Y455" s="1" t="s">
        <v>48</v>
      </c>
      <c r="Z455" s="1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8">
      <c r="A456" s="1" t="s">
        <v>523</v>
      </c>
      <c r="B456">
        <v>31</v>
      </c>
      <c r="C456" s="1" t="s">
        <v>190</v>
      </c>
      <c r="D456" s="1" t="s">
        <v>49</v>
      </c>
      <c r="E456" s="1" t="s">
        <v>41</v>
      </c>
      <c r="F456">
        <v>1276</v>
      </c>
      <c r="G456" s="1" t="s">
        <v>42</v>
      </c>
      <c r="H456">
        <v>2</v>
      </c>
      <c r="I456">
        <v>1</v>
      </c>
      <c r="J456" s="1" t="s">
        <v>52</v>
      </c>
      <c r="K456">
        <v>1</v>
      </c>
      <c r="L456">
        <v>1974</v>
      </c>
      <c r="M456">
        <v>4</v>
      </c>
      <c r="N456" s="1" t="s">
        <v>53</v>
      </c>
      <c r="O456">
        <v>59</v>
      </c>
      <c r="P456">
        <v>1</v>
      </c>
      <c r="Q456">
        <v>1</v>
      </c>
      <c r="R456" s="1" t="s">
        <v>45</v>
      </c>
      <c r="S456">
        <v>4</v>
      </c>
      <c r="T456" s="1" t="s">
        <v>102</v>
      </c>
      <c r="U456">
        <v>1129</v>
      </c>
      <c r="V456" s="1" t="s">
        <v>47</v>
      </c>
      <c r="W456">
        <v>17536</v>
      </c>
      <c r="X456">
        <v>1</v>
      </c>
      <c r="Y456" s="1" t="s">
        <v>48</v>
      </c>
      <c r="Z456" s="1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8">
      <c r="A457" s="1" t="s">
        <v>524</v>
      </c>
      <c r="B457">
        <v>31</v>
      </c>
      <c r="C457" s="1" t="s">
        <v>190</v>
      </c>
      <c r="D457" s="1" t="s">
        <v>49</v>
      </c>
      <c r="E457" s="1" t="s">
        <v>59</v>
      </c>
      <c r="F457">
        <v>697</v>
      </c>
      <c r="G457" s="1" t="s">
        <v>42</v>
      </c>
      <c r="H457">
        <v>10</v>
      </c>
      <c r="I457">
        <v>3</v>
      </c>
      <c r="J457" s="1" t="s">
        <v>52</v>
      </c>
      <c r="K457">
        <v>1</v>
      </c>
      <c r="L457">
        <v>1979</v>
      </c>
      <c r="M457">
        <v>3</v>
      </c>
      <c r="N457" s="1" t="s">
        <v>53</v>
      </c>
      <c r="O457">
        <v>40</v>
      </c>
      <c r="P457">
        <v>3</v>
      </c>
      <c r="Q457">
        <v>3</v>
      </c>
      <c r="R457" s="1" t="s">
        <v>252</v>
      </c>
      <c r="S457">
        <v>3</v>
      </c>
      <c r="T457" s="1" t="s">
        <v>105</v>
      </c>
      <c r="U457">
        <v>11031</v>
      </c>
      <c r="V457" s="1" t="s">
        <v>253</v>
      </c>
      <c r="W457">
        <v>26862</v>
      </c>
      <c r="X457">
        <v>4</v>
      </c>
      <c r="Y457" s="1" t="s">
        <v>48</v>
      </c>
      <c r="Z457" s="1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8">
      <c r="A458" s="1" t="s">
        <v>525</v>
      </c>
      <c r="B458">
        <v>31</v>
      </c>
      <c r="C458" s="1" t="s">
        <v>190</v>
      </c>
      <c r="D458" s="1" t="s">
        <v>49</v>
      </c>
      <c r="E458" s="1" t="s">
        <v>41</v>
      </c>
      <c r="F458">
        <v>1154</v>
      </c>
      <c r="G458" s="1" t="s">
        <v>51</v>
      </c>
      <c r="H458">
        <v>2</v>
      </c>
      <c r="I458">
        <v>2</v>
      </c>
      <c r="J458" s="1" t="s">
        <v>43</v>
      </c>
      <c r="K458">
        <v>1</v>
      </c>
      <c r="L458">
        <v>1996</v>
      </c>
      <c r="M458">
        <v>1</v>
      </c>
      <c r="N458" s="1" t="s">
        <v>44</v>
      </c>
      <c r="O458">
        <v>54</v>
      </c>
      <c r="P458">
        <v>3</v>
      </c>
      <c r="Q458">
        <v>1</v>
      </c>
      <c r="R458" s="1" t="s">
        <v>54</v>
      </c>
      <c r="S458">
        <v>3</v>
      </c>
      <c r="T458" s="1" t="s">
        <v>105</v>
      </c>
      <c r="U458">
        <v>3067</v>
      </c>
      <c r="V458" s="1" t="s">
        <v>47</v>
      </c>
      <c r="W458">
        <v>6393</v>
      </c>
      <c r="X458">
        <v>0</v>
      </c>
      <c r="Y458" s="1" t="s">
        <v>48</v>
      </c>
      <c r="Z458" s="1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8">
      <c r="A459" s="1" t="s">
        <v>526</v>
      </c>
      <c r="B459">
        <v>31</v>
      </c>
      <c r="C459" s="1" t="s">
        <v>190</v>
      </c>
      <c r="D459" s="1" t="s">
        <v>49</v>
      </c>
      <c r="E459" s="1" t="s">
        <v>59</v>
      </c>
      <c r="F459">
        <v>325</v>
      </c>
      <c r="G459" s="1" t="s">
        <v>42</v>
      </c>
      <c r="H459">
        <v>5</v>
      </c>
      <c r="I459">
        <v>3</v>
      </c>
      <c r="J459" s="1" t="s">
        <v>52</v>
      </c>
      <c r="K459">
        <v>1</v>
      </c>
      <c r="L459">
        <v>2057</v>
      </c>
      <c r="M459">
        <v>2</v>
      </c>
      <c r="N459" s="1" t="s">
        <v>44</v>
      </c>
      <c r="O459">
        <v>74</v>
      </c>
      <c r="P459">
        <v>3</v>
      </c>
      <c r="Q459">
        <v>2</v>
      </c>
      <c r="R459" s="1" t="s">
        <v>112</v>
      </c>
      <c r="S459">
        <v>1</v>
      </c>
      <c r="T459" s="1" t="s">
        <v>46</v>
      </c>
      <c r="U459">
        <v>9936</v>
      </c>
      <c r="V459" s="1" t="s">
        <v>163</v>
      </c>
      <c r="W459">
        <v>3787</v>
      </c>
      <c r="X459">
        <v>0</v>
      </c>
      <c r="Y459" s="1" t="s">
        <v>48</v>
      </c>
      <c r="Z459" s="1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8">
      <c r="A460" s="1" t="s">
        <v>526</v>
      </c>
      <c r="B460">
        <v>31</v>
      </c>
      <c r="C460" s="1" t="s">
        <v>190</v>
      </c>
      <c r="D460" s="1" t="s">
        <v>49</v>
      </c>
      <c r="E460" s="1" t="s">
        <v>59</v>
      </c>
      <c r="F460">
        <v>325</v>
      </c>
      <c r="G460" s="1" t="s">
        <v>42</v>
      </c>
      <c r="H460">
        <v>5</v>
      </c>
      <c r="I460">
        <v>3</v>
      </c>
      <c r="J460" s="1" t="s">
        <v>52</v>
      </c>
      <c r="K460">
        <v>1</v>
      </c>
      <c r="L460">
        <v>2057</v>
      </c>
      <c r="M460">
        <v>2</v>
      </c>
      <c r="N460" s="1" t="s">
        <v>44</v>
      </c>
      <c r="O460">
        <v>74</v>
      </c>
      <c r="P460">
        <v>3</v>
      </c>
      <c r="Q460">
        <v>2</v>
      </c>
      <c r="R460" s="1" t="s">
        <v>112</v>
      </c>
      <c r="S460">
        <v>1</v>
      </c>
      <c r="T460" s="1" t="s">
        <v>46</v>
      </c>
      <c r="U460">
        <v>9936</v>
      </c>
      <c r="V460" s="1" t="s">
        <v>163</v>
      </c>
      <c r="W460">
        <v>3787</v>
      </c>
      <c r="X460">
        <v>0</v>
      </c>
      <c r="Y460" s="1" t="s">
        <v>48</v>
      </c>
      <c r="Z460" s="1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8">
      <c r="A461" s="1" t="s">
        <v>527</v>
      </c>
      <c r="B461">
        <v>32</v>
      </c>
      <c r="C461" s="1" t="s">
        <v>190</v>
      </c>
      <c r="D461" s="1" t="s">
        <v>49</v>
      </c>
      <c r="E461" s="1" t="s">
        <v>56</v>
      </c>
      <c r="F461">
        <v>1005</v>
      </c>
      <c r="G461" s="1" t="s">
        <v>42</v>
      </c>
      <c r="H461">
        <v>2</v>
      </c>
      <c r="I461">
        <v>2</v>
      </c>
      <c r="J461" s="1" t="s">
        <v>43</v>
      </c>
      <c r="K461">
        <v>1</v>
      </c>
      <c r="L461">
        <v>8</v>
      </c>
      <c r="M461">
        <v>4</v>
      </c>
      <c r="N461" s="1" t="s">
        <v>44</v>
      </c>
      <c r="O461">
        <v>79</v>
      </c>
      <c r="P461">
        <v>3</v>
      </c>
      <c r="Q461">
        <v>1</v>
      </c>
      <c r="R461" s="1" t="s">
        <v>45</v>
      </c>
      <c r="S461">
        <v>4</v>
      </c>
      <c r="T461" s="1" t="s">
        <v>46</v>
      </c>
      <c r="U461">
        <v>3068</v>
      </c>
      <c r="V461" s="1" t="s">
        <v>47</v>
      </c>
      <c r="W461">
        <v>11864</v>
      </c>
      <c r="X461">
        <v>0</v>
      </c>
      <c r="Y461" s="1" t="s">
        <v>48</v>
      </c>
      <c r="Z461" s="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8">
      <c r="A462" s="1" t="s">
        <v>528</v>
      </c>
      <c r="B462">
        <v>32</v>
      </c>
      <c r="C462" s="1" t="s">
        <v>190</v>
      </c>
      <c r="D462" s="1" t="s">
        <v>49</v>
      </c>
      <c r="E462" s="1" t="s">
        <v>41</v>
      </c>
      <c r="F462">
        <v>334</v>
      </c>
      <c r="G462" s="1" t="s">
        <v>42</v>
      </c>
      <c r="H462">
        <v>5</v>
      </c>
      <c r="I462">
        <v>2</v>
      </c>
      <c r="J462" s="1" t="s">
        <v>43</v>
      </c>
      <c r="K462">
        <v>1</v>
      </c>
      <c r="L462">
        <v>21</v>
      </c>
      <c r="M462">
        <v>1</v>
      </c>
      <c r="N462" s="1" t="s">
        <v>44</v>
      </c>
      <c r="O462">
        <v>80</v>
      </c>
      <c r="P462">
        <v>4</v>
      </c>
      <c r="Q462">
        <v>1</v>
      </c>
      <c r="R462" s="1" t="s">
        <v>60</v>
      </c>
      <c r="S462">
        <v>2</v>
      </c>
      <c r="T462" s="1" t="s">
        <v>102</v>
      </c>
      <c r="U462">
        <v>3298</v>
      </c>
      <c r="V462" s="1" t="s">
        <v>47</v>
      </c>
      <c r="W462">
        <v>15053</v>
      </c>
      <c r="X462">
        <v>0</v>
      </c>
      <c r="Y462" s="1" t="s">
        <v>48</v>
      </c>
      <c r="Z462" s="1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8">
      <c r="A463" s="1" t="s">
        <v>529</v>
      </c>
      <c r="B463">
        <v>32</v>
      </c>
      <c r="C463" s="1" t="s">
        <v>190</v>
      </c>
      <c r="D463" s="1" t="s">
        <v>40</v>
      </c>
      <c r="E463" s="1" t="s">
        <v>56</v>
      </c>
      <c r="F463">
        <v>1125</v>
      </c>
      <c r="G463" s="1" t="s">
        <v>42</v>
      </c>
      <c r="H463">
        <v>16</v>
      </c>
      <c r="I463">
        <v>1</v>
      </c>
      <c r="J463" s="1" t="s">
        <v>43</v>
      </c>
      <c r="K463">
        <v>1</v>
      </c>
      <c r="L463">
        <v>33</v>
      </c>
      <c r="M463">
        <v>2</v>
      </c>
      <c r="N463" s="1" t="s">
        <v>53</v>
      </c>
      <c r="O463">
        <v>72</v>
      </c>
      <c r="P463">
        <v>1</v>
      </c>
      <c r="Q463">
        <v>1</v>
      </c>
      <c r="R463" s="1" t="s">
        <v>60</v>
      </c>
      <c r="S463">
        <v>1</v>
      </c>
      <c r="T463" s="1" t="s">
        <v>46</v>
      </c>
      <c r="U463">
        <v>3919</v>
      </c>
      <c r="V463" s="1" t="s">
        <v>47</v>
      </c>
      <c r="W463">
        <v>4681</v>
      </c>
      <c r="X463">
        <v>1</v>
      </c>
      <c r="Y463" s="1" t="s">
        <v>48</v>
      </c>
      <c r="Z463" s="1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8">
      <c r="A464" s="1" t="s">
        <v>530</v>
      </c>
      <c r="B464">
        <v>32</v>
      </c>
      <c r="C464" s="1" t="s">
        <v>190</v>
      </c>
      <c r="D464" s="1" t="s">
        <v>49</v>
      </c>
      <c r="E464" s="1" t="s">
        <v>41</v>
      </c>
      <c r="F464">
        <v>427</v>
      </c>
      <c r="G464" s="1" t="s">
        <v>42</v>
      </c>
      <c r="H464">
        <v>1</v>
      </c>
      <c r="I464">
        <v>3</v>
      </c>
      <c r="J464" s="1" t="s">
        <v>52</v>
      </c>
      <c r="K464">
        <v>1</v>
      </c>
      <c r="L464">
        <v>78</v>
      </c>
      <c r="M464">
        <v>1</v>
      </c>
      <c r="N464" s="1" t="s">
        <v>44</v>
      </c>
      <c r="O464">
        <v>33</v>
      </c>
      <c r="P464">
        <v>3</v>
      </c>
      <c r="Q464">
        <v>2</v>
      </c>
      <c r="R464" s="1" t="s">
        <v>112</v>
      </c>
      <c r="S464">
        <v>4</v>
      </c>
      <c r="T464" s="1" t="s">
        <v>105</v>
      </c>
      <c r="U464">
        <v>6162</v>
      </c>
      <c r="V464" s="1" t="s">
        <v>163</v>
      </c>
      <c r="W464">
        <v>10877</v>
      </c>
      <c r="X464">
        <v>1</v>
      </c>
      <c r="Y464" s="1" t="s">
        <v>48</v>
      </c>
      <c r="Z464" s="1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8">
      <c r="A465" s="1" t="s">
        <v>531</v>
      </c>
      <c r="B465">
        <v>32</v>
      </c>
      <c r="C465" s="1" t="s">
        <v>190</v>
      </c>
      <c r="D465" s="1" t="s">
        <v>49</v>
      </c>
      <c r="E465" s="1" t="s">
        <v>41</v>
      </c>
      <c r="F465">
        <v>548</v>
      </c>
      <c r="G465" s="1" t="s">
        <v>42</v>
      </c>
      <c r="H465">
        <v>1</v>
      </c>
      <c r="I465">
        <v>3</v>
      </c>
      <c r="J465" s="1" t="s">
        <v>43</v>
      </c>
      <c r="K465">
        <v>1</v>
      </c>
      <c r="L465">
        <v>96</v>
      </c>
      <c r="M465">
        <v>2</v>
      </c>
      <c r="N465" s="1" t="s">
        <v>44</v>
      </c>
      <c r="O465">
        <v>66</v>
      </c>
      <c r="P465">
        <v>3</v>
      </c>
      <c r="Q465">
        <v>2</v>
      </c>
      <c r="R465" s="1" t="s">
        <v>60</v>
      </c>
      <c r="S465">
        <v>2</v>
      </c>
      <c r="T465" s="1" t="s">
        <v>105</v>
      </c>
      <c r="U465">
        <v>6220</v>
      </c>
      <c r="V465" s="1" t="s">
        <v>163</v>
      </c>
      <c r="W465">
        <v>7346</v>
      </c>
      <c r="X465">
        <v>1</v>
      </c>
      <c r="Y465" s="1" t="s">
        <v>48</v>
      </c>
      <c r="Z465" s="1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8">
      <c r="A466" s="1" t="s">
        <v>532</v>
      </c>
      <c r="B466">
        <v>32</v>
      </c>
      <c r="C466" s="1" t="s">
        <v>190</v>
      </c>
      <c r="D466" s="1" t="s">
        <v>49</v>
      </c>
      <c r="E466" s="1" t="s">
        <v>41</v>
      </c>
      <c r="F466">
        <v>1093</v>
      </c>
      <c r="G466" s="1" t="s">
        <v>51</v>
      </c>
      <c r="H466">
        <v>6</v>
      </c>
      <c r="I466">
        <v>4</v>
      </c>
      <c r="J466" s="1" t="s">
        <v>52</v>
      </c>
      <c r="K466">
        <v>1</v>
      </c>
      <c r="L466">
        <v>125</v>
      </c>
      <c r="M466">
        <v>2</v>
      </c>
      <c r="N466" s="1" t="s">
        <v>44</v>
      </c>
      <c r="O466">
        <v>87</v>
      </c>
      <c r="P466">
        <v>3</v>
      </c>
      <c r="Q466">
        <v>2</v>
      </c>
      <c r="R466" s="1" t="s">
        <v>137</v>
      </c>
      <c r="S466">
        <v>3</v>
      </c>
      <c r="T466" s="1" t="s">
        <v>46</v>
      </c>
      <c r="U466">
        <v>5010</v>
      </c>
      <c r="V466" s="1" t="s">
        <v>163</v>
      </c>
      <c r="W466">
        <v>24301</v>
      </c>
      <c r="X466">
        <v>1</v>
      </c>
      <c r="Y466" s="1" t="s">
        <v>48</v>
      </c>
      <c r="Z466" s="1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8">
      <c r="A467" s="1" t="s">
        <v>533</v>
      </c>
      <c r="B467">
        <v>32</v>
      </c>
      <c r="C467" s="1" t="s">
        <v>190</v>
      </c>
      <c r="D467" s="1" t="s">
        <v>49</v>
      </c>
      <c r="E467" s="1" t="s">
        <v>41</v>
      </c>
      <c r="F467">
        <v>827</v>
      </c>
      <c r="G467" s="1" t="s">
        <v>42</v>
      </c>
      <c r="H467">
        <v>1</v>
      </c>
      <c r="I467">
        <v>1</v>
      </c>
      <c r="J467" s="1" t="s">
        <v>43</v>
      </c>
      <c r="K467">
        <v>1</v>
      </c>
      <c r="L467">
        <v>134</v>
      </c>
      <c r="M467">
        <v>4</v>
      </c>
      <c r="N467" s="1" t="s">
        <v>44</v>
      </c>
      <c r="O467">
        <v>71</v>
      </c>
      <c r="P467">
        <v>3</v>
      </c>
      <c r="Q467">
        <v>1</v>
      </c>
      <c r="R467" s="1" t="s">
        <v>60</v>
      </c>
      <c r="S467">
        <v>1</v>
      </c>
      <c r="T467" s="1" t="s">
        <v>46</v>
      </c>
      <c r="U467">
        <v>2956</v>
      </c>
      <c r="V467" s="1" t="s">
        <v>47</v>
      </c>
      <c r="W467">
        <v>15178</v>
      </c>
      <c r="X467">
        <v>1</v>
      </c>
      <c r="Y467" s="1" t="s">
        <v>48</v>
      </c>
      <c r="Z467" s="1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8">
      <c r="A468" s="1" t="s">
        <v>534</v>
      </c>
      <c r="B468">
        <v>32</v>
      </c>
      <c r="C468" s="1" t="s">
        <v>190</v>
      </c>
      <c r="D468" s="1" t="s">
        <v>40</v>
      </c>
      <c r="E468" s="1" t="s">
        <v>41</v>
      </c>
      <c r="F468">
        <v>1033</v>
      </c>
      <c r="G468" s="1" t="s">
        <v>42</v>
      </c>
      <c r="H468">
        <v>9</v>
      </c>
      <c r="I468">
        <v>3</v>
      </c>
      <c r="J468" s="1" t="s">
        <v>52</v>
      </c>
      <c r="K468">
        <v>1</v>
      </c>
      <c r="L468">
        <v>190</v>
      </c>
      <c r="M468">
        <v>1</v>
      </c>
      <c r="N468" s="1" t="s">
        <v>53</v>
      </c>
      <c r="O468">
        <v>41</v>
      </c>
      <c r="P468">
        <v>3</v>
      </c>
      <c r="Q468">
        <v>1</v>
      </c>
      <c r="R468" s="1" t="s">
        <v>45</v>
      </c>
      <c r="S468">
        <v>1</v>
      </c>
      <c r="T468" s="1" t="s">
        <v>46</v>
      </c>
      <c r="U468">
        <v>4200</v>
      </c>
      <c r="V468" s="1" t="s">
        <v>47</v>
      </c>
      <c r="W468">
        <v>10224</v>
      </c>
      <c r="X468">
        <v>7</v>
      </c>
      <c r="Y468" s="1" t="s">
        <v>48</v>
      </c>
      <c r="Z468" s="1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8">
      <c r="A469" s="1" t="s">
        <v>535</v>
      </c>
      <c r="B469">
        <v>32</v>
      </c>
      <c r="C469" s="1" t="s">
        <v>190</v>
      </c>
      <c r="D469" s="1" t="s">
        <v>49</v>
      </c>
      <c r="E469" s="1" t="s">
        <v>56</v>
      </c>
      <c r="F469">
        <v>689</v>
      </c>
      <c r="G469" s="1" t="s">
        <v>51</v>
      </c>
      <c r="H469">
        <v>9</v>
      </c>
      <c r="I469">
        <v>2</v>
      </c>
      <c r="J469" s="1" t="s">
        <v>52</v>
      </c>
      <c r="K469">
        <v>1</v>
      </c>
      <c r="L469">
        <v>195</v>
      </c>
      <c r="M469">
        <v>4</v>
      </c>
      <c r="N469" s="1" t="s">
        <v>44</v>
      </c>
      <c r="O469">
        <v>35</v>
      </c>
      <c r="P469">
        <v>1</v>
      </c>
      <c r="Q469">
        <v>2</v>
      </c>
      <c r="R469" s="1" t="s">
        <v>137</v>
      </c>
      <c r="S469">
        <v>4</v>
      </c>
      <c r="T469" s="1" t="s">
        <v>102</v>
      </c>
      <c r="U469">
        <v>4668</v>
      </c>
      <c r="V469" s="1" t="s">
        <v>47</v>
      </c>
      <c r="W469">
        <v>22812</v>
      </c>
      <c r="X469">
        <v>0</v>
      </c>
      <c r="Y469" s="1" t="s">
        <v>48</v>
      </c>
      <c r="Z469" s="1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8">
      <c r="A470" s="1" t="s">
        <v>536</v>
      </c>
      <c r="B470">
        <v>32</v>
      </c>
      <c r="C470" s="1" t="s">
        <v>190</v>
      </c>
      <c r="D470" s="1" t="s">
        <v>49</v>
      </c>
      <c r="E470" s="1" t="s">
        <v>56</v>
      </c>
      <c r="F470">
        <v>967</v>
      </c>
      <c r="G470" s="1" t="s">
        <v>51</v>
      </c>
      <c r="H470">
        <v>8</v>
      </c>
      <c r="I470">
        <v>3</v>
      </c>
      <c r="J470" s="1" t="s">
        <v>57</v>
      </c>
      <c r="K470">
        <v>1</v>
      </c>
      <c r="L470">
        <v>207</v>
      </c>
      <c r="M470">
        <v>2</v>
      </c>
      <c r="N470" s="1" t="s">
        <v>53</v>
      </c>
      <c r="O470">
        <v>43</v>
      </c>
      <c r="P470">
        <v>3</v>
      </c>
      <c r="Q470">
        <v>3</v>
      </c>
      <c r="R470" s="1" t="s">
        <v>137</v>
      </c>
      <c r="S470">
        <v>4</v>
      </c>
      <c r="T470" s="1" t="s">
        <v>46</v>
      </c>
      <c r="U470">
        <v>8998</v>
      </c>
      <c r="V470" s="1" t="s">
        <v>163</v>
      </c>
      <c r="W470">
        <v>15589</v>
      </c>
      <c r="X470">
        <v>1</v>
      </c>
      <c r="Y470" s="1" t="s">
        <v>48</v>
      </c>
      <c r="Z470" s="1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8">
      <c r="A471" s="1" t="s">
        <v>537</v>
      </c>
      <c r="B471">
        <v>32</v>
      </c>
      <c r="C471" s="1" t="s">
        <v>190</v>
      </c>
      <c r="D471" s="1" t="s">
        <v>49</v>
      </c>
      <c r="E471" s="1" t="s">
        <v>41</v>
      </c>
      <c r="F471">
        <v>120</v>
      </c>
      <c r="G471" s="1" t="s">
        <v>42</v>
      </c>
      <c r="H471">
        <v>6</v>
      </c>
      <c r="I471">
        <v>5</v>
      </c>
      <c r="J471" s="1" t="s">
        <v>43</v>
      </c>
      <c r="K471">
        <v>1</v>
      </c>
      <c r="L471">
        <v>231</v>
      </c>
      <c r="M471">
        <v>3</v>
      </c>
      <c r="N471" s="1" t="s">
        <v>44</v>
      </c>
      <c r="O471">
        <v>43</v>
      </c>
      <c r="P471">
        <v>3</v>
      </c>
      <c r="Q471">
        <v>1</v>
      </c>
      <c r="R471" s="1" t="s">
        <v>60</v>
      </c>
      <c r="S471">
        <v>3</v>
      </c>
      <c r="T471" s="1" t="s">
        <v>46</v>
      </c>
      <c r="U471">
        <v>3038</v>
      </c>
      <c r="V471" s="1" t="s">
        <v>47</v>
      </c>
      <c r="W471">
        <v>12430</v>
      </c>
      <c r="X471">
        <v>3</v>
      </c>
      <c r="Y471" s="1" t="s">
        <v>48</v>
      </c>
      <c r="Z471" s="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8">
      <c r="A472" s="1" t="s">
        <v>538</v>
      </c>
      <c r="B472">
        <v>32</v>
      </c>
      <c r="C472" s="1" t="s">
        <v>190</v>
      </c>
      <c r="D472" s="1" t="s">
        <v>40</v>
      </c>
      <c r="E472" s="1" t="s">
        <v>41</v>
      </c>
      <c r="F472">
        <v>1045</v>
      </c>
      <c r="G472" s="1" t="s">
        <v>51</v>
      </c>
      <c r="H472">
        <v>4</v>
      </c>
      <c r="I472">
        <v>4</v>
      </c>
      <c r="J472" s="1" t="s">
        <v>52</v>
      </c>
      <c r="K472">
        <v>1</v>
      </c>
      <c r="L472">
        <v>291</v>
      </c>
      <c r="M472">
        <v>4</v>
      </c>
      <c r="N472" s="1" t="s">
        <v>44</v>
      </c>
      <c r="O472">
        <v>32</v>
      </c>
      <c r="P472">
        <v>1</v>
      </c>
      <c r="Q472">
        <v>3</v>
      </c>
      <c r="R472" s="1" t="s">
        <v>137</v>
      </c>
      <c r="S472">
        <v>4</v>
      </c>
      <c r="T472" s="1" t="s">
        <v>105</v>
      </c>
      <c r="U472">
        <v>10400</v>
      </c>
      <c r="V472" s="1" t="s">
        <v>253</v>
      </c>
      <c r="W472">
        <v>25812</v>
      </c>
      <c r="X472">
        <v>1</v>
      </c>
      <c r="Y472" s="1" t="s">
        <v>48</v>
      </c>
      <c r="Z472" s="1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8">
      <c r="A473" s="1" t="s">
        <v>539</v>
      </c>
      <c r="B473">
        <v>32</v>
      </c>
      <c r="C473" s="1" t="s">
        <v>190</v>
      </c>
      <c r="D473" s="1" t="s">
        <v>49</v>
      </c>
      <c r="E473" s="1" t="s">
        <v>41</v>
      </c>
      <c r="F473">
        <v>1401</v>
      </c>
      <c r="G473" s="1" t="s">
        <v>51</v>
      </c>
      <c r="H473">
        <v>4</v>
      </c>
      <c r="I473">
        <v>2</v>
      </c>
      <c r="J473" s="1" t="s">
        <v>43</v>
      </c>
      <c r="K473">
        <v>1</v>
      </c>
      <c r="L473">
        <v>330</v>
      </c>
      <c r="M473">
        <v>3</v>
      </c>
      <c r="N473" s="1" t="s">
        <v>53</v>
      </c>
      <c r="O473">
        <v>56</v>
      </c>
      <c r="P473">
        <v>3</v>
      </c>
      <c r="Q473">
        <v>1</v>
      </c>
      <c r="R473" s="1" t="s">
        <v>54</v>
      </c>
      <c r="S473">
        <v>2</v>
      </c>
      <c r="T473" s="1" t="s">
        <v>105</v>
      </c>
      <c r="U473">
        <v>3931</v>
      </c>
      <c r="V473" s="1" t="s">
        <v>47</v>
      </c>
      <c r="W473">
        <v>20990</v>
      </c>
      <c r="X473">
        <v>2</v>
      </c>
      <c r="Y473" s="1" t="s">
        <v>48</v>
      </c>
      <c r="Z473" s="1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8">
      <c r="A474" s="1" t="s">
        <v>540</v>
      </c>
      <c r="B474">
        <v>32</v>
      </c>
      <c r="C474" s="1" t="s">
        <v>190</v>
      </c>
      <c r="D474" s="1" t="s">
        <v>40</v>
      </c>
      <c r="E474" s="1" t="s">
        <v>41</v>
      </c>
      <c r="F474">
        <v>515</v>
      </c>
      <c r="G474" s="1" t="s">
        <v>42</v>
      </c>
      <c r="H474">
        <v>1</v>
      </c>
      <c r="I474">
        <v>3</v>
      </c>
      <c r="J474" s="1" t="s">
        <v>43</v>
      </c>
      <c r="K474">
        <v>1</v>
      </c>
      <c r="L474">
        <v>331</v>
      </c>
      <c r="M474">
        <v>4</v>
      </c>
      <c r="N474" s="1" t="s">
        <v>44</v>
      </c>
      <c r="O474">
        <v>62</v>
      </c>
      <c r="P474">
        <v>2</v>
      </c>
      <c r="Q474">
        <v>1</v>
      </c>
      <c r="R474" s="1" t="s">
        <v>45</v>
      </c>
      <c r="S474">
        <v>3</v>
      </c>
      <c r="T474" s="1" t="s">
        <v>46</v>
      </c>
      <c r="U474">
        <v>3730</v>
      </c>
      <c r="V474" s="1" t="s">
        <v>47</v>
      </c>
      <c r="W474">
        <v>9571</v>
      </c>
      <c r="X474">
        <v>0</v>
      </c>
      <c r="Y474" s="1" t="s">
        <v>48</v>
      </c>
      <c r="Z474" s="1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8">
      <c r="A475" s="1" t="s">
        <v>541</v>
      </c>
      <c r="B475">
        <v>32</v>
      </c>
      <c r="C475" s="1" t="s">
        <v>190</v>
      </c>
      <c r="D475" s="1" t="s">
        <v>49</v>
      </c>
      <c r="E475" s="1" t="s">
        <v>59</v>
      </c>
      <c r="F475">
        <v>976</v>
      </c>
      <c r="G475" s="1" t="s">
        <v>51</v>
      </c>
      <c r="H475">
        <v>26</v>
      </c>
      <c r="I475">
        <v>4</v>
      </c>
      <c r="J475" s="1" t="s">
        <v>57</v>
      </c>
      <c r="K475">
        <v>1</v>
      </c>
      <c r="L475">
        <v>333</v>
      </c>
      <c r="M475">
        <v>3</v>
      </c>
      <c r="N475" s="1" t="s">
        <v>44</v>
      </c>
      <c r="O475">
        <v>100</v>
      </c>
      <c r="P475">
        <v>3</v>
      </c>
      <c r="Q475">
        <v>2</v>
      </c>
      <c r="R475" s="1" t="s">
        <v>137</v>
      </c>
      <c r="S475">
        <v>4</v>
      </c>
      <c r="T475" s="1" t="s">
        <v>105</v>
      </c>
      <c r="U475">
        <v>4465</v>
      </c>
      <c r="V475" s="1" t="s">
        <v>47</v>
      </c>
      <c r="W475">
        <v>12069</v>
      </c>
      <c r="X475">
        <v>0</v>
      </c>
      <c r="Y475" s="1" t="s">
        <v>48</v>
      </c>
      <c r="Z475" s="1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8">
      <c r="A476" s="1" t="s">
        <v>542</v>
      </c>
      <c r="B476">
        <v>32</v>
      </c>
      <c r="C476" s="1" t="s">
        <v>190</v>
      </c>
      <c r="D476" s="1" t="s">
        <v>49</v>
      </c>
      <c r="E476" s="1" t="s">
        <v>56</v>
      </c>
      <c r="F476">
        <v>1311</v>
      </c>
      <c r="G476" s="1" t="s">
        <v>42</v>
      </c>
      <c r="H476">
        <v>7</v>
      </c>
      <c r="I476">
        <v>3</v>
      </c>
      <c r="J476" s="1" t="s">
        <v>43</v>
      </c>
      <c r="K476">
        <v>1</v>
      </c>
      <c r="L476">
        <v>359</v>
      </c>
      <c r="M476">
        <v>2</v>
      </c>
      <c r="N476" s="1" t="s">
        <v>44</v>
      </c>
      <c r="O476">
        <v>100</v>
      </c>
      <c r="P476">
        <v>4</v>
      </c>
      <c r="Q476">
        <v>1</v>
      </c>
      <c r="R476" s="1" t="s">
        <v>45</v>
      </c>
      <c r="S476">
        <v>2</v>
      </c>
      <c r="T476" s="1" t="s">
        <v>105</v>
      </c>
      <c r="U476">
        <v>2794</v>
      </c>
      <c r="V476" s="1" t="s">
        <v>47</v>
      </c>
      <c r="W476">
        <v>26062</v>
      </c>
      <c r="X476">
        <v>1</v>
      </c>
      <c r="Y476" s="1" t="s">
        <v>48</v>
      </c>
      <c r="Z476" s="1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8">
      <c r="A477" s="1" t="s">
        <v>543</v>
      </c>
      <c r="B477">
        <v>32</v>
      </c>
      <c r="C477" s="1" t="s">
        <v>190</v>
      </c>
      <c r="D477" s="1" t="s">
        <v>49</v>
      </c>
      <c r="E477" s="1" t="s">
        <v>41</v>
      </c>
      <c r="F477">
        <v>128</v>
      </c>
      <c r="G477" s="1" t="s">
        <v>42</v>
      </c>
      <c r="H477">
        <v>2</v>
      </c>
      <c r="I477">
        <v>1</v>
      </c>
      <c r="J477" s="1" t="s">
        <v>68</v>
      </c>
      <c r="K477">
        <v>1</v>
      </c>
      <c r="L477">
        <v>362</v>
      </c>
      <c r="M477">
        <v>4</v>
      </c>
      <c r="N477" s="1" t="s">
        <v>44</v>
      </c>
      <c r="O477">
        <v>84</v>
      </c>
      <c r="P477">
        <v>2</v>
      </c>
      <c r="Q477">
        <v>2</v>
      </c>
      <c r="R477" s="1" t="s">
        <v>45</v>
      </c>
      <c r="S477">
        <v>1</v>
      </c>
      <c r="T477" s="1" t="s">
        <v>46</v>
      </c>
      <c r="U477">
        <v>2176</v>
      </c>
      <c r="V477" s="1" t="s">
        <v>47</v>
      </c>
      <c r="W477">
        <v>19737</v>
      </c>
      <c r="X477">
        <v>4</v>
      </c>
      <c r="Y477" s="1" t="s">
        <v>48</v>
      </c>
      <c r="Z477" s="1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8">
      <c r="A478" s="1" t="s">
        <v>544</v>
      </c>
      <c r="B478">
        <v>32</v>
      </c>
      <c r="C478" s="1" t="s">
        <v>190</v>
      </c>
      <c r="D478" s="1" t="s">
        <v>49</v>
      </c>
      <c r="E478" s="1" t="s">
        <v>41</v>
      </c>
      <c r="F478">
        <v>906</v>
      </c>
      <c r="G478" s="1" t="s">
        <v>51</v>
      </c>
      <c r="H478">
        <v>7</v>
      </c>
      <c r="I478">
        <v>3</v>
      </c>
      <c r="J478" s="1" t="s">
        <v>43</v>
      </c>
      <c r="K478">
        <v>1</v>
      </c>
      <c r="L478">
        <v>420</v>
      </c>
      <c r="M478">
        <v>4</v>
      </c>
      <c r="N478" s="1" t="s">
        <v>44</v>
      </c>
      <c r="O478">
        <v>91</v>
      </c>
      <c r="P478">
        <v>2</v>
      </c>
      <c r="Q478">
        <v>2</v>
      </c>
      <c r="R478" s="1" t="s">
        <v>137</v>
      </c>
      <c r="S478">
        <v>3</v>
      </c>
      <c r="T478" s="1" t="s">
        <v>105</v>
      </c>
      <c r="U478">
        <v>5484</v>
      </c>
      <c r="V478" s="1" t="s">
        <v>163</v>
      </c>
      <c r="W478">
        <v>16985</v>
      </c>
      <c r="X478">
        <v>1</v>
      </c>
      <c r="Y478" s="1" t="s">
        <v>48</v>
      </c>
      <c r="Z478" s="1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8">
      <c r="A479" s="1" t="s">
        <v>545</v>
      </c>
      <c r="B479">
        <v>32</v>
      </c>
      <c r="C479" s="1" t="s">
        <v>190</v>
      </c>
      <c r="D479" s="1" t="s">
        <v>49</v>
      </c>
      <c r="E479" s="1" t="s">
        <v>41</v>
      </c>
      <c r="F479">
        <v>588</v>
      </c>
      <c r="G479" s="1" t="s">
        <v>51</v>
      </c>
      <c r="H479">
        <v>8</v>
      </c>
      <c r="I479">
        <v>2</v>
      </c>
      <c r="J479" s="1" t="s">
        <v>68</v>
      </c>
      <c r="K479">
        <v>1</v>
      </c>
      <c r="L479">
        <v>436</v>
      </c>
      <c r="M479">
        <v>3</v>
      </c>
      <c r="N479" s="1" t="s">
        <v>53</v>
      </c>
      <c r="O479">
        <v>65</v>
      </c>
      <c r="P479">
        <v>2</v>
      </c>
      <c r="Q479">
        <v>2</v>
      </c>
      <c r="R479" s="1" t="s">
        <v>137</v>
      </c>
      <c r="S479">
        <v>2</v>
      </c>
      <c r="T479" s="1" t="s">
        <v>105</v>
      </c>
      <c r="U479">
        <v>5228</v>
      </c>
      <c r="V479" s="1" t="s">
        <v>163</v>
      </c>
      <c r="W479">
        <v>24624</v>
      </c>
      <c r="X479">
        <v>1</v>
      </c>
      <c r="Y479" s="1" t="s">
        <v>48</v>
      </c>
      <c r="Z479" s="1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8">
      <c r="A480" s="1" t="s">
        <v>546</v>
      </c>
      <c r="B480">
        <v>32</v>
      </c>
      <c r="C480" s="1" t="s">
        <v>190</v>
      </c>
      <c r="D480" s="1" t="s">
        <v>49</v>
      </c>
      <c r="E480" s="1" t="s">
        <v>41</v>
      </c>
      <c r="F480">
        <v>1018</v>
      </c>
      <c r="G480" s="1" t="s">
        <v>42</v>
      </c>
      <c r="H480">
        <v>2</v>
      </c>
      <c r="I480">
        <v>4</v>
      </c>
      <c r="J480" s="1" t="s">
        <v>52</v>
      </c>
      <c r="K480">
        <v>1</v>
      </c>
      <c r="L480">
        <v>439</v>
      </c>
      <c r="M480">
        <v>1</v>
      </c>
      <c r="N480" s="1" t="s">
        <v>53</v>
      </c>
      <c r="O480">
        <v>74</v>
      </c>
      <c r="P480">
        <v>4</v>
      </c>
      <c r="Q480">
        <v>2</v>
      </c>
      <c r="R480" s="1" t="s">
        <v>60</v>
      </c>
      <c r="S480">
        <v>4</v>
      </c>
      <c r="T480" s="1" t="s">
        <v>46</v>
      </c>
      <c r="U480">
        <v>5055</v>
      </c>
      <c r="V480" s="1" t="s">
        <v>163</v>
      </c>
      <c r="W480">
        <v>10557</v>
      </c>
      <c r="X480">
        <v>7</v>
      </c>
      <c r="Y480" s="1" t="s">
        <v>48</v>
      </c>
      <c r="Z480" s="1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8">
      <c r="A481" s="1" t="s">
        <v>547</v>
      </c>
      <c r="B481">
        <v>32</v>
      </c>
      <c r="C481" s="1" t="s">
        <v>190</v>
      </c>
      <c r="D481" s="1" t="s">
        <v>49</v>
      </c>
      <c r="E481" s="1" t="s">
        <v>41</v>
      </c>
      <c r="F481">
        <v>1062</v>
      </c>
      <c r="G481" s="1" t="s">
        <v>42</v>
      </c>
      <c r="H481">
        <v>2</v>
      </c>
      <c r="I481">
        <v>3</v>
      </c>
      <c r="J481" s="1" t="s">
        <v>52</v>
      </c>
      <c r="K481">
        <v>1</v>
      </c>
      <c r="L481">
        <v>471</v>
      </c>
      <c r="M481">
        <v>3</v>
      </c>
      <c r="N481" s="1" t="s">
        <v>53</v>
      </c>
      <c r="O481">
        <v>75</v>
      </c>
      <c r="P481">
        <v>3</v>
      </c>
      <c r="Q481">
        <v>1</v>
      </c>
      <c r="R481" s="1" t="s">
        <v>45</v>
      </c>
      <c r="S481">
        <v>2</v>
      </c>
      <c r="T481" s="1" t="s">
        <v>105</v>
      </c>
      <c r="U481">
        <v>2370</v>
      </c>
      <c r="V481" s="1" t="s">
        <v>47</v>
      </c>
      <c r="W481">
        <v>3956</v>
      </c>
      <c r="X481">
        <v>1</v>
      </c>
      <c r="Y481" s="1" t="s">
        <v>48</v>
      </c>
      <c r="Z481" s="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8">
      <c r="A482" s="1" t="s">
        <v>548</v>
      </c>
      <c r="B482">
        <v>32</v>
      </c>
      <c r="C482" s="1" t="s">
        <v>190</v>
      </c>
      <c r="D482" s="1" t="s">
        <v>40</v>
      </c>
      <c r="E482" s="1" t="s">
        <v>59</v>
      </c>
      <c r="F482">
        <v>1474</v>
      </c>
      <c r="G482" s="1" t="s">
        <v>51</v>
      </c>
      <c r="H482">
        <v>11</v>
      </c>
      <c r="I482">
        <v>4</v>
      </c>
      <c r="J482" s="1" t="s">
        <v>73</v>
      </c>
      <c r="K482">
        <v>1</v>
      </c>
      <c r="L482">
        <v>631</v>
      </c>
      <c r="M482">
        <v>4</v>
      </c>
      <c r="N482" s="1" t="s">
        <v>44</v>
      </c>
      <c r="O482">
        <v>60</v>
      </c>
      <c r="P482">
        <v>4</v>
      </c>
      <c r="Q482">
        <v>2</v>
      </c>
      <c r="R482" s="1" t="s">
        <v>137</v>
      </c>
      <c r="S482">
        <v>3</v>
      </c>
      <c r="T482" s="1" t="s">
        <v>105</v>
      </c>
      <c r="U482">
        <v>4707</v>
      </c>
      <c r="V482" s="1" t="s">
        <v>47</v>
      </c>
      <c r="W482">
        <v>23914</v>
      </c>
      <c r="X482">
        <v>8</v>
      </c>
      <c r="Y482" s="1" t="s">
        <v>48</v>
      </c>
      <c r="Z482" s="1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8">
      <c r="A483" s="1" t="s">
        <v>549</v>
      </c>
      <c r="B483">
        <v>32</v>
      </c>
      <c r="C483" s="1" t="s">
        <v>190</v>
      </c>
      <c r="D483" s="1" t="s">
        <v>49</v>
      </c>
      <c r="E483" s="1" t="s">
        <v>41</v>
      </c>
      <c r="F483">
        <v>646</v>
      </c>
      <c r="G483" s="1" t="s">
        <v>42</v>
      </c>
      <c r="H483">
        <v>9</v>
      </c>
      <c r="I483">
        <v>4</v>
      </c>
      <c r="J483" s="1" t="s">
        <v>43</v>
      </c>
      <c r="K483">
        <v>1</v>
      </c>
      <c r="L483">
        <v>679</v>
      </c>
      <c r="M483">
        <v>1</v>
      </c>
      <c r="N483" s="1" t="s">
        <v>53</v>
      </c>
      <c r="O483">
        <v>92</v>
      </c>
      <c r="P483">
        <v>3</v>
      </c>
      <c r="Q483">
        <v>2</v>
      </c>
      <c r="R483" s="1" t="s">
        <v>60</v>
      </c>
      <c r="S483">
        <v>4</v>
      </c>
      <c r="T483" s="1" t="s">
        <v>105</v>
      </c>
      <c r="U483">
        <v>6322</v>
      </c>
      <c r="V483" s="1" t="s">
        <v>163</v>
      </c>
      <c r="W483">
        <v>18089</v>
      </c>
      <c r="X483">
        <v>1</v>
      </c>
      <c r="Y483" s="1" t="s">
        <v>48</v>
      </c>
      <c r="Z483" s="1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8">
      <c r="A484" s="1" t="s">
        <v>550</v>
      </c>
      <c r="B484">
        <v>32</v>
      </c>
      <c r="C484" s="1" t="s">
        <v>190</v>
      </c>
      <c r="D484" s="1" t="s">
        <v>49</v>
      </c>
      <c r="E484" s="1" t="s">
        <v>41</v>
      </c>
      <c r="F484">
        <v>929</v>
      </c>
      <c r="G484" s="1" t="s">
        <v>51</v>
      </c>
      <c r="H484">
        <v>10</v>
      </c>
      <c r="I484">
        <v>3</v>
      </c>
      <c r="J484" s="1" t="s">
        <v>57</v>
      </c>
      <c r="K484">
        <v>1</v>
      </c>
      <c r="L484">
        <v>722</v>
      </c>
      <c r="M484">
        <v>4</v>
      </c>
      <c r="N484" s="1" t="s">
        <v>44</v>
      </c>
      <c r="O484">
        <v>55</v>
      </c>
      <c r="P484">
        <v>3</v>
      </c>
      <c r="Q484">
        <v>2</v>
      </c>
      <c r="R484" s="1" t="s">
        <v>137</v>
      </c>
      <c r="S484">
        <v>4</v>
      </c>
      <c r="T484" s="1" t="s">
        <v>46</v>
      </c>
      <c r="U484">
        <v>5396</v>
      </c>
      <c r="V484" s="1" t="s">
        <v>163</v>
      </c>
      <c r="W484">
        <v>21703</v>
      </c>
      <c r="X484">
        <v>1</v>
      </c>
      <c r="Y484" s="1" t="s">
        <v>48</v>
      </c>
      <c r="Z484" s="1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8">
      <c r="A485" s="1" t="s">
        <v>551</v>
      </c>
      <c r="B485">
        <v>32</v>
      </c>
      <c r="C485" s="1" t="s">
        <v>190</v>
      </c>
      <c r="D485" s="1" t="s">
        <v>49</v>
      </c>
      <c r="E485" s="1" t="s">
        <v>41</v>
      </c>
      <c r="F485">
        <v>1018</v>
      </c>
      <c r="G485" s="1" t="s">
        <v>42</v>
      </c>
      <c r="H485">
        <v>3</v>
      </c>
      <c r="I485">
        <v>2</v>
      </c>
      <c r="J485" s="1" t="s">
        <v>43</v>
      </c>
      <c r="K485">
        <v>1</v>
      </c>
      <c r="L485">
        <v>727</v>
      </c>
      <c r="M485">
        <v>3</v>
      </c>
      <c r="N485" s="1" t="s">
        <v>53</v>
      </c>
      <c r="O485">
        <v>39</v>
      </c>
      <c r="P485">
        <v>3</v>
      </c>
      <c r="Q485">
        <v>3</v>
      </c>
      <c r="R485" s="1" t="s">
        <v>252</v>
      </c>
      <c r="S485">
        <v>4</v>
      </c>
      <c r="T485" s="1" t="s">
        <v>46</v>
      </c>
      <c r="U485">
        <v>11159</v>
      </c>
      <c r="V485" s="1" t="s">
        <v>253</v>
      </c>
      <c r="W485">
        <v>19373</v>
      </c>
      <c r="X485">
        <v>3</v>
      </c>
      <c r="Y485" s="1" t="s">
        <v>48</v>
      </c>
      <c r="Z485" s="1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8">
      <c r="A486" s="1" t="s">
        <v>552</v>
      </c>
      <c r="B486">
        <v>32</v>
      </c>
      <c r="C486" s="1" t="s">
        <v>190</v>
      </c>
      <c r="D486" s="1" t="s">
        <v>49</v>
      </c>
      <c r="E486" s="1" t="s">
        <v>56</v>
      </c>
      <c r="F486">
        <v>430</v>
      </c>
      <c r="G486" s="1" t="s">
        <v>42</v>
      </c>
      <c r="H486">
        <v>24</v>
      </c>
      <c r="I486">
        <v>4</v>
      </c>
      <c r="J486" s="1" t="s">
        <v>43</v>
      </c>
      <c r="K486">
        <v>1</v>
      </c>
      <c r="L486">
        <v>772</v>
      </c>
      <c r="M486">
        <v>1</v>
      </c>
      <c r="N486" s="1" t="s">
        <v>44</v>
      </c>
      <c r="O486">
        <v>80</v>
      </c>
      <c r="P486">
        <v>3</v>
      </c>
      <c r="Q486">
        <v>2</v>
      </c>
      <c r="R486" s="1" t="s">
        <v>45</v>
      </c>
      <c r="S486">
        <v>4</v>
      </c>
      <c r="T486" s="1" t="s">
        <v>105</v>
      </c>
      <c r="U486">
        <v>5309</v>
      </c>
      <c r="V486" s="1" t="s">
        <v>163</v>
      </c>
      <c r="W486">
        <v>21146</v>
      </c>
      <c r="X486">
        <v>1</v>
      </c>
      <c r="Y486" s="1" t="s">
        <v>48</v>
      </c>
      <c r="Z486" s="1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8">
      <c r="A487" s="1" t="s">
        <v>553</v>
      </c>
      <c r="B487">
        <v>32</v>
      </c>
      <c r="C487" s="1" t="s">
        <v>190</v>
      </c>
      <c r="D487" s="1" t="s">
        <v>49</v>
      </c>
      <c r="E487" s="1" t="s">
        <v>41</v>
      </c>
      <c r="F487">
        <v>859</v>
      </c>
      <c r="G487" s="1" t="s">
        <v>42</v>
      </c>
      <c r="H487">
        <v>4</v>
      </c>
      <c r="I487">
        <v>3</v>
      </c>
      <c r="J487" s="1" t="s">
        <v>43</v>
      </c>
      <c r="K487">
        <v>1</v>
      </c>
      <c r="L487">
        <v>830</v>
      </c>
      <c r="M487">
        <v>3</v>
      </c>
      <c r="N487" s="1" t="s">
        <v>53</v>
      </c>
      <c r="O487">
        <v>98</v>
      </c>
      <c r="P487">
        <v>2</v>
      </c>
      <c r="Q487">
        <v>2</v>
      </c>
      <c r="R487" s="1" t="s">
        <v>112</v>
      </c>
      <c r="S487">
        <v>3</v>
      </c>
      <c r="T487" s="1" t="s">
        <v>105</v>
      </c>
      <c r="U487">
        <v>6162</v>
      </c>
      <c r="V487" s="1" t="s">
        <v>163</v>
      </c>
      <c r="W487">
        <v>19124</v>
      </c>
      <c r="X487">
        <v>1</v>
      </c>
      <c r="Y487" s="1" t="s">
        <v>48</v>
      </c>
      <c r="Z487" s="1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8">
      <c r="A488" s="1" t="s">
        <v>554</v>
      </c>
      <c r="B488">
        <v>32</v>
      </c>
      <c r="C488" s="1" t="s">
        <v>190</v>
      </c>
      <c r="D488" s="1" t="s">
        <v>49</v>
      </c>
      <c r="E488" s="1" t="s">
        <v>41</v>
      </c>
      <c r="F488">
        <v>117</v>
      </c>
      <c r="G488" s="1" t="s">
        <v>51</v>
      </c>
      <c r="H488">
        <v>13</v>
      </c>
      <c r="I488">
        <v>4</v>
      </c>
      <c r="J488" s="1" t="s">
        <v>43</v>
      </c>
      <c r="K488">
        <v>1</v>
      </c>
      <c r="L488">
        <v>859</v>
      </c>
      <c r="M488">
        <v>2</v>
      </c>
      <c r="N488" s="1" t="s">
        <v>44</v>
      </c>
      <c r="O488">
        <v>73</v>
      </c>
      <c r="P488">
        <v>3</v>
      </c>
      <c r="Q488">
        <v>2</v>
      </c>
      <c r="R488" s="1" t="s">
        <v>137</v>
      </c>
      <c r="S488">
        <v>4</v>
      </c>
      <c r="T488" s="1" t="s">
        <v>102</v>
      </c>
      <c r="U488">
        <v>4403</v>
      </c>
      <c r="V488" s="1" t="s">
        <v>47</v>
      </c>
      <c r="W488">
        <v>9250</v>
      </c>
      <c r="X488">
        <v>2</v>
      </c>
      <c r="Y488" s="1" t="s">
        <v>48</v>
      </c>
      <c r="Z488" s="1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8">
      <c r="A489" s="1" t="s">
        <v>555</v>
      </c>
      <c r="B489">
        <v>32</v>
      </c>
      <c r="C489" s="1" t="s">
        <v>190</v>
      </c>
      <c r="D489" s="1" t="s">
        <v>49</v>
      </c>
      <c r="E489" s="1" t="s">
        <v>41</v>
      </c>
      <c r="F489">
        <v>638</v>
      </c>
      <c r="G489" s="1" t="s">
        <v>42</v>
      </c>
      <c r="H489">
        <v>8</v>
      </c>
      <c r="I489">
        <v>2</v>
      </c>
      <c r="J489" s="1" t="s">
        <v>52</v>
      </c>
      <c r="K489">
        <v>1</v>
      </c>
      <c r="L489">
        <v>865</v>
      </c>
      <c r="M489">
        <v>3</v>
      </c>
      <c r="N489" s="1" t="s">
        <v>53</v>
      </c>
      <c r="O489">
        <v>91</v>
      </c>
      <c r="P489">
        <v>4</v>
      </c>
      <c r="Q489">
        <v>2</v>
      </c>
      <c r="R489" s="1" t="s">
        <v>60</v>
      </c>
      <c r="S489">
        <v>3</v>
      </c>
      <c r="T489" s="1" t="s">
        <v>105</v>
      </c>
      <c r="U489">
        <v>5175</v>
      </c>
      <c r="V489" s="1" t="s">
        <v>163</v>
      </c>
      <c r="W489">
        <v>22162</v>
      </c>
      <c r="X489">
        <v>5</v>
      </c>
      <c r="Y489" s="1" t="s">
        <v>48</v>
      </c>
      <c r="Z489" s="1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8">
      <c r="A490" s="1" t="s">
        <v>556</v>
      </c>
      <c r="B490">
        <v>32</v>
      </c>
      <c r="C490" s="1" t="s">
        <v>190</v>
      </c>
      <c r="D490" s="1" t="s">
        <v>49</v>
      </c>
      <c r="E490" s="1" t="s">
        <v>59</v>
      </c>
      <c r="F490">
        <v>300</v>
      </c>
      <c r="G490" s="1" t="s">
        <v>42</v>
      </c>
      <c r="H490">
        <v>1</v>
      </c>
      <c r="I490">
        <v>3</v>
      </c>
      <c r="J490" s="1" t="s">
        <v>43</v>
      </c>
      <c r="K490">
        <v>1</v>
      </c>
      <c r="L490">
        <v>882</v>
      </c>
      <c r="M490">
        <v>4</v>
      </c>
      <c r="N490" s="1" t="s">
        <v>44</v>
      </c>
      <c r="O490">
        <v>61</v>
      </c>
      <c r="P490">
        <v>3</v>
      </c>
      <c r="Q490">
        <v>1</v>
      </c>
      <c r="R490" s="1" t="s">
        <v>45</v>
      </c>
      <c r="S490">
        <v>4</v>
      </c>
      <c r="T490" s="1" t="s">
        <v>102</v>
      </c>
      <c r="U490">
        <v>2314</v>
      </c>
      <c r="V490" s="1" t="s">
        <v>47</v>
      </c>
      <c r="W490">
        <v>9148</v>
      </c>
      <c r="X490">
        <v>0</v>
      </c>
      <c r="Y490" s="1" t="s">
        <v>48</v>
      </c>
      <c r="Z490" s="1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8">
      <c r="A491" s="1" t="s">
        <v>557</v>
      </c>
      <c r="B491">
        <v>32</v>
      </c>
      <c r="C491" s="1" t="s">
        <v>190</v>
      </c>
      <c r="D491" s="1" t="s">
        <v>49</v>
      </c>
      <c r="E491" s="1" t="s">
        <v>56</v>
      </c>
      <c r="F491">
        <v>379</v>
      </c>
      <c r="G491" s="1" t="s">
        <v>51</v>
      </c>
      <c r="H491">
        <v>5</v>
      </c>
      <c r="I491">
        <v>2</v>
      </c>
      <c r="J491" s="1" t="s">
        <v>43</v>
      </c>
      <c r="K491">
        <v>1</v>
      </c>
      <c r="L491">
        <v>889</v>
      </c>
      <c r="M491">
        <v>2</v>
      </c>
      <c r="N491" s="1" t="s">
        <v>44</v>
      </c>
      <c r="O491">
        <v>48</v>
      </c>
      <c r="P491">
        <v>3</v>
      </c>
      <c r="Q491">
        <v>2</v>
      </c>
      <c r="R491" s="1" t="s">
        <v>137</v>
      </c>
      <c r="S491">
        <v>2</v>
      </c>
      <c r="T491" s="1" t="s">
        <v>105</v>
      </c>
      <c r="U491">
        <v>6524</v>
      </c>
      <c r="V491" s="1" t="s">
        <v>163</v>
      </c>
      <c r="W491">
        <v>8891</v>
      </c>
      <c r="X491">
        <v>1</v>
      </c>
      <c r="Y491" s="1" t="s">
        <v>48</v>
      </c>
      <c r="Z491" s="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8">
      <c r="A492" s="1" t="s">
        <v>558</v>
      </c>
      <c r="B492">
        <v>32</v>
      </c>
      <c r="C492" s="1" t="s">
        <v>190</v>
      </c>
      <c r="D492" s="1" t="s">
        <v>40</v>
      </c>
      <c r="E492" s="1" t="s">
        <v>41</v>
      </c>
      <c r="F492">
        <v>374</v>
      </c>
      <c r="G492" s="1" t="s">
        <v>42</v>
      </c>
      <c r="H492">
        <v>25</v>
      </c>
      <c r="I492">
        <v>4</v>
      </c>
      <c r="J492" s="1" t="s">
        <v>43</v>
      </c>
      <c r="K492">
        <v>1</v>
      </c>
      <c r="L492">
        <v>911</v>
      </c>
      <c r="M492">
        <v>1</v>
      </c>
      <c r="N492" s="1" t="s">
        <v>44</v>
      </c>
      <c r="O492">
        <v>87</v>
      </c>
      <c r="P492">
        <v>3</v>
      </c>
      <c r="Q492">
        <v>1</v>
      </c>
      <c r="R492" s="1" t="s">
        <v>45</v>
      </c>
      <c r="S492">
        <v>4</v>
      </c>
      <c r="T492" s="1" t="s">
        <v>46</v>
      </c>
      <c r="U492">
        <v>2795</v>
      </c>
      <c r="V492" s="1" t="s">
        <v>47</v>
      </c>
      <c r="W492">
        <v>18016</v>
      </c>
      <c r="X492">
        <v>1</v>
      </c>
      <c r="Y492" s="1" t="s">
        <v>48</v>
      </c>
      <c r="Z492" s="1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8">
      <c r="A493" s="1" t="s">
        <v>559</v>
      </c>
      <c r="B493">
        <v>32</v>
      </c>
      <c r="C493" s="1" t="s">
        <v>190</v>
      </c>
      <c r="D493" s="1" t="s">
        <v>49</v>
      </c>
      <c r="E493" s="1" t="s">
        <v>59</v>
      </c>
      <c r="F493">
        <v>1184</v>
      </c>
      <c r="G493" s="1" t="s">
        <v>42</v>
      </c>
      <c r="H493">
        <v>1</v>
      </c>
      <c r="I493">
        <v>3</v>
      </c>
      <c r="J493" s="1" t="s">
        <v>43</v>
      </c>
      <c r="K493">
        <v>1</v>
      </c>
      <c r="L493">
        <v>951</v>
      </c>
      <c r="M493">
        <v>3</v>
      </c>
      <c r="N493" s="1" t="s">
        <v>53</v>
      </c>
      <c r="O493">
        <v>70</v>
      </c>
      <c r="P493">
        <v>2</v>
      </c>
      <c r="Q493">
        <v>1</v>
      </c>
      <c r="R493" s="1" t="s">
        <v>45</v>
      </c>
      <c r="S493">
        <v>2</v>
      </c>
      <c r="T493" s="1" t="s">
        <v>105</v>
      </c>
      <c r="U493">
        <v>2332</v>
      </c>
      <c r="V493" s="1" t="s">
        <v>47</v>
      </c>
      <c r="W493">
        <v>3974</v>
      </c>
      <c r="X493">
        <v>6</v>
      </c>
      <c r="Y493" s="1" t="s">
        <v>48</v>
      </c>
      <c r="Z493" s="1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8">
      <c r="A494" s="1" t="s">
        <v>560</v>
      </c>
      <c r="B494">
        <v>32</v>
      </c>
      <c r="C494" s="1" t="s">
        <v>190</v>
      </c>
      <c r="D494" s="1" t="s">
        <v>49</v>
      </c>
      <c r="E494" s="1" t="s">
        <v>41</v>
      </c>
      <c r="F494">
        <v>498</v>
      </c>
      <c r="G494" s="1" t="s">
        <v>42</v>
      </c>
      <c r="H494">
        <v>3</v>
      </c>
      <c r="I494">
        <v>4</v>
      </c>
      <c r="J494" s="1" t="s">
        <v>52</v>
      </c>
      <c r="K494">
        <v>1</v>
      </c>
      <c r="L494">
        <v>966</v>
      </c>
      <c r="M494">
        <v>3</v>
      </c>
      <c r="N494" s="1" t="s">
        <v>53</v>
      </c>
      <c r="O494">
        <v>93</v>
      </c>
      <c r="P494">
        <v>3</v>
      </c>
      <c r="Q494">
        <v>2</v>
      </c>
      <c r="R494" s="1" t="s">
        <v>112</v>
      </c>
      <c r="S494">
        <v>1</v>
      </c>
      <c r="T494" s="1" t="s">
        <v>105</v>
      </c>
      <c r="U494">
        <v>6725</v>
      </c>
      <c r="V494" s="1" t="s">
        <v>163</v>
      </c>
      <c r="W494">
        <v>13554</v>
      </c>
      <c r="X494">
        <v>1</v>
      </c>
      <c r="Y494" s="1" t="s">
        <v>48</v>
      </c>
      <c r="Z494" s="1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8">
      <c r="A495" s="1" t="s">
        <v>561</v>
      </c>
      <c r="B495">
        <v>32</v>
      </c>
      <c r="C495" s="1" t="s">
        <v>190</v>
      </c>
      <c r="D495" s="1" t="s">
        <v>49</v>
      </c>
      <c r="E495" s="1" t="s">
        <v>59</v>
      </c>
      <c r="F495">
        <v>1109</v>
      </c>
      <c r="G495" s="1" t="s">
        <v>42</v>
      </c>
      <c r="H495">
        <v>29</v>
      </c>
      <c r="I495">
        <v>4</v>
      </c>
      <c r="J495" s="1" t="s">
        <v>52</v>
      </c>
      <c r="K495">
        <v>1</v>
      </c>
      <c r="L495">
        <v>1046</v>
      </c>
      <c r="M495">
        <v>4</v>
      </c>
      <c r="N495" s="1" t="s">
        <v>53</v>
      </c>
      <c r="O495">
        <v>69</v>
      </c>
      <c r="P495">
        <v>3</v>
      </c>
      <c r="Q495">
        <v>1</v>
      </c>
      <c r="R495" s="1" t="s">
        <v>45</v>
      </c>
      <c r="S495">
        <v>3</v>
      </c>
      <c r="T495" s="1" t="s">
        <v>46</v>
      </c>
      <c r="U495">
        <v>4025</v>
      </c>
      <c r="V495" s="1" t="s">
        <v>47</v>
      </c>
      <c r="W495">
        <v>11135</v>
      </c>
      <c r="X495">
        <v>9</v>
      </c>
      <c r="Y495" s="1" t="s">
        <v>48</v>
      </c>
      <c r="Z495" s="1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8">
      <c r="A496" s="1" t="s">
        <v>562</v>
      </c>
      <c r="B496">
        <v>32</v>
      </c>
      <c r="C496" s="1" t="s">
        <v>190</v>
      </c>
      <c r="D496" s="1" t="s">
        <v>49</v>
      </c>
      <c r="E496" s="1" t="s">
        <v>59</v>
      </c>
      <c r="F496">
        <v>862</v>
      </c>
      <c r="G496" s="1" t="s">
        <v>51</v>
      </c>
      <c r="H496">
        <v>2</v>
      </c>
      <c r="I496">
        <v>1</v>
      </c>
      <c r="J496" s="1" t="s">
        <v>43</v>
      </c>
      <c r="K496">
        <v>1</v>
      </c>
      <c r="L496">
        <v>1190</v>
      </c>
      <c r="M496">
        <v>3</v>
      </c>
      <c r="N496" s="1" t="s">
        <v>53</v>
      </c>
      <c r="O496">
        <v>76</v>
      </c>
      <c r="P496">
        <v>3</v>
      </c>
      <c r="Q496">
        <v>1</v>
      </c>
      <c r="R496" s="1" t="s">
        <v>54</v>
      </c>
      <c r="S496">
        <v>1</v>
      </c>
      <c r="T496" s="1" t="s">
        <v>102</v>
      </c>
      <c r="U496">
        <v>2827</v>
      </c>
      <c r="V496" s="1" t="s">
        <v>47</v>
      </c>
      <c r="W496">
        <v>14947</v>
      </c>
      <c r="X496">
        <v>1</v>
      </c>
      <c r="Y496" s="1" t="s">
        <v>48</v>
      </c>
      <c r="Z496" s="1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8">
      <c r="A497" s="1" t="s">
        <v>563</v>
      </c>
      <c r="B497">
        <v>32</v>
      </c>
      <c r="C497" s="1" t="s">
        <v>190</v>
      </c>
      <c r="D497" s="1" t="s">
        <v>49</v>
      </c>
      <c r="E497" s="1" t="s">
        <v>56</v>
      </c>
      <c r="F497">
        <v>116</v>
      </c>
      <c r="G497" s="1" t="s">
        <v>42</v>
      </c>
      <c r="H497">
        <v>13</v>
      </c>
      <c r="I497">
        <v>3</v>
      </c>
      <c r="J497" s="1" t="s">
        <v>73</v>
      </c>
      <c r="K497">
        <v>1</v>
      </c>
      <c r="L497">
        <v>1234</v>
      </c>
      <c r="M497">
        <v>3</v>
      </c>
      <c r="N497" s="1" t="s">
        <v>53</v>
      </c>
      <c r="O497">
        <v>77</v>
      </c>
      <c r="P497">
        <v>2</v>
      </c>
      <c r="Q497">
        <v>1</v>
      </c>
      <c r="R497" s="1" t="s">
        <v>45</v>
      </c>
      <c r="S497">
        <v>2</v>
      </c>
      <c r="T497" s="1" t="s">
        <v>105</v>
      </c>
      <c r="U497">
        <v>2743</v>
      </c>
      <c r="V497" s="1" t="s">
        <v>47</v>
      </c>
      <c r="W497">
        <v>7331</v>
      </c>
      <c r="X497">
        <v>1</v>
      </c>
      <c r="Y497" s="1" t="s">
        <v>48</v>
      </c>
      <c r="Z497" s="1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8">
      <c r="A498" s="1" t="s">
        <v>564</v>
      </c>
      <c r="B498">
        <v>32</v>
      </c>
      <c r="C498" s="1" t="s">
        <v>190</v>
      </c>
      <c r="D498" s="1" t="s">
        <v>49</v>
      </c>
      <c r="E498" s="1" t="s">
        <v>56</v>
      </c>
      <c r="F498">
        <v>1316</v>
      </c>
      <c r="G498" s="1" t="s">
        <v>42</v>
      </c>
      <c r="H498">
        <v>2</v>
      </c>
      <c r="I498">
        <v>2</v>
      </c>
      <c r="J498" s="1" t="s">
        <v>43</v>
      </c>
      <c r="K498">
        <v>1</v>
      </c>
      <c r="L498">
        <v>1235</v>
      </c>
      <c r="M498">
        <v>4</v>
      </c>
      <c r="N498" s="1" t="s">
        <v>53</v>
      </c>
      <c r="O498">
        <v>38</v>
      </c>
      <c r="P498">
        <v>3</v>
      </c>
      <c r="Q498">
        <v>2</v>
      </c>
      <c r="R498" s="1" t="s">
        <v>60</v>
      </c>
      <c r="S498">
        <v>3</v>
      </c>
      <c r="T498" s="1" t="s">
        <v>46</v>
      </c>
      <c r="U498">
        <v>4998</v>
      </c>
      <c r="V498" s="1" t="s">
        <v>47</v>
      </c>
      <c r="W498">
        <v>2338</v>
      </c>
      <c r="X498">
        <v>4</v>
      </c>
      <c r="Y498" s="1" t="s">
        <v>48</v>
      </c>
      <c r="Z498" s="1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8">
      <c r="A499" s="1" t="s">
        <v>565</v>
      </c>
      <c r="B499">
        <v>32</v>
      </c>
      <c r="C499" s="1" t="s">
        <v>190</v>
      </c>
      <c r="D499" s="1" t="s">
        <v>49</v>
      </c>
      <c r="E499" s="1" t="s">
        <v>41</v>
      </c>
      <c r="F499">
        <v>604</v>
      </c>
      <c r="G499" s="1" t="s">
        <v>51</v>
      </c>
      <c r="H499">
        <v>8</v>
      </c>
      <c r="I499">
        <v>3</v>
      </c>
      <c r="J499" s="1" t="s">
        <v>52</v>
      </c>
      <c r="K499">
        <v>1</v>
      </c>
      <c r="L499">
        <v>1304</v>
      </c>
      <c r="M499">
        <v>3</v>
      </c>
      <c r="N499" s="1" t="s">
        <v>44</v>
      </c>
      <c r="O499">
        <v>56</v>
      </c>
      <c r="P499">
        <v>4</v>
      </c>
      <c r="Q499">
        <v>2</v>
      </c>
      <c r="R499" s="1" t="s">
        <v>137</v>
      </c>
      <c r="S499">
        <v>4</v>
      </c>
      <c r="T499" s="1" t="s">
        <v>105</v>
      </c>
      <c r="U499">
        <v>6209</v>
      </c>
      <c r="V499" s="1" t="s">
        <v>163</v>
      </c>
      <c r="W499">
        <v>11693</v>
      </c>
      <c r="X499">
        <v>1</v>
      </c>
      <c r="Y499" s="1" t="s">
        <v>48</v>
      </c>
      <c r="Z499" s="1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8">
      <c r="A500" s="1" t="s">
        <v>566</v>
      </c>
      <c r="B500">
        <v>32</v>
      </c>
      <c r="C500" s="1" t="s">
        <v>190</v>
      </c>
      <c r="D500" s="1" t="s">
        <v>40</v>
      </c>
      <c r="E500" s="1" t="s">
        <v>41</v>
      </c>
      <c r="F500">
        <v>1089</v>
      </c>
      <c r="G500" s="1" t="s">
        <v>42</v>
      </c>
      <c r="H500">
        <v>7</v>
      </c>
      <c r="I500">
        <v>2</v>
      </c>
      <c r="J500" s="1" t="s">
        <v>43</v>
      </c>
      <c r="K500">
        <v>1</v>
      </c>
      <c r="L500">
        <v>1309</v>
      </c>
      <c r="M500">
        <v>4</v>
      </c>
      <c r="N500" s="1" t="s">
        <v>44</v>
      </c>
      <c r="O500">
        <v>79</v>
      </c>
      <c r="P500">
        <v>3</v>
      </c>
      <c r="Q500">
        <v>2</v>
      </c>
      <c r="R500" s="1" t="s">
        <v>45</v>
      </c>
      <c r="S500">
        <v>3</v>
      </c>
      <c r="T500" s="1" t="s">
        <v>105</v>
      </c>
      <c r="U500">
        <v>4883</v>
      </c>
      <c r="V500" s="1" t="s">
        <v>47</v>
      </c>
      <c r="W500">
        <v>22845</v>
      </c>
      <c r="X500">
        <v>1</v>
      </c>
      <c r="Y500" s="1" t="s">
        <v>48</v>
      </c>
      <c r="Z500" s="1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8">
      <c r="A501" s="1" t="s">
        <v>567</v>
      </c>
      <c r="B501">
        <v>32</v>
      </c>
      <c r="C501" s="1" t="s">
        <v>190</v>
      </c>
      <c r="D501" s="1" t="s">
        <v>49</v>
      </c>
      <c r="E501" s="1" t="s">
        <v>41</v>
      </c>
      <c r="F501">
        <v>499</v>
      </c>
      <c r="G501" s="1" t="s">
        <v>51</v>
      </c>
      <c r="H501">
        <v>2</v>
      </c>
      <c r="I501">
        <v>1</v>
      </c>
      <c r="J501" s="1" t="s">
        <v>57</v>
      </c>
      <c r="K501">
        <v>1</v>
      </c>
      <c r="L501">
        <v>1396</v>
      </c>
      <c r="M501">
        <v>3</v>
      </c>
      <c r="N501" s="1" t="s">
        <v>44</v>
      </c>
      <c r="O501">
        <v>36</v>
      </c>
      <c r="P501">
        <v>3</v>
      </c>
      <c r="Q501">
        <v>2</v>
      </c>
      <c r="R501" s="1" t="s">
        <v>137</v>
      </c>
      <c r="S501">
        <v>2</v>
      </c>
      <c r="T501" s="1" t="s">
        <v>105</v>
      </c>
      <c r="U501">
        <v>4078</v>
      </c>
      <c r="V501" s="1" t="s">
        <v>47</v>
      </c>
      <c r="W501">
        <v>20497</v>
      </c>
      <c r="X501">
        <v>0</v>
      </c>
      <c r="Y501" s="1" t="s">
        <v>48</v>
      </c>
      <c r="Z501" s="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8">
      <c r="A502" s="1" t="s">
        <v>568</v>
      </c>
      <c r="B502">
        <v>32</v>
      </c>
      <c r="C502" s="1" t="s">
        <v>190</v>
      </c>
      <c r="D502" s="1" t="s">
        <v>49</v>
      </c>
      <c r="E502" s="1" t="s">
        <v>41</v>
      </c>
      <c r="F502">
        <v>601</v>
      </c>
      <c r="G502" s="1" t="s">
        <v>51</v>
      </c>
      <c r="H502">
        <v>7</v>
      </c>
      <c r="I502">
        <v>5</v>
      </c>
      <c r="J502" s="1" t="s">
        <v>57</v>
      </c>
      <c r="K502">
        <v>1</v>
      </c>
      <c r="L502">
        <v>1446</v>
      </c>
      <c r="M502">
        <v>4</v>
      </c>
      <c r="N502" s="1" t="s">
        <v>44</v>
      </c>
      <c r="O502">
        <v>97</v>
      </c>
      <c r="P502">
        <v>3</v>
      </c>
      <c r="Q502">
        <v>2</v>
      </c>
      <c r="R502" s="1" t="s">
        <v>137</v>
      </c>
      <c r="S502">
        <v>4</v>
      </c>
      <c r="T502" s="1" t="s">
        <v>105</v>
      </c>
      <c r="U502">
        <v>9204</v>
      </c>
      <c r="V502" s="1" t="s">
        <v>163</v>
      </c>
      <c r="W502">
        <v>23343</v>
      </c>
      <c r="X502">
        <v>4</v>
      </c>
      <c r="Y502" s="1" t="s">
        <v>48</v>
      </c>
      <c r="Z502" s="1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8">
      <c r="A503" s="1" t="s">
        <v>569</v>
      </c>
      <c r="B503">
        <v>32</v>
      </c>
      <c r="C503" s="1" t="s">
        <v>190</v>
      </c>
      <c r="D503" s="1" t="s">
        <v>49</v>
      </c>
      <c r="E503" s="1" t="s">
        <v>41</v>
      </c>
      <c r="F503">
        <v>495</v>
      </c>
      <c r="G503" s="1" t="s">
        <v>42</v>
      </c>
      <c r="H503">
        <v>10</v>
      </c>
      <c r="I503">
        <v>3</v>
      </c>
      <c r="J503" s="1" t="s">
        <v>52</v>
      </c>
      <c r="K503">
        <v>1</v>
      </c>
      <c r="L503">
        <v>1516</v>
      </c>
      <c r="M503">
        <v>3</v>
      </c>
      <c r="N503" s="1" t="s">
        <v>44</v>
      </c>
      <c r="O503">
        <v>64</v>
      </c>
      <c r="P503">
        <v>3</v>
      </c>
      <c r="Q503">
        <v>3</v>
      </c>
      <c r="R503" s="1" t="s">
        <v>442</v>
      </c>
      <c r="S503">
        <v>4</v>
      </c>
      <c r="T503" s="1" t="s">
        <v>46</v>
      </c>
      <c r="U503">
        <v>11244</v>
      </c>
      <c r="V503" s="1" t="s">
        <v>253</v>
      </c>
      <c r="W503">
        <v>21072</v>
      </c>
      <c r="X503">
        <v>2</v>
      </c>
      <c r="Y503" s="1" t="s">
        <v>48</v>
      </c>
      <c r="Z503" s="1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8">
      <c r="A504" s="1" t="s">
        <v>570</v>
      </c>
      <c r="B504">
        <v>32</v>
      </c>
      <c r="C504" s="1" t="s">
        <v>190</v>
      </c>
      <c r="D504" s="1" t="s">
        <v>49</v>
      </c>
      <c r="E504" s="1" t="s">
        <v>41</v>
      </c>
      <c r="F504">
        <v>824</v>
      </c>
      <c r="G504" s="1" t="s">
        <v>42</v>
      </c>
      <c r="H504">
        <v>5</v>
      </c>
      <c r="I504">
        <v>2</v>
      </c>
      <c r="J504" s="1" t="s">
        <v>43</v>
      </c>
      <c r="K504">
        <v>1</v>
      </c>
      <c r="L504">
        <v>1555</v>
      </c>
      <c r="M504">
        <v>4</v>
      </c>
      <c r="N504" s="1" t="s">
        <v>53</v>
      </c>
      <c r="O504">
        <v>67</v>
      </c>
      <c r="P504">
        <v>2</v>
      </c>
      <c r="Q504">
        <v>2</v>
      </c>
      <c r="R504" s="1" t="s">
        <v>60</v>
      </c>
      <c r="S504">
        <v>2</v>
      </c>
      <c r="T504" s="1" t="s">
        <v>105</v>
      </c>
      <c r="U504">
        <v>5878</v>
      </c>
      <c r="V504" s="1" t="s">
        <v>163</v>
      </c>
      <c r="W504">
        <v>15624</v>
      </c>
      <c r="X504">
        <v>3</v>
      </c>
      <c r="Y504" s="1" t="s">
        <v>48</v>
      </c>
      <c r="Z504" s="1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8">
      <c r="A505" s="1" t="s">
        <v>571</v>
      </c>
      <c r="B505">
        <v>32</v>
      </c>
      <c r="C505" s="1" t="s">
        <v>190</v>
      </c>
      <c r="D505" s="1" t="s">
        <v>49</v>
      </c>
      <c r="E505" s="1" t="s">
        <v>59</v>
      </c>
      <c r="F505">
        <v>1200</v>
      </c>
      <c r="G505" s="1" t="s">
        <v>42</v>
      </c>
      <c r="H505">
        <v>1</v>
      </c>
      <c r="I505">
        <v>4</v>
      </c>
      <c r="J505" s="1" t="s">
        <v>68</v>
      </c>
      <c r="K505">
        <v>1</v>
      </c>
      <c r="L505">
        <v>1574</v>
      </c>
      <c r="M505">
        <v>4</v>
      </c>
      <c r="N505" s="1" t="s">
        <v>44</v>
      </c>
      <c r="O505">
        <v>62</v>
      </c>
      <c r="P505">
        <v>3</v>
      </c>
      <c r="Q505">
        <v>2</v>
      </c>
      <c r="R505" s="1" t="s">
        <v>60</v>
      </c>
      <c r="S505">
        <v>1</v>
      </c>
      <c r="T505" s="1" t="s">
        <v>105</v>
      </c>
      <c r="U505">
        <v>4087</v>
      </c>
      <c r="V505" s="1" t="s">
        <v>47</v>
      </c>
      <c r="W505">
        <v>25174</v>
      </c>
      <c r="X505">
        <v>4</v>
      </c>
      <c r="Y505" s="1" t="s">
        <v>48</v>
      </c>
      <c r="Z505" s="1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8">
      <c r="A506" s="1" t="s">
        <v>572</v>
      </c>
      <c r="B506">
        <v>32</v>
      </c>
      <c r="C506" s="1" t="s">
        <v>190</v>
      </c>
      <c r="D506" s="1" t="s">
        <v>49</v>
      </c>
      <c r="E506" s="1" t="s">
        <v>41</v>
      </c>
      <c r="F506">
        <v>634</v>
      </c>
      <c r="G506" s="1" t="s">
        <v>42</v>
      </c>
      <c r="H506">
        <v>5</v>
      </c>
      <c r="I506">
        <v>4</v>
      </c>
      <c r="J506" s="1" t="s">
        <v>73</v>
      </c>
      <c r="K506">
        <v>1</v>
      </c>
      <c r="L506">
        <v>1607</v>
      </c>
      <c r="M506">
        <v>2</v>
      </c>
      <c r="N506" s="1" t="s">
        <v>53</v>
      </c>
      <c r="O506">
        <v>35</v>
      </c>
      <c r="P506">
        <v>4</v>
      </c>
      <c r="Q506">
        <v>1</v>
      </c>
      <c r="R506" s="1" t="s">
        <v>60</v>
      </c>
      <c r="S506">
        <v>4</v>
      </c>
      <c r="T506" s="1" t="s">
        <v>105</v>
      </c>
      <c r="U506">
        <v>3312</v>
      </c>
      <c r="V506" s="1" t="s">
        <v>47</v>
      </c>
      <c r="W506">
        <v>18783</v>
      </c>
      <c r="X506">
        <v>3</v>
      </c>
      <c r="Y506" s="1" t="s">
        <v>48</v>
      </c>
      <c r="Z506" s="1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8">
      <c r="A507" s="1" t="s">
        <v>573</v>
      </c>
      <c r="B507">
        <v>32</v>
      </c>
      <c r="C507" s="1" t="s">
        <v>190</v>
      </c>
      <c r="D507" s="1" t="s">
        <v>49</v>
      </c>
      <c r="E507" s="1" t="s">
        <v>41</v>
      </c>
      <c r="F507">
        <v>977</v>
      </c>
      <c r="G507" s="1" t="s">
        <v>42</v>
      </c>
      <c r="H507">
        <v>2</v>
      </c>
      <c r="I507">
        <v>3</v>
      </c>
      <c r="J507" s="1" t="s">
        <v>52</v>
      </c>
      <c r="K507">
        <v>1</v>
      </c>
      <c r="L507">
        <v>1671</v>
      </c>
      <c r="M507">
        <v>4</v>
      </c>
      <c r="N507" s="1" t="s">
        <v>44</v>
      </c>
      <c r="O507">
        <v>45</v>
      </c>
      <c r="P507">
        <v>3</v>
      </c>
      <c r="Q507">
        <v>2</v>
      </c>
      <c r="R507" s="1" t="s">
        <v>60</v>
      </c>
      <c r="S507">
        <v>2</v>
      </c>
      <c r="T507" s="1" t="s">
        <v>102</v>
      </c>
      <c r="U507">
        <v>5470</v>
      </c>
      <c r="V507" s="1" t="s">
        <v>163</v>
      </c>
      <c r="W507">
        <v>25518</v>
      </c>
      <c r="X507">
        <v>0</v>
      </c>
      <c r="Y507" s="1" t="s">
        <v>48</v>
      </c>
      <c r="Z507" s="1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8">
      <c r="A508" s="1" t="s">
        <v>574</v>
      </c>
      <c r="B508">
        <v>32</v>
      </c>
      <c r="C508" s="1" t="s">
        <v>190</v>
      </c>
      <c r="D508" s="1" t="s">
        <v>40</v>
      </c>
      <c r="E508" s="1" t="s">
        <v>41</v>
      </c>
      <c r="F508">
        <v>1259</v>
      </c>
      <c r="G508" s="1" t="s">
        <v>42</v>
      </c>
      <c r="H508">
        <v>2</v>
      </c>
      <c r="I508">
        <v>4</v>
      </c>
      <c r="J508" s="1" t="s">
        <v>43</v>
      </c>
      <c r="K508">
        <v>1</v>
      </c>
      <c r="L508">
        <v>1692</v>
      </c>
      <c r="M508">
        <v>4</v>
      </c>
      <c r="N508" s="1" t="s">
        <v>44</v>
      </c>
      <c r="O508">
        <v>95</v>
      </c>
      <c r="P508">
        <v>3</v>
      </c>
      <c r="Q508">
        <v>1</v>
      </c>
      <c r="R508" s="1" t="s">
        <v>45</v>
      </c>
      <c r="S508">
        <v>2</v>
      </c>
      <c r="T508" s="1" t="s">
        <v>46</v>
      </c>
      <c r="U508">
        <v>1393</v>
      </c>
      <c r="V508" s="1" t="s">
        <v>47</v>
      </c>
      <c r="W508">
        <v>24852</v>
      </c>
      <c r="X508">
        <v>1</v>
      </c>
      <c r="Y508" s="1" t="s">
        <v>48</v>
      </c>
      <c r="Z508" s="1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8">
      <c r="A509" s="1" t="s">
        <v>575</v>
      </c>
      <c r="B509">
        <v>32</v>
      </c>
      <c r="C509" s="1" t="s">
        <v>190</v>
      </c>
      <c r="D509" s="1" t="s">
        <v>49</v>
      </c>
      <c r="E509" s="1" t="s">
        <v>56</v>
      </c>
      <c r="F509">
        <v>585</v>
      </c>
      <c r="G509" s="1" t="s">
        <v>42</v>
      </c>
      <c r="H509">
        <v>10</v>
      </c>
      <c r="I509">
        <v>3</v>
      </c>
      <c r="J509" s="1" t="s">
        <v>43</v>
      </c>
      <c r="K509">
        <v>1</v>
      </c>
      <c r="L509">
        <v>1720</v>
      </c>
      <c r="M509">
        <v>1</v>
      </c>
      <c r="N509" s="1" t="s">
        <v>44</v>
      </c>
      <c r="O509">
        <v>56</v>
      </c>
      <c r="P509">
        <v>3</v>
      </c>
      <c r="Q509">
        <v>1</v>
      </c>
      <c r="R509" s="1" t="s">
        <v>60</v>
      </c>
      <c r="S509">
        <v>3</v>
      </c>
      <c r="T509" s="1" t="s">
        <v>105</v>
      </c>
      <c r="U509">
        <v>3433</v>
      </c>
      <c r="V509" s="1" t="s">
        <v>47</v>
      </c>
      <c r="W509">
        <v>17360</v>
      </c>
      <c r="X509">
        <v>6</v>
      </c>
      <c r="Y509" s="1" t="s">
        <v>48</v>
      </c>
      <c r="Z509" s="1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8">
      <c r="A510" s="1" t="s">
        <v>576</v>
      </c>
      <c r="B510">
        <v>32</v>
      </c>
      <c r="C510" s="1" t="s">
        <v>190</v>
      </c>
      <c r="D510" s="1" t="s">
        <v>40</v>
      </c>
      <c r="E510" s="1" t="s">
        <v>41</v>
      </c>
      <c r="F510">
        <v>964</v>
      </c>
      <c r="G510" s="1" t="s">
        <v>51</v>
      </c>
      <c r="H510">
        <v>1</v>
      </c>
      <c r="I510">
        <v>2</v>
      </c>
      <c r="J510" s="1" t="s">
        <v>43</v>
      </c>
      <c r="K510">
        <v>1</v>
      </c>
      <c r="L510">
        <v>1734</v>
      </c>
      <c r="M510">
        <v>1</v>
      </c>
      <c r="N510" s="1" t="s">
        <v>44</v>
      </c>
      <c r="O510">
        <v>34</v>
      </c>
      <c r="P510">
        <v>1</v>
      </c>
      <c r="Q510">
        <v>2</v>
      </c>
      <c r="R510" s="1" t="s">
        <v>137</v>
      </c>
      <c r="S510">
        <v>2</v>
      </c>
      <c r="T510" s="1" t="s">
        <v>46</v>
      </c>
      <c r="U510">
        <v>6735</v>
      </c>
      <c r="V510" s="1" t="s">
        <v>163</v>
      </c>
      <c r="W510">
        <v>12147</v>
      </c>
      <c r="X510">
        <v>6</v>
      </c>
      <c r="Y510" s="1" t="s">
        <v>48</v>
      </c>
      <c r="Z510" s="1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8">
      <c r="A511" s="1" t="s">
        <v>577</v>
      </c>
      <c r="B511">
        <v>32</v>
      </c>
      <c r="C511" s="1" t="s">
        <v>190</v>
      </c>
      <c r="D511" s="1" t="s">
        <v>49</v>
      </c>
      <c r="E511" s="1" t="s">
        <v>41</v>
      </c>
      <c r="F511">
        <v>371</v>
      </c>
      <c r="G511" s="1" t="s">
        <v>51</v>
      </c>
      <c r="H511">
        <v>19</v>
      </c>
      <c r="I511">
        <v>3</v>
      </c>
      <c r="J511" s="1" t="s">
        <v>43</v>
      </c>
      <c r="K511">
        <v>1</v>
      </c>
      <c r="L511">
        <v>1739</v>
      </c>
      <c r="M511">
        <v>4</v>
      </c>
      <c r="N511" s="1" t="s">
        <v>44</v>
      </c>
      <c r="O511">
        <v>80</v>
      </c>
      <c r="P511">
        <v>1</v>
      </c>
      <c r="Q511">
        <v>3</v>
      </c>
      <c r="R511" s="1" t="s">
        <v>137</v>
      </c>
      <c r="S511">
        <v>3</v>
      </c>
      <c r="T511" s="1" t="s">
        <v>105</v>
      </c>
      <c r="U511">
        <v>9610</v>
      </c>
      <c r="V511" s="1" t="s">
        <v>163</v>
      </c>
      <c r="W511">
        <v>3840</v>
      </c>
      <c r="X511">
        <v>3</v>
      </c>
      <c r="Y511" s="1" t="s">
        <v>48</v>
      </c>
      <c r="Z511" s="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8">
      <c r="A512" s="1" t="s">
        <v>578</v>
      </c>
      <c r="B512">
        <v>32</v>
      </c>
      <c r="C512" s="1" t="s">
        <v>190</v>
      </c>
      <c r="D512" s="1" t="s">
        <v>49</v>
      </c>
      <c r="E512" s="1" t="s">
        <v>59</v>
      </c>
      <c r="F512">
        <v>953</v>
      </c>
      <c r="G512" s="1" t="s">
        <v>42</v>
      </c>
      <c r="H512">
        <v>5</v>
      </c>
      <c r="I512">
        <v>4</v>
      </c>
      <c r="J512" s="1" t="s">
        <v>68</v>
      </c>
      <c r="K512">
        <v>1</v>
      </c>
      <c r="L512">
        <v>1764</v>
      </c>
      <c r="M512">
        <v>2</v>
      </c>
      <c r="N512" s="1" t="s">
        <v>44</v>
      </c>
      <c r="O512">
        <v>65</v>
      </c>
      <c r="P512">
        <v>3</v>
      </c>
      <c r="Q512">
        <v>1</v>
      </c>
      <c r="R512" s="1" t="s">
        <v>60</v>
      </c>
      <c r="S512">
        <v>2</v>
      </c>
      <c r="T512" s="1" t="s">
        <v>46</v>
      </c>
      <c r="U512">
        <v>2718</v>
      </c>
      <c r="V512" s="1" t="s">
        <v>47</v>
      </c>
      <c r="W512">
        <v>17674</v>
      </c>
      <c r="X512">
        <v>2</v>
      </c>
      <c r="Y512" s="1" t="s">
        <v>48</v>
      </c>
      <c r="Z512" s="1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8">
      <c r="A513" s="1" t="s">
        <v>579</v>
      </c>
      <c r="B513">
        <v>32</v>
      </c>
      <c r="C513" s="1" t="s">
        <v>190</v>
      </c>
      <c r="D513" s="1" t="s">
        <v>49</v>
      </c>
      <c r="E513" s="1" t="s">
        <v>56</v>
      </c>
      <c r="F513">
        <v>1318</v>
      </c>
      <c r="G513" s="1" t="s">
        <v>51</v>
      </c>
      <c r="H513">
        <v>10</v>
      </c>
      <c r="I513">
        <v>4</v>
      </c>
      <c r="J513" s="1" t="s">
        <v>57</v>
      </c>
      <c r="K513">
        <v>1</v>
      </c>
      <c r="L513">
        <v>1853</v>
      </c>
      <c r="M513">
        <v>4</v>
      </c>
      <c r="N513" s="1" t="s">
        <v>44</v>
      </c>
      <c r="O513">
        <v>79</v>
      </c>
      <c r="P513">
        <v>3</v>
      </c>
      <c r="Q513">
        <v>2</v>
      </c>
      <c r="R513" s="1" t="s">
        <v>137</v>
      </c>
      <c r="S513">
        <v>4</v>
      </c>
      <c r="T513" s="1" t="s">
        <v>46</v>
      </c>
      <c r="U513">
        <v>4648</v>
      </c>
      <c r="V513" s="1" t="s">
        <v>47</v>
      </c>
      <c r="W513">
        <v>26075</v>
      </c>
      <c r="X513">
        <v>8</v>
      </c>
      <c r="Y513" s="1" t="s">
        <v>48</v>
      </c>
      <c r="Z513" s="1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8">
      <c r="A514" s="1" t="s">
        <v>580</v>
      </c>
      <c r="B514">
        <v>32</v>
      </c>
      <c r="C514" s="1" t="s">
        <v>190</v>
      </c>
      <c r="D514" s="1" t="s">
        <v>40</v>
      </c>
      <c r="E514" s="1" t="s">
        <v>41</v>
      </c>
      <c r="F514">
        <v>414</v>
      </c>
      <c r="G514" s="1" t="s">
        <v>51</v>
      </c>
      <c r="H514">
        <v>2</v>
      </c>
      <c r="I514">
        <v>4</v>
      </c>
      <c r="J514" s="1" t="s">
        <v>57</v>
      </c>
      <c r="K514">
        <v>1</v>
      </c>
      <c r="L514">
        <v>1862</v>
      </c>
      <c r="M514">
        <v>3</v>
      </c>
      <c r="N514" s="1" t="s">
        <v>44</v>
      </c>
      <c r="O514">
        <v>82</v>
      </c>
      <c r="P514">
        <v>2</v>
      </c>
      <c r="Q514">
        <v>2</v>
      </c>
      <c r="R514" s="1" t="s">
        <v>137</v>
      </c>
      <c r="S514">
        <v>2</v>
      </c>
      <c r="T514" s="1" t="s">
        <v>46</v>
      </c>
      <c r="U514">
        <v>9907</v>
      </c>
      <c r="V514" s="1" t="s">
        <v>163</v>
      </c>
      <c r="W514">
        <v>26186</v>
      </c>
      <c r="X514">
        <v>7</v>
      </c>
      <c r="Y514" s="1" t="s">
        <v>48</v>
      </c>
      <c r="Z514" s="1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8">
      <c r="A515" s="1" t="s">
        <v>581</v>
      </c>
      <c r="B515">
        <v>32</v>
      </c>
      <c r="C515" s="1" t="s">
        <v>190</v>
      </c>
      <c r="D515" s="1" t="s">
        <v>40</v>
      </c>
      <c r="E515" s="1" t="s">
        <v>56</v>
      </c>
      <c r="F515">
        <v>238</v>
      </c>
      <c r="G515" s="1" t="s">
        <v>42</v>
      </c>
      <c r="H515">
        <v>5</v>
      </c>
      <c r="I515">
        <v>2</v>
      </c>
      <c r="J515" s="1" t="s">
        <v>43</v>
      </c>
      <c r="K515">
        <v>1</v>
      </c>
      <c r="L515">
        <v>1939</v>
      </c>
      <c r="M515">
        <v>1</v>
      </c>
      <c r="N515" s="1" t="s">
        <v>53</v>
      </c>
      <c r="O515">
        <v>47</v>
      </c>
      <c r="P515">
        <v>4</v>
      </c>
      <c r="Q515">
        <v>1</v>
      </c>
      <c r="R515" s="1" t="s">
        <v>60</v>
      </c>
      <c r="S515">
        <v>3</v>
      </c>
      <c r="T515" s="1" t="s">
        <v>46</v>
      </c>
      <c r="U515">
        <v>2432</v>
      </c>
      <c r="V515" s="1" t="s">
        <v>47</v>
      </c>
      <c r="W515">
        <v>15318</v>
      </c>
      <c r="X515">
        <v>3</v>
      </c>
      <c r="Y515" s="1" t="s">
        <v>48</v>
      </c>
      <c r="Z515" s="1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8">
      <c r="A516" s="1" t="s">
        <v>582</v>
      </c>
      <c r="B516">
        <v>32</v>
      </c>
      <c r="C516" s="1" t="s">
        <v>190</v>
      </c>
      <c r="D516" s="1" t="s">
        <v>49</v>
      </c>
      <c r="E516" s="1" t="s">
        <v>59</v>
      </c>
      <c r="F516">
        <v>1146</v>
      </c>
      <c r="G516" s="1" t="s">
        <v>42</v>
      </c>
      <c r="H516">
        <v>15</v>
      </c>
      <c r="I516">
        <v>4</v>
      </c>
      <c r="J516" s="1" t="s">
        <v>52</v>
      </c>
      <c r="K516">
        <v>1</v>
      </c>
      <c r="L516">
        <v>1955</v>
      </c>
      <c r="M516">
        <v>3</v>
      </c>
      <c r="N516" s="1" t="s">
        <v>53</v>
      </c>
      <c r="O516">
        <v>34</v>
      </c>
      <c r="P516">
        <v>3</v>
      </c>
      <c r="Q516">
        <v>2</v>
      </c>
      <c r="R516" s="1" t="s">
        <v>161</v>
      </c>
      <c r="S516">
        <v>4</v>
      </c>
      <c r="T516" s="1" t="s">
        <v>102</v>
      </c>
      <c r="U516">
        <v>6667</v>
      </c>
      <c r="V516" s="1" t="s">
        <v>163</v>
      </c>
      <c r="W516">
        <v>16542</v>
      </c>
      <c r="X516">
        <v>5</v>
      </c>
      <c r="Y516" s="1" t="s">
        <v>48</v>
      </c>
      <c r="Z516" s="1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8">
      <c r="A517" s="1" t="s">
        <v>583</v>
      </c>
      <c r="B517">
        <v>32</v>
      </c>
      <c r="C517" s="1" t="s">
        <v>190</v>
      </c>
      <c r="D517" s="1" t="s">
        <v>49</v>
      </c>
      <c r="E517" s="1" t="s">
        <v>41</v>
      </c>
      <c r="F517">
        <v>1373</v>
      </c>
      <c r="G517" s="1" t="s">
        <v>42</v>
      </c>
      <c r="H517">
        <v>5</v>
      </c>
      <c r="I517">
        <v>4</v>
      </c>
      <c r="J517" s="1" t="s">
        <v>43</v>
      </c>
      <c r="K517">
        <v>1</v>
      </c>
      <c r="L517">
        <v>1966</v>
      </c>
      <c r="M517">
        <v>4</v>
      </c>
      <c r="N517" s="1" t="s">
        <v>44</v>
      </c>
      <c r="O517">
        <v>56</v>
      </c>
      <c r="P517">
        <v>2</v>
      </c>
      <c r="Q517">
        <v>2</v>
      </c>
      <c r="R517" s="1" t="s">
        <v>112</v>
      </c>
      <c r="S517">
        <v>4</v>
      </c>
      <c r="T517" s="1" t="s">
        <v>46</v>
      </c>
      <c r="U517">
        <v>9679</v>
      </c>
      <c r="V517" s="1" t="s">
        <v>163</v>
      </c>
      <c r="W517">
        <v>10138</v>
      </c>
      <c r="X517">
        <v>8</v>
      </c>
      <c r="Y517" s="1" t="s">
        <v>48</v>
      </c>
      <c r="Z517" s="1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8">
      <c r="A518" s="1" t="s">
        <v>584</v>
      </c>
      <c r="B518">
        <v>32</v>
      </c>
      <c r="C518" s="1" t="s">
        <v>190</v>
      </c>
      <c r="D518" s="1" t="s">
        <v>49</v>
      </c>
      <c r="E518" s="1" t="s">
        <v>41</v>
      </c>
      <c r="F518">
        <v>267</v>
      </c>
      <c r="G518" s="1" t="s">
        <v>42</v>
      </c>
      <c r="H518">
        <v>29</v>
      </c>
      <c r="I518">
        <v>4</v>
      </c>
      <c r="J518" s="1" t="s">
        <v>43</v>
      </c>
      <c r="K518">
        <v>1</v>
      </c>
      <c r="L518">
        <v>2010</v>
      </c>
      <c r="M518">
        <v>3</v>
      </c>
      <c r="N518" s="1" t="s">
        <v>53</v>
      </c>
      <c r="O518">
        <v>49</v>
      </c>
      <c r="P518">
        <v>2</v>
      </c>
      <c r="Q518">
        <v>1</v>
      </c>
      <c r="R518" s="1" t="s">
        <v>45</v>
      </c>
      <c r="S518">
        <v>2</v>
      </c>
      <c r="T518" s="1" t="s">
        <v>46</v>
      </c>
      <c r="U518">
        <v>2837</v>
      </c>
      <c r="V518" s="1" t="s">
        <v>47</v>
      </c>
      <c r="W518">
        <v>15919</v>
      </c>
      <c r="X518">
        <v>1</v>
      </c>
      <c r="Y518" s="1" t="s">
        <v>48</v>
      </c>
      <c r="Z518" s="1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8">
      <c r="A519" s="1" t="s">
        <v>585</v>
      </c>
      <c r="B519">
        <v>32</v>
      </c>
      <c r="C519" s="1" t="s">
        <v>190</v>
      </c>
      <c r="D519" s="1" t="s">
        <v>49</v>
      </c>
      <c r="E519" s="1" t="s">
        <v>41</v>
      </c>
      <c r="F519">
        <v>234</v>
      </c>
      <c r="G519" s="1" t="s">
        <v>51</v>
      </c>
      <c r="H519">
        <v>1</v>
      </c>
      <c r="I519">
        <v>4</v>
      </c>
      <c r="J519" s="1" t="s">
        <v>52</v>
      </c>
      <c r="K519">
        <v>1</v>
      </c>
      <c r="L519">
        <v>2013</v>
      </c>
      <c r="M519">
        <v>2</v>
      </c>
      <c r="N519" s="1" t="s">
        <v>44</v>
      </c>
      <c r="O519">
        <v>68</v>
      </c>
      <c r="P519">
        <v>2</v>
      </c>
      <c r="Q519">
        <v>1</v>
      </c>
      <c r="R519" s="1" t="s">
        <v>54</v>
      </c>
      <c r="S519">
        <v>2</v>
      </c>
      <c r="T519" s="1" t="s">
        <v>105</v>
      </c>
      <c r="U519">
        <v>2269</v>
      </c>
      <c r="V519" s="1" t="s">
        <v>47</v>
      </c>
      <c r="W519">
        <v>18024</v>
      </c>
      <c r="X519">
        <v>0</v>
      </c>
      <c r="Y519" s="1" t="s">
        <v>48</v>
      </c>
      <c r="Z519" s="1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8">
      <c r="A520" s="1" t="s">
        <v>586</v>
      </c>
      <c r="B520">
        <v>32</v>
      </c>
      <c r="C520" s="1" t="s">
        <v>190</v>
      </c>
      <c r="D520" s="1" t="s">
        <v>49</v>
      </c>
      <c r="E520" s="1" t="s">
        <v>41</v>
      </c>
      <c r="F520">
        <v>801</v>
      </c>
      <c r="G520" s="1" t="s">
        <v>51</v>
      </c>
      <c r="H520">
        <v>1</v>
      </c>
      <c r="I520">
        <v>4</v>
      </c>
      <c r="J520" s="1" t="s">
        <v>57</v>
      </c>
      <c r="K520">
        <v>1</v>
      </c>
      <c r="L520">
        <v>2016</v>
      </c>
      <c r="M520">
        <v>3</v>
      </c>
      <c r="N520" s="1" t="s">
        <v>53</v>
      </c>
      <c r="O520">
        <v>48</v>
      </c>
      <c r="P520">
        <v>3</v>
      </c>
      <c r="Q520">
        <v>3</v>
      </c>
      <c r="R520" s="1" t="s">
        <v>137</v>
      </c>
      <c r="S520">
        <v>4</v>
      </c>
      <c r="T520" s="1" t="s">
        <v>105</v>
      </c>
      <c r="U520">
        <v>10422</v>
      </c>
      <c r="V520" s="1" t="s">
        <v>253</v>
      </c>
      <c r="W520">
        <v>24032</v>
      </c>
      <c r="X520">
        <v>1</v>
      </c>
      <c r="Y520" s="1" t="s">
        <v>48</v>
      </c>
      <c r="Z520" s="1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8">
      <c r="A521" s="1" t="s">
        <v>587</v>
      </c>
      <c r="B521">
        <v>32</v>
      </c>
      <c r="C521" s="1" t="s">
        <v>190</v>
      </c>
      <c r="D521" s="1" t="s">
        <v>49</v>
      </c>
      <c r="E521" s="1" t="s">
        <v>41</v>
      </c>
      <c r="F521">
        <v>529</v>
      </c>
      <c r="G521" s="1" t="s">
        <v>42</v>
      </c>
      <c r="H521">
        <v>2</v>
      </c>
      <c r="I521">
        <v>3</v>
      </c>
      <c r="J521" s="1" t="s">
        <v>68</v>
      </c>
      <c r="K521">
        <v>1</v>
      </c>
      <c r="L521">
        <v>2038</v>
      </c>
      <c r="M521">
        <v>4</v>
      </c>
      <c r="N521" s="1" t="s">
        <v>44</v>
      </c>
      <c r="O521">
        <v>78</v>
      </c>
      <c r="P521">
        <v>3</v>
      </c>
      <c r="Q521">
        <v>1</v>
      </c>
      <c r="R521" s="1" t="s">
        <v>60</v>
      </c>
      <c r="S521">
        <v>1</v>
      </c>
      <c r="T521" s="1" t="s">
        <v>46</v>
      </c>
      <c r="U521">
        <v>2439</v>
      </c>
      <c r="V521" s="1" t="s">
        <v>47</v>
      </c>
      <c r="W521">
        <v>11288</v>
      </c>
      <c r="X521">
        <v>1</v>
      </c>
      <c r="Y521" s="1" t="s">
        <v>48</v>
      </c>
      <c r="Z521" s="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8">
      <c r="A522" s="1" t="s">
        <v>588</v>
      </c>
      <c r="B522">
        <v>33</v>
      </c>
      <c r="C522" s="1" t="s">
        <v>190</v>
      </c>
      <c r="D522" s="1" t="s">
        <v>49</v>
      </c>
      <c r="E522" s="1" t="s">
        <v>56</v>
      </c>
      <c r="F522">
        <v>1392</v>
      </c>
      <c r="G522" s="1" t="s">
        <v>42</v>
      </c>
      <c r="H522">
        <v>3</v>
      </c>
      <c r="I522">
        <v>4</v>
      </c>
      <c r="J522" s="1" t="s">
        <v>43</v>
      </c>
      <c r="K522">
        <v>1</v>
      </c>
      <c r="L522">
        <v>5</v>
      </c>
      <c r="M522">
        <v>4</v>
      </c>
      <c r="N522" s="1" t="s">
        <v>53</v>
      </c>
      <c r="O522">
        <v>56</v>
      </c>
      <c r="P522">
        <v>3</v>
      </c>
      <c r="Q522">
        <v>1</v>
      </c>
      <c r="R522" s="1" t="s">
        <v>60</v>
      </c>
      <c r="S522">
        <v>3</v>
      </c>
      <c r="T522" s="1" t="s">
        <v>105</v>
      </c>
      <c r="U522">
        <v>2909</v>
      </c>
      <c r="V522" s="1" t="s">
        <v>47</v>
      </c>
      <c r="W522">
        <v>23159</v>
      </c>
      <c r="X522">
        <v>1</v>
      </c>
      <c r="Y522" s="1" t="s">
        <v>48</v>
      </c>
      <c r="Z522" s="1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8">
      <c r="A523" s="1" t="s">
        <v>589</v>
      </c>
      <c r="B523">
        <v>33</v>
      </c>
      <c r="C523" s="1" t="s">
        <v>190</v>
      </c>
      <c r="D523" s="1" t="s">
        <v>49</v>
      </c>
      <c r="E523" s="1" t="s">
        <v>41</v>
      </c>
      <c r="F523">
        <v>924</v>
      </c>
      <c r="G523" s="1" t="s">
        <v>42</v>
      </c>
      <c r="H523">
        <v>2</v>
      </c>
      <c r="I523">
        <v>3</v>
      </c>
      <c r="J523" s="1" t="s">
        <v>52</v>
      </c>
      <c r="K523">
        <v>1</v>
      </c>
      <c r="L523">
        <v>39</v>
      </c>
      <c r="M523">
        <v>3</v>
      </c>
      <c r="N523" s="1" t="s">
        <v>44</v>
      </c>
      <c r="O523">
        <v>78</v>
      </c>
      <c r="P523">
        <v>3</v>
      </c>
      <c r="Q523">
        <v>1</v>
      </c>
      <c r="R523" s="1" t="s">
        <v>45</v>
      </c>
      <c r="S523">
        <v>4</v>
      </c>
      <c r="T523" s="1" t="s">
        <v>46</v>
      </c>
      <c r="U523">
        <v>2496</v>
      </c>
      <c r="V523" s="1" t="s">
        <v>47</v>
      </c>
      <c r="W523">
        <v>6670</v>
      </c>
      <c r="X523">
        <v>4</v>
      </c>
      <c r="Y523" s="1" t="s">
        <v>48</v>
      </c>
      <c r="Z523" s="1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8">
      <c r="A524" s="1" t="s">
        <v>590</v>
      </c>
      <c r="B524">
        <v>33</v>
      </c>
      <c r="C524" s="1" t="s">
        <v>190</v>
      </c>
      <c r="D524" s="1" t="s">
        <v>49</v>
      </c>
      <c r="E524" s="1" t="s">
        <v>56</v>
      </c>
      <c r="F524">
        <v>1141</v>
      </c>
      <c r="G524" s="1" t="s">
        <v>51</v>
      </c>
      <c r="H524">
        <v>1</v>
      </c>
      <c r="I524">
        <v>3</v>
      </c>
      <c r="J524" s="1" t="s">
        <v>43</v>
      </c>
      <c r="K524">
        <v>1</v>
      </c>
      <c r="L524">
        <v>52</v>
      </c>
      <c r="M524">
        <v>3</v>
      </c>
      <c r="N524" s="1" t="s">
        <v>53</v>
      </c>
      <c r="O524">
        <v>42</v>
      </c>
      <c r="P524">
        <v>4</v>
      </c>
      <c r="Q524">
        <v>2</v>
      </c>
      <c r="R524" s="1" t="s">
        <v>137</v>
      </c>
      <c r="S524">
        <v>1</v>
      </c>
      <c r="T524" s="1" t="s">
        <v>105</v>
      </c>
      <c r="U524">
        <v>5376</v>
      </c>
      <c r="V524" s="1" t="s">
        <v>163</v>
      </c>
      <c r="W524">
        <v>3193</v>
      </c>
      <c r="X524">
        <v>2</v>
      </c>
      <c r="Y524" s="1" t="s">
        <v>48</v>
      </c>
      <c r="Z524" s="1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8">
      <c r="A525" s="1" t="s">
        <v>591</v>
      </c>
      <c r="B525">
        <v>33</v>
      </c>
      <c r="C525" s="1" t="s">
        <v>190</v>
      </c>
      <c r="D525" s="1" t="s">
        <v>49</v>
      </c>
      <c r="E525" s="1" t="s">
        <v>56</v>
      </c>
      <c r="F525">
        <v>515</v>
      </c>
      <c r="G525" s="1" t="s">
        <v>42</v>
      </c>
      <c r="H525">
        <v>1</v>
      </c>
      <c r="I525">
        <v>2</v>
      </c>
      <c r="J525" s="1" t="s">
        <v>43</v>
      </c>
      <c r="K525">
        <v>1</v>
      </c>
      <c r="L525">
        <v>73</v>
      </c>
      <c r="M525">
        <v>1</v>
      </c>
      <c r="N525" s="1" t="s">
        <v>53</v>
      </c>
      <c r="O525">
        <v>98</v>
      </c>
      <c r="P525">
        <v>3</v>
      </c>
      <c r="Q525">
        <v>3</v>
      </c>
      <c r="R525" s="1" t="s">
        <v>252</v>
      </c>
      <c r="S525">
        <v>4</v>
      </c>
      <c r="T525" s="1" t="s">
        <v>46</v>
      </c>
      <c r="U525">
        <v>13458</v>
      </c>
      <c r="V525" s="1" t="s">
        <v>253</v>
      </c>
      <c r="W525">
        <v>15146</v>
      </c>
      <c r="X525">
        <v>1</v>
      </c>
      <c r="Y525" s="1" t="s">
        <v>48</v>
      </c>
      <c r="Z525" s="1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8">
      <c r="A526" s="1" t="s">
        <v>592</v>
      </c>
      <c r="B526">
        <v>33</v>
      </c>
      <c r="C526" s="1" t="s">
        <v>190</v>
      </c>
      <c r="D526" s="1" t="s">
        <v>49</v>
      </c>
      <c r="E526" s="1" t="s">
        <v>59</v>
      </c>
      <c r="F526">
        <v>750</v>
      </c>
      <c r="G526" s="1" t="s">
        <v>51</v>
      </c>
      <c r="H526">
        <v>22</v>
      </c>
      <c r="I526">
        <v>2</v>
      </c>
      <c r="J526" s="1" t="s">
        <v>57</v>
      </c>
      <c r="K526">
        <v>1</v>
      </c>
      <c r="L526">
        <v>160</v>
      </c>
      <c r="M526">
        <v>3</v>
      </c>
      <c r="N526" s="1" t="s">
        <v>44</v>
      </c>
      <c r="O526">
        <v>95</v>
      </c>
      <c r="P526">
        <v>3</v>
      </c>
      <c r="Q526">
        <v>2</v>
      </c>
      <c r="R526" s="1" t="s">
        <v>137</v>
      </c>
      <c r="S526">
        <v>2</v>
      </c>
      <c r="T526" s="1" t="s">
        <v>105</v>
      </c>
      <c r="U526">
        <v>6146</v>
      </c>
      <c r="V526" s="1" t="s">
        <v>163</v>
      </c>
      <c r="W526">
        <v>15480</v>
      </c>
      <c r="X526">
        <v>0</v>
      </c>
      <c r="Y526" s="1" t="s">
        <v>48</v>
      </c>
      <c r="Z526" s="1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8">
      <c r="A527" s="1" t="s">
        <v>593</v>
      </c>
      <c r="B527">
        <v>33</v>
      </c>
      <c r="C527" s="1" t="s">
        <v>190</v>
      </c>
      <c r="D527" s="1" t="s">
        <v>49</v>
      </c>
      <c r="E527" s="1" t="s">
        <v>41</v>
      </c>
      <c r="F527">
        <v>134</v>
      </c>
      <c r="G527" s="1" t="s">
        <v>42</v>
      </c>
      <c r="H527">
        <v>2</v>
      </c>
      <c r="I527">
        <v>3</v>
      </c>
      <c r="J527" s="1" t="s">
        <v>43</v>
      </c>
      <c r="K527">
        <v>1</v>
      </c>
      <c r="L527">
        <v>242</v>
      </c>
      <c r="M527">
        <v>3</v>
      </c>
      <c r="N527" s="1" t="s">
        <v>44</v>
      </c>
      <c r="O527">
        <v>90</v>
      </c>
      <c r="P527">
        <v>3</v>
      </c>
      <c r="Q527">
        <v>1</v>
      </c>
      <c r="R527" s="1" t="s">
        <v>60</v>
      </c>
      <c r="S527">
        <v>4</v>
      </c>
      <c r="T527" s="1" t="s">
        <v>46</v>
      </c>
      <c r="U527">
        <v>2500</v>
      </c>
      <c r="V527" s="1" t="s">
        <v>47</v>
      </c>
      <c r="W527">
        <v>10515</v>
      </c>
      <c r="X527">
        <v>0</v>
      </c>
      <c r="Y527" s="1" t="s">
        <v>48</v>
      </c>
      <c r="Z527" s="1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8">
      <c r="A528" s="1" t="s">
        <v>594</v>
      </c>
      <c r="B528">
        <v>33</v>
      </c>
      <c r="C528" s="1" t="s">
        <v>190</v>
      </c>
      <c r="D528" s="1" t="s">
        <v>49</v>
      </c>
      <c r="E528" s="1" t="s">
        <v>41</v>
      </c>
      <c r="F528">
        <v>931</v>
      </c>
      <c r="G528" s="1" t="s">
        <v>42</v>
      </c>
      <c r="H528">
        <v>14</v>
      </c>
      <c r="I528">
        <v>3</v>
      </c>
      <c r="J528" s="1" t="s">
        <v>52</v>
      </c>
      <c r="K528">
        <v>1</v>
      </c>
      <c r="L528">
        <v>252</v>
      </c>
      <c r="M528">
        <v>4</v>
      </c>
      <c r="N528" s="1" t="s">
        <v>53</v>
      </c>
      <c r="O528">
        <v>72</v>
      </c>
      <c r="P528">
        <v>3</v>
      </c>
      <c r="Q528">
        <v>1</v>
      </c>
      <c r="R528" s="1" t="s">
        <v>60</v>
      </c>
      <c r="S528">
        <v>2</v>
      </c>
      <c r="T528" s="1" t="s">
        <v>105</v>
      </c>
      <c r="U528">
        <v>2756</v>
      </c>
      <c r="V528" s="1" t="s">
        <v>47</v>
      </c>
      <c r="W528">
        <v>4673</v>
      </c>
      <c r="X528">
        <v>1</v>
      </c>
      <c r="Y528" s="1" t="s">
        <v>48</v>
      </c>
      <c r="Z528" s="1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8">
      <c r="A529" s="1" t="s">
        <v>595</v>
      </c>
      <c r="B529">
        <v>33</v>
      </c>
      <c r="C529" s="1" t="s">
        <v>190</v>
      </c>
      <c r="D529" s="1" t="s">
        <v>49</v>
      </c>
      <c r="E529" s="1" t="s">
        <v>41</v>
      </c>
      <c r="F529">
        <v>147</v>
      </c>
      <c r="G529" s="1" t="s">
        <v>42</v>
      </c>
      <c r="H529">
        <v>4</v>
      </c>
      <c r="I529">
        <v>4</v>
      </c>
      <c r="J529" s="1" t="s">
        <v>52</v>
      </c>
      <c r="K529">
        <v>1</v>
      </c>
      <c r="L529">
        <v>305</v>
      </c>
      <c r="M529">
        <v>3</v>
      </c>
      <c r="N529" s="1" t="s">
        <v>53</v>
      </c>
      <c r="O529">
        <v>47</v>
      </c>
      <c r="P529">
        <v>2</v>
      </c>
      <c r="Q529">
        <v>1</v>
      </c>
      <c r="R529" s="1" t="s">
        <v>60</v>
      </c>
      <c r="S529">
        <v>2</v>
      </c>
      <c r="T529" s="1" t="s">
        <v>105</v>
      </c>
      <c r="U529">
        <v>2622</v>
      </c>
      <c r="V529" s="1" t="s">
        <v>47</v>
      </c>
      <c r="W529">
        <v>13248</v>
      </c>
      <c r="X529">
        <v>6</v>
      </c>
      <c r="Y529" s="1" t="s">
        <v>48</v>
      </c>
      <c r="Z529" s="1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8">
      <c r="A530" s="1" t="s">
        <v>596</v>
      </c>
      <c r="B530">
        <v>33</v>
      </c>
      <c r="C530" s="1" t="s">
        <v>190</v>
      </c>
      <c r="D530" s="1" t="s">
        <v>40</v>
      </c>
      <c r="E530" s="1" t="s">
        <v>41</v>
      </c>
      <c r="F530">
        <v>813</v>
      </c>
      <c r="G530" s="1" t="s">
        <v>42</v>
      </c>
      <c r="H530">
        <v>14</v>
      </c>
      <c r="I530">
        <v>3</v>
      </c>
      <c r="J530" s="1" t="s">
        <v>52</v>
      </c>
      <c r="K530">
        <v>1</v>
      </c>
      <c r="L530">
        <v>325</v>
      </c>
      <c r="M530">
        <v>3</v>
      </c>
      <c r="N530" s="1" t="s">
        <v>44</v>
      </c>
      <c r="O530">
        <v>58</v>
      </c>
      <c r="P530">
        <v>3</v>
      </c>
      <c r="Q530">
        <v>1</v>
      </c>
      <c r="R530" s="1" t="s">
        <v>45</v>
      </c>
      <c r="S530">
        <v>4</v>
      </c>
      <c r="T530" s="1" t="s">
        <v>105</v>
      </c>
      <c r="U530">
        <v>2436</v>
      </c>
      <c r="V530" s="1" t="s">
        <v>47</v>
      </c>
      <c r="W530">
        <v>22149</v>
      </c>
      <c r="X530">
        <v>5</v>
      </c>
      <c r="Y530" s="1" t="s">
        <v>48</v>
      </c>
      <c r="Z530" s="1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8">
      <c r="A531" s="1" t="s">
        <v>597</v>
      </c>
      <c r="B531">
        <v>33</v>
      </c>
      <c r="C531" s="1" t="s">
        <v>190</v>
      </c>
      <c r="D531" s="1" t="s">
        <v>40</v>
      </c>
      <c r="E531" s="1" t="s">
        <v>41</v>
      </c>
      <c r="F531">
        <v>465</v>
      </c>
      <c r="G531" s="1" t="s">
        <v>42</v>
      </c>
      <c r="H531">
        <v>2</v>
      </c>
      <c r="I531">
        <v>2</v>
      </c>
      <c r="J531" s="1" t="s">
        <v>43</v>
      </c>
      <c r="K531">
        <v>1</v>
      </c>
      <c r="L531">
        <v>328</v>
      </c>
      <c r="M531">
        <v>1</v>
      </c>
      <c r="N531" s="1" t="s">
        <v>53</v>
      </c>
      <c r="O531">
        <v>39</v>
      </c>
      <c r="P531">
        <v>3</v>
      </c>
      <c r="Q531">
        <v>1</v>
      </c>
      <c r="R531" s="1" t="s">
        <v>45</v>
      </c>
      <c r="S531">
        <v>1</v>
      </c>
      <c r="T531" s="1" t="s">
        <v>105</v>
      </c>
      <c r="U531">
        <v>2707</v>
      </c>
      <c r="V531" s="1" t="s">
        <v>47</v>
      </c>
      <c r="W531">
        <v>21509</v>
      </c>
      <c r="X531">
        <v>7</v>
      </c>
      <c r="Y531" s="1" t="s">
        <v>48</v>
      </c>
      <c r="Z531" s="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8">
      <c r="A532" s="1" t="s">
        <v>598</v>
      </c>
      <c r="B532">
        <v>33</v>
      </c>
      <c r="C532" s="1" t="s">
        <v>190</v>
      </c>
      <c r="D532" s="1" t="s">
        <v>49</v>
      </c>
      <c r="E532" s="1" t="s">
        <v>41</v>
      </c>
      <c r="F532">
        <v>832</v>
      </c>
      <c r="G532" s="1" t="s">
        <v>42</v>
      </c>
      <c r="H532">
        <v>5</v>
      </c>
      <c r="I532">
        <v>4</v>
      </c>
      <c r="J532" s="1" t="s">
        <v>43</v>
      </c>
      <c r="K532">
        <v>1</v>
      </c>
      <c r="L532">
        <v>338</v>
      </c>
      <c r="M532">
        <v>3</v>
      </c>
      <c r="N532" s="1" t="s">
        <v>53</v>
      </c>
      <c r="O532">
        <v>63</v>
      </c>
      <c r="P532">
        <v>2</v>
      </c>
      <c r="Q532">
        <v>1</v>
      </c>
      <c r="R532" s="1" t="s">
        <v>60</v>
      </c>
      <c r="S532">
        <v>4</v>
      </c>
      <c r="T532" s="1" t="s">
        <v>105</v>
      </c>
      <c r="U532">
        <v>2911</v>
      </c>
      <c r="V532" s="1" t="s">
        <v>47</v>
      </c>
      <c r="W532">
        <v>14776</v>
      </c>
      <c r="X532">
        <v>1</v>
      </c>
      <c r="Y532" s="1" t="s">
        <v>48</v>
      </c>
      <c r="Z532" s="1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8">
      <c r="A533" s="1" t="s">
        <v>599</v>
      </c>
      <c r="B533">
        <v>33</v>
      </c>
      <c r="C533" s="1" t="s">
        <v>190</v>
      </c>
      <c r="D533" s="1" t="s">
        <v>49</v>
      </c>
      <c r="E533" s="1" t="s">
        <v>56</v>
      </c>
      <c r="F533">
        <v>553</v>
      </c>
      <c r="G533" s="1" t="s">
        <v>42</v>
      </c>
      <c r="H533">
        <v>5</v>
      </c>
      <c r="I533">
        <v>4</v>
      </c>
      <c r="J533" s="1" t="s">
        <v>43</v>
      </c>
      <c r="K533">
        <v>1</v>
      </c>
      <c r="L533">
        <v>428</v>
      </c>
      <c r="M533">
        <v>4</v>
      </c>
      <c r="N533" s="1" t="s">
        <v>53</v>
      </c>
      <c r="O533">
        <v>74</v>
      </c>
      <c r="P533">
        <v>3</v>
      </c>
      <c r="Q533">
        <v>3</v>
      </c>
      <c r="R533" s="1" t="s">
        <v>442</v>
      </c>
      <c r="S533">
        <v>2</v>
      </c>
      <c r="T533" s="1" t="s">
        <v>105</v>
      </c>
      <c r="U533">
        <v>11878</v>
      </c>
      <c r="V533" s="1" t="s">
        <v>253</v>
      </c>
      <c r="W533">
        <v>23364</v>
      </c>
      <c r="X533">
        <v>6</v>
      </c>
      <c r="Y533" s="1" t="s">
        <v>48</v>
      </c>
      <c r="Z533" s="1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8">
      <c r="A534" s="1" t="s">
        <v>600</v>
      </c>
      <c r="B534">
        <v>33</v>
      </c>
      <c r="C534" s="1" t="s">
        <v>190</v>
      </c>
      <c r="D534" s="1" t="s">
        <v>49</v>
      </c>
      <c r="E534" s="1" t="s">
        <v>56</v>
      </c>
      <c r="F534">
        <v>508</v>
      </c>
      <c r="G534" s="1" t="s">
        <v>51</v>
      </c>
      <c r="H534">
        <v>10</v>
      </c>
      <c r="I534">
        <v>3</v>
      </c>
      <c r="J534" s="1" t="s">
        <v>57</v>
      </c>
      <c r="K534">
        <v>1</v>
      </c>
      <c r="L534">
        <v>446</v>
      </c>
      <c r="M534">
        <v>2</v>
      </c>
      <c r="N534" s="1" t="s">
        <v>44</v>
      </c>
      <c r="O534">
        <v>46</v>
      </c>
      <c r="P534">
        <v>2</v>
      </c>
      <c r="Q534">
        <v>2</v>
      </c>
      <c r="R534" s="1" t="s">
        <v>137</v>
      </c>
      <c r="S534">
        <v>4</v>
      </c>
      <c r="T534" s="1" t="s">
        <v>46</v>
      </c>
      <c r="U534">
        <v>4682</v>
      </c>
      <c r="V534" s="1" t="s">
        <v>47</v>
      </c>
      <c r="W534">
        <v>4317</v>
      </c>
      <c r="X534">
        <v>3</v>
      </c>
      <c r="Y534" s="1" t="s">
        <v>48</v>
      </c>
      <c r="Z534" s="1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8">
      <c r="A535" s="1" t="s">
        <v>601</v>
      </c>
      <c r="B535">
        <v>33</v>
      </c>
      <c r="C535" s="1" t="s">
        <v>190</v>
      </c>
      <c r="D535" s="1" t="s">
        <v>40</v>
      </c>
      <c r="E535" s="1" t="s">
        <v>41</v>
      </c>
      <c r="F535">
        <v>350</v>
      </c>
      <c r="G535" s="1" t="s">
        <v>51</v>
      </c>
      <c r="H535">
        <v>5</v>
      </c>
      <c r="I535">
        <v>3</v>
      </c>
      <c r="J535" s="1" t="s">
        <v>57</v>
      </c>
      <c r="K535">
        <v>1</v>
      </c>
      <c r="L535">
        <v>485</v>
      </c>
      <c r="M535">
        <v>4</v>
      </c>
      <c r="N535" s="1" t="s">
        <v>53</v>
      </c>
      <c r="O535">
        <v>34</v>
      </c>
      <c r="P535">
        <v>3</v>
      </c>
      <c r="Q535">
        <v>1</v>
      </c>
      <c r="R535" s="1" t="s">
        <v>54</v>
      </c>
      <c r="S535">
        <v>3</v>
      </c>
      <c r="T535" s="1" t="s">
        <v>46</v>
      </c>
      <c r="U535">
        <v>2851</v>
      </c>
      <c r="V535" s="1" t="s">
        <v>47</v>
      </c>
      <c r="W535">
        <v>9150</v>
      </c>
      <c r="X535">
        <v>1</v>
      </c>
      <c r="Y535" s="1" t="s">
        <v>48</v>
      </c>
      <c r="Z535" s="1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8">
      <c r="A536" s="1" t="s">
        <v>602</v>
      </c>
      <c r="B536">
        <v>33</v>
      </c>
      <c r="C536" s="1" t="s">
        <v>190</v>
      </c>
      <c r="D536" s="1" t="s">
        <v>40</v>
      </c>
      <c r="E536" s="1" t="s">
        <v>41</v>
      </c>
      <c r="F536">
        <v>1277</v>
      </c>
      <c r="G536" s="1" t="s">
        <v>42</v>
      </c>
      <c r="H536">
        <v>15</v>
      </c>
      <c r="I536">
        <v>1</v>
      </c>
      <c r="J536" s="1" t="s">
        <v>52</v>
      </c>
      <c r="K536">
        <v>1</v>
      </c>
      <c r="L536">
        <v>582</v>
      </c>
      <c r="M536">
        <v>2</v>
      </c>
      <c r="N536" s="1" t="s">
        <v>44</v>
      </c>
      <c r="O536">
        <v>56</v>
      </c>
      <c r="P536">
        <v>3</v>
      </c>
      <c r="Q536">
        <v>3</v>
      </c>
      <c r="R536" s="1" t="s">
        <v>442</v>
      </c>
      <c r="S536">
        <v>3</v>
      </c>
      <c r="T536" s="1" t="s">
        <v>105</v>
      </c>
      <c r="U536">
        <v>13610</v>
      </c>
      <c r="V536" s="1" t="s">
        <v>253</v>
      </c>
      <c r="W536">
        <v>24619</v>
      </c>
      <c r="X536">
        <v>7</v>
      </c>
      <c r="Y536" s="1" t="s">
        <v>48</v>
      </c>
      <c r="Z536" s="1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8">
      <c r="A537" s="1" t="s">
        <v>603</v>
      </c>
      <c r="B537">
        <v>33</v>
      </c>
      <c r="C537" s="1" t="s">
        <v>190</v>
      </c>
      <c r="D537" s="1" t="s">
        <v>40</v>
      </c>
      <c r="E537" s="1" t="s">
        <v>41</v>
      </c>
      <c r="F537">
        <v>587</v>
      </c>
      <c r="G537" s="1" t="s">
        <v>42</v>
      </c>
      <c r="H537">
        <v>10</v>
      </c>
      <c r="I537">
        <v>1</v>
      </c>
      <c r="J537" s="1" t="s">
        <v>52</v>
      </c>
      <c r="K537">
        <v>1</v>
      </c>
      <c r="L537">
        <v>584</v>
      </c>
      <c r="M537">
        <v>1</v>
      </c>
      <c r="N537" s="1" t="s">
        <v>44</v>
      </c>
      <c r="O537">
        <v>38</v>
      </c>
      <c r="P537">
        <v>1</v>
      </c>
      <c r="Q537">
        <v>1</v>
      </c>
      <c r="R537" s="1" t="s">
        <v>45</v>
      </c>
      <c r="S537">
        <v>4</v>
      </c>
      <c r="T537" s="1" t="s">
        <v>102</v>
      </c>
      <c r="U537">
        <v>3408</v>
      </c>
      <c r="V537" s="1" t="s">
        <v>47</v>
      </c>
      <c r="W537">
        <v>6705</v>
      </c>
      <c r="X537">
        <v>7</v>
      </c>
      <c r="Y537" s="1" t="s">
        <v>48</v>
      </c>
      <c r="Z537" s="1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8">
      <c r="A538" s="1" t="s">
        <v>604</v>
      </c>
      <c r="B538">
        <v>33</v>
      </c>
      <c r="C538" s="1" t="s">
        <v>190</v>
      </c>
      <c r="D538" s="1" t="s">
        <v>49</v>
      </c>
      <c r="E538" s="1" t="s">
        <v>41</v>
      </c>
      <c r="F538">
        <v>922</v>
      </c>
      <c r="G538" s="1" t="s">
        <v>42</v>
      </c>
      <c r="H538">
        <v>1</v>
      </c>
      <c r="I538">
        <v>5</v>
      </c>
      <c r="J538" s="1" t="s">
        <v>52</v>
      </c>
      <c r="K538">
        <v>1</v>
      </c>
      <c r="L538">
        <v>612</v>
      </c>
      <c r="M538">
        <v>1</v>
      </c>
      <c r="N538" s="1" t="s">
        <v>53</v>
      </c>
      <c r="O538">
        <v>95</v>
      </c>
      <c r="P538">
        <v>4</v>
      </c>
      <c r="Q538">
        <v>4</v>
      </c>
      <c r="R538" s="1" t="s">
        <v>252</v>
      </c>
      <c r="S538">
        <v>3</v>
      </c>
      <c r="T538" s="1" t="s">
        <v>102</v>
      </c>
      <c r="U538">
        <v>16184</v>
      </c>
      <c r="V538" s="1" t="s">
        <v>368</v>
      </c>
      <c r="W538">
        <v>22578</v>
      </c>
      <c r="X538">
        <v>4</v>
      </c>
      <c r="Y538" s="1" t="s">
        <v>48</v>
      </c>
      <c r="Z538" s="1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8">
      <c r="A539" s="1" t="s">
        <v>605</v>
      </c>
      <c r="B539">
        <v>33</v>
      </c>
      <c r="C539" s="1" t="s">
        <v>190</v>
      </c>
      <c r="D539" s="1" t="s">
        <v>49</v>
      </c>
      <c r="E539" s="1" t="s">
        <v>41</v>
      </c>
      <c r="F539">
        <v>1216</v>
      </c>
      <c r="G539" s="1" t="s">
        <v>51</v>
      </c>
      <c r="H539">
        <v>8</v>
      </c>
      <c r="I539">
        <v>4</v>
      </c>
      <c r="J539" s="1" t="s">
        <v>57</v>
      </c>
      <c r="K539">
        <v>1</v>
      </c>
      <c r="L539">
        <v>677</v>
      </c>
      <c r="M539">
        <v>3</v>
      </c>
      <c r="N539" s="1" t="s">
        <v>44</v>
      </c>
      <c r="O539">
        <v>39</v>
      </c>
      <c r="P539">
        <v>3</v>
      </c>
      <c r="Q539">
        <v>2</v>
      </c>
      <c r="R539" s="1" t="s">
        <v>137</v>
      </c>
      <c r="S539">
        <v>3</v>
      </c>
      <c r="T539" s="1" t="s">
        <v>102</v>
      </c>
      <c r="U539">
        <v>7104</v>
      </c>
      <c r="V539" s="1" t="s">
        <v>163</v>
      </c>
      <c r="W539">
        <v>20431</v>
      </c>
      <c r="X539">
        <v>0</v>
      </c>
      <c r="Y539" s="1" t="s">
        <v>48</v>
      </c>
      <c r="Z539" s="1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8">
      <c r="A540" s="1" t="s">
        <v>606</v>
      </c>
      <c r="B540">
        <v>33</v>
      </c>
      <c r="C540" s="1" t="s">
        <v>190</v>
      </c>
      <c r="D540" s="1" t="s">
        <v>49</v>
      </c>
      <c r="E540" s="1" t="s">
        <v>56</v>
      </c>
      <c r="F540">
        <v>1296</v>
      </c>
      <c r="G540" s="1" t="s">
        <v>42</v>
      </c>
      <c r="H540">
        <v>6</v>
      </c>
      <c r="I540">
        <v>3</v>
      </c>
      <c r="J540" s="1" t="s">
        <v>43</v>
      </c>
      <c r="K540">
        <v>1</v>
      </c>
      <c r="L540">
        <v>692</v>
      </c>
      <c r="M540">
        <v>3</v>
      </c>
      <c r="N540" s="1" t="s">
        <v>44</v>
      </c>
      <c r="O540">
        <v>30</v>
      </c>
      <c r="P540">
        <v>3</v>
      </c>
      <c r="Q540">
        <v>2</v>
      </c>
      <c r="R540" s="1" t="s">
        <v>161</v>
      </c>
      <c r="S540">
        <v>4</v>
      </c>
      <c r="T540" s="1" t="s">
        <v>102</v>
      </c>
      <c r="U540">
        <v>7725</v>
      </c>
      <c r="V540" s="1" t="s">
        <v>163</v>
      </c>
      <c r="W540">
        <v>5335</v>
      </c>
      <c r="X540">
        <v>3</v>
      </c>
      <c r="Y540" s="1" t="s">
        <v>48</v>
      </c>
      <c r="Z540" s="1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8">
      <c r="A541" s="1" t="s">
        <v>607</v>
      </c>
      <c r="B541">
        <v>33</v>
      </c>
      <c r="C541" s="1" t="s">
        <v>190</v>
      </c>
      <c r="D541" s="1" t="s">
        <v>40</v>
      </c>
      <c r="E541" s="1" t="s">
        <v>56</v>
      </c>
      <c r="F541">
        <v>1076</v>
      </c>
      <c r="G541" s="1" t="s">
        <v>42</v>
      </c>
      <c r="H541">
        <v>3</v>
      </c>
      <c r="I541">
        <v>3</v>
      </c>
      <c r="J541" s="1" t="s">
        <v>43</v>
      </c>
      <c r="K541">
        <v>1</v>
      </c>
      <c r="L541">
        <v>702</v>
      </c>
      <c r="M541">
        <v>1</v>
      </c>
      <c r="N541" s="1" t="s">
        <v>44</v>
      </c>
      <c r="O541">
        <v>70</v>
      </c>
      <c r="P541">
        <v>3</v>
      </c>
      <c r="Q541">
        <v>1</v>
      </c>
      <c r="R541" s="1" t="s">
        <v>60</v>
      </c>
      <c r="S541">
        <v>1</v>
      </c>
      <c r="T541" s="1" t="s">
        <v>46</v>
      </c>
      <c r="U541">
        <v>3348</v>
      </c>
      <c r="V541" s="1" t="s">
        <v>47</v>
      </c>
      <c r="W541">
        <v>3164</v>
      </c>
      <c r="X541">
        <v>1</v>
      </c>
      <c r="Y541" s="1" t="s">
        <v>48</v>
      </c>
      <c r="Z541" s="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8">
      <c r="A542" s="1" t="s">
        <v>608</v>
      </c>
      <c r="B542">
        <v>33</v>
      </c>
      <c r="C542" s="1" t="s">
        <v>190</v>
      </c>
      <c r="D542" s="1" t="s">
        <v>40</v>
      </c>
      <c r="E542" s="1" t="s">
        <v>41</v>
      </c>
      <c r="F542">
        <v>527</v>
      </c>
      <c r="G542" s="1" t="s">
        <v>42</v>
      </c>
      <c r="H542">
        <v>1</v>
      </c>
      <c r="I542">
        <v>4</v>
      </c>
      <c r="J542" s="1" t="s">
        <v>73</v>
      </c>
      <c r="K542">
        <v>1</v>
      </c>
      <c r="L542">
        <v>780</v>
      </c>
      <c r="M542">
        <v>4</v>
      </c>
      <c r="N542" s="1" t="s">
        <v>44</v>
      </c>
      <c r="O542">
        <v>63</v>
      </c>
      <c r="P542">
        <v>3</v>
      </c>
      <c r="Q542">
        <v>1</v>
      </c>
      <c r="R542" s="1" t="s">
        <v>60</v>
      </c>
      <c r="S542">
        <v>4</v>
      </c>
      <c r="T542" s="1" t="s">
        <v>46</v>
      </c>
      <c r="U542">
        <v>2686</v>
      </c>
      <c r="V542" s="1" t="s">
        <v>47</v>
      </c>
      <c r="W542">
        <v>5207</v>
      </c>
      <c r="X542">
        <v>1</v>
      </c>
      <c r="Y542" s="1" t="s">
        <v>48</v>
      </c>
      <c r="Z542" s="1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8">
      <c r="A543" s="1" t="s">
        <v>609</v>
      </c>
      <c r="B543">
        <v>33</v>
      </c>
      <c r="C543" s="1" t="s">
        <v>190</v>
      </c>
      <c r="D543" s="1" t="s">
        <v>49</v>
      </c>
      <c r="E543" s="1" t="s">
        <v>41</v>
      </c>
      <c r="F543">
        <v>213</v>
      </c>
      <c r="G543" s="1" t="s">
        <v>42</v>
      </c>
      <c r="H543">
        <v>7</v>
      </c>
      <c r="I543">
        <v>3</v>
      </c>
      <c r="J543" s="1" t="s">
        <v>52</v>
      </c>
      <c r="K543">
        <v>1</v>
      </c>
      <c r="L543">
        <v>817</v>
      </c>
      <c r="M543">
        <v>3</v>
      </c>
      <c r="N543" s="1" t="s">
        <v>44</v>
      </c>
      <c r="O543">
        <v>49</v>
      </c>
      <c r="P543">
        <v>3</v>
      </c>
      <c r="Q543">
        <v>3</v>
      </c>
      <c r="R543" s="1" t="s">
        <v>252</v>
      </c>
      <c r="S543">
        <v>3</v>
      </c>
      <c r="T543" s="1" t="s">
        <v>105</v>
      </c>
      <c r="U543">
        <v>11691</v>
      </c>
      <c r="V543" s="1" t="s">
        <v>253</v>
      </c>
      <c r="W543">
        <v>25995</v>
      </c>
      <c r="X543">
        <v>0</v>
      </c>
      <c r="Y543" s="1" t="s">
        <v>48</v>
      </c>
      <c r="Z543" s="1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8">
      <c r="A544" s="1" t="s">
        <v>610</v>
      </c>
      <c r="B544">
        <v>33</v>
      </c>
      <c r="C544" s="1" t="s">
        <v>190</v>
      </c>
      <c r="D544" s="1" t="s">
        <v>40</v>
      </c>
      <c r="E544" s="1" t="s">
        <v>41</v>
      </c>
      <c r="F544">
        <v>118</v>
      </c>
      <c r="G544" s="1" t="s">
        <v>51</v>
      </c>
      <c r="H544">
        <v>16</v>
      </c>
      <c r="I544">
        <v>3</v>
      </c>
      <c r="J544" s="1" t="s">
        <v>57</v>
      </c>
      <c r="K544">
        <v>1</v>
      </c>
      <c r="L544">
        <v>819</v>
      </c>
      <c r="M544">
        <v>1</v>
      </c>
      <c r="N544" s="1" t="s">
        <v>53</v>
      </c>
      <c r="O544">
        <v>69</v>
      </c>
      <c r="P544">
        <v>3</v>
      </c>
      <c r="Q544">
        <v>2</v>
      </c>
      <c r="R544" s="1" t="s">
        <v>137</v>
      </c>
      <c r="S544">
        <v>1</v>
      </c>
      <c r="T544" s="1" t="s">
        <v>46</v>
      </c>
      <c r="U544">
        <v>5324</v>
      </c>
      <c r="V544" s="1" t="s">
        <v>163</v>
      </c>
      <c r="W544">
        <v>26507</v>
      </c>
      <c r="X544">
        <v>5</v>
      </c>
      <c r="Y544" s="1" t="s">
        <v>48</v>
      </c>
      <c r="Z544" s="1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8">
      <c r="A545" s="1" t="s">
        <v>611</v>
      </c>
      <c r="B545">
        <v>33</v>
      </c>
      <c r="C545" s="1" t="s">
        <v>190</v>
      </c>
      <c r="D545" s="1" t="s">
        <v>49</v>
      </c>
      <c r="E545" s="1" t="s">
        <v>41</v>
      </c>
      <c r="F545">
        <v>586</v>
      </c>
      <c r="G545" s="1" t="s">
        <v>51</v>
      </c>
      <c r="H545">
        <v>1</v>
      </c>
      <c r="I545">
        <v>3</v>
      </c>
      <c r="J545" s="1" t="s">
        <v>52</v>
      </c>
      <c r="K545">
        <v>1</v>
      </c>
      <c r="L545">
        <v>855</v>
      </c>
      <c r="M545">
        <v>1</v>
      </c>
      <c r="N545" s="1" t="s">
        <v>44</v>
      </c>
      <c r="O545">
        <v>48</v>
      </c>
      <c r="P545">
        <v>4</v>
      </c>
      <c r="Q545">
        <v>2</v>
      </c>
      <c r="R545" s="1" t="s">
        <v>137</v>
      </c>
      <c r="S545">
        <v>1</v>
      </c>
      <c r="T545" s="1" t="s">
        <v>102</v>
      </c>
      <c r="U545">
        <v>4037</v>
      </c>
      <c r="V545" s="1" t="s">
        <v>47</v>
      </c>
      <c r="W545">
        <v>21816</v>
      </c>
      <c r="X545">
        <v>1</v>
      </c>
      <c r="Y545" s="1" t="s">
        <v>48</v>
      </c>
      <c r="Z545" s="1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8">
      <c r="A546" s="1" t="s">
        <v>612</v>
      </c>
      <c r="B546">
        <v>33</v>
      </c>
      <c r="C546" s="1" t="s">
        <v>190</v>
      </c>
      <c r="D546" s="1" t="s">
        <v>49</v>
      </c>
      <c r="E546" s="1" t="s">
        <v>41</v>
      </c>
      <c r="F546">
        <v>1075</v>
      </c>
      <c r="G546" s="1" t="s">
        <v>71</v>
      </c>
      <c r="H546">
        <v>3</v>
      </c>
      <c r="I546">
        <v>2</v>
      </c>
      <c r="J546" s="1" t="s">
        <v>71</v>
      </c>
      <c r="K546">
        <v>1</v>
      </c>
      <c r="L546">
        <v>910</v>
      </c>
      <c r="M546">
        <v>4</v>
      </c>
      <c r="N546" s="1" t="s">
        <v>44</v>
      </c>
      <c r="O546">
        <v>57</v>
      </c>
      <c r="P546">
        <v>3</v>
      </c>
      <c r="Q546">
        <v>1</v>
      </c>
      <c r="R546" s="1" t="s">
        <v>71</v>
      </c>
      <c r="S546">
        <v>2</v>
      </c>
      <c r="T546" s="1" t="s">
        <v>102</v>
      </c>
      <c r="U546">
        <v>2277</v>
      </c>
      <c r="V546" s="1" t="s">
        <v>47</v>
      </c>
      <c r="W546">
        <v>22650</v>
      </c>
      <c r="X546">
        <v>3</v>
      </c>
      <c r="Y546" s="1" t="s">
        <v>48</v>
      </c>
      <c r="Z546" s="1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8">
      <c r="A547" s="1" t="s">
        <v>613</v>
      </c>
      <c r="B547">
        <v>33</v>
      </c>
      <c r="C547" s="1" t="s">
        <v>190</v>
      </c>
      <c r="D547" s="1" t="s">
        <v>49</v>
      </c>
      <c r="E547" s="1" t="s">
        <v>41</v>
      </c>
      <c r="F547">
        <v>1198</v>
      </c>
      <c r="G547" s="1" t="s">
        <v>42</v>
      </c>
      <c r="H547">
        <v>1</v>
      </c>
      <c r="I547">
        <v>4</v>
      </c>
      <c r="J547" s="1" t="s">
        <v>73</v>
      </c>
      <c r="K547">
        <v>1</v>
      </c>
      <c r="L547">
        <v>939</v>
      </c>
      <c r="M547">
        <v>3</v>
      </c>
      <c r="N547" s="1" t="s">
        <v>44</v>
      </c>
      <c r="O547">
        <v>100</v>
      </c>
      <c r="P547">
        <v>2</v>
      </c>
      <c r="Q547">
        <v>1</v>
      </c>
      <c r="R547" s="1" t="s">
        <v>60</v>
      </c>
      <c r="S547">
        <v>1</v>
      </c>
      <c r="T547" s="1" t="s">
        <v>46</v>
      </c>
      <c r="U547">
        <v>2799</v>
      </c>
      <c r="V547" s="1" t="s">
        <v>47</v>
      </c>
      <c r="W547">
        <v>3339</v>
      </c>
      <c r="X547">
        <v>3</v>
      </c>
      <c r="Y547" s="1" t="s">
        <v>48</v>
      </c>
      <c r="Z547" s="1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8">
      <c r="A548" s="1" t="s">
        <v>614</v>
      </c>
      <c r="B548">
        <v>33</v>
      </c>
      <c r="C548" s="1" t="s">
        <v>190</v>
      </c>
      <c r="D548" s="1" t="s">
        <v>49</v>
      </c>
      <c r="E548" s="1" t="s">
        <v>41</v>
      </c>
      <c r="F548">
        <v>1069</v>
      </c>
      <c r="G548" s="1" t="s">
        <v>42</v>
      </c>
      <c r="H548">
        <v>1</v>
      </c>
      <c r="I548">
        <v>3</v>
      </c>
      <c r="J548" s="1" t="s">
        <v>43</v>
      </c>
      <c r="K548">
        <v>1</v>
      </c>
      <c r="L548">
        <v>969</v>
      </c>
      <c r="M548">
        <v>2</v>
      </c>
      <c r="N548" s="1" t="s">
        <v>53</v>
      </c>
      <c r="O548">
        <v>42</v>
      </c>
      <c r="P548">
        <v>2</v>
      </c>
      <c r="Q548">
        <v>2</v>
      </c>
      <c r="R548" s="1" t="s">
        <v>161</v>
      </c>
      <c r="S548">
        <v>4</v>
      </c>
      <c r="T548" s="1" t="s">
        <v>46</v>
      </c>
      <c r="U548">
        <v>6949</v>
      </c>
      <c r="V548" s="1" t="s">
        <v>163</v>
      </c>
      <c r="W548">
        <v>12291</v>
      </c>
      <c r="X548">
        <v>0</v>
      </c>
      <c r="Y548" s="1" t="s">
        <v>48</v>
      </c>
      <c r="Z548" s="1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8">
      <c r="A549" s="1" t="s">
        <v>615</v>
      </c>
      <c r="B549">
        <v>33</v>
      </c>
      <c r="C549" s="1" t="s">
        <v>190</v>
      </c>
      <c r="D549" s="1" t="s">
        <v>49</v>
      </c>
      <c r="E549" s="1" t="s">
        <v>59</v>
      </c>
      <c r="F549">
        <v>722</v>
      </c>
      <c r="G549" s="1" t="s">
        <v>51</v>
      </c>
      <c r="H549">
        <v>17</v>
      </c>
      <c r="I549">
        <v>3</v>
      </c>
      <c r="J549" s="1" t="s">
        <v>43</v>
      </c>
      <c r="K549">
        <v>1</v>
      </c>
      <c r="L549">
        <v>992</v>
      </c>
      <c r="M549">
        <v>4</v>
      </c>
      <c r="N549" s="1" t="s">
        <v>44</v>
      </c>
      <c r="O549">
        <v>38</v>
      </c>
      <c r="P549">
        <v>3</v>
      </c>
      <c r="Q549">
        <v>4</v>
      </c>
      <c r="R549" s="1" t="s">
        <v>442</v>
      </c>
      <c r="S549">
        <v>3</v>
      </c>
      <c r="T549" s="1" t="s">
        <v>46</v>
      </c>
      <c r="U549">
        <v>17444</v>
      </c>
      <c r="V549" s="1" t="s">
        <v>368</v>
      </c>
      <c r="W549">
        <v>20489</v>
      </c>
      <c r="X549">
        <v>1</v>
      </c>
      <c r="Y549" s="1" t="s">
        <v>48</v>
      </c>
      <c r="Z549" s="1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8">
      <c r="A550" s="1" t="s">
        <v>616</v>
      </c>
      <c r="B550">
        <v>33</v>
      </c>
      <c r="C550" s="1" t="s">
        <v>190</v>
      </c>
      <c r="D550" s="1" t="s">
        <v>49</v>
      </c>
      <c r="E550" s="1" t="s">
        <v>41</v>
      </c>
      <c r="F550">
        <v>461</v>
      </c>
      <c r="G550" s="1" t="s">
        <v>42</v>
      </c>
      <c r="H550">
        <v>13</v>
      </c>
      <c r="I550">
        <v>1</v>
      </c>
      <c r="J550" s="1" t="s">
        <v>43</v>
      </c>
      <c r="K550">
        <v>1</v>
      </c>
      <c r="L550">
        <v>995</v>
      </c>
      <c r="M550">
        <v>2</v>
      </c>
      <c r="N550" s="1" t="s">
        <v>53</v>
      </c>
      <c r="O550">
        <v>53</v>
      </c>
      <c r="P550">
        <v>3</v>
      </c>
      <c r="Q550">
        <v>1</v>
      </c>
      <c r="R550" s="1" t="s">
        <v>60</v>
      </c>
      <c r="S550">
        <v>4</v>
      </c>
      <c r="T550" s="1" t="s">
        <v>46</v>
      </c>
      <c r="U550">
        <v>3452</v>
      </c>
      <c r="V550" s="1" t="s">
        <v>47</v>
      </c>
      <c r="W550">
        <v>17241</v>
      </c>
      <c r="X550">
        <v>3</v>
      </c>
      <c r="Y550" s="1" t="s">
        <v>48</v>
      </c>
      <c r="Z550" s="1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8">
      <c r="A551" s="1" t="s">
        <v>617</v>
      </c>
      <c r="B551">
        <v>33</v>
      </c>
      <c r="C551" s="1" t="s">
        <v>190</v>
      </c>
      <c r="D551" s="1" t="s">
        <v>49</v>
      </c>
      <c r="E551" s="1" t="s">
        <v>56</v>
      </c>
      <c r="F551">
        <v>827</v>
      </c>
      <c r="G551" s="1" t="s">
        <v>42</v>
      </c>
      <c r="H551">
        <v>1</v>
      </c>
      <c r="I551">
        <v>4</v>
      </c>
      <c r="J551" s="1" t="s">
        <v>73</v>
      </c>
      <c r="K551">
        <v>1</v>
      </c>
      <c r="L551">
        <v>998</v>
      </c>
      <c r="M551">
        <v>3</v>
      </c>
      <c r="N551" s="1" t="s">
        <v>53</v>
      </c>
      <c r="O551">
        <v>84</v>
      </c>
      <c r="P551">
        <v>4</v>
      </c>
      <c r="Q551">
        <v>2</v>
      </c>
      <c r="R551" s="1" t="s">
        <v>161</v>
      </c>
      <c r="S551">
        <v>2</v>
      </c>
      <c r="T551" s="1" t="s">
        <v>105</v>
      </c>
      <c r="U551">
        <v>5488</v>
      </c>
      <c r="V551" s="1" t="s">
        <v>163</v>
      </c>
      <c r="W551">
        <v>20161</v>
      </c>
      <c r="X551">
        <v>1</v>
      </c>
      <c r="Y551" s="1" t="s">
        <v>48</v>
      </c>
      <c r="Z551" s="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8">
      <c r="A552" s="1" t="s">
        <v>618</v>
      </c>
      <c r="B552">
        <v>33</v>
      </c>
      <c r="C552" s="1" t="s">
        <v>190</v>
      </c>
      <c r="D552" s="1" t="s">
        <v>49</v>
      </c>
      <c r="E552" s="1" t="s">
        <v>59</v>
      </c>
      <c r="F552">
        <v>1038</v>
      </c>
      <c r="G552" s="1" t="s">
        <v>51</v>
      </c>
      <c r="H552">
        <v>8</v>
      </c>
      <c r="I552">
        <v>1</v>
      </c>
      <c r="J552" s="1" t="s">
        <v>43</v>
      </c>
      <c r="K552">
        <v>1</v>
      </c>
      <c r="L552">
        <v>1044</v>
      </c>
      <c r="M552">
        <v>2</v>
      </c>
      <c r="N552" s="1" t="s">
        <v>53</v>
      </c>
      <c r="O552">
        <v>88</v>
      </c>
      <c r="P552">
        <v>2</v>
      </c>
      <c r="Q552">
        <v>1</v>
      </c>
      <c r="R552" s="1" t="s">
        <v>54</v>
      </c>
      <c r="S552">
        <v>4</v>
      </c>
      <c r="T552" s="1" t="s">
        <v>46</v>
      </c>
      <c r="U552">
        <v>2342</v>
      </c>
      <c r="V552" s="1" t="s">
        <v>47</v>
      </c>
      <c r="W552">
        <v>21437</v>
      </c>
      <c r="X552">
        <v>0</v>
      </c>
      <c r="Y552" s="1" t="s">
        <v>48</v>
      </c>
      <c r="Z552" s="1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8">
      <c r="A553" s="1" t="s">
        <v>619</v>
      </c>
      <c r="B553">
        <v>33</v>
      </c>
      <c r="C553" s="1" t="s">
        <v>190</v>
      </c>
      <c r="D553" s="1" t="s">
        <v>49</v>
      </c>
      <c r="E553" s="1" t="s">
        <v>41</v>
      </c>
      <c r="F553">
        <v>654</v>
      </c>
      <c r="G553" s="1" t="s">
        <v>42</v>
      </c>
      <c r="H553">
        <v>5</v>
      </c>
      <c r="I553">
        <v>3</v>
      </c>
      <c r="J553" s="1" t="s">
        <v>43</v>
      </c>
      <c r="K553">
        <v>1</v>
      </c>
      <c r="L553">
        <v>1099</v>
      </c>
      <c r="M553">
        <v>4</v>
      </c>
      <c r="N553" s="1" t="s">
        <v>44</v>
      </c>
      <c r="O553">
        <v>34</v>
      </c>
      <c r="P553">
        <v>2</v>
      </c>
      <c r="Q553">
        <v>3</v>
      </c>
      <c r="R553" s="1" t="s">
        <v>161</v>
      </c>
      <c r="S553">
        <v>4</v>
      </c>
      <c r="T553" s="1" t="s">
        <v>102</v>
      </c>
      <c r="U553">
        <v>7119</v>
      </c>
      <c r="V553" s="1" t="s">
        <v>163</v>
      </c>
      <c r="W553">
        <v>21214</v>
      </c>
      <c r="X553">
        <v>4</v>
      </c>
      <c r="Y553" s="1" t="s">
        <v>48</v>
      </c>
      <c r="Z553" s="1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8">
      <c r="A554" s="1" t="s">
        <v>620</v>
      </c>
      <c r="B554">
        <v>33</v>
      </c>
      <c r="C554" s="1" t="s">
        <v>190</v>
      </c>
      <c r="D554" s="1" t="s">
        <v>40</v>
      </c>
      <c r="E554" s="1" t="s">
        <v>56</v>
      </c>
      <c r="F554">
        <v>827</v>
      </c>
      <c r="G554" s="1" t="s">
        <v>42</v>
      </c>
      <c r="H554">
        <v>29</v>
      </c>
      <c r="I554">
        <v>4</v>
      </c>
      <c r="J554" s="1" t="s">
        <v>52</v>
      </c>
      <c r="K554">
        <v>1</v>
      </c>
      <c r="L554">
        <v>1101</v>
      </c>
      <c r="M554">
        <v>1</v>
      </c>
      <c r="N554" s="1" t="s">
        <v>53</v>
      </c>
      <c r="O554">
        <v>54</v>
      </c>
      <c r="P554">
        <v>2</v>
      </c>
      <c r="Q554">
        <v>2</v>
      </c>
      <c r="R554" s="1" t="s">
        <v>60</v>
      </c>
      <c r="S554">
        <v>3</v>
      </c>
      <c r="T554" s="1" t="s">
        <v>46</v>
      </c>
      <c r="U554">
        <v>4508</v>
      </c>
      <c r="V554" s="1" t="s">
        <v>47</v>
      </c>
      <c r="W554">
        <v>3129</v>
      </c>
      <c r="X554">
        <v>1</v>
      </c>
      <c r="Y554" s="1" t="s">
        <v>48</v>
      </c>
      <c r="Z554" s="1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8">
      <c r="A555" s="1" t="s">
        <v>621</v>
      </c>
      <c r="B555">
        <v>33</v>
      </c>
      <c r="C555" s="1" t="s">
        <v>190</v>
      </c>
      <c r="D555" s="1" t="s">
        <v>40</v>
      </c>
      <c r="E555" s="1" t="s">
        <v>41</v>
      </c>
      <c r="F555">
        <v>1017</v>
      </c>
      <c r="G555" s="1" t="s">
        <v>42</v>
      </c>
      <c r="H555">
        <v>25</v>
      </c>
      <c r="I555">
        <v>3</v>
      </c>
      <c r="J555" s="1" t="s">
        <v>52</v>
      </c>
      <c r="K555">
        <v>1</v>
      </c>
      <c r="L555">
        <v>1108</v>
      </c>
      <c r="M555">
        <v>1</v>
      </c>
      <c r="N555" s="1" t="s">
        <v>44</v>
      </c>
      <c r="O555">
        <v>55</v>
      </c>
      <c r="P555">
        <v>2</v>
      </c>
      <c r="Q555">
        <v>1</v>
      </c>
      <c r="R555" s="1" t="s">
        <v>60</v>
      </c>
      <c r="S555">
        <v>2</v>
      </c>
      <c r="T555" s="1" t="s">
        <v>46</v>
      </c>
      <c r="U555">
        <v>2313</v>
      </c>
      <c r="V555" s="1" t="s">
        <v>47</v>
      </c>
      <c r="W555">
        <v>2993</v>
      </c>
      <c r="X555">
        <v>4</v>
      </c>
      <c r="Y555" s="1" t="s">
        <v>48</v>
      </c>
      <c r="Z555" s="1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8">
      <c r="A556" s="1" t="s">
        <v>622</v>
      </c>
      <c r="B556">
        <v>33</v>
      </c>
      <c r="C556" s="1" t="s">
        <v>190</v>
      </c>
      <c r="D556" s="1" t="s">
        <v>49</v>
      </c>
      <c r="E556" s="1" t="s">
        <v>56</v>
      </c>
      <c r="F556">
        <v>970</v>
      </c>
      <c r="G556" s="1" t="s">
        <v>51</v>
      </c>
      <c r="H556">
        <v>7</v>
      </c>
      <c r="I556">
        <v>3</v>
      </c>
      <c r="J556" s="1" t="s">
        <v>43</v>
      </c>
      <c r="K556">
        <v>1</v>
      </c>
      <c r="L556">
        <v>1114</v>
      </c>
      <c r="M556">
        <v>4</v>
      </c>
      <c r="N556" s="1" t="s">
        <v>53</v>
      </c>
      <c r="O556">
        <v>30</v>
      </c>
      <c r="P556">
        <v>3</v>
      </c>
      <c r="Q556">
        <v>2</v>
      </c>
      <c r="R556" s="1" t="s">
        <v>137</v>
      </c>
      <c r="S556">
        <v>2</v>
      </c>
      <c r="T556" s="1" t="s">
        <v>105</v>
      </c>
      <c r="U556">
        <v>4302</v>
      </c>
      <c r="V556" s="1" t="s">
        <v>47</v>
      </c>
      <c r="W556">
        <v>13401</v>
      </c>
      <c r="X556">
        <v>0</v>
      </c>
      <c r="Y556" s="1" t="s">
        <v>48</v>
      </c>
      <c r="Z556" s="1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8">
      <c r="A557" s="1" t="s">
        <v>623</v>
      </c>
      <c r="B557">
        <v>33</v>
      </c>
      <c r="C557" s="1" t="s">
        <v>190</v>
      </c>
      <c r="D557" s="1" t="s">
        <v>40</v>
      </c>
      <c r="E557" s="1" t="s">
        <v>41</v>
      </c>
      <c r="F557">
        <v>603</v>
      </c>
      <c r="G557" s="1" t="s">
        <v>51</v>
      </c>
      <c r="H557">
        <v>9</v>
      </c>
      <c r="I557">
        <v>4</v>
      </c>
      <c r="J557" s="1" t="s">
        <v>57</v>
      </c>
      <c r="K557">
        <v>1</v>
      </c>
      <c r="L557">
        <v>1157</v>
      </c>
      <c r="M557">
        <v>1</v>
      </c>
      <c r="N557" s="1" t="s">
        <v>53</v>
      </c>
      <c r="O557">
        <v>77</v>
      </c>
      <c r="P557">
        <v>3</v>
      </c>
      <c r="Q557">
        <v>2</v>
      </c>
      <c r="R557" s="1" t="s">
        <v>137</v>
      </c>
      <c r="S557">
        <v>1</v>
      </c>
      <c r="T557" s="1" t="s">
        <v>46</v>
      </c>
      <c r="U557">
        <v>8224</v>
      </c>
      <c r="V557" s="1" t="s">
        <v>163</v>
      </c>
      <c r="W557">
        <v>18385</v>
      </c>
      <c r="X557">
        <v>0</v>
      </c>
      <c r="Y557" s="1" t="s">
        <v>48</v>
      </c>
      <c r="Z557" s="1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8">
      <c r="A558" s="1" t="s">
        <v>624</v>
      </c>
      <c r="B558">
        <v>33</v>
      </c>
      <c r="C558" s="1" t="s">
        <v>190</v>
      </c>
      <c r="D558" s="1" t="s">
        <v>49</v>
      </c>
      <c r="E558" s="1" t="s">
        <v>41</v>
      </c>
      <c r="F558">
        <v>147</v>
      </c>
      <c r="G558" s="1" t="s">
        <v>71</v>
      </c>
      <c r="H558">
        <v>2</v>
      </c>
      <c r="I558">
        <v>3</v>
      </c>
      <c r="J558" s="1" t="s">
        <v>71</v>
      </c>
      <c r="K558">
        <v>1</v>
      </c>
      <c r="L558">
        <v>1207</v>
      </c>
      <c r="M558">
        <v>2</v>
      </c>
      <c r="N558" s="1" t="s">
        <v>44</v>
      </c>
      <c r="O558">
        <v>99</v>
      </c>
      <c r="P558">
        <v>3</v>
      </c>
      <c r="Q558">
        <v>1</v>
      </c>
      <c r="R558" s="1" t="s">
        <v>71</v>
      </c>
      <c r="S558">
        <v>3</v>
      </c>
      <c r="T558" s="1" t="s">
        <v>105</v>
      </c>
      <c r="U558">
        <v>3600</v>
      </c>
      <c r="V558" s="1" t="s">
        <v>47</v>
      </c>
      <c r="W558">
        <v>8429</v>
      </c>
      <c r="X558">
        <v>1</v>
      </c>
      <c r="Y558" s="1" t="s">
        <v>48</v>
      </c>
      <c r="Z558" s="1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8">
      <c r="A559" s="1" t="s">
        <v>625</v>
      </c>
      <c r="B559">
        <v>33</v>
      </c>
      <c r="C559" s="1" t="s">
        <v>190</v>
      </c>
      <c r="D559" s="1" t="s">
        <v>49</v>
      </c>
      <c r="E559" s="1" t="s">
        <v>56</v>
      </c>
      <c r="F559">
        <v>1146</v>
      </c>
      <c r="G559" s="1" t="s">
        <v>51</v>
      </c>
      <c r="H559">
        <v>25</v>
      </c>
      <c r="I559">
        <v>3</v>
      </c>
      <c r="J559" s="1" t="s">
        <v>52</v>
      </c>
      <c r="K559">
        <v>1</v>
      </c>
      <c r="L559">
        <v>1220</v>
      </c>
      <c r="M559">
        <v>2</v>
      </c>
      <c r="N559" s="1" t="s">
        <v>53</v>
      </c>
      <c r="O559">
        <v>82</v>
      </c>
      <c r="P559">
        <v>3</v>
      </c>
      <c r="Q559">
        <v>2</v>
      </c>
      <c r="R559" s="1" t="s">
        <v>137</v>
      </c>
      <c r="S559">
        <v>3</v>
      </c>
      <c r="T559" s="1" t="s">
        <v>105</v>
      </c>
      <c r="U559">
        <v>4539</v>
      </c>
      <c r="V559" s="1" t="s">
        <v>47</v>
      </c>
      <c r="W559">
        <v>4905</v>
      </c>
      <c r="X559">
        <v>1</v>
      </c>
      <c r="Y559" s="1" t="s">
        <v>48</v>
      </c>
      <c r="Z559" s="1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8">
      <c r="A560" s="1" t="s">
        <v>626</v>
      </c>
      <c r="B560">
        <v>33</v>
      </c>
      <c r="C560" s="1" t="s">
        <v>190</v>
      </c>
      <c r="D560" s="1" t="s">
        <v>49</v>
      </c>
      <c r="E560" s="1" t="s">
        <v>41</v>
      </c>
      <c r="F560">
        <v>117</v>
      </c>
      <c r="G560" s="1" t="s">
        <v>42</v>
      </c>
      <c r="H560">
        <v>9</v>
      </c>
      <c r="I560">
        <v>3</v>
      </c>
      <c r="J560" s="1" t="s">
        <v>52</v>
      </c>
      <c r="K560">
        <v>1</v>
      </c>
      <c r="L560">
        <v>1238</v>
      </c>
      <c r="M560">
        <v>1</v>
      </c>
      <c r="N560" s="1" t="s">
        <v>44</v>
      </c>
      <c r="O560">
        <v>60</v>
      </c>
      <c r="P560">
        <v>3</v>
      </c>
      <c r="Q560">
        <v>1</v>
      </c>
      <c r="R560" s="1" t="s">
        <v>60</v>
      </c>
      <c r="S560">
        <v>4</v>
      </c>
      <c r="T560" s="1" t="s">
        <v>105</v>
      </c>
      <c r="U560">
        <v>2781</v>
      </c>
      <c r="V560" s="1" t="s">
        <v>47</v>
      </c>
      <c r="W560">
        <v>6311</v>
      </c>
      <c r="X560">
        <v>0</v>
      </c>
      <c r="Y560" s="1" t="s">
        <v>48</v>
      </c>
      <c r="Z560" s="1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8">
      <c r="A561" s="1" t="s">
        <v>627</v>
      </c>
      <c r="B561">
        <v>33</v>
      </c>
      <c r="C561" s="1" t="s">
        <v>190</v>
      </c>
      <c r="D561" s="1" t="s">
        <v>49</v>
      </c>
      <c r="E561" s="1" t="s">
        <v>41</v>
      </c>
      <c r="F561">
        <v>536</v>
      </c>
      <c r="G561" s="1" t="s">
        <v>51</v>
      </c>
      <c r="H561">
        <v>10</v>
      </c>
      <c r="I561">
        <v>5</v>
      </c>
      <c r="J561" s="1" t="s">
        <v>57</v>
      </c>
      <c r="K561">
        <v>1</v>
      </c>
      <c r="L561">
        <v>1268</v>
      </c>
      <c r="M561">
        <v>4</v>
      </c>
      <c r="N561" s="1" t="s">
        <v>44</v>
      </c>
      <c r="O561">
        <v>82</v>
      </c>
      <c r="P561">
        <v>4</v>
      </c>
      <c r="Q561">
        <v>3</v>
      </c>
      <c r="R561" s="1" t="s">
        <v>137</v>
      </c>
      <c r="S561">
        <v>3</v>
      </c>
      <c r="T561" s="1" t="s">
        <v>102</v>
      </c>
      <c r="U561">
        <v>8380</v>
      </c>
      <c r="V561" s="1" t="s">
        <v>163</v>
      </c>
      <c r="W561">
        <v>21708</v>
      </c>
      <c r="X561">
        <v>0</v>
      </c>
      <c r="Y561" s="1" t="s">
        <v>48</v>
      </c>
      <c r="Z561" s="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8">
      <c r="A562" s="1" t="s">
        <v>628</v>
      </c>
      <c r="B562">
        <v>33</v>
      </c>
      <c r="C562" s="1" t="s">
        <v>190</v>
      </c>
      <c r="D562" s="1" t="s">
        <v>49</v>
      </c>
      <c r="E562" s="1" t="s">
        <v>56</v>
      </c>
      <c r="F562">
        <v>1111</v>
      </c>
      <c r="G562" s="1" t="s">
        <v>51</v>
      </c>
      <c r="H562">
        <v>5</v>
      </c>
      <c r="I562">
        <v>1</v>
      </c>
      <c r="J562" s="1" t="s">
        <v>43</v>
      </c>
      <c r="K562">
        <v>1</v>
      </c>
      <c r="L562">
        <v>1395</v>
      </c>
      <c r="M562">
        <v>2</v>
      </c>
      <c r="N562" s="1" t="s">
        <v>44</v>
      </c>
      <c r="O562">
        <v>61</v>
      </c>
      <c r="P562">
        <v>3</v>
      </c>
      <c r="Q562">
        <v>2</v>
      </c>
      <c r="R562" s="1" t="s">
        <v>137</v>
      </c>
      <c r="S562">
        <v>4</v>
      </c>
      <c r="T562" s="1" t="s">
        <v>105</v>
      </c>
      <c r="U562">
        <v>9998</v>
      </c>
      <c r="V562" s="1" t="s">
        <v>163</v>
      </c>
      <c r="W562">
        <v>19293</v>
      </c>
      <c r="X562">
        <v>6</v>
      </c>
      <c r="Y562" s="1" t="s">
        <v>48</v>
      </c>
      <c r="Z562" s="1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8">
      <c r="A563" s="1" t="s">
        <v>629</v>
      </c>
      <c r="B563">
        <v>33</v>
      </c>
      <c r="C563" s="1" t="s">
        <v>190</v>
      </c>
      <c r="D563" s="1" t="s">
        <v>49</v>
      </c>
      <c r="E563" s="1" t="s">
        <v>56</v>
      </c>
      <c r="F563">
        <v>430</v>
      </c>
      <c r="G563" s="1" t="s">
        <v>51</v>
      </c>
      <c r="H563">
        <v>7</v>
      </c>
      <c r="I563">
        <v>3</v>
      </c>
      <c r="J563" s="1" t="s">
        <v>52</v>
      </c>
      <c r="K563">
        <v>1</v>
      </c>
      <c r="L563">
        <v>1477</v>
      </c>
      <c r="M563">
        <v>4</v>
      </c>
      <c r="N563" s="1" t="s">
        <v>44</v>
      </c>
      <c r="O563">
        <v>54</v>
      </c>
      <c r="P563">
        <v>3</v>
      </c>
      <c r="Q563">
        <v>2</v>
      </c>
      <c r="R563" s="1" t="s">
        <v>137</v>
      </c>
      <c r="S563">
        <v>1</v>
      </c>
      <c r="T563" s="1" t="s">
        <v>105</v>
      </c>
      <c r="U563">
        <v>4373</v>
      </c>
      <c r="V563" s="1" t="s">
        <v>47</v>
      </c>
      <c r="W563">
        <v>17456</v>
      </c>
      <c r="X563">
        <v>0</v>
      </c>
      <c r="Y563" s="1" t="s">
        <v>48</v>
      </c>
      <c r="Z563" s="1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8">
      <c r="A564" s="1" t="s">
        <v>630</v>
      </c>
      <c r="B564">
        <v>33</v>
      </c>
      <c r="C564" s="1" t="s">
        <v>190</v>
      </c>
      <c r="D564" s="1" t="s">
        <v>49</v>
      </c>
      <c r="E564" s="1" t="s">
        <v>41</v>
      </c>
      <c r="F564">
        <v>1099</v>
      </c>
      <c r="G564" s="1" t="s">
        <v>42</v>
      </c>
      <c r="H564">
        <v>4</v>
      </c>
      <c r="I564">
        <v>4</v>
      </c>
      <c r="J564" s="1" t="s">
        <v>52</v>
      </c>
      <c r="K564">
        <v>1</v>
      </c>
      <c r="L564">
        <v>1502</v>
      </c>
      <c r="M564">
        <v>1</v>
      </c>
      <c r="N564" s="1" t="s">
        <v>53</v>
      </c>
      <c r="O564">
        <v>82</v>
      </c>
      <c r="P564">
        <v>2</v>
      </c>
      <c r="Q564">
        <v>1</v>
      </c>
      <c r="R564" s="1" t="s">
        <v>45</v>
      </c>
      <c r="S564">
        <v>2</v>
      </c>
      <c r="T564" s="1" t="s">
        <v>105</v>
      </c>
      <c r="U564">
        <v>3838</v>
      </c>
      <c r="V564" s="1" t="s">
        <v>47</v>
      </c>
      <c r="W564">
        <v>8192</v>
      </c>
      <c r="X564">
        <v>8</v>
      </c>
      <c r="Y564" s="1" t="s">
        <v>48</v>
      </c>
      <c r="Z564" s="1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8">
      <c r="A565" s="1" t="s">
        <v>631</v>
      </c>
      <c r="B565">
        <v>33</v>
      </c>
      <c r="C565" s="1" t="s">
        <v>190</v>
      </c>
      <c r="D565" s="1" t="s">
        <v>49</v>
      </c>
      <c r="E565" s="1" t="s">
        <v>41</v>
      </c>
      <c r="F565">
        <v>516</v>
      </c>
      <c r="G565" s="1" t="s">
        <v>42</v>
      </c>
      <c r="H565">
        <v>8</v>
      </c>
      <c r="I565">
        <v>5</v>
      </c>
      <c r="J565" s="1" t="s">
        <v>43</v>
      </c>
      <c r="K565">
        <v>1</v>
      </c>
      <c r="L565">
        <v>1515</v>
      </c>
      <c r="M565">
        <v>4</v>
      </c>
      <c r="N565" s="1" t="s">
        <v>44</v>
      </c>
      <c r="O565">
        <v>69</v>
      </c>
      <c r="P565">
        <v>3</v>
      </c>
      <c r="Q565">
        <v>2</v>
      </c>
      <c r="R565" s="1" t="s">
        <v>161</v>
      </c>
      <c r="S565">
        <v>3</v>
      </c>
      <c r="T565" s="1" t="s">
        <v>46</v>
      </c>
      <c r="U565">
        <v>6388</v>
      </c>
      <c r="V565" s="1" t="s">
        <v>163</v>
      </c>
      <c r="W565">
        <v>22049</v>
      </c>
      <c r="X565">
        <v>2</v>
      </c>
      <c r="Y565" s="1" t="s">
        <v>48</v>
      </c>
      <c r="Z565" s="1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8">
      <c r="A566" s="1" t="s">
        <v>632</v>
      </c>
      <c r="B566">
        <v>33</v>
      </c>
      <c r="C566" s="1" t="s">
        <v>190</v>
      </c>
      <c r="D566" s="1" t="s">
        <v>49</v>
      </c>
      <c r="E566" s="1" t="s">
        <v>41</v>
      </c>
      <c r="F566">
        <v>575</v>
      </c>
      <c r="G566" s="1" t="s">
        <v>42</v>
      </c>
      <c r="H566">
        <v>25</v>
      </c>
      <c r="I566">
        <v>3</v>
      </c>
      <c r="J566" s="1" t="s">
        <v>43</v>
      </c>
      <c r="K566">
        <v>1</v>
      </c>
      <c r="L566">
        <v>1545</v>
      </c>
      <c r="M566">
        <v>4</v>
      </c>
      <c r="N566" s="1" t="s">
        <v>44</v>
      </c>
      <c r="O566">
        <v>44</v>
      </c>
      <c r="P566">
        <v>2</v>
      </c>
      <c r="Q566">
        <v>2</v>
      </c>
      <c r="R566" s="1" t="s">
        <v>112</v>
      </c>
      <c r="S566">
        <v>2</v>
      </c>
      <c r="T566" s="1" t="s">
        <v>46</v>
      </c>
      <c r="U566">
        <v>4320</v>
      </c>
      <c r="V566" s="1" t="s">
        <v>47</v>
      </c>
      <c r="W566">
        <v>24152</v>
      </c>
      <c r="X566">
        <v>1</v>
      </c>
      <c r="Y566" s="1" t="s">
        <v>48</v>
      </c>
      <c r="Z566" s="1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8">
      <c r="A567" s="1" t="s">
        <v>633</v>
      </c>
      <c r="B567">
        <v>33</v>
      </c>
      <c r="C567" s="1" t="s">
        <v>190</v>
      </c>
      <c r="D567" s="1" t="s">
        <v>49</v>
      </c>
      <c r="E567" s="1" t="s">
        <v>41</v>
      </c>
      <c r="F567">
        <v>589</v>
      </c>
      <c r="G567" s="1" t="s">
        <v>42</v>
      </c>
      <c r="H567">
        <v>28</v>
      </c>
      <c r="I567">
        <v>4</v>
      </c>
      <c r="J567" s="1" t="s">
        <v>43</v>
      </c>
      <c r="K567">
        <v>1</v>
      </c>
      <c r="L567">
        <v>1549</v>
      </c>
      <c r="M567">
        <v>2</v>
      </c>
      <c r="N567" s="1" t="s">
        <v>44</v>
      </c>
      <c r="O567">
        <v>79</v>
      </c>
      <c r="P567">
        <v>3</v>
      </c>
      <c r="Q567">
        <v>2</v>
      </c>
      <c r="R567" s="1" t="s">
        <v>45</v>
      </c>
      <c r="S567">
        <v>3</v>
      </c>
      <c r="T567" s="1" t="s">
        <v>105</v>
      </c>
      <c r="U567">
        <v>5207</v>
      </c>
      <c r="V567" s="1" t="s">
        <v>163</v>
      </c>
      <c r="W567">
        <v>22949</v>
      </c>
      <c r="X567">
        <v>1</v>
      </c>
      <c r="Y567" s="1" t="s">
        <v>48</v>
      </c>
      <c r="Z567" s="1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8">
      <c r="A568" s="1" t="s">
        <v>634</v>
      </c>
      <c r="B568">
        <v>33</v>
      </c>
      <c r="C568" s="1" t="s">
        <v>190</v>
      </c>
      <c r="D568" s="1" t="s">
        <v>49</v>
      </c>
      <c r="E568" s="1" t="s">
        <v>41</v>
      </c>
      <c r="F568">
        <v>1242</v>
      </c>
      <c r="G568" s="1" t="s">
        <v>51</v>
      </c>
      <c r="H568">
        <v>8</v>
      </c>
      <c r="I568">
        <v>4</v>
      </c>
      <c r="J568" s="1" t="s">
        <v>43</v>
      </c>
      <c r="K568">
        <v>1</v>
      </c>
      <c r="L568">
        <v>1560</v>
      </c>
      <c r="M568">
        <v>1</v>
      </c>
      <c r="N568" s="1" t="s">
        <v>44</v>
      </c>
      <c r="O568">
        <v>46</v>
      </c>
      <c r="P568">
        <v>3</v>
      </c>
      <c r="Q568">
        <v>2</v>
      </c>
      <c r="R568" s="1" t="s">
        <v>137</v>
      </c>
      <c r="S568">
        <v>1</v>
      </c>
      <c r="T568" s="1" t="s">
        <v>105</v>
      </c>
      <c r="U568">
        <v>6392</v>
      </c>
      <c r="V568" s="1" t="s">
        <v>163</v>
      </c>
      <c r="W568">
        <v>10589</v>
      </c>
      <c r="X568">
        <v>2</v>
      </c>
      <c r="Y568" s="1" t="s">
        <v>48</v>
      </c>
      <c r="Z568" s="1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8">
      <c r="A569" s="1" t="s">
        <v>635</v>
      </c>
      <c r="B569">
        <v>33</v>
      </c>
      <c r="C569" s="1" t="s">
        <v>190</v>
      </c>
      <c r="D569" s="1" t="s">
        <v>49</v>
      </c>
      <c r="E569" s="1" t="s">
        <v>41</v>
      </c>
      <c r="F569">
        <v>392</v>
      </c>
      <c r="G569" s="1" t="s">
        <v>51</v>
      </c>
      <c r="H569">
        <v>2</v>
      </c>
      <c r="I569">
        <v>4</v>
      </c>
      <c r="J569" s="1" t="s">
        <v>52</v>
      </c>
      <c r="K569">
        <v>1</v>
      </c>
      <c r="L569">
        <v>1670</v>
      </c>
      <c r="M569">
        <v>4</v>
      </c>
      <c r="N569" s="1" t="s">
        <v>44</v>
      </c>
      <c r="O569">
        <v>93</v>
      </c>
      <c r="P569">
        <v>3</v>
      </c>
      <c r="Q569">
        <v>2</v>
      </c>
      <c r="R569" s="1" t="s">
        <v>137</v>
      </c>
      <c r="S569">
        <v>4</v>
      </c>
      <c r="T569" s="1" t="s">
        <v>102</v>
      </c>
      <c r="U569">
        <v>5505</v>
      </c>
      <c r="V569" s="1" t="s">
        <v>163</v>
      </c>
      <c r="W569">
        <v>3921</v>
      </c>
      <c r="X569">
        <v>1</v>
      </c>
      <c r="Y569" s="1" t="s">
        <v>48</v>
      </c>
      <c r="Z569" s="1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8">
      <c r="A570" s="1" t="s">
        <v>636</v>
      </c>
      <c r="B570">
        <v>33</v>
      </c>
      <c r="C570" s="1" t="s">
        <v>190</v>
      </c>
      <c r="D570" s="1" t="s">
        <v>49</v>
      </c>
      <c r="E570" s="1" t="s">
        <v>59</v>
      </c>
      <c r="F570">
        <v>530</v>
      </c>
      <c r="G570" s="1" t="s">
        <v>51</v>
      </c>
      <c r="H570">
        <v>16</v>
      </c>
      <c r="I570">
        <v>3</v>
      </c>
      <c r="J570" s="1" t="s">
        <v>43</v>
      </c>
      <c r="K570">
        <v>1</v>
      </c>
      <c r="L570">
        <v>1681</v>
      </c>
      <c r="M570">
        <v>3</v>
      </c>
      <c r="N570" s="1" t="s">
        <v>53</v>
      </c>
      <c r="O570">
        <v>36</v>
      </c>
      <c r="P570">
        <v>3</v>
      </c>
      <c r="Q570">
        <v>2</v>
      </c>
      <c r="R570" s="1" t="s">
        <v>137</v>
      </c>
      <c r="S570">
        <v>4</v>
      </c>
      <c r="T570" s="1" t="s">
        <v>102</v>
      </c>
      <c r="U570">
        <v>5368</v>
      </c>
      <c r="V570" s="1" t="s">
        <v>163</v>
      </c>
      <c r="W570">
        <v>16130</v>
      </c>
      <c r="X570">
        <v>1</v>
      </c>
      <c r="Y570" s="1" t="s">
        <v>48</v>
      </c>
      <c r="Z570" s="1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8">
      <c r="A571" s="1" t="s">
        <v>637</v>
      </c>
      <c r="B571">
        <v>33</v>
      </c>
      <c r="C571" s="1" t="s">
        <v>190</v>
      </c>
      <c r="D571" s="1" t="s">
        <v>49</v>
      </c>
      <c r="E571" s="1" t="s">
        <v>41</v>
      </c>
      <c r="F571">
        <v>267</v>
      </c>
      <c r="G571" s="1" t="s">
        <v>42</v>
      </c>
      <c r="H571">
        <v>21</v>
      </c>
      <c r="I571">
        <v>3</v>
      </c>
      <c r="J571" s="1" t="s">
        <v>52</v>
      </c>
      <c r="K571">
        <v>1</v>
      </c>
      <c r="L571">
        <v>1698</v>
      </c>
      <c r="M571">
        <v>2</v>
      </c>
      <c r="N571" s="1" t="s">
        <v>44</v>
      </c>
      <c r="O571">
        <v>79</v>
      </c>
      <c r="P571">
        <v>4</v>
      </c>
      <c r="Q571">
        <v>1</v>
      </c>
      <c r="R571" s="1" t="s">
        <v>45</v>
      </c>
      <c r="S571">
        <v>2</v>
      </c>
      <c r="T571" s="1" t="s">
        <v>105</v>
      </c>
      <c r="U571">
        <v>2028</v>
      </c>
      <c r="V571" s="1" t="s">
        <v>47</v>
      </c>
      <c r="W571">
        <v>13637</v>
      </c>
      <c r="X571">
        <v>1</v>
      </c>
      <c r="Y571" s="1" t="s">
        <v>48</v>
      </c>
      <c r="Z571" s="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8">
      <c r="A572" s="1" t="s">
        <v>638</v>
      </c>
      <c r="B572">
        <v>33</v>
      </c>
      <c r="C572" s="1" t="s">
        <v>190</v>
      </c>
      <c r="D572" s="1" t="s">
        <v>49</v>
      </c>
      <c r="E572" s="1" t="s">
        <v>59</v>
      </c>
      <c r="F572">
        <v>1283</v>
      </c>
      <c r="G572" s="1" t="s">
        <v>51</v>
      </c>
      <c r="H572">
        <v>2</v>
      </c>
      <c r="I572">
        <v>3</v>
      </c>
      <c r="J572" s="1" t="s">
        <v>57</v>
      </c>
      <c r="K572">
        <v>1</v>
      </c>
      <c r="L572">
        <v>1756</v>
      </c>
      <c r="M572">
        <v>4</v>
      </c>
      <c r="N572" s="1" t="s">
        <v>53</v>
      </c>
      <c r="O572">
        <v>62</v>
      </c>
      <c r="P572">
        <v>3</v>
      </c>
      <c r="Q572">
        <v>2</v>
      </c>
      <c r="R572" s="1" t="s">
        <v>137</v>
      </c>
      <c r="S572">
        <v>2</v>
      </c>
      <c r="T572" s="1" t="s">
        <v>46</v>
      </c>
      <c r="U572">
        <v>5147</v>
      </c>
      <c r="V572" s="1" t="s">
        <v>163</v>
      </c>
      <c r="W572">
        <v>10697</v>
      </c>
      <c r="X572">
        <v>8</v>
      </c>
      <c r="Y572" s="1" t="s">
        <v>48</v>
      </c>
      <c r="Z572" s="1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8">
      <c r="A573" s="1" t="s">
        <v>639</v>
      </c>
      <c r="B573">
        <v>33</v>
      </c>
      <c r="C573" s="1" t="s">
        <v>190</v>
      </c>
      <c r="D573" s="1" t="s">
        <v>40</v>
      </c>
      <c r="E573" s="1" t="s">
        <v>41</v>
      </c>
      <c r="F573">
        <v>211</v>
      </c>
      <c r="G573" s="1" t="s">
        <v>51</v>
      </c>
      <c r="H573">
        <v>16</v>
      </c>
      <c r="I573">
        <v>3</v>
      </c>
      <c r="J573" s="1" t="s">
        <v>43</v>
      </c>
      <c r="K573">
        <v>1</v>
      </c>
      <c r="L573">
        <v>1758</v>
      </c>
      <c r="M573">
        <v>1</v>
      </c>
      <c r="N573" s="1" t="s">
        <v>53</v>
      </c>
      <c r="O573">
        <v>74</v>
      </c>
      <c r="P573">
        <v>3</v>
      </c>
      <c r="Q573">
        <v>3</v>
      </c>
      <c r="R573" s="1" t="s">
        <v>137</v>
      </c>
      <c r="S573">
        <v>1</v>
      </c>
      <c r="T573" s="1" t="s">
        <v>46</v>
      </c>
      <c r="U573">
        <v>8564</v>
      </c>
      <c r="V573" s="1" t="s">
        <v>163</v>
      </c>
      <c r="W573">
        <v>10092</v>
      </c>
      <c r="X573">
        <v>2</v>
      </c>
      <c r="Y573" s="1" t="s">
        <v>48</v>
      </c>
      <c r="Z573" s="1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8">
      <c r="A574" s="1" t="s">
        <v>640</v>
      </c>
      <c r="B574">
        <v>33</v>
      </c>
      <c r="C574" s="1" t="s">
        <v>190</v>
      </c>
      <c r="D574" s="1" t="s">
        <v>49</v>
      </c>
      <c r="E574" s="1" t="s">
        <v>59</v>
      </c>
      <c r="F574">
        <v>775</v>
      </c>
      <c r="G574" s="1" t="s">
        <v>42</v>
      </c>
      <c r="H574">
        <v>4</v>
      </c>
      <c r="I574">
        <v>3</v>
      </c>
      <c r="J574" s="1" t="s">
        <v>68</v>
      </c>
      <c r="K574">
        <v>1</v>
      </c>
      <c r="L574">
        <v>1771</v>
      </c>
      <c r="M574">
        <v>4</v>
      </c>
      <c r="N574" s="1" t="s">
        <v>44</v>
      </c>
      <c r="O574">
        <v>90</v>
      </c>
      <c r="P574">
        <v>3</v>
      </c>
      <c r="Q574">
        <v>2</v>
      </c>
      <c r="R574" s="1" t="s">
        <v>60</v>
      </c>
      <c r="S574">
        <v>2</v>
      </c>
      <c r="T574" s="1" t="s">
        <v>102</v>
      </c>
      <c r="U574">
        <v>3055</v>
      </c>
      <c r="V574" s="1" t="s">
        <v>47</v>
      </c>
      <c r="W574">
        <v>6194</v>
      </c>
      <c r="X574">
        <v>5</v>
      </c>
      <c r="Y574" s="1" t="s">
        <v>48</v>
      </c>
      <c r="Z574" s="1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8">
      <c r="A575" s="1" t="s">
        <v>641</v>
      </c>
      <c r="B575">
        <v>33</v>
      </c>
      <c r="C575" s="1" t="s">
        <v>190</v>
      </c>
      <c r="D575" s="1" t="s">
        <v>49</v>
      </c>
      <c r="E575" s="1" t="s">
        <v>41</v>
      </c>
      <c r="F575">
        <v>867</v>
      </c>
      <c r="G575" s="1" t="s">
        <v>42</v>
      </c>
      <c r="H575">
        <v>8</v>
      </c>
      <c r="I575">
        <v>4</v>
      </c>
      <c r="J575" s="1" t="s">
        <v>43</v>
      </c>
      <c r="K575">
        <v>1</v>
      </c>
      <c r="L575">
        <v>1798</v>
      </c>
      <c r="M575">
        <v>4</v>
      </c>
      <c r="N575" s="1" t="s">
        <v>44</v>
      </c>
      <c r="O575">
        <v>90</v>
      </c>
      <c r="P575">
        <v>4</v>
      </c>
      <c r="Q575">
        <v>1</v>
      </c>
      <c r="R575" s="1" t="s">
        <v>60</v>
      </c>
      <c r="S575">
        <v>1</v>
      </c>
      <c r="T575" s="1" t="s">
        <v>105</v>
      </c>
      <c r="U575">
        <v>3143</v>
      </c>
      <c r="V575" s="1" t="s">
        <v>47</v>
      </c>
      <c r="W575">
        <v>6076</v>
      </c>
      <c r="X575">
        <v>6</v>
      </c>
      <c r="Y575" s="1" t="s">
        <v>48</v>
      </c>
      <c r="Z575" s="1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8">
      <c r="A576" s="1" t="s">
        <v>642</v>
      </c>
      <c r="B576">
        <v>33</v>
      </c>
      <c r="C576" s="1" t="s">
        <v>190</v>
      </c>
      <c r="D576" s="1" t="s">
        <v>49</v>
      </c>
      <c r="E576" s="1" t="s">
        <v>41</v>
      </c>
      <c r="F576">
        <v>217</v>
      </c>
      <c r="G576" s="1" t="s">
        <v>51</v>
      </c>
      <c r="H576">
        <v>10</v>
      </c>
      <c r="I576">
        <v>4</v>
      </c>
      <c r="J576" s="1" t="s">
        <v>57</v>
      </c>
      <c r="K576">
        <v>1</v>
      </c>
      <c r="L576">
        <v>1924</v>
      </c>
      <c r="M576">
        <v>2</v>
      </c>
      <c r="N576" s="1" t="s">
        <v>44</v>
      </c>
      <c r="O576">
        <v>43</v>
      </c>
      <c r="P576">
        <v>3</v>
      </c>
      <c r="Q576">
        <v>2</v>
      </c>
      <c r="R576" s="1" t="s">
        <v>137</v>
      </c>
      <c r="S576">
        <v>3</v>
      </c>
      <c r="T576" s="1" t="s">
        <v>46</v>
      </c>
      <c r="U576">
        <v>5487</v>
      </c>
      <c r="V576" s="1" t="s">
        <v>163</v>
      </c>
      <c r="W576">
        <v>10410</v>
      </c>
      <c r="X576">
        <v>1</v>
      </c>
      <c r="Y576" s="1" t="s">
        <v>48</v>
      </c>
      <c r="Z576" s="1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8">
      <c r="A577" s="1" t="s">
        <v>643</v>
      </c>
      <c r="B577">
        <v>33</v>
      </c>
      <c r="C577" s="1" t="s">
        <v>190</v>
      </c>
      <c r="D577" s="1" t="s">
        <v>49</v>
      </c>
      <c r="E577" s="1" t="s">
        <v>56</v>
      </c>
      <c r="F577">
        <v>1303</v>
      </c>
      <c r="G577" s="1" t="s">
        <v>42</v>
      </c>
      <c r="H577">
        <v>7</v>
      </c>
      <c r="I577">
        <v>2</v>
      </c>
      <c r="J577" s="1" t="s">
        <v>43</v>
      </c>
      <c r="K577">
        <v>1</v>
      </c>
      <c r="L577">
        <v>1970</v>
      </c>
      <c r="M577">
        <v>4</v>
      </c>
      <c r="N577" s="1" t="s">
        <v>44</v>
      </c>
      <c r="O577">
        <v>36</v>
      </c>
      <c r="P577">
        <v>3</v>
      </c>
      <c r="Q577">
        <v>2</v>
      </c>
      <c r="R577" s="1" t="s">
        <v>161</v>
      </c>
      <c r="S577">
        <v>3</v>
      </c>
      <c r="T577" s="1" t="s">
        <v>102</v>
      </c>
      <c r="U577">
        <v>5968</v>
      </c>
      <c r="V577" s="1" t="s">
        <v>163</v>
      </c>
      <c r="W577">
        <v>18079</v>
      </c>
      <c r="X577">
        <v>1</v>
      </c>
      <c r="Y577" s="1" t="s">
        <v>48</v>
      </c>
      <c r="Z577" s="1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8">
      <c r="A578" s="1" t="s">
        <v>644</v>
      </c>
      <c r="B578">
        <v>33</v>
      </c>
      <c r="C578" s="1" t="s">
        <v>190</v>
      </c>
      <c r="D578" s="1" t="s">
        <v>49</v>
      </c>
      <c r="E578" s="1" t="s">
        <v>59</v>
      </c>
      <c r="F578">
        <v>1313</v>
      </c>
      <c r="G578" s="1" t="s">
        <v>42</v>
      </c>
      <c r="H578">
        <v>1</v>
      </c>
      <c r="I578">
        <v>2</v>
      </c>
      <c r="J578" s="1" t="s">
        <v>52</v>
      </c>
      <c r="K578">
        <v>1</v>
      </c>
      <c r="L578">
        <v>1994</v>
      </c>
      <c r="M578">
        <v>2</v>
      </c>
      <c r="N578" s="1" t="s">
        <v>44</v>
      </c>
      <c r="O578">
        <v>59</v>
      </c>
      <c r="P578">
        <v>2</v>
      </c>
      <c r="Q578">
        <v>1</v>
      </c>
      <c r="R578" s="1" t="s">
        <v>45</v>
      </c>
      <c r="S578">
        <v>3</v>
      </c>
      <c r="T578" s="1" t="s">
        <v>102</v>
      </c>
      <c r="U578">
        <v>2008</v>
      </c>
      <c r="V578" s="1" t="s">
        <v>47</v>
      </c>
      <c r="W578">
        <v>20439</v>
      </c>
      <c r="X578">
        <v>1</v>
      </c>
      <c r="Y578" s="1" t="s">
        <v>48</v>
      </c>
      <c r="Z578" s="1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8">
      <c r="A579" s="1" t="s">
        <v>645</v>
      </c>
      <c r="B579">
        <v>33</v>
      </c>
      <c r="C579" s="1" t="s">
        <v>190</v>
      </c>
      <c r="D579" s="1" t="s">
        <v>49</v>
      </c>
      <c r="E579" s="1" t="s">
        <v>41</v>
      </c>
      <c r="F579">
        <v>501</v>
      </c>
      <c r="G579" s="1" t="s">
        <v>42</v>
      </c>
      <c r="H579">
        <v>15</v>
      </c>
      <c r="I579">
        <v>2</v>
      </c>
      <c r="J579" s="1" t="s">
        <v>52</v>
      </c>
      <c r="K579">
        <v>1</v>
      </c>
      <c r="L579">
        <v>2009</v>
      </c>
      <c r="M579">
        <v>2</v>
      </c>
      <c r="N579" s="1" t="s">
        <v>53</v>
      </c>
      <c r="O579">
        <v>95</v>
      </c>
      <c r="P579">
        <v>3</v>
      </c>
      <c r="Q579">
        <v>2</v>
      </c>
      <c r="R579" s="1" t="s">
        <v>161</v>
      </c>
      <c r="S579">
        <v>4</v>
      </c>
      <c r="T579" s="1" t="s">
        <v>105</v>
      </c>
      <c r="U579">
        <v>4878</v>
      </c>
      <c r="V579" s="1" t="s">
        <v>47</v>
      </c>
      <c r="W579">
        <v>21653</v>
      </c>
      <c r="X579">
        <v>0</v>
      </c>
      <c r="Y579" s="1" t="s">
        <v>48</v>
      </c>
      <c r="Z579" s="1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8">
      <c r="A580" s="1" t="s">
        <v>646</v>
      </c>
      <c r="B580">
        <v>34</v>
      </c>
      <c r="C580" s="1" t="s">
        <v>190</v>
      </c>
      <c r="D580" s="1" t="s">
        <v>49</v>
      </c>
      <c r="E580" s="1" t="s">
        <v>276</v>
      </c>
      <c r="F580">
        <v>1346</v>
      </c>
      <c r="G580" s="1" t="s">
        <v>42</v>
      </c>
      <c r="H580">
        <v>19</v>
      </c>
      <c r="I580">
        <v>2</v>
      </c>
      <c r="J580" s="1" t="s">
        <v>52</v>
      </c>
      <c r="K580">
        <v>1</v>
      </c>
      <c r="L580">
        <v>18</v>
      </c>
      <c r="M580">
        <v>2</v>
      </c>
      <c r="N580" s="1" t="s">
        <v>44</v>
      </c>
      <c r="O580">
        <v>93</v>
      </c>
      <c r="P580">
        <v>3</v>
      </c>
      <c r="Q580">
        <v>1</v>
      </c>
      <c r="R580" s="1" t="s">
        <v>45</v>
      </c>
      <c r="S580">
        <v>4</v>
      </c>
      <c r="T580" s="1" t="s">
        <v>102</v>
      </c>
      <c r="U580">
        <v>2661</v>
      </c>
      <c r="V580" s="1" t="s">
        <v>47</v>
      </c>
      <c r="W580">
        <v>8758</v>
      </c>
      <c r="X580">
        <v>0</v>
      </c>
      <c r="Y580" s="1" t="s">
        <v>48</v>
      </c>
      <c r="Z580" s="1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8">
      <c r="A581" s="1" t="s">
        <v>647</v>
      </c>
      <c r="B581">
        <v>34</v>
      </c>
      <c r="C581" s="1" t="s">
        <v>190</v>
      </c>
      <c r="D581" s="1" t="s">
        <v>49</v>
      </c>
      <c r="E581" s="1" t="s">
        <v>276</v>
      </c>
      <c r="F581">
        <v>419</v>
      </c>
      <c r="G581" s="1" t="s">
        <v>42</v>
      </c>
      <c r="H581">
        <v>7</v>
      </c>
      <c r="I581">
        <v>4</v>
      </c>
      <c r="J581" s="1" t="s">
        <v>43</v>
      </c>
      <c r="K581">
        <v>1</v>
      </c>
      <c r="L581">
        <v>28</v>
      </c>
      <c r="M581">
        <v>1</v>
      </c>
      <c r="N581" s="1" t="s">
        <v>53</v>
      </c>
      <c r="O581">
        <v>53</v>
      </c>
      <c r="P581">
        <v>3</v>
      </c>
      <c r="Q581">
        <v>3</v>
      </c>
      <c r="R581" s="1" t="s">
        <v>252</v>
      </c>
      <c r="S581">
        <v>2</v>
      </c>
      <c r="T581" s="1" t="s">
        <v>46</v>
      </c>
      <c r="U581">
        <v>11994</v>
      </c>
      <c r="V581" s="1" t="s">
        <v>253</v>
      </c>
      <c r="W581">
        <v>21293</v>
      </c>
      <c r="X581">
        <v>0</v>
      </c>
      <c r="Y581" s="1" t="s">
        <v>48</v>
      </c>
      <c r="Z581" s="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8">
      <c r="A582" s="1" t="s">
        <v>648</v>
      </c>
      <c r="B582">
        <v>34</v>
      </c>
      <c r="C582" s="1" t="s">
        <v>190</v>
      </c>
      <c r="D582" s="1" t="s">
        <v>40</v>
      </c>
      <c r="E582" s="1" t="s">
        <v>41</v>
      </c>
      <c r="F582">
        <v>699</v>
      </c>
      <c r="G582" s="1" t="s">
        <v>42</v>
      </c>
      <c r="H582">
        <v>6</v>
      </c>
      <c r="I582">
        <v>1</v>
      </c>
      <c r="J582" s="1" t="s">
        <v>52</v>
      </c>
      <c r="K582">
        <v>1</v>
      </c>
      <c r="L582">
        <v>31</v>
      </c>
      <c r="M582">
        <v>2</v>
      </c>
      <c r="N582" s="1" t="s">
        <v>44</v>
      </c>
      <c r="O582">
        <v>83</v>
      </c>
      <c r="P582">
        <v>3</v>
      </c>
      <c r="Q582">
        <v>1</v>
      </c>
      <c r="R582" s="1" t="s">
        <v>60</v>
      </c>
      <c r="S582">
        <v>1</v>
      </c>
      <c r="T582" s="1" t="s">
        <v>46</v>
      </c>
      <c r="U582">
        <v>2960</v>
      </c>
      <c r="V582" s="1" t="s">
        <v>47</v>
      </c>
      <c r="W582">
        <v>17102</v>
      </c>
      <c r="X582">
        <v>2</v>
      </c>
      <c r="Y582" s="1" t="s">
        <v>48</v>
      </c>
      <c r="Z582" s="1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8">
      <c r="A583" s="1" t="s">
        <v>649</v>
      </c>
      <c r="B583">
        <v>34</v>
      </c>
      <c r="C583" s="1" t="s">
        <v>190</v>
      </c>
      <c r="D583" s="1" t="s">
        <v>49</v>
      </c>
      <c r="E583" s="1" t="s">
        <v>59</v>
      </c>
      <c r="F583">
        <v>1065</v>
      </c>
      <c r="G583" s="1" t="s">
        <v>51</v>
      </c>
      <c r="H583">
        <v>23</v>
      </c>
      <c r="I583">
        <v>4</v>
      </c>
      <c r="J583" s="1" t="s">
        <v>57</v>
      </c>
      <c r="K583">
        <v>1</v>
      </c>
      <c r="L583">
        <v>60</v>
      </c>
      <c r="M583">
        <v>2</v>
      </c>
      <c r="N583" s="1" t="s">
        <v>44</v>
      </c>
      <c r="O583">
        <v>72</v>
      </c>
      <c r="P583">
        <v>3</v>
      </c>
      <c r="Q583">
        <v>2</v>
      </c>
      <c r="R583" s="1" t="s">
        <v>137</v>
      </c>
      <c r="S583">
        <v>3</v>
      </c>
      <c r="T583" s="1" t="s">
        <v>46</v>
      </c>
      <c r="U583">
        <v>4568</v>
      </c>
      <c r="V583" s="1" t="s">
        <v>47</v>
      </c>
      <c r="W583">
        <v>10034</v>
      </c>
      <c r="X583">
        <v>0</v>
      </c>
      <c r="Y583" s="1" t="s">
        <v>48</v>
      </c>
      <c r="Z583" s="1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8">
      <c r="A584" s="1" t="s">
        <v>650</v>
      </c>
      <c r="B584">
        <v>34</v>
      </c>
      <c r="C584" s="1" t="s">
        <v>190</v>
      </c>
      <c r="D584" s="1" t="s">
        <v>49</v>
      </c>
      <c r="E584" s="1" t="s">
        <v>41</v>
      </c>
      <c r="F584">
        <v>1153</v>
      </c>
      <c r="G584" s="1" t="s">
        <v>42</v>
      </c>
      <c r="H584">
        <v>1</v>
      </c>
      <c r="I584">
        <v>2</v>
      </c>
      <c r="J584" s="1" t="s">
        <v>52</v>
      </c>
      <c r="K584">
        <v>1</v>
      </c>
      <c r="L584">
        <v>110</v>
      </c>
      <c r="M584">
        <v>1</v>
      </c>
      <c r="N584" s="1" t="s">
        <v>44</v>
      </c>
      <c r="O584">
        <v>94</v>
      </c>
      <c r="P584">
        <v>3</v>
      </c>
      <c r="Q584">
        <v>2</v>
      </c>
      <c r="R584" s="1" t="s">
        <v>112</v>
      </c>
      <c r="S584">
        <v>2</v>
      </c>
      <c r="T584" s="1" t="s">
        <v>105</v>
      </c>
      <c r="U584">
        <v>4325</v>
      </c>
      <c r="V584" s="1" t="s">
        <v>47</v>
      </c>
      <c r="W584">
        <v>17736</v>
      </c>
      <c r="X584">
        <v>1</v>
      </c>
      <c r="Y584" s="1" t="s">
        <v>48</v>
      </c>
      <c r="Z584" s="1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8">
      <c r="A585" s="1" t="s">
        <v>651</v>
      </c>
      <c r="B585">
        <v>34</v>
      </c>
      <c r="C585" s="1" t="s">
        <v>190</v>
      </c>
      <c r="D585" s="1" t="s">
        <v>49</v>
      </c>
      <c r="E585" s="1" t="s">
        <v>41</v>
      </c>
      <c r="F585">
        <v>665</v>
      </c>
      <c r="G585" s="1" t="s">
        <v>42</v>
      </c>
      <c r="H585">
        <v>6</v>
      </c>
      <c r="I585">
        <v>4</v>
      </c>
      <c r="J585" s="1" t="s">
        <v>73</v>
      </c>
      <c r="K585">
        <v>1</v>
      </c>
      <c r="L585">
        <v>138</v>
      </c>
      <c r="M585">
        <v>1</v>
      </c>
      <c r="N585" s="1" t="s">
        <v>53</v>
      </c>
      <c r="O585">
        <v>41</v>
      </c>
      <c r="P585">
        <v>3</v>
      </c>
      <c r="Q585">
        <v>2</v>
      </c>
      <c r="R585" s="1" t="s">
        <v>60</v>
      </c>
      <c r="S585">
        <v>3</v>
      </c>
      <c r="T585" s="1" t="s">
        <v>46</v>
      </c>
      <c r="U585">
        <v>4809</v>
      </c>
      <c r="V585" s="1" t="s">
        <v>47</v>
      </c>
      <c r="W585">
        <v>12482</v>
      </c>
      <c r="X585">
        <v>1</v>
      </c>
      <c r="Y585" s="1" t="s">
        <v>48</v>
      </c>
      <c r="Z585" s="1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8">
      <c r="A586" s="1" t="s">
        <v>652</v>
      </c>
      <c r="B586">
        <v>34</v>
      </c>
      <c r="C586" s="1" t="s">
        <v>190</v>
      </c>
      <c r="D586" s="1" t="s">
        <v>40</v>
      </c>
      <c r="E586" s="1" t="s">
        <v>56</v>
      </c>
      <c r="F586">
        <v>658</v>
      </c>
      <c r="G586" s="1" t="s">
        <v>42</v>
      </c>
      <c r="H586">
        <v>7</v>
      </c>
      <c r="I586">
        <v>3</v>
      </c>
      <c r="J586" s="1" t="s">
        <v>43</v>
      </c>
      <c r="K586">
        <v>1</v>
      </c>
      <c r="L586">
        <v>147</v>
      </c>
      <c r="M586">
        <v>1</v>
      </c>
      <c r="N586" s="1" t="s">
        <v>44</v>
      </c>
      <c r="O586">
        <v>66</v>
      </c>
      <c r="P586">
        <v>1</v>
      </c>
      <c r="Q586">
        <v>2</v>
      </c>
      <c r="R586" s="1" t="s">
        <v>45</v>
      </c>
      <c r="S586">
        <v>3</v>
      </c>
      <c r="T586" s="1" t="s">
        <v>46</v>
      </c>
      <c r="U586">
        <v>6074</v>
      </c>
      <c r="V586" s="1" t="s">
        <v>163</v>
      </c>
      <c r="W586">
        <v>22887</v>
      </c>
      <c r="X586">
        <v>1</v>
      </c>
      <c r="Y586" s="1" t="s">
        <v>48</v>
      </c>
      <c r="Z586" s="1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8">
      <c r="A587" s="1" t="s">
        <v>653</v>
      </c>
      <c r="B587">
        <v>34</v>
      </c>
      <c r="C587" s="1" t="s">
        <v>190</v>
      </c>
      <c r="D587" s="1" t="s">
        <v>49</v>
      </c>
      <c r="E587" s="1" t="s">
        <v>41</v>
      </c>
      <c r="F587">
        <v>1031</v>
      </c>
      <c r="G587" s="1" t="s">
        <v>42</v>
      </c>
      <c r="H587">
        <v>6</v>
      </c>
      <c r="I587">
        <v>4</v>
      </c>
      <c r="J587" s="1" t="s">
        <v>43</v>
      </c>
      <c r="K587">
        <v>1</v>
      </c>
      <c r="L587">
        <v>151</v>
      </c>
      <c r="M587">
        <v>3</v>
      </c>
      <c r="N587" s="1" t="s">
        <v>53</v>
      </c>
      <c r="O587">
        <v>45</v>
      </c>
      <c r="P587">
        <v>2</v>
      </c>
      <c r="Q587">
        <v>2</v>
      </c>
      <c r="R587" s="1" t="s">
        <v>60</v>
      </c>
      <c r="S587">
        <v>2</v>
      </c>
      <c r="T587" s="1" t="s">
        <v>102</v>
      </c>
      <c r="U587">
        <v>4505</v>
      </c>
      <c r="V587" s="1" t="s">
        <v>47</v>
      </c>
      <c r="W587">
        <v>15000</v>
      </c>
      <c r="X587">
        <v>6</v>
      </c>
      <c r="Y587" s="1" t="s">
        <v>48</v>
      </c>
      <c r="Z587" s="1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8">
      <c r="A588" s="1" t="s">
        <v>654</v>
      </c>
      <c r="B588">
        <v>34</v>
      </c>
      <c r="C588" s="1" t="s">
        <v>190</v>
      </c>
      <c r="D588" s="1" t="s">
        <v>49</v>
      </c>
      <c r="E588" s="1" t="s">
        <v>41</v>
      </c>
      <c r="F588">
        <v>1354</v>
      </c>
      <c r="G588" s="1" t="s">
        <v>42</v>
      </c>
      <c r="H588">
        <v>5</v>
      </c>
      <c r="I588">
        <v>3</v>
      </c>
      <c r="J588" s="1" t="s">
        <v>52</v>
      </c>
      <c r="K588">
        <v>1</v>
      </c>
      <c r="L588">
        <v>153</v>
      </c>
      <c r="M588">
        <v>3</v>
      </c>
      <c r="N588" s="1" t="s">
        <v>53</v>
      </c>
      <c r="O588">
        <v>45</v>
      </c>
      <c r="P588">
        <v>2</v>
      </c>
      <c r="Q588">
        <v>3</v>
      </c>
      <c r="R588" s="1" t="s">
        <v>442</v>
      </c>
      <c r="S588">
        <v>1</v>
      </c>
      <c r="T588" s="1" t="s">
        <v>46</v>
      </c>
      <c r="U588">
        <v>11631</v>
      </c>
      <c r="V588" s="1" t="s">
        <v>253</v>
      </c>
      <c r="W588">
        <v>5615</v>
      </c>
      <c r="X588">
        <v>2</v>
      </c>
      <c r="Y588" s="1" t="s">
        <v>48</v>
      </c>
      <c r="Z588" s="1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8">
      <c r="A589" s="1" t="s">
        <v>655</v>
      </c>
      <c r="B589">
        <v>34</v>
      </c>
      <c r="C589" s="1" t="s">
        <v>190</v>
      </c>
      <c r="D589" s="1" t="s">
        <v>49</v>
      </c>
      <c r="E589" s="1" t="s">
        <v>56</v>
      </c>
      <c r="F589">
        <v>303</v>
      </c>
      <c r="G589" s="1" t="s">
        <v>51</v>
      </c>
      <c r="H589">
        <v>2</v>
      </c>
      <c r="I589">
        <v>4</v>
      </c>
      <c r="J589" s="1" t="s">
        <v>57</v>
      </c>
      <c r="K589">
        <v>1</v>
      </c>
      <c r="L589">
        <v>216</v>
      </c>
      <c r="M589">
        <v>3</v>
      </c>
      <c r="N589" s="1" t="s">
        <v>53</v>
      </c>
      <c r="O589">
        <v>75</v>
      </c>
      <c r="P589">
        <v>3</v>
      </c>
      <c r="Q589">
        <v>1</v>
      </c>
      <c r="R589" s="1" t="s">
        <v>54</v>
      </c>
      <c r="S589">
        <v>3</v>
      </c>
      <c r="T589" s="1" t="s">
        <v>105</v>
      </c>
      <c r="U589">
        <v>2231</v>
      </c>
      <c r="V589" s="1" t="s">
        <v>47</v>
      </c>
      <c r="W589">
        <v>11314</v>
      </c>
      <c r="X589">
        <v>6</v>
      </c>
      <c r="Y589" s="1" t="s">
        <v>48</v>
      </c>
      <c r="Z589" s="1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8">
      <c r="A590" s="1" t="s">
        <v>656</v>
      </c>
      <c r="B590">
        <v>34</v>
      </c>
      <c r="C590" s="1" t="s">
        <v>190</v>
      </c>
      <c r="D590" s="1" t="s">
        <v>49</v>
      </c>
      <c r="E590" s="1" t="s">
        <v>41</v>
      </c>
      <c r="F590">
        <v>629</v>
      </c>
      <c r="G590" s="1" t="s">
        <v>42</v>
      </c>
      <c r="H590">
        <v>27</v>
      </c>
      <c r="I590">
        <v>2</v>
      </c>
      <c r="J590" s="1" t="s">
        <v>52</v>
      </c>
      <c r="K590">
        <v>1</v>
      </c>
      <c r="L590">
        <v>247</v>
      </c>
      <c r="M590">
        <v>4</v>
      </c>
      <c r="N590" s="1" t="s">
        <v>53</v>
      </c>
      <c r="O590">
        <v>95</v>
      </c>
      <c r="P590">
        <v>3</v>
      </c>
      <c r="Q590">
        <v>1</v>
      </c>
      <c r="R590" s="1" t="s">
        <v>60</v>
      </c>
      <c r="S590">
        <v>2</v>
      </c>
      <c r="T590" s="1" t="s">
        <v>46</v>
      </c>
      <c r="U590">
        <v>2311</v>
      </c>
      <c r="V590" s="1" t="s">
        <v>47</v>
      </c>
      <c r="W590">
        <v>5711</v>
      </c>
      <c r="X590">
        <v>2</v>
      </c>
      <c r="Y590" s="1" t="s">
        <v>48</v>
      </c>
      <c r="Z590" s="1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8">
      <c r="A591" s="1" t="s">
        <v>657</v>
      </c>
      <c r="B591">
        <v>34</v>
      </c>
      <c r="C591" s="1" t="s">
        <v>190</v>
      </c>
      <c r="D591" s="1" t="s">
        <v>49</v>
      </c>
      <c r="E591" s="1" t="s">
        <v>56</v>
      </c>
      <c r="F591">
        <v>1069</v>
      </c>
      <c r="G591" s="1" t="s">
        <v>42</v>
      </c>
      <c r="H591">
        <v>2</v>
      </c>
      <c r="I591">
        <v>1</v>
      </c>
      <c r="J591" s="1" t="s">
        <v>43</v>
      </c>
      <c r="K591">
        <v>1</v>
      </c>
      <c r="L591">
        <v>256</v>
      </c>
      <c r="M591">
        <v>4</v>
      </c>
      <c r="N591" s="1" t="s">
        <v>44</v>
      </c>
      <c r="O591">
        <v>45</v>
      </c>
      <c r="P591">
        <v>2</v>
      </c>
      <c r="Q591">
        <v>2</v>
      </c>
      <c r="R591" s="1" t="s">
        <v>112</v>
      </c>
      <c r="S591">
        <v>3</v>
      </c>
      <c r="T591" s="1" t="s">
        <v>105</v>
      </c>
      <c r="U591">
        <v>9547</v>
      </c>
      <c r="V591" s="1" t="s">
        <v>163</v>
      </c>
      <c r="W591">
        <v>14074</v>
      </c>
      <c r="X591">
        <v>1</v>
      </c>
      <c r="Y591" s="1" t="s">
        <v>48</v>
      </c>
      <c r="Z591" s="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8">
      <c r="A592" s="1" t="s">
        <v>658</v>
      </c>
      <c r="B592">
        <v>34</v>
      </c>
      <c r="C592" s="1" t="s">
        <v>190</v>
      </c>
      <c r="D592" s="1" t="s">
        <v>49</v>
      </c>
      <c r="E592" s="1" t="s">
        <v>56</v>
      </c>
      <c r="F592">
        <v>878</v>
      </c>
      <c r="G592" s="1" t="s">
        <v>42</v>
      </c>
      <c r="H592">
        <v>10</v>
      </c>
      <c r="I592">
        <v>4</v>
      </c>
      <c r="J592" s="1" t="s">
        <v>52</v>
      </c>
      <c r="K592">
        <v>1</v>
      </c>
      <c r="L592">
        <v>277</v>
      </c>
      <c r="M592">
        <v>4</v>
      </c>
      <c r="N592" s="1" t="s">
        <v>44</v>
      </c>
      <c r="O592">
        <v>43</v>
      </c>
      <c r="P592">
        <v>3</v>
      </c>
      <c r="Q592">
        <v>1</v>
      </c>
      <c r="R592" s="1" t="s">
        <v>60</v>
      </c>
      <c r="S592">
        <v>3</v>
      </c>
      <c r="T592" s="1" t="s">
        <v>102</v>
      </c>
      <c r="U592">
        <v>3815</v>
      </c>
      <c r="V592" s="1" t="s">
        <v>47</v>
      </c>
      <c r="W592">
        <v>5972</v>
      </c>
      <c r="X592">
        <v>1</v>
      </c>
      <c r="Y592" s="1" t="s">
        <v>48</v>
      </c>
      <c r="Z592" s="1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8">
      <c r="A593" s="1" t="s">
        <v>659</v>
      </c>
      <c r="B593">
        <v>34</v>
      </c>
      <c r="C593" s="1" t="s">
        <v>190</v>
      </c>
      <c r="D593" s="1" t="s">
        <v>49</v>
      </c>
      <c r="E593" s="1" t="s">
        <v>41</v>
      </c>
      <c r="F593">
        <v>470</v>
      </c>
      <c r="G593" s="1" t="s">
        <v>42</v>
      </c>
      <c r="H593">
        <v>2</v>
      </c>
      <c r="I593">
        <v>4</v>
      </c>
      <c r="J593" s="1" t="s">
        <v>43</v>
      </c>
      <c r="K593">
        <v>1</v>
      </c>
      <c r="L593">
        <v>339</v>
      </c>
      <c r="M593">
        <v>4</v>
      </c>
      <c r="N593" s="1" t="s">
        <v>44</v>
      </c>
      <c r="O593">
        <v>84</v>
      </c>
      <c r="P593">
        <v>2</v>
      </c>
      <c r="Q593">
        <v>2</v>
      </c>
      <c r="R593" s="1" t="s">
        <v>112</v>
      </c>
      <c r="S593">
        <v>1</v>
      </c>
      <c r="T593" s="1" t="s">
        <v>105</v>
      </c>
      <c r="U593">
        <v>5957</v>
      </c>
      <c r="V593" s="1" t="s">
        <v>163</v>
      </c>
      <c r="W593">
        <v>23687</v>
      </c>
      <c r="X593">
        <v>6</v>
      </c>
      <c r="Y593" s="1" t="s">
        <v>48</v>
      </c>
      <c r="Z593" s="1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8">
      <c r="A594" s="1" t="s">
        <v>660</v>
      </c>
      <c r="B594">
        <v>34</v>
      </c>
      <c r="C594" s="1" t="s">
        <v>190</v>
      </c>
      <c r="D594" s="1" t="s">
        <v>40</v>
      </c>
      <c r="E594" s="1" t="s">
        <v>59</v>
      </c>
      <c r="F594">
        <v>1362</v>
      </c>
      <c r="G594" s="1" t="s">
        <v>51</v>
      </c>
      <c r="H594">
        <v>19</v>
      </c>
      <c r="I594">
        <v>3</v>
      </c>
      <c r="J594" s="1" t="s">
        <v>57</v>
      </c>
      <c r="K594">
        <v>1</v>
      </c>
      <c r="L594">
        <v>502</v>
      </c>
      <c r="M594">
        <v>1</v>
      </c>
      <c r="N594" s="1" t="s">
        <v>44</v>
      </c>
      <c r="O594">
        <v>67</v>
      </c>
      <c r="P594">
        <v>4</v>
      </c>
      <c r="Q594">
        <v>2</v>
      </c>
      <c r="R594" s="1" t="s">
        <v>137</v>
      </c>
      <c r="S594">
        <v>4</v>
      </c>
      <c r="T594" s="1" t="s">
        <v>46</v>
      </c>
      <c r="U594">
        <v>5304</v>
      </c>
      <c r="V594" s="1" t="s">
        <v>163</v>
      </c>
      <c r="W594">
        <v>4652</v>
      </c>
      <c r="X594">
        <v>8</v>
      </c>
      <c r="Y594" s="1" t="s">
        <v>48</v>
      </c>
      <c r="Z594" s="1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8">
      <c r="A595" s="1" t="s">
        <v>661</v>
      </c>
      <c r="B595">
        <v>34</v>
      </c>
      <c r="C595" s="1" t="s">
        <v>190</v>
      </c>
      <c r="D595" s="1" t="s">
        <v>49</v>
      </c>
      <c r="E595" s="1" t="s">
        <v>59</v>
      </c>
      <c r="F595">
        <v>1381</v>
      </c>
      <c r="G595" s="1" t="s">
        <v>51</v>
      </c>
      <c r="H595">
        <v>4</v>
      </c>
      <c r="I595">
        <v>4</v>
      </c>
      <c r="J595" s="1" t="s">
        <v>57</v>
      </c>
      <c r="K595">
        <v>1</v>
      </c>
      <c r="L595">
        <v>523</v>
      </c>
      <c r="M595">
        <v>3</v>
      </c>
      <c r="N595" s="1" t="s">
        <v>53</v>
      </c>
      <c r="O595">
        <v>72</v>
      </c>
      <c r="P595">
        <v>3</v>
      </c>
      <c r="Q595">
        <v>2</v>
      </c>
      <c r="R595" s="1" t="s">
        <v>137</v>
      </c>
      <c r="S595">
        <v>3</v>
      </c>
      <c r="T595" s="1" t="s">
        <v>105</v>
      </c>
      <c r="U595">
        <v>6538</v>
      </c>
      <c r="V595" s="1" t="s">
        <v>163</v>
      </c>
      <c r="W595">
        <v>12740</v>
      </c>
      <c r="X595">
        <v>9</v>
      </c>
      <c r="Y595" s="1" t="s">
        <v>48</v>
      </c>
      <c r="Z595" s="1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8">
      <c r="A596" s="1" t="s">
        <v>662</v>
      </c>
      <c r="B596">
        <v>34</v>
      </c>
      <c r="C596" s="1" t="s">
        <v>190</v>
      </c>
      <c r="D596" s="1" t="s">
        <v>40</v>
      </c>
      <c r="E596" s="1" t="s">
        <v>56</v>
      </c>
      <c r="F596">
        <v>296</v>
      </c>
      <c r="G596" s="1" t="s">
        <v>51</v>
      </c>
      <c r="H596">
        <v>6</v>
      </c>
      <c r="I596">
        <v>2</v>
      </c>
      <c r="J596" s="1" t="s">
        <v>57</v>
      </c>
      <c r="K596">
        <v>1</v>
      </c>
      <c r="L596">
        <v>555</v>
      </c>
      <c r="M596">
        <v>4</v>
      </c>
      <c r="N596" s="1" t="s">
        <v>53</v>
      </c>
      <c r="O596">
        <v>33</v>
      </c>
      <c r="P596">
        <v>1</v>
      </c>
      <c r="Q596">
        <v>1</v>
      </c>
      <c r="R596" s="1" t="s">
        <v>54</v>
      </c>
      <c r="S596">
        <v>3</v>
      </c>
      <c r="T596" s="1" t="s">
        <v>102</v>
      </c>
      <c r="U596">
        <v>2351</v>
      </c>
      <c r="V596" s="1" t="s">
        <v>47</v>
      </c>
      <c r="W596">
        <v>12253</v>
      </c>
      <c r="X596">
        <v>0</v>
      </c>
      <c r="Y596" s="1" t="s">
        <v>48</v>
      </c>
      <c r="Z596" s="1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8">
      <c r="A597" s="1" t="s">
        <v>663</v>
      </c>
      <c r="B597">
        <v>34</v>
      </c>
      <c r="C597" s="1" t="s">
        <v>190</v>
      </c>
      <c r="D597" s="1" t="s">
        <v>49</v>
      </c>
      <c r="E597" s="1" t="s">
        <v>41</v>
      </c>
      <c r="F597">
        <v>1303</v>
      </c>
      <c r="G597" s="1" t="s">
        <v>42</v>
      </c>
      <c r="H597">
        <v>2</v>
      </c>
      <c r="I597">
        <v>4</v>
      </c>
      <c r="J597" s="1" t="s">
        <v>43</v>
      </c>
      <c r="K597">
        <v>1</v>
      </c>
      <c r="L597">
        <v>579</v>
      </c>
      <c r="M597">
        <v>4</v>
      </c>
      <c r="N597" s="1" t="s">
        <v>44</v>
      </c>
      <c r="O597">
        <v>62</v>
      </c>
      <c r="P597">
        <v>2</v>
      </c>
      <c r="Q597">
        <v>1</v>
      </c>
      <c r="R597" s="1" t="s">
        <v>60</v>
      </c>
      <c r="S597">
        <v>3</v>
      </c>
      <c r="T597" s="1" t="s">
        <v>102</v>
      </c>
      <c r="U597">
        <v>2768</v>
      </c>
      <c r="V597" s="1" t="s">
        <v>47</v>
      </c>
      <c r="W597">
        <v>8416</v>
      </c>
      <c r="X597">
        <v>3</v>
      </c>
      <c r="Y597" s="1" t="s">
        <v>48</v>
      </c>
      <c r="Z597" s="1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8">
      <c r="A598" s="1" t="s">
        <v>664</v>
      </c>
      <c r="B598">
        <v>34</v>
      </c>
      <c r="C598" s="1" t="s">
        <v>190</v>
      </c>
      <c r="D598" s="1" t="s">
        <v>40</v>
      </c>
      <c r="E598" s="1" t="s">
        <v>56</v>
      </c>
      <c r="F598">
        <v>988</v>
      </c>
      <c r="G598" s="1" t="s">
        <v>71</v>
      </c>
      <c r="H598">
        <v>23</v>
      </c>
      <c r="I598">
        <v>3</v>
      </c>
      <c r="J598" s="1" t="s">
        <v>71</v>
      </c>
      <c r="K598">
        <v>1</v>
      </c>
      <c r="L598">
        <v>590</v>
      </c>
      <c r="M598">
        <v>2</v>
      </c>
      <c r="N598" s="1" t="s">
        <v>53</v>
      </c>
      <c r="O598">
        <v>43</v>
      </c>
      <c r="P598">
        <v>3</v>
      </c>
      <c r="Q598">
        <v>3</v>
      </c>
      <c r="R598" s="1" t="s">
        <v>71</v>
      </c>
      <c r="S598">
        <v>1</v>
      </c>
      <c r="T598" s="1" t="s">
        <v>102</v>
      </c>
      <c r="U598">
        <v>9950</v>
      </c>
      <c r="V598" s="1" t="s">
        <v>163</v>
      </c>
      <c r="W598">
        <v>11533</v>
      </c>
      <c r="X598">
        <v>9</v>
      </c>
      <c r="Y598" s="1" t="s">
        <v>48</v>
      </c>
      <c r="Z598" s="1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8">
      <c r="A599" s="1" t="s">
        <v>665</v>
      </c>
      <c r="B599">
        <v>34</v>
      </c>
      <c r="C599" s="1" t="s">
        <v>190</v>
      </c>
      <c r="D599" s="1" t="s">
        <v>49</v>
      </c>
      <c r="E599" s="1" t="s">
        <v>41</v>
      </c>
      <c r="F599">
        <v>258</v>
      </c>
      <c r="G599" s="1" t="s">
        <v>51</v>
      </c>
      <c r="H599">
        <v>21</v>
      </c>
      <c r="I599">
        <v>4</v>
      </c>
      <c r="J599" s="1" t="s">
        <v>43</v>
      </c>
      <c r="K599">
        <v>1</v>
      </c>
      <c r="L599">
        <v>621</v>
      </c>
      <c r="M599">
        <v>4</v>
      </c>
      <c r="N599" s="1" t="s">
        <v>44</v>
      </c>
      <c r="O599">
        <v>74</v>
      </c>
      <c r="P599">
        <v>4</v>
      </c>
      <c r="Q599">
        <v>2</v>
      </c>
      <c r="R599" s="1" t="s">
        <v>137</v>
      </c>
      <c r="S599">
        <v>4</v>
      </c>
      <c r="T599" s="1" t="s">
        <v>46</v>
      </c>
      <c r="U599">
        <v>5337</v>
      </c>
      <c r="V599" s="1" t="s">
        <v>163</v>
      </c>
      <c r="W599">
        <v>19921</v>
      </c>
      <c r="X599">
        <v>1</v>
      </c>
      <c r="Y599" s="1" t="s">
        <v>48</v>
      </c>
      <c r="Z599" s="1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8">
      <c r="A600" s="1" t="s">
        <v>666</v>
      </c>
      <c r="B600">
        <v>34</v>
      </c>
      <c r="C600" s="1" t="s">
        <v>190</v>
      </c>
      <c r="D600" s="1" t="s">
        <v>49</v>
      </c>
      <c r="E600" s="1" t="s">
        <v>41</v>
      </c>
      <c r="F600">
        <v>254</v>
      </c>
      <c r="G600" s="1" t="s">
        <v>42</v>
      </c>
      <c r="H600">
        <v>1</v>
      </c>
      <c r="I600">
        <v>2</v>
      </c>
      <c r="J600" s="1" t="s">
        <v>43</v>
      </c>
      <c r="K600">
        <v>1</v>
      </c>
      <c r="L600">
        <v>649</v>
      </c>
      <c r="M600">
        <v>2</v>
      </c>
      <c r="N600" s="1" t="s">
        <v>44</v>
      </c>
      <c r="O600">
        <v>83</v>
      </c>
      <c r="P600">
        <v>2</v>
      </c>
      <c r="Q600">
        <v>1</v>
      </c>
      <c r="R600" s="1" t="s">
        <v>60</v>
      </c>
      <c r="S600">
        <v>4</v>
      </c>
      <c r="T600" s="1" t="s">
        <v>105</v>
      </c>
      <c r="U600">
        <v>3622</v>
      </c>
      <c r="V600" s="1" t="s">
        <v>47</v>
      </c>
      <c r="W600">
        <v>22794</v>
      </c>
      <c r="X600">
        <v>1</v>
      </c>
      <c r="Y600" s="1" t="s">
        <v>48</v>
      </c>
      <c r="Z600" s="1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8">
      <c r="A601" s="1" t="s">
        <v>667</v>
      </c>
      <c r="B601">
        <v>34</v>
      </c>
      <c r="C601" s="1" t="s">
        <v>190</v>
      </c>
      <c r="D601" s="1" t="s">
        <v>49</v>
      </c>
      <c r="E601" s="1" t="s">
        <v>41</v>
      </c>
      <c r="F601">
        <v>204</v>
      </c>
      <c r="G601" s="1" t="s">
        <v>51</v>
      </c>
      <c r="H601">
        <v>14</v>
      </c>
      <c r="I601">
        <v>3</v>
      </c>
      <c r="J601" s="1" t="s">
        <v>68</v>
      </c>
      <c r="K601">
        <v>1</v>
      </c>
      <c r="L601">
        <v>666</v>
      </c>
      <c r="M601">
        <v>3</v>
      </c>
      <c r="N601" s="1" t="s">
        <v>53</v>
      </c>
      <c r="O601">
        <v>31</v>
      </c>
      <c r="P601">
        <v>3</v>
      </c>
      <c r="Q601">
        <v>1</v>
      </c>
      <c r="R601" s="1" t="s">
        <v>54</v>
      </c>
      <c r="S601">
        <v>3</v>
      </c>
      <c r="T601" s="1" t="s">
        <v>102</v>
      </c>
      <c r="U601">
        <v>2579</v>
      </c>
      <c r="V601" s="1" t="s">
        <v>47</v>
      </c>
      <c r="W601">
        <v>2912</v>
      </c>
      <c r="X601">
        <v>1</v>
      </c>
      <c r="Y601" s="1" t="s">
        <v>48</v>
      </c>
      <c r="Z601" s="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8">
      <c r="A602" s="1" t="s">
        <v>668</v>
      </c>
      <c r="B602">
        <v>34</v>
      </c>
      <c r="C602" s="1" t="s">
        <v>190</v>
      </c>
      <c r="D602" s="1" t="s">
        <v>49</v>
      </c>
      <c r="E602" s="1" t="s">
        <v>41</v>
      </c>
      <c r="F602">
        <v>1397</v>
      </c>
      <c r="G602" s="1" t="s">
        <v>42</v>
      </c>
      <c r="H602">
        <v>1</v>
      </c>
      <c r="I602">
        <v>5</v>
      </c>
      <c r="J602" s="1" t="s">
        <v>43</v>
      </c>
      <c r="K602">
        <v>1</v>
      </c>
      <c r="L602">
        <v>683</v>
      </c>
      <c r="M602">
        <v>2</v>
      </c>
      <c r="N602" s="1" t="s">
        <v>44</v>
      </c>
      <c r="O602">
        <v>42</v>
      </c>
      <c r="P602">
        <v>3</v>
      </c>
      <c r="Q602">
        <v>1</v>
      </c>
      <c r="R602" s="1" t="s">
        <v>60</v>
      </c>
      <c r="S602">
        <v>4</v>
      </c>
      <c r="T602" s="1" t="s">
        <v>105</v>
      </c>
      <c r="U602">
        <v>2691</v>
      </c>
      <c r="V602" s="1" t="s">
        <v>47</v>
      </c>
      <c r="W602">
        <v>7660</v>
      </c>
      <c r="X602">
        <v>1</v>
      </c>
      <c r="Y602" s="1" t="s">
        <v>48</v>
      </c>
      <c r="Z602" s="1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8">
      <c r="A603" s="1" t="s">
        <v>669</v>
      </c>
      <c r="B603">
        <v>34</v>
      </c>
      <c r="C603" s="1" t="s">
        <v>190</v>
      </c>
      <c r="D603" s="1" t="s">
        <v>49</v>
      </c>
      <c r="E603" s="1" t="s">
        <v>41</v>
      </c>
      <c r="F603">
        <v>1442</v>
      </c>
      <c r="G603" s="1" t="s">
        <v>42</v>
      </c>
      <c r="H603">
        <v>9</v>
      </c>
      <c r="I603">
        <v>3</v>
      </c>
      <c r="J603" s="1" t="s">
        <v>52</v>
      </c>
      <c r="K603">
        <v>1</v>
      </c>
      <c r="L603">
        <v>717</v>
      </c>
      <c r="M603">
        <v>4</v>
      </c>
      <c r="N603" s="1" t="s">
        <v>53</v>
      </c>
      <c r="O603">
        <v>46</v>
      </c>
      <c r="P603">
        <v>2</v>
      </c>
      <c r="Q603">
        <v>3</v>
      </c>
      <c r="R603" s="1" t="s">
        <v>161</v>
      </c>
      <c r="S603">
        <v>2</v>
      </c>
      <c r="T603" s="1" t="s">
        <v>46</v>
      </c>
      <c r="U603">
        <v>8621</v>
      </c>
      <c r="V603" s="1" t="s">
        <v>163</v>
      </c>
      <c r="W603">
        <v>17654</v>
      </c>
      <c r="X603">
        <v>1</v>
      </c>
      <c r="Y603" s="1" t="s">
        <v>48</v>
      </c>
      <c r="Z603" s="1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8">
      <c r="A604" s="1" t="s">
        <v>670</v>
      </c>
      <c r="B604">
        <v>34</v>
      </c>
      <c r="C604" s="1" t="s">
        <v>190</v>
      </c>
      <c r="D604" s="1" t="s">
        <v>49</v>
      </c>
      <c r="E604" s="1" t="s">
        <v>41</v>
      </c>
      <c r="F604">
        <v>970</v>
      </c>
      <c r="G604" s="1" t="s">
        <v>42</v>
      </c>
      <c r="H604">
        <v>8</v>
      </c>
      <c r="I604">
        <v>2</v>
      </c>
      <c r="J604" s="1" t="s">
        <v>52</v>
      </c>
      <c r="K604">
        <v>1</v>
      </c>
      <c r="L604">
        <v>757</v>
      </c>
      <c r="M604">
        <v>2</v>
      </c>
      <c r="N604" s="1" t="s">
        <v>53</v>
      </c>
      <c r="O604">
        <v>96</v>
      </c>
      <c r="P604">
        <v>3</v>
      </c>
      <c r="Q604">
        <v>2</v>
      </c>
      <c r="R604" s="1" t="s">
        <v>161</v>
      </c>
      <c r="S604">
        <v>3</v>
      </c>
      <c r="T604" s="1" t="s">
        <v>46</v>
      </c>
      <c r="U604">
        <v>6142</v>
      </c>
      <c r="V604" s="1" t="s">
        <v>163</v>
      </c>
      <c r="W604">
        <v>7360</v>
      </c>
      <c r="X604">
        <v>3</v>
      </c>
      <c r="Y604" s="1" t="s">
        <v>48</v>
      </c>
      <c r="Z604" s="1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8">
      <c r="A605" s="1" t="s">
        <v>671</v>
      </c>
      <c r="B605">
        <v>34</v>
      </c>
      <c r="C605" s="1" t="s">
        <v>190</v>
      </c>
      <c r="D605" s="1" t="s">
        <v>49</v>
      </c>
      <c r="E605" s="1" t="s">
        <v>41</v>
      </c>
      <c r="F605">
        <v>167</v>
      </c>
      <c r="G605" s="1" t="s">
        <v>42</v>
      </c>
      <c r="H605">
        <v>8</v>
      </c>
      <c r="I605">
        <v>5</v>
      </c>
      <c r="J605" s="1" t="s">
        <v>43</v>
      </c>
      <c r="K605">
        <v>1</v>
      </c>
      <c r="L605">
        <v>775</v>
      </c>
      <c r="M605">
        <v>2</v>
      </c>
      <c r="N605" s="1" t="s">
        <v>53</v>
      </c>
      <c r="O605">
        <v>32</v>
      </c>
      <c r="P605">
        <v>3</v>
      </c>
      <c r="Q605">
        <v>2</v>
      </c>
      <c r="R605" s="1" t="s">
        <v>112</v>
      </c>
      <c r="S605">
        <v>1</v>
      </c>
      <c r="T605" s="1" t="s">
        <v>102</v>
      </c>
      <c r="U605">
        <v>5121</v>
      </c>
      <c r="V605" s="1" t="s">
        <v>163</v>
      </c>
      <c r="W605">
        <v>4187</v>
      </c>
      <c r="X605">
        <v>3</v>
      </c>
      <c r="Y605" s="1" t="s">
        <v>48</v>
      </c>
      <c r="Z605" s="1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8">
      <c r="A606" s="1" t="s">
        <v>672</v>
      </c>
      <c r="B606">
        <v>34</v>
      </c>
      <c r="C606" s="1" t="s">
        <v>190</v>
      </c>
      <c r="D606" s="1" t="s">
        <v>49</v>
      </c>
      <c r="E606" s="1" t="s">
        <v>41</v>
      </c>
      <c r="F606">
        <v>304</v>
      </c>
      <c r="G606" s="1" t="s">
        <v>51</v>
      </c>
      <c r="H606">
        <v>2</v>
      </c>
      <c r="I606">
        <v>3</v>
      </c>
      <c r="J606" s="1" t="s">
        <v>73</v>
      </c>
      <c r="K606">
        <v>1</v>
      </c>
      <c r="L606">
        <v>786</v>
      </c>
      <c r="M606">
        <v>4</v>
      </c>
      <c r="N606" s="1" t="s">
        <v>44</v>
      </c>
      <c r="O606">
        <v>60</v>
      </c>
      <c r="P606">
        <v>3</v>
      </c>
      <c r="Q606">
        <v>2</v>
      </c>
      <c r="R606" s="1" t="s">
        <v>137</v>
      </c>
      <c r="S606">
        <v>4</v>
      </c>
      <c r="T606" s="1" t="s">
        <v>46</v>
      </c>
      <c r="U606">
        <v>6274</v>
      </c>
      <c r="V606" s="1" t="s">
        <v>163</v>
      </c>
      <c r="W606">
        <v>18686</v>
      </c>
      <c r="X606">
        <v>1</v>
      </c>
      <c r="Y606" s="1" t="s">
        <v>48</v>
      </c>
      <c r="Z606" s="1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8">
      <c r="A607" s="1" t="s">
        <v>673</v>
      </c>
      <c r="B607">
        <v>34</v>
      </c>
      <c r="C607" s="1" t="s">
        <v>190</v>
      </c>
      <c r="D607" s="1" t="s">
        <v>49</v>
      </c>
      <c r="E607" s="1" t="s">
        <v>41</v>
      </c>
      <c r="F607">
        <v>182</v>
      </c>
      <c r="G607" s="1" t="s">
        <v>42</v>
      </c>
      <c r="H607">
        <v>1</v>
      </c>
      <c r="I607">
        <v>4</v>
      </c>
      <c r="J607" s="1" t="s">
        <v>43</v>
      </c>
      <c r="K607">
        <v>1</v>
      </c>
      <c r="L607">
        <v>797</v>
      </c>
      <c r="M607">
        <v>2</v>
      </c>
      <c r="N607" s="1" t="s">
        <v>53</v>
      </c>
      <c r="O607">
        <v>72</v>
      </c>
      <c r="P607">
        <v>4</v>
      </c>
      <c r="Q607">
        <v>1</v>
      </c>
      <c r="R607" s="1" t="s">
        <v>60</v>
      </c>
      <c r="S607">
        <v>4</v>
      </c>
      <c r="T607" s="1" t="s">
        <v>46</v>
      </c>
      <c r="U607">
        <v>3280</v>
      </c>
      <c r="V607" s="1" t="s">
        <v>47</v>
      </c>
      <c r="W607">
        <v>13551</v>
      </c>
      <c r="X607">
        <v>2</v>
      </c>
      <c r="Y607" s="1" t="s">
        <v>48</v>
      </c>
      <c r="Z607" s="1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8">
      <c r="A608" s="1" t="s">
        <v>674</v>
      </c>
      <c r="B608">
        <v>34</v>
      </c>
      <c r="C608" s="1" t="s">
        <v>190</v>
      </c>
      <c r="D608" s="1" t="s">
        <v>49</v>
      </c>
      <c r="E608" s="1" t="s">
        <v>41</v>
      </c>
      <c r="F608">
        <v>121</v>
      </c>
      <c r="G608" s="1" t="s">
        <v>42</v>
      </c>
      <c r="H608">
        <v>2</v>
      </c>
      <c r="I608">
        <v>4</v>
      </c>
      <c r="J608" s="1" t="s">
        <v>52</v>
      </c>
      <c r="K608">
        <v>1</v>
      </c>
      <c r="L608">
        <v>804</v>
      </c>
      <c r="M608">
        <v>3</v>
      </c>
      <c r="N608" s="1" t="s">
        <v>53</v>
      </c>
      <c r="O608">
        <v>86</v>
      </c>
      <c r="P608">
        <v>2</v>
      </c>
      <c r="Q608">
        <v>1</v>
      </c>
      <c r="R608" s="1" t="s">
        <v>60</v>
      </c>
      <c r="S608">
        <v>1</v>
      </c>
      <c r="T608" s="1" t="s">
        <v>46</v>
      </c>
      <c r="U608">
        <v>4381</v>
      </c>
      <c r="V608" s="1" t="s">
        <v>47</v>
      </c>
      <c r="W608">
        <v>7530</v>
      </c>
      <c r="X608">
        <v>1</v>
      </c>
      <c r="Y608" s="1" t="s">
        <v>48</v>
      </c>
      <c r="Z608" s="1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8">
      <c r="A609" s="1" t="s">
        <v>675</v>
      </c>
      <c r="B609">
        <v>34</v>
      </c>
      <c r="C609" s="1" t="s">
        <v>190</v>
      </c>
      <c r="D609" s="1" t="s">
        <v>49</v>
      </c>
      <c r="E609" s="1" t="s">
        <v>41</v>
      </c>
      <c r="F609">
        <v>1111</v>
      </c>
      <c r="G609" s="1" t="s">
        <v>51</v>
      </c>
      <c r="H609">
        <v>8</v>
      </c>
      <c r="I609">
        <v>2</v>
      </c>
      <c r="J609" s="1" t="s">
        <v>43</v>
      </c>
      <c r="K609">
        <v>1</v>
      </c>
      <c r="L609">
        <v>808</v>
      </c>
      <c r="M609">
        <v>3</v>
      </c>
      <c r="N609" s="1" t="s">
        <v>53</v>
      </c>
      <c r="O609">
        <v>93</v>
      </c>
      <c r="P609">
        <v>3</v>
      </c>
      <c r="Q609">
        <v>2</v>
      </c>
      <c r="R609" s="1" t="s">
        <v>137</v>
      </c>
      <c r="S609">
        <v>1</v>
      </c>
      <c r="T609" s="1" t="s">
        <v>105</v>
      </c>
      <c r="U609">
        <v>6500</v>
      </c>
      <c r="V609" s="1" t="s">
        <v>163</v>
      </c>
      <c r="W609">
        <v>13305</v>
      </c>
      <c r="X609">
        <v>5</v>
      </c>
      <c r="Y609" s="1" t="s">
        <v>48</v>
      </c>
      <c r="Z609" s="1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8">
      <c r="A610" s="1" t="s">
        <v>676</v>
      </c>
      <c r="B610">
        <v>34</v>
      </c>
      <c r="C610" s="1" t="s">
        <v>190</v>
      </c>
      <c r="D610" s="1" t="s">
        <v>49</v>
      </c>
      <c r="E610" s="1" t="s">
        <v>56</v>
      </c>
      <c r="F610">
        <v>702</v>
      </c>
      <c r="G610" s="1" t="s">
        <v>42</v>
      </c>
      <c r="H610">
        <v>16</v>
      </c>
      <c r="I610">
        <v>4</v>
      </c>
      <c r="J610" s="1" t="s">
        <v>43</v>
      </c>
      <c r="K610">
        <v>1</v>
      </c>
      <c r="L610">
        <v>838</v>
      </c>
      <c r="M610">
        <v>3</v>
      </c>
      <c r="N610" s="1" t="s">
        <v>53</v>
      </c>
      <c r="O610">
        <v>100</v>
      </c>
      <c r="P610">
        <v>2</v>
      </c>
      <c r="Q610">
        <v>1</v>
      </c>
      <c r="R610" s="1" t="s">
        <v>60</v>
      </c>
      <c r="S610">
        <v>4</v>
      </c>
      <c r="T610" s="1" t="s">
        <v>46</v>
      </c>
      <c r="U610">
        <v>2553</v>
      </c>
      <c r="V610" s="1" t="s">
        <v>47</v>
      </c>
      <c r="W610">
        <v>8306</v>
      </c>
      <c r="X610">
        <v>1</v>
      </c>
      <c r="Y610" s="1" t="s">
        <v>48</v>
      </c>
      <c r="Z610" s="1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8">
      <c r="A611" s="1" t="s">
        <v>677</v>
      </c>
      <c r="B611">
        <v>34</v>
      </c>
      <c r="C611" s="1" t="s">
        <v>190</v>
      </c>
      <c r="D611" s="1" t="s">
        <v>49</v>
      </c>
      <c r="E611" s="1" t="s">
        <v>41</v>
      </c>
      <c r="F611">
        <v>829</v>
      </c>
      <c r="G611" s="1" t="s">
        <v>71</v>
      </c>
      <c r="H611">
        <v>3</v>
      </c>
      <c r="I611">
        <v>2</v>
      </c>
      <c r="J611" s="1" t="s">
        <v>71</v>
      </c>
      <c r="K611">
        <v>1</v>
      </c>
      <c r="L611">
        <v>847</v>
      </c>
      <c r="M611">
        <v>3</v>
      </c>
      <c r="N611" s="1" t="s">
        <v>44</v>
      </c>
      <c r="O611">
        <v>88</v>
      </c>
      <c r="P611">
        <v>3</v>
      </c>
      <c r="Q611">
        <v>1</v>
      </c>
      <c r="R611" s="1" t="s">
        <v>71</v>
      </c>
      <c r="S611">
        <v>4</v>
      </c>
      <c r="T611" s="1" t="s">
        <v>105</v>
      </c>
      <c r="U611">
        <v>3737</v>
      </c>
      <c r="V611" s="1" t="s">
        <v>47</v>
      </c>
      <c r="W611">
        <v>2243</v>
      </c>
      <c r="X611">
        <v>0</v>
      </c>
      <c r="Y611" s="1" t="s">
        <v>48</v>
      </c>
      <c r="Z611" s="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8">
      <c r="A612" s="1" t="s">
        <v>678</v>
      </c>
      <c r="B612">
        <v>34</v>
      </c>
      <c r="C612" s="1" t="s">
        <v>190</v>
      </c>
      <c r="D612" s="1" t="s">
        <v>49</v>
      </c>
      <c r="E612" s="1" t="s">
        <v>41</v>
      </c>
      <c r="F612">
        <v>546</v>
      </c>
      <c r="G612" s="1" t="s">
        <v>42</v>
      </c>
      <c r="H612">
        <v>10</v>
      </c>
      <c r="I612">
        <v>3</v>
      </c>
      <c r="J612" s="1" t="s">
        <v>43</v>
      </c>
      <c r="K612">
        <v>1</v>
      </c>
      <c r="L612">
        <v>934</v>
      </c>
      <c r="M612">
        <v>2</v>
      </c>
      <c r="N612" s="1" t="s">
        <v>44</v>
      </c>
      <c r="O612">
        <v>83</v>
      </c>
      <c r="P612">
        <v>3</v>
      </c>
      <c r="Q612">
        <v>1</v>
      </c>
      <c r="R612" s="1" t="s">
        <v>45</v>
      </c>
      <c r="S612">
        <v>2</v>
      </c>
      <c r="T612" s="1" t="s">
        <v>102</v>
      </c>
      <c r="U612">
        <v>2008</v>
      </c>
      <c r="V612" s="1" t="s">
        <v>47</v>
      </c>
      <c r="W612">
        <v>6896</v>
      </c>
      <c r="X612">
        <v>1</v>
      </c>
      <c r="Y612" s="1" t="s">
        <v>48</v>
      </c>
      <c r="Z612" s="1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8">
      <c r="A613" s="1" t="s">
        <v>679</v>
      </c>
      <c r="B613">
        <v>34</v>
      </c>
      <c r="C613" s="1" t="s">
        <v>190</v>
      </c>
      <c r="D613" s="1" t="s">
        <v>49</v>
      </c>
      <c r="E613" s="1" t="s">
        <v>41</v>
      </c>
      <c r="F613">
        <v>216</v>
      </c>
      <c r="G613" s="1" t="s">
        <v>51</v>
      </c>
      <c r="H613">
        <v>1</v>
      </c>
      <c r="I613">
        <v>4</v>
      </c>
      <c r="J613" s="1" t="s">
        <v>57</v>
      </c>
      <c r="K613">
        <v>1</v>
      </c>
      <c r="L613">
        <v>1047</v>
      </c>
      <c r="M613">
        <v>2</v>
      </c>
      <c r="N613" s="1" t="s">
        <v>44</v>
      </c>
      <c r="O613">
        <v>75</v>
      </c>
      <c r="P613">
        <v>4</v>
      </c>
      <c r="Q613">
        <v>2</v>
      </c>
      <c r="R613" s="1" t="s">
        <v>137</v>
      </c>
      <c r="S613">
        <v>4</v>
      </c>
      <c r="T613" s="1" t="s">
        <v>102</v>
      </c>
      <c r="U613">
        <v>9725</v>
      </c>
      <c r="V613" s="1" t="s">
        <v>163</v>
      </c>
      <c r="W613">
        <v>12278</v>
      </c>
      <c r="X613">
        <v>0</v>
      </c>
      <c r="Y613" s="1" t="s">
        <v>48</v>
      </c>
      <c r="Z613" s="1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8">
      <c r="A614" s="1" t="s">
        <v>680</v>
      </c>
      <c r="B614">
        <v>34</v>
      </c>
      <c r="C614" s="1" t="s">
        <v>190</v>
      </c>
      <c r="D614" s="1" t="s">
        <v>49</v>
      </c>
      <c r="E614" s="1" t="s">
        <v>41</v>
      </c>
      <c r="F614">
        <v>1333</v>
      </c>
      <c r="G614" s="1" t="s">
        <v>51</v>
      </c>
      <c r="H614">
        <v>10</v>
      </c>
      <c r="I614">
        <v>4</v>
      </c>
      <c r="J614" s="1" t="s">
        <v>43</v>
      </c>
      <c r="K614">
        <v>1</v>
      </c>
      <c r="L614">
        <v>1055</v>
      </c>
      <c r="M614">
        <v>3</v>
      </c>
      <c r="N614" s="1" t="s">
        <v>53</v>
      </c>
      <c r="O614">
        <v>87</v>
      </c>
      <c r="P614">
        <v>3</v>
      </c>
      <c r="Q614">
        <v>1</v>
      </c>
      <c r="R614" s="1" t="s">
        <v>54</v>
      </c>
      <c r="S614">
        <v>3</v>
      </c>
      <c r="T614" s="1" t="s">
        <v>105</v>
      </c>
      <c r="U614">
        <v>2220</v>
      </c>
      <c r="V614" s="1" t="s">
        <v>47</v>
      </c>
      <c r="W614">
        <v>18410</v>
      </c>
      <c r="X614">
        <v>1</v>
      </c>
      <c r="Y614" s="1" t="s">
        <v>48</v>
      </c>
      <c r="Z614" s="1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8">
      <c r="A615" s="1" t="s">
        <v>681</v>
      </c>
      <c r="B615">
        <v>34</v>
      </c>
      <c r="C615" s="1" t="s">
        <v>190</v>
      </c>
      <c r="D615" s="1" t="s">
        <v>49</v>
      </c>
      <c r="E615" s="1" t="s">
        <v>56</v>
      </c>
      <c r="F615">
        <v>618</v>
      </c>
      <c r="G615" s="1" t="s">
        <v>42</v>
      </c>
      <c r="H615">
        <v>3</v>
      </c>
      <c r="I615">
        <v>1</v>
      </c>
      <c r="J615" s="1" t="s">
        <v>43</v>
      </c>
      <c r="K615">
        <v>1</v>
      </c>
      <c r="L615">
        <v>1103</v>
      </c>
      <c r="M615">
        <v>1</v>
      </c>
      <c r="N615" s="1" t="s">
        <v>44</v>
      </c>
      <c r="O615">
        <v>45</v>
      </c>
      <c r="P615">
        <v>3</v>
      </c>
      <c r="Q615">
        <v>2</v>
      </c>
      <c r="R615" s="1" t="s">
        <v>161</v>
      </c>
      <c r="S615">
        <v>4</v>
      </c>
      <c r="T615" s="1" t="s">
        <v>46</v>
      </c>
      <c r="U615">
        <v>7756</v>
      </c>
      <c r="V615" s="1" t="s">
        <v>163</v>
      </c>
      <c r="W615">
        <v>22266</v>
      </c>
      <c r="X615">
        <v>0</v>
      </c>
      <c r="Y615" s="1" t="s">
        <v>48</v>
      </c>
      <c r="Z615" s="1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8">
      <c r="A616" s="1" t="s">
        <v>682</v>
      </c>
      <c r="B616">
        <v>34</v>
      </c>
      <c r="C616" s="1" t="s">
        <v>190</v>
      </c>
      <c r="D616" s="1" t="s">
        <v>49</v>
      </c>
      <c r="E616" s="1" t="s">
        <v>59</v>
      </c>
      <c r="F616">
        <v>697</v>
      </c>
      <c r="G616" s="1" t="s">
        <v>42</v>
      </c>
      <c r="H616">
        <v>3</v>
      </c>
      <c r="I616">
        <v>4</v>
      </c>
      <c r="J616" s="1" t="s">
        <v>43</v>
      </c>
      <c r="K616">
        <v>1</v>
      </c>
      <c r="L616">
        <v>1115</v>
      </c>
      <c r="M616">
        <v>3</v>
      </c>
      <c r="N616" s="1" t="s">
        <v>44</v>
      </c>
      <c r="O616">
        <v>40</v>
      </c>
      <c r="P616">
        <v>2</v>
      </c>
      <c r="Q616">
        <v>1</v>
      </c>
      <c r="R616" s="1" t="s">
        <v>60</v>
      </c>
      <c r="S616">
        <v>4</v>
      </c>
      <c r="T616" s="1" t="s">
        <v>105</v>
      </c>
      <c r="U616">
        <v>2979</v>
      </c>
      <c r="V616" s="1" t="s">
        <v>47</v>
      </c>
      <c r="W616">
        <v>22478</v>
      </c>
      <c r="X616">
        <v>3</v>
      </c>
      <c r="Y616" s="1" t="s">
        <v>48</v>
      </c>
      <c r="Z616" s="1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8">
      <c r="A617" s="1" t="s">
        <v>683</v>
      </c>
      <c r="B617">
        <v>34</v>
      </c>
      <c r="C617" s="1" t="s">
        <v>190</v>
      </c>
      <c r="D617" s="1" t="s">
        <v>49</v>
      </c>
      <c r="E617" s="1" t="s">
        <v>56</v>
      </c>
      <c r="F617">
        <v>1003</v>
      </c>
      <c r="G617" s="1" t="s">
        <v>42</v>
      </c>
      <c r="H617">
        <v>2</v>
      </c>
      <c r="I617">
        <v>2</v>
      </c>
      <c r="J617" s="1" t="s">
        <v>43</v>
      </c>
      <c r="K617">
        <v>1</v>
      </c>
      <c r="L617">
        <v>1140</v>
      </c>
      <c r="M617">
        <v>4</v>
      </c>
      <c r="N617" s="1" t="s">
        <v>44</v>
      </c>
      <c r="O617">
        <v>95</v>
      </c>
      <c r="P617">
        <v>3</v>
      </c>
      <c r="Q617">
        <v>2</v>
      </c>
      <c r="R617" s="1" t="s">
        <v>112</v>
      </c>
      <c r="S617">
        <v>3</v>
      </c>
      <c r="T617" s="1" t="s">
        <v>46</v>
      </c>
      <c r="U617">
        <v>4033</v>
      </c>
      <c r="V617" s="1" t="s">
        <v>47</v>
      </c>
      <c r="W617">
        <v>15834</v>
      </c>
      <c r="X617">
        <v>2</v>
      </c>
      <c r="Y617" s="1" t="s">
        <v>48</v>
      </c>
      <c r="Z617" s="1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8">
      <c r="A618" s="1" t="s">
        <v>684</v>
      </c>
      <c r="B618">
        <v>34</v>
      </c>
      <c r="C618" s="1" t="s">
        <v>190</v>
      </c>
      <c r="D618" s="1" t="s">
        <v>49</v>
      </c>
      <c r="E618" s="1" t="s">
        <v>41</v>
      </c>
      <c r="F618">
        <v>1400</v>
      </c>
      <c r="G618" s="1" t="s">
        <v>51</v>
      </c>
      <c r="H618">
        <v>9</v>
      </c>
      <c r="I618">
        <v>1</v>
      </c>
      <c r="J618" s="1" t="s">
        <v>43</v>
      </c>
      <c r="K618">
        <v>1</v>
      </c>
      <c r="L618">
        <v>1163</v>
      </c>
      <c r="M618">
        <v>2</v>
      </c>
      <c r="N618" s="1" t="s">
        <v>53</v>
      </c>
      <c r="O618">
        <v>70</v>
      </c>
      <c r="P618">
        <v>3</v>
      </c>
      <c r="Q618">
        <v>2</v>
      </c>
      <c r="R618" s="1" t="s">
        <v>137</v>
      </c>
      <c r="S618">
        <v>3</v>
      </c>
      <c r="T618" s="1" t="s">
        <v>105</v>
      </c>
      <c r="U618">
        <v>5714</v>
      </c>
      <c r="V618" s="1" t="s">
        <v>163</v>
      </c>
      <c r="W618">
        <v>5829</v>
      </c>
      <c r="X618">
        <v>1</v>
      </c>
      <c r="Y618" s="1" t="s">
        <v>48</v>
      </c>
      <c r="Z618" s="1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8">
      <c r="A619" s="1" t="s">
        <v>685</v>
      </c>
      <c r="B619">
        <v>34</v>
      </c>
      <c r="C619" s="1" t="s">
        <v>190</v>
      </c>
      <c r="D619" s="1" t="s">
        <v>49</v>
      </c>
      <c r="E619" s="1" t="s">
        <v>56</v>
      </c>
      <c r="F619">
        <v>669</v>
      </c>
      <c r="G619" s="1" t="s">
        <v>42</v>
      </c>
      <c r="H619">
        <v>1</v>
      </c>
      <c r="I619">
        <v>3</v>
      </c>
      <c r="J619" s="1" t="s">
        <v>52</v>
      </c>
      <c r="K619">
        <v>1</v>
      </c>
      <c r="L619">
        <v>1184</v>
      </c>
      <c r="M619">
        <v>4</v>
      </c>
      <c r="N619" s="1" t="s">
        <v>44</v>
      </c>
      <c r="O619">
        <v>97</v>
      </c>
      <c r="P619">
        <v>2</v>
      </c>
      <c r="Q619">
        <v>2</v>
      </c>
      <c r="R619" s="1" t="s">
        <v>161</v>
      </c>
      <c r="S619">
        <v>1</v>
      </c>
      <c r="T619" s="1" t="s">
        <v>46</v>
      </c>
      <c r="U619">
        <v>5343</v>
      </c>
      <c r="V619" s="1" t="s">
        <v>163</v>
      </c>
      <c r="W619">
        <v>25755</v>
      </c>
      <c r="X619">
        <v>0</v>
      </c>
      <c r="Y619" s="1" t="s">
        <v>48</v>
      </c>
      <c r="Z619" s="1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8">
      <c r="A620" s="1" t="s">
        <v>686</v>
      </c>
      <c r="B620">
        <v>34</v>
      </c>
      <c r="C620" s="1" t="s">
        <v>190</v>
      </c>
      <c r="D620" s="1" t="s">
        <v>49</v>
      </c>
      <c r="E620" s="1" t="s">
        <v>41</v>
      </c>
      <c r="F620">
        <v>1320</v>
      </c>
      <c r="G620" s="1" t="s">
        <v>42</v>
      </c>
      <c r="H620">
        <v>20</v>
      </c>
      <c r="I620">
        <v>3</v>
      </c>
      <c r="J620" s="1" t="s">
        <v>68</v>
      </c>
      <c r="K620">
        <v>1</v>
      </c>
      <c r="L620">
        <v>1265</v>
      </c>
      <c r="M620">
        <v>3</v>
      </c>
      <c r="N620" s="1" t="s">
        <v>53</v>
      </c>
      <c r="O620">
        <v>89</v>
      </c>
      <c r="P620">
        <v>4</v>
      </c>
      <c r="Q620">
        <v>1</v>
      </c>
      <c r="R620" s="1" t="s">
        <v>60</v>
      </c>
      <c r="S620">
        <v>3</v>
      </c>
      <c r="T620" s="1" t="s">
        <v>105</v>
      </c>
      <c r="U620">
        <v>2585</v>
      </c>
      <c r="V620" s="1" t="s">
        <v>47</v>
      </c>
      <c r="W620">
        <v>21643</v>
      </c>
      <c r="X620">
        <v>0</v>
      </c>
      <c r="Y620" s="1" t="s">
        <v>48</v>
      </c>
      <c r="Z620" s="1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8">
      <c r="A621" s="1" t="s">
        <v>687</v>
      </c>
      <c r="B621">
        <v>34</v>
      </c>
      <c r="C621" s="1" t="s">
        <v>190</v>
      </c>
      <c r="D621" s="1" t="s">
        <v>49</v>
      </c>
      <c r="E621" s="1" t="s">
        <v>41</v>
      </c>
      <c r="F621">
        <v>131</v>
      </c>
      <c r="G621" s="1" t="s">
        <v>51</v>
      </c>
      <c r="H621">
        <v>2</v>
      </c>
      <c r="I621">
        <v>3</v>
      </c>
      <c r="J621" s="1" t="s">
        <v>57</v>
      </c>
      <c r="K621">
        <v>1</v>
      </c>
      <c r="L621">
        <v>1281</v>
      </c>
      <c r="M621">
        <v>3</v>
      </c>
      <c r="N621" s="1" t="s">
        <v>53</v>
      </c>
      <c r="O621">
        <v>86</v>
      </c>
      <c r="P621">
        <v>3</v>
      </c>
      <c r="Q621">
        <v>2</v>
      </c>
      <c r="R621" s="1" t="s">
        <v>137</v>
      </c>
      <c r="S621">
        <v>1</v>
      </c>
      <c r="T621" s="1" t="s">
        <v>46</v>
      </c>
      <c r="U621">
        <v>4538</v>
      </c>
      <c r="V621" s="1" t="s">
        <v>47</v>
      </c>
      <c r="W621">
        <v>6039</v>
      </c>
      <c r="X621">
        <v>0</v>
      </c>
      <c r="Y621" s="1" t="s">
        <v>48</v>
      </c>
      <c r="Z621" s="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8">
      <c r="A622" s="1" t="s">
        <v>688</v>
      </c>
      <c r="B622">
        <v>34</v>
      </c>
      <c r="C622" s="1" t="s">
        <v>190</v>
      </c>
      <c r="D622" s="1" t="s">
        <v>49</v>
      </c>
      <c r="E622" s="1" t="s">
        <v>56</v>
      </c>
      <c r="F622">
        <v>135</v>
      </c>
      <c r="G622" s="1" t="s">
        <v>42</v>
      </c>
      <c r="H622">
        <v>19</v>
      </c>
      <c r="I622">
        <v>3</v>
      </c>
      <c r="J622" s="1" t="s">
        <v>52</v>
      </c>
      <c r="K622">
        <v>1</v>
      </c>
      <c r="L622">
        <v>1285</v>
      </c>
      <c r="M622">
        <v>3</v>
      </c>
      <c r="N622" s="1" t="s">
        <v>53</v>
      </c>
      <c r="O622">
        <v>46</v>
      </c>
      <c r="P622">
        <v>3</v>
      </c>
      <c r="Q622">
        <v>2</v>
      </c>
      <c r="R622" s="1" t="s">
        <v>45</v>
      </c>
      <c r="S622">
        <v>2</v>
      </c>
      <c r="T622" s="1" t="s">
        <v>102</v>
      </c>
      <c r="U622">
        <v>4444</v>
      </c>
      <c r="V622" s="1" t="s">
        <v>47</v>
      </c>
      <c r="W622">
        <v>22534</v>
      </c>
      <c r="X622">
        <v>4</v>
      </c>
      <c r="Y622" s="1" t="s">
        <v>48</v>
      </c>
      <c r="Z622" s="1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8">
      <c r="A623" s="1" t="s">
        <v>689</v>
      </c>
      <c r="B623">
        <v>34</v>
      </c>
      <c r="C623" s="1" t="s">
        <v>190</v>
      </c>
      <c r="D623" s="1" t="s">
        <v>49</v>
      </c>
      <c r="E623" s="1" t="s">
        <v>56</v>
      </c>
      <c r="F623">
        <v>648</v>
      </c>
      <c r="G623" s="1" t="s">
        <v>71</v>
      </c>
      <c r="H623">
        <v>11</v>
      </c>
      <c r="I623">
        <v>3</v>
      </c>
      <c r="J623" s="1" t="s">
        <v>43</v>
      </c>
      <c r="K623">
        <v>1</v>
      </c>
      <c r="L623">
        <v>1289</v>
      </c>
      <c r="M623">
        <v>3</v>
      </c>
      <c r="N623" s="1" t="s">
        <v>44</v>
      </c>
      <c r="O623">
        <v>56</v>
      </c>
      <c r="P623">
        <v>2</v>
      </c>
      <c r="Q623">
        <v>2</v>
      </c>
      <c r="R623" s="1" t="s">
        <v>71</v>
      </c>
      <c r="S623">
        <v>2</v>
      </c>
      <c r="T623" s="1" t="s">
        <v>105</v>
      </c>
      <c r="U623">
        <v>4490</v>
      </c>
      <c r="V623" s="1" t="s">
        <v>47</v>
      </c>
      <c r="W623">
        <v>21833</v>
      </c>
      <c r="X623">
        <v>4</v>
      </c>
      <c r="Y623" s="1" t="s">
        <v>48</v>
      </c>
      <c r="Z623" s="1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8">
      <c r="A624" s="1" t="s">
        <v>690</v>
      </c>
      <c r="B624">
        <v>34</v>
      </c>
      <c r="C624" s="1" t="s">
        <v>190</v>
      </c>
      <c r="D624" s="1" t="s">
        <v>49</v>
      </c>
      <c r="E624" s="1" t="s">
        <v>41</v>
      </c>
      <c r="F624">
        <v>943</v>
      </c>
      <c r="G624" s="1" t="s">
        <v>42</v>
      </c>
      <c r="H624">
        <v>9</v>
      </c>
      <c r="I624">
        <v>3</v>
      </c>
      <c r="J624" s="1" t="s">
        <v>43</v>
      </c>
      <c r="K624">
        <v>1</v>
      </c>
      <c r="L624">
        <v>1344</v>
      </c>
      <c r="M624">
        <v>4</v>
      </c>
      <c r="N624" s="1" t="s">
        <v>44</v>
      </c>
      <c r="O624">
        <v>86</v>
      </c>
      <c r="P624">
        <v>3</v>
      </c>
      <c r="Q624">
        <v>3</v>
      </c>
      <c r="R624" s="1" t="s">
        <v>161</v>
      </c>
      <c r="S624">
        <v>4</v>
      </c>
      <c r="T624" s="1" t="s">
        <v>102</v>
      </c>
      <c r="U624">
        <v>8500</v>
      </c>
      <c r="V624" s="1" t="s">
        <v>163</v>
      </c>
      <c r="W624">
        <v>5494</v>
      </c>
      <c r="X624">
        <v>0</v>
      </c>
      <c r="Y624" s="1" t="s">
        <v>48</v>
      </c>
      <c r="Z624" s="1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8">
      <c r="A625" s="1" t="s">
        <v>691</v>
      </c>
      <c r="B625">
        <v>34</v>
      </c>
      <c r="C625" s="1" t="s">
        <v>190</v>
      </c>
      <c r="D625" s="1" t="s">
        <v>49</v>
      </c>
      <c r="E625" s="1" t="s">
        <v>41</v>
      </c>
      <c r="F625">
        <v>507</v>
      </c>
      <c r="G625" s="1" t="s">
        <v>51</v>
      </c>
      <c r="H625">
        <v>15</v>
      </c>
      <c r="I625">
        <v>2</v>
      </c>
      <c r="J625" s="1" t="s">
        <v>52</v>
      </c>
      <c r="K625">
        <v>1</v>
      </c>
      <c r="L625">
        <v>1356</v>
      </c>
      <c r="M625">
        <v>3</v>
      </c>
      <c r="N625" s="1" t="s">
        <v>53</v>
      </c>
      <c r="O625">
        <v>66</v>
      </c>
      <c r="P625">
        <v>3</v>
      </c>
      <c r="Q625">
        <v>2</v>
      </c>
      <c r="R625" s="1" t="s">
        <v>137</v>
      </c>
      <c r="S625">
        <v>1</v>
      </c>
      <c r="T625" s="1" t="s">
        <v>46</v>
      </c>
      <c r="U625">
        <v>6125</v>
      </c>
      <c r="V625" s="1" t="s">
        <v>163</v>
      </c>
      <c r="W625">
        <v>23553</v>
      </c>
      <c r="X625">
        <v>1</v>
      </c>
      <c r="Y625" s="1" t="s">
        <v>48</v>
      </c>
      <c r="Z625" s="1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8">
      <c r="A626" s="1" t="s">
        <v>692</v>
      </c>
      <c r="B626">
        <v>34</v>
      </c>
      <c r="C626" s="1" t="s">
        <v>190</v>
      </c>
      <c r="D626" s="1" t="s">
        <v>49</v>
      </c>
      <c r="E626" s="1" t="s">
        <v>59</v>
      </c>
      <c r="F626">
        <v>999</v>
      </c>
      <c r="G626" s="1" t="s">
        <v>42</v>
      </c>
      <c r="H626">
        <v>26</v>
      </c>
      <c r="I626">
        <v>1</v>
      </c>
      <c r="J626" s="1" t="s">
        <v>68</v>
      </c>
      <c r="K626">
        <v>1</v>
      </c>
      <c r="L626">
        <v>1374</v>
      </c>
      <c r="M626">
        <v>1</v>
      </c>
      <c r="N626" s="1" t="s">
        <v>53</v>
      </c>
      <c r="O626">
        <v>92</v>
      </c>
      <c r="P626">
        <v>2</v>
      </c>
      <c r="Q626">
        <v>1</v>
      </c>
      <c r="R626" s="1" t="s">
        <v>60</v>
      </c>
      <c r="S626">
        <v>3</v>
      </c>
      <c r="T626" s="1" t="s">
        <v>102</v>
      </c>
      <c r="U626">
        <v>2029</v>
      </c>
      <c r="V626" s="1" t="s">
        <v>47</v>
      </c>
      <c r="W626">
        <v>15891</v>
      </c>
      <c r="X626">
        <v>1</v>
      </c>
      <c r="Y626" s="1" t="s">
        <v>48</v>
      </c>
      <c r="Z626" s="1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8">
      <c r="A627" s="1" t="s">
        <v>693</v>
      </c>
      <c r="B627">
        <v>34</v>
      </c>
      <c r="C627" s="1" t="s">
        <v>190</v>
      </c>
      <c r="D627" s="1" t="s">
        <v>49</v>
      </c>
      <c r="E627" s="1" t="s">
        <v>41</v>
      </c>
      <c r="F627">
        <v>285</v>
      </c>
      <c r="G627" s="1" t="s">
        <v>42</v>
      </c>
      <c r="H627">
        <v>29</v>
      </c>
      <c r="I627">
        <v>3</v>
      </c>
      <c r="J627" s="1" t="s">
        <v>52</v>
      </c>
      <c r="K627">
        <v>1</v>
      </c>
      <c r="L627">
        <v>1377</v>
      </c>
      <c r="M627">
        <v>2</v>
      </c>
      <c r="N627" s="1" t="s">
        <v>44</v>
      </c>
      <c r="O627">
        <v>86</v>
      </c>
      <c r="P627">
        <v>3</v>
      </c>
      <c r="Q627">
        <v>2</v>
      </c>
      <c r="R627" s="1" t="s">
        <v>45</v>
      </c>
      <c r="S627">
        <v>3</v>
      </c>
      <c r="T627" s="1" t="s">
        <v>105</v>
      </c>
      <c r="U627">
        <v>5429</v>
      </c>
      <c r="V627" s="1" t="s">
        <v>163</v>
      </c>
      <c r="W627">
        <v>17491</v>
      </c>
      <c r="X627">
        <v>4</v>
      </c>
      <c r="Y627" s="1" t="s">
        <v>48</v>
      </c>
      <c r="Z627" s="1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8">
      <c r="A628" s="1" t="s">
        <v>694</v>
      </c>
      <c r="B628">
        <v>34</v>
      </c>
      <c r="C628" s="1" t="s">
        <v>190</v>
      </c>
      <c r="D628" s="1" t="s">
        <v>49</v>
      </c>
      <c r="E628" s="1" t="s">
        <v>41</v>
      </c>
      <c r="F628">
        <v>404</v>
      </c>
      <c r="G628" s="1" t="s">
        <v>42</v>
      </c>
      <c r="H628">
        <v>2</v>
      </c>
      <c r="I628">
        <v>4</v>
      </c>
      <c r="J628" s="1" t="s">
        <v>68</v>
      </c>
      <c r="K628">
        <v>1</v>
      </c>
      <c r="L628">
        <v>1383</v>
      </c>
      <c r="M628">
        <v>3</v>
      </c>
      <c r="N628" s="1" t="s">
        <v>53</v>
      </c>
      <c r="O628">
        <v>98</v>
      </c>
      <c r="P628">
        <v>3</v>
      </c>
      <c r="Q628">
        <v>2</v>
      </c>
      <c r="R628" s="1" t="s">
        <v>161</v>
      </c>
      <c r="S628">
        <v>4</v>
      </c>
      <c r="T628" s="1" t="s">
        <v>46</v>
      </c>
      <c r="U628">
        <v>6687</v>
      </c>
      <c r="V628" s="1" t="s">
        <v>163</v>
      </c>
      <c r="W628">
        <v>6163</v>
      </c>
      <c r="X628">
        <v>1</v>
      </c>
      <c r="Y628" s="1" t="s">
        <v>48</v>
      </c>
      <c r="Z628" s="1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8">
      <c r="A629" s="1" t="s">
        <v>695</v>
      </c>
      <c r="B629">
        <v>34</v>
      </c>
      <c r="C629" s="1" t="s">
        <v>190</v>
      </c>
      <c r="D629" s="1" t="s">
        <v>49</v>
      </c>
      <c r="E629" s="1" t="s">
        <v>56</v>
      </c>
      <c r="F629">
        <v>560</v>
      </c>
      <c r="G629" s="1" t="s">
        <v>42</v>
      </c>
      <c r="H629">
        <v>1</v>
      </c>
      <c r="I629">
        <v>4</v>
      </c>
      <c r="J629" s="1" t="s">
        <v>73</v>
      </c>
      <c r="K629">
        <v>1</v>
      </c>
      <c r="L629">
        <v>1431</v>
      </c>
      <c r="M629">
        <v>4</v>
      </c>
      <c r="N629" s="1" t="s">
        <v>44</v>
      </c>
      <c r="O629">
        <v>91</v>
      </c>
      <c r="P629">
        <v>3</v>
      </c>
      <c r="Q629">
        <v>1</v>
      </c>
      <c r="R629" s="1" t="s">
        <v>60</v>
      </c>
      <c r="S629">
        <v>1</v>
      </c>
      <c r="T629" s="1" t="s">
        <v>102</v>
      </c>
      <c r="U629">
        <v>2996</v>
      </c>
      <c r="V629" s="1" t="s">
        <v>47</v>
      </c>
      <c r="W629">
        <v>20284</v>
      </c>
      <c r="X629">
        <v>5</v>
      </c>
      <c r="Y629" s="1" t="s">
        <v>48</v>
      </c>
      <c r="Z629" s="1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8">
      <c r="A630" s="1" t="s">
        <v>696</v>
      </c>
      <c r="B630">
        <v>34</v>
      </c>
      <c r="C630" s="1" t="s">
        <v>190</v>
      </c>
      <c r="D630" s="1" t="s">
        <v>49</v>
      </c>
      <c r="E630" s="1" t="s">
        <v>41</v>
      </c>
      <c r="F630">
        <v>401</v>
      </c>
      <c r="G630" s="1" t="s">
        <v>42</v>
      </c>
      <c r="H630">
        <v>1</v>
      </c>
      <c r="I630">
        <v>3</v>
      </c>
      <c r="J630" s="1" t="s">
        <v>43</v>
      </c>
      <c r="K630">
        <v>1</v>
      </c>
      <c r="L630">
        <v>1447</v>
      </c>
      <c r="M630">
        <v>4</v>
      </c>
      <c r="N630" s="1" t="s">
        <v>53</v>
      </c>
      <c r="O630">
        <v>86</v>
      </c>
      <c r="P630">
        <v>2</v>
      </c>
      <c r="Q630">
        <v>1</v>
      </c>
      <c r="R630" s="1" t="s">
        <v>45</v>
      </c>
      <c r="S630">
        <v>2</v>
      </c>
      <c r="T630" s="1" t="s">
        <v>105</v>
      </c>
      <c r="U630">
        <v>3294</v>
      </c>
      <c r="V630" s="1" t="s">
        <v>47</v>
      </c>
      <c r="W630">
        <v>3708</v>
      </c>
      <c r="X630">
        <v>5</v>
      </c>
      <c r="Y630" s="1" t="s">
        <v>48</v>
      </c>
      <c r="Z630" s="1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8">
      <c r="A631" s="1" t="s">
        <v>697</v>
      </c>
      <c r="B631">
        <v>34</v>
      </c>
      <c r="C631" s="1" t="s">
        <v>190</v>
      </c>
      <c r="D631" s="1" t="s">
        <v>40</v>
      </c>
      <c r="E631" s="1" t="s">
        <v>41</v>
      </c>
      <c r="F631">
        <v>1107</v>
      </c>
      <c r="G631" s="1" t="s">
        <v>71</v>
      </c>
      <c r="H631">
        <v>9</v>
      </c>
      <c r="I631">
        <v>4</v>
      </c>
      <c r="J631" s="1" t="s">
        <v>68</v>
      </c>
      <c r="K631">
        <v>1</v>
      </c>
      <c r="L631">
        <v>1467</v>
      </c>
      <c r="M631">
        <v>1</v>
      </c>
      <c r="N631" s="1" t="s">
        <v>53</v>
      </c>
      <c r="O631">
        <v>52</v>
      </c>
      <c r="P631">
        <v>3</v>
      </c>
      <c r="Q631">
        <v>1</v>
      </c>
      <c r="R631" s="1" t="s">
        <v>71</v>
      </c>
      <c r="S631">
        <v>3</v>
      </c>
      <c r="T631" s="1" t="s">
        <v>105</v>
      </c>
      <c r="U631">
        <v>2742</v>
      </c>
      <c r="V631" s="1" t="s">
        <v>47</v>
      </c>
      <c r="W631">
        <v>3072</v>
      </c>
      <c r="X631">
        <v>1</v>
      </c>
      <c r="Y631" s="1" t="s">
        <v>48</v>
      </c>
      <c r="Z631" s="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8">
      <c r="A632" s="1" t="s">
        <v>698</v>
      </c>
      <c r="B632">
        <v>34</v>
      </c>
      <c r="C632" s="1" t="s">
        <v>190</v>
      </c>
      <c r="D632" s="1" t="s">
        <v>49</v>
      </c>
      <c r="E632" s="1" t="s">
        <v>41</v>
      </c>
      <c r="F632">
        <v>1326</v>
      </c>
      <c r="G632" s="1" t="s">
        <v>51</v>
      </c>
      <c r="H632">
        <v>3</v>
      </c>
      <c r="I632">
        <v>3</v>
      </c>
      <c r="J632" s="1" t="s">
        <v>73</v>
      </c>
      <c r="K632">
        <v>1</v>
      </c>
      <c r="L632">
        <v>1478</v>
      </c>
      <c r="M632">
        <v>4</v>
      </c>
      <c r="N632" s="1" t="s">
        <v>44</v>
      </c>
      <c r="O632">
        <v>81</v>
      </c>
      <c r="P632">
        <v>1</v>
      </c>
      <c r="Q632">
        <v>2</v>
      </c>
      <c r="R632" s="1" t="s">
        <v>137</v>
      </c>
      <c r="S632">
        <v>1</v>
      </c>
      <c r="T632" s="1" t="s">
        <v>46</v>
      </c>
      <c r="U632">
        <v>4759</v>
      </c>
      <c r="V632" s="1" t="s">
        <v>47</v>
      </c>
      <c r="W632">
        <v>15891</v>
      </c>
      <c r="X632">
        <v>3</v>
      </c>
      <c r="Y632" s="1" t="s">
        <v>48</v>
      </c>
      <c r="Z632" s="1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8">
      <c r="A633" s="1" t="s">
        <v>699</v>
      </c>
      <c r="B633">
        <v>34</v>
      </c>
      <c r="C633" s="1" t="s">
        <v>190</v>
      </c>
      <c r="D633" s="1" t="s">
        <v>49</v>
      </c>
      <c r="E633" s="1" t="s">
        <v>56</v>
      </c>
      <c r="F633">
        <v>829</v>
      </c>
      <c r="G633" s="1" t="s">
        <v>42</v>
      </c>
      <c r="H633">
        <v>15</v>
      </c>
      <c r="I633">
        <v>3</v>
      </c>
      <c r="J633" s="1" t="s">
        <v>52</v>
      </c>
      <c r="K633">
        <v>1</v>
      </c>
      <c r="L633">
        <v>1485</v>
      </c>
      <c r="M633">
        <v>2</v>
      </c>
      <c r="N633" s="1" t="s">
        <v>44</v>
      </c>
      <c r="O633">
        <v>71</v>
      </c>
      <c r="P633">
        <v>3</v>
      </c>
      <c r="Q633">
        <v>4</v>
      </c>
      <c r="R633" s="1" t="s">
        <v>252</v>
      </c>
      <c r="S633">
        <v>1</v>
      </c>
      <c r="T633" s="1" t="s">
        <v>102</v>
      </c>
      <c r="U633">
        <v>17007</v>
      </c>
      <c r="V633" s="1" t="s">
        <v>368</v>
      </c>
      <c r="W633">
        <v>11929</v>
      </c>
      <c r="X633">
        <v>7</v>
      </c>
      <c r="Y633" s="1" t="s">
        <v>48</v>
      </c>
      <c r="Z633" s="1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8">
      <c r="A634" s="1" t="s">
        <v>700</v>
      </c>
      <c r="B634">
        <v>34</v>
      </c>
      <c r="C634" s="1" t="s">
        <v>190</v>
      </c>
      <c r="D634" s="1" t="s">
        <v>40</v>
      </c>
      <c r="E634" s="1" t="s">
        <v>41</v>
      </c>
      <c r="F634">
        <v>790</v>
      </c>
      <c r="G634" s="1" t="s">
        <v>51</v>
      </c>
      <c r="H634">
        <v>24</v>
      </c>
      <c r="I634">
        <v>4</v>
      </c>
      <c r="J634" s="1" t="s">
        <v>52</v>
      </c>
      <c r="K634">
        <v>1</v>
      </c>
      <c r="L634">
        <v>1489</v>
      </c>
      <c r="M634">
        <v>1</v>
      </c>
      <c r="N634" s="1" t="s">
        <v>53</v>
      </c>
      <c r="O634">
        <v>40</v>
      </c>
      <c r="P634">
        <v>2</v>
      </c>
      <c r="Q634">
        <v>2</v>
      </c>
      <c r="R634" s="1" t="s">
        <v>137</v>
      </c>
      <c r="S634">
        <v>2</v>
      </c>
      <c r="T634" s="1" t="s">
        <v>46</v>
      </c>
      <c r="U634">
        <v>4599</v>
      </c>
      <c r="V634" s="1" t="s">
        <v>47</v>
      </c>
      <c r="W634">
        <v>7815</v>
      </c>
      <c r="X634">
        <v>0</v>
      </c>
      <c r="Y634" s="1" t="s">
        <v>48</v>
      </c>
      <c r="Z634" s="1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8">
      <c r="A635" s="1" t="s">
        <v>701</v>
      </c>
      <c r="B635">
        <v>34</v>
      </c>
      <c r="C635" s="1" t="s">
        <v>190</v>
      </c>
      <c r="D635" s="1" t="s">
        <v>49</v>
      </c>
      <c r="E635" s="1" t="s">
        <v>41</v>
      </c>
      <c r="F635">
        <v>971</v>
      </c>
      <c r="G635" s="1" t="s">
        <v>51</v>
      </c>
      <c r="H635">
        <v>1</v>
      </c>
      <c r="I635">
        <v>3</v>
      </c>
      <c r="J635" s="1" t="s">
        <v>68</v>
      </c>
      <c r="K635">
        <v>1</v>
      </c>
      <c r="L635">
        <v>1535</v>
      </c>
      <c r="M635">
        <v>4</v>
      </c>
      <c r="N635" s="1" t="s">
        <v>44</v>
      </c>
      <c r="O635">
        <v>64</v>
      </c>
      <c r="P635">
        <v>2</v>
      </c>
      <c r="Q635">
        <v>3</v>
      </c>
      <c r="R635" s="1" t="s">
        <v>137</v>
      </c>
      <c r="S635">
        <v>3</v>
      </c>
      <c r="T635" s="1" t="s">
        <v>105</v>
      </c>
      <c r="U635">
        <v>7083</v>
      </c>
      <c r="V635" s="1" t="s">
        <v>163</v>
      </c>
      <c r="W635">
        <v>12288</v>
      </c>
      <c r="X635">
        <v>1</v>
      </c>
      <c r="Y635" s="1" t="s">
        <v>48</v>
      </c>
      <c r="Z635" s="1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8">
      <c r="A636" s="1" t="s">
        <v>702</v>
      </c>
      <c r="B636">
        <v>34</v>
      </c>
      <c r="C636" s="1" t="s">
        <v>190</v>
      </c>
      <c r="D636" s="1" t="s">
        <v>49</v>
      </c>
      <c r="E636" s="1" t="s">
        <v>41</v>
      </c>
      <c r="F636">
        <v>1440</v>
      </c>
      <c r="G636" s="1" t="s">
        <v>51</v>
      </c>
      <c r="H636">
        <v>7</v>
      </c>
      <c r="I636">
        <v>2</v>
      </c>
      <c r="J636" s="1" t="s">
        <v>68</v>
      </c>
      <c r="K636">
        <v>1</v>
      </c>
      <c r="L636">
        <v>1541</v>
      </c>
      <c r="M636">
        <v>2</v>
      </c>
      <c r="N636" s="1" t="s">
        <v>44</v>
      </c>
      <c r="O636">
        <v>55</v>
      </c>
      <c r="P636">
        <v>3</v>
      </c>
      <c r="Q636">
        <v>1</v>
      </c>
      <c r="R636" s="1" t="s">
        <v>54</v>
      </c>
      <c r="S636">
        <v>3</v>
      </c>
      <c r="T636" s="1" t="s">
        <v>105</v>
      </c>
      <c r="U636">
        <v>2308</v>
      </c>
      <c r="V636" s="1" t="s">
        <v>47</v>
      </c>
      <c r="W636">
        <v>4944</v>
      </c>
      <c r="X636">
        <v>0</v>
      </c>
      <c r="Y636" s="1" t="s">
        <v>48</v>
      </c>
      <c r="Z636" s="1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8">
      <c r="A637" s="1" t="s">
        <v>703</v>
      </c>
      <c r="B637">
        <v>34</v>
      </c>
      <c r="C637" s="1" t="s">
        <v>190</v>
      </c>
      <c r="D637" s="1" t="s">
        <v>49</v>
      </c>
      <c r="E637" s="1" t="s">
        <v>41</v>
      </c>
      <c r="F637">
        <v>479</v>
      </c>
      <c r="G637" s="1" t="s">
        <v>42</v>
      </c>
      <c r="H637">
        <v>7</v>
      </c>
      <c r="I637">
        <v>4</v>
      </c>
      <c r="J637" s="1" t="s">
        <v>52</v>
      </c>
      <c r="K637">
        <v>1</v>
      </c>
      <c r="L637">
        <v>1577</v>
      </c>
      <c r="M637">
        <v>1</v>
      </c>
      <c r="N637" s="1" t="s">
        <v>44</v>
      </c>
      <c r="O637">
        <v>35</v>
      </c>
      <c r="P637">
        <v>3</v>
      </c>
      <c r="Q637">
        <v>1</v>
      </c>
      <c r="R637" s="1" t="s">
        <v>60</v>
      </c>
      <c r="S637">
        <v>4</v>
      </c>
      <c r="T637" s="1" t="s">
        <v>46</v>
      </c>
      <c r="U637">
        <v>2972</v>
      </c>
      <c r="V637" s="1" t="s">
        <v>47</v>
      </c>
      <c r="W637">
        <v>22061</v>
      </c>
      <c r="X637">
        <v>1</v>
      </c>
      <c r="Y637" s="1" t="s">
        <v>48</v>
      </c>
      <c r="Z637" s="1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8">
      <c r="A638" s="1" t="s">
        <v>704</v>
      </c>
      <c r="B638">
        <v>34</v>
      </c>
      <c r="C638" s="1" t="s">
        <v>190</v>
      </c>
      <c r="D638" s="1" t="s">
        <v>49</v>
      </c>
      <c r="E638" s="1" t="s">
        <v>41</v>
      </c>
      <c r="F638">
        <v>1351</v>
      </c>
      <c r="G638" s="1" t="s">
        <v>42</v>
      </c>
      <c r="H638">
        <v>1</v>
      </c>
      <c r="I638">
        <v>4</v>
      </c>
      <c r="J638" s="1" t="s">
        <v>43</v>
      </c>
      <c r="K638">
        <v>1</v>
      </c>
      <c r="L638">
        <v>1580</v>
      </c>
      <c r="M638">
        <v>2</v>
      </c>
      <c r="N638" s="1" t="s">
        <v>44</v>
      </c>
      <c r="O638">
        <v>45</v>
      </c>
      <c r="P638">
        <v>3</v>
      </c>
      <c r="Q638">
        <v>2</v>
      </c>
      <c r="R638" s="1" t="s">
        <v>60</v>
      </c>
      <c r="S638">
        <v>4</v>
      </c>
      <c r="T638" s="1" t="s">
        <v>105</v>
      </c>
      <c r="U638">
        <v>5484</v>
      </c>
      <c r="V638" s="1" t="s">
        <v>163</v>
      </c>
      <c r="W638">
        <v>13008</v>
      </c>
      <c r="X638">
        <v>9</v>
      </c>
      <c r="Y638" s="1" t="s">
        <v>48</v>
      </c>
      <c r="Z638" s="1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8">
      <c r="A639" s="1" t="s">
        <v>705</v>
      </c>
      <c r="B639">
        <v>34</v>
      </c>
      <c r="C639" s="1" t="s">
        <v>190</v>
      </c>
      <c r="D639" s="1" t="s">
        <v>49</v>
      </c>
      <c r="E639" s="1" t="s">
        <v>56</v>
      </c>
      <c r="F639">
        <v>653</v>
      </c>
      <c r="G639" s="1" t="s">
        <v>42</v>
      </c>
      <c r="H639">
        <v>10</v>
      </c>
      <c r="I639">
        <v>4</v>
      </c>
      <c r="J639" s="1" t="s">
        <v>68</v>
      </c>
      <c r="K639">
        <v>1</v>
      </c>
      <c r="L639">
        <v>1597</v>
      </c>
      <c r="M639">
        <v>4</v>
      </c>
      <c r="N639" s="1" t="s">
        <v>44</v>
      </c>
      <c r="O639">
        <v>92</v>
      </c>
      <c r="P639">
        <v>2</v>
      </c>
      <c r="Q639">
        <v>2</v>
      </c>
      <c r="R639" s="1" t="s">
        <v>161</v>
      </c>
      <c r="S639">
        <v>3</v>
      </c>
      <c r="T639" s="1" t="s">
        <v>105</v>
      </c>
      <c r="U639">
        <v>5063</v>
      </c>
      <c r="V639" s="1" t="s">
        <v>163</v>
      </c>
      <c r="W639">
        <v>15332</v>
      </c>
      <c r="X639">
        <v>1</v>
      </c>
      <c r="Y639" s="1" t="s">
        <v>48</v>
      </c>
      <c r="Z639" s="1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8">
      <c r="A640" s="1" t="s">
        <v>706</v>
      </c>
      <c r="B640">
        <v>34</v>
      </c>
      <c r="C640" s="1" t="s">
        <v>190</v>
      </c>
      <c r="D640" s="1" t="s">
        <v>49</v>
      </c>
      <c r="E640" s="1" t="s">
        <v>56</v>
      </c>
      <c r="F640">
        <v>426</v>
      </c>
      <c r="G640" s="1" t="s">
        <v>42</v>
      </c>
      <c r="H640">
        <v>10</v>
      </c>
      <c r="I640">
        <v>4</v>
      </c>
      <c r="J640" s="1" t="s">
        <v>43</v>
      </c>
      <c r="K640">
        <v>1</v>
      </c>
      <c r="L640">
        <v>1615</v>
      </c>
      <c r="M640">
        <v>3</v>
      </c>
      <c r="N640" s="1" t="s">
        <v>44</v>
      </c>
      <c r="O640">
        <v>42</v>
      </c>
      <c r="P640">
        <v>4</v>
      </c>
      <c r="Q640">
        <v>2</v>
      </c>
      <c r="R640" s="1" t="s">
        <v>112</v>
      </c>
      <c r="S640">
        <v>4</v>
      </c>
      <c r="T640" s="1" t="s">
        <v>102</v>
      </c>
      <c r="U640">
        <v>4724</v>
      </c>
      <c r="V640" s="1" t="s">
        <v>47</v>
      </c>
      <c r="W640">
        <v>17000</v>
      </c>
      <c r="X640">
        <v>1</v>
      </c>
      <c r="Y640" s="1" t="s">
        <v>48</v>
      </c>
      <c r="Z640" s="1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8">
      <c r="A641" s="1" t="s">
        <v>707</v>
      </c>
      <c r="B641">
        <v>34</v>
      </c>
      <c r="C641" s="1" t="s">
        <v>190</v>
      </c>
      <c r="D641" s="1" t="s">
        <v>49</v>
      </c>
      <c r="E641" s="1" t="s">
        <v>41</v>
      </c>
      <c r="F641">
        <v>1130</v>
      </c>
      <c r="G641" s="1" t="s">
        <v>42</v>
      </c>
      <c r="H641">
        <v>3</v>
      </c>
      <c r="I641">
        <v>3</v>
      </c>
      <c r="J641" s="1" t="s">
        <v>43</v>
      </c>
      <c r="K641">
        <v>1</v>
      </c>
      <c r="L641">
        <v>1658</v>
      </c>
      <c r="M641">
        <v>4</v>
      </c>
      <c r="N641" s="1" t="s">
        <v>53</v>
      </c>
      <c r="O641">
        <v>66</v>
      </c>
      <c r="P641">
        <v>3</v>
      </c>
      <c r="Q641">
        <v>2</v>
      </c>
      <c r="R641" s="1" t="s">
        <v>60</v>
      </c>
      <c r="S641">
        <v>2</v>
      </c>
      <c r="T641" s="1" t="s">
        <v>102</v>
      </c>
      <c r="U641">
        <v>5433</v>
      </c>
      <c r="V641" s="1" t="s">
        <v>163</v>
      </c>
      <c r="W641">
        <v>19332</v>
      </c>
      <c r="X641">
        <v>1</v>
      </c>
      <c r="Y641" s="1" t="s">
        <v>48</v>
      </c>
      <c r="Z641" s="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8">
      <c r="A642" s="1" t="s">
        <v>708</v>
      </c>
      <c r="B642">
        <v>34</v>
      </c>
      <c r="C642" s="1" t="s">
        <v>190</v>
      </c>
      <c r="D642" s="1" t="s">
        <v>49</v>
      </c>
      <c r="E642" s="1" t="s">
        <v>41</v>
      </c>
      <c r="F642">
        <v>1157</v>
      </c>
      <c r="G642" s="1" t="s">
        <v>42</v>
      </c>
      <c r="H642">
        <v>5</v>
      </c>
      <c r="I642">
        <v>2</v>
      </c>
      <c r="J642" s="1" t="s">
        <v>52</v>
      </c>
      <c r="K642">
        <v>1</v>
      </c>
      <c r="L642">
        <v>1696</v>
      </c>
      <c r="M642">
        <v>2</v>
      </c>
      <c r="N642" s="1" t="s">
        <v>44</v>
      </c>
      <c r="O642">
        <v>57</v>
      </c>
      <c r="P642">
        <v>2</v>
      </c>
      <c r="Q642">
        <v>2</v>
      </c>
      <c r="R642" s="1" t="s">
        <v>45</v>
      </c>
      <c r="S642">
        <v>4</v>
      </c>
      <c r="T642" s="1" t="s">
        <v>105</v>
      </c>
      <c r="U642">
        <v>3986</v>
      </c>
      <c r="V642" s="1" t="s">
        <v>47</v>
      </c>
      <c r="W642">
        <v>11912</v>
      </c>
      <c r="X642">
        <v>1</v>
      </c>
      <c r="Y642" s="1" t="s">
        <v>48</v>
      </c>
      <c r="Z642" s="1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8">
      <c r="A643" s="1" t="s">
        <v>709</v>
      </c>
      <c r="B643">
        <v>34</v>
      </c>
      <c r="C643" s="1" t="s">
        <v>190</v>
      </c>
      <c r="D643" s="1" t="s">
        <v>49</v>
      </c>
      <c r="E643" s="1" t="s">
        <v>41</v>
      </c>
      <c r="F643">
        <v>678</v>
      </c>
      <c r="G643" s="1" t="s">
        <v>42</v>
      </c>
      <c r="H643">
        <v>19</v>
      </c>
      <c r="I643">
        <v>3</v>
      </c>
      <c r="J643" s="1" t="s">
        <v>43</v>
      </c>
      <c r="K643">
        <v>1</v>
      </c>
      <c r="L643">
        <v>1701</v>
      </c>
      <c r="M643">
        <v>2</v>
      </c>
      <c r="N643" s="1" t="s">
        <v>53</v>
      </c>
      <c r="O643">
        <v>35</v>
      </c>
      <c r="P643">
        <v>2</v>
      </c>
      <c r="Q643">
        <v>1</v>
      </c>
      <c r="R643" s="1" t="s">
        <v>60</v>
      </c>
      <c r="S643">
        <v>4</v>
      </c>
      <c r="T643" s="1" t="s">
        <v>105</v>
      </c>
      <c r="U643">
        <v>2929</v>
      </c>
      <c r="V643" s="1" t="s">
        <v>47</v>
      </c>
      <c r="W643">
        <v>20338</v>
      </c>
      <c r="X643">
        <v>1</v>
      </c>
      <c r="Y643" s="1" t="s">
        <v>48</v>
      </c>
      <c r="Z643" s="1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8">
      <c r="A644" s="1" t="s">
        <v>710</v>
      </c>
      <c r="B644">
        <v>34</v>
      </c>
      <c r="C644" s="1" t="s">
        <v>190</v>
      </c>
      <c r="D644" s="1" t="s">
        <v>49</v>
      </c>
      <c r="E644" s="1" t="s">
        <v>41</v>
      </c>
      <c r="F644">
        <v>181</v>
      </c>
      <c r="G644" s="1" t="s">
        <v>42</v>
      </c>
      <c r="H644">
        <v>2</v>
      </c>
      <c r="I644">
        <v>4</v>
      </c>
      <c r="J644" s="1" t="s">
        <v>52</v>
      </c>
      <c r="K644">
        <v>1</v>
      </c>
      <c r="L644">
        <v>1755</v>
      </c>
      <c r="M644">
        <v>4</v>
      </c>
      <c r="N644" s="1" t="s">
        <v>44</v>
      </c>
      <c r="O644">
        <v>97</v>
      </c>
      <c r="P644">
        <v>4</v>
      </c>
      <c r="Q644">
        <v>1</v>
      </c>
      <c r="R644" s="1" t="s">
        <v>60</v>
      </c>
      <c r="S644">
        <v>4</v>
      </c>
      <c r="T644" s="1" t="s">
        <v>105</v>
      </c>
      <c r="U644">
        <v>2932</v>
      </c>
      <c r="V644" s="1" t="s">
        <v>47</v>
      </c>
      <c r="W644">
        <v>5586</v>
      </c>
      <c r="X644">
        <v>0</v>
      </c>
      <c r="Y644" s="1" t="s">
        <v>48</v>
      </c>
      <c r="Z644" s="1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8">
      <c r="A645" s="1" t="s">
        <v>711</v>
      </c>
      <c r="B645">
        <v>34</v>
      </c>
      <c r="C645" s="1" t="s">
        <v>190</v>
      </c>
      <c r="D645" s="1" t="s">
        <v>49</v>
      </c>
      <c r="E645" s="1" t="s">
        <v>59</v>
      </c>
      <c r="F645">
        <v>1375</v>
      </c>
      <c r="G645" s="1" t="s">
        <v>51</v>
      </c>
      <c r="H645">
        <v>10</v>
      </c>
      <c r="I645">
        <v>3</v>
      </c>
      <c r="J645" s="1" t="s">
        <v>43</v>
      </c>
      <c r="K645">
        <v>1</v>
      </c>
      <c r="L645">
        <v>1774</v>
      </c>
      <c r="M645">
        <v>4</v>
      </c>
      <c r="N645" s="1" t="s">
        <v>44</v>
      </c>
      <c r="O645">
        <v>87</v>
      </c>
      <c r="P645">
        <v>3</v>
      </c>
      <c r="Q645">
        <v>2</v>
      </c>
      <c r="R645" s="1" t="s">
        <v>137</v>
      </c>
      <c r="S645">
        <v>3</v>
      </c>
      <c r="T645" s="1" t="s">
        <v>102</v>
      </c>
      <c r="U645">
        <v>4001</v>
      </c>
      <c r="V645" s="1" t="s">
        <v>47</v>
      </c>
      <c r="W645">
        <v>12313</v>
      </c>
      <c r="X645">
        <v>1</v>
      </c>
      <c r="Y645" s="1" t="s">
        <v>48</v>
      </c>
      <c r="Z645" s="1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8">
      <c r="A646" s="1" t="s">
        <v>712</v>
      </c>
      <c r="B646">
        <v>34</v>
      </c>
      <c r="C646" s="1" t="s">
        <v>190</v>
      </c>
      <c r="D646" s="1" t="s">
        <v>49</v>
      </c>
      <c r="E646" s="1" t="s">
        <v>41</v>
      </c>
      <c r="F646">
        <v>511</v>
      </c>
      <c r="G646" s="1" t="s">
        <v>51</v>
      </c>
      <c r="H646">
        <v>3</v>
      </c>
      <c r="I646">
        <v>2</v>
      </c>
      <c r="J646" s="1" t="s">
        <v>43</v>
      </c>
      <c r="K646">
        <v>1</v>
      </c>
      <c r="L646">
        <v>1779</v>
      </c>
      <c r="M646">
        <v>4</v>
      </c>
      <c r="N646" s="1" t="s">
        <v>53</v>
      </c>
      <c r="O646">
        <v>32</v>
      </c>
      <c r="P646">
        <v>1</v>
      </c>
      <c r="Q646">
        <v>2</v>
      </c>
      <c r="R646" s="1" t="s">
        <v>137</v>
      </c>
      <c r="S646">
        <v>4</v>
      </c>
      <c r="T646" s="1" t="s">
        <v>46</v>
      </c>
      <c r="U646">
        <v>6029</v>
      </c>
      <c r="V646" s="1" t="s">
        <v>163</v>
      </c>
      <c r="W646">
        <v>25353</v>
      </c>
      <c r="X646">
        <v>5</v>
      </c>
      <c r="Y646" s="1" t="s">
        <v>48</v>
      </c>
      <c r="Z646" s="1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8">
      <c r="A647" s="1" t="s">
        <v>713</v>
      </c>
      <c r="B647">
        <v>34</v>
      </c>
      <c r="C647" s="1" t="s">
        <v>190</v>
      </c>
      <c r="D647" s="1" t="s">
        <v>40</v>
      </c>
      <c r="E647" s="1" t="s">
        <v>56</v>
      </c>
      <c r="F647">
        <v>234</v>
      </c>
      <c r="G647" s="1" t="s">
        <v>42</v>
      </c>
      <c r="H647">
        <v>9</v>
      </c>
      <c r="I647">
        <v>4</v>
      </c>
      <c r="J647" s="1" t="s">
        <v>43</v>
      </c>
      <c r="K647">
        <v>1</v>
      </c>
      <c r="L647">
        <v>1807</v>
      </c>
      <c r="M647">
        <v>4</v>
      </c>
      <c r="N647" s="1" t="s">
        <v>44</v>
      </c>
      <c r="O647">
        <v>93</v>
      </c>
      <c r="P647">
        <v>3</v>
      </c>
      <c r="Q647">
        <v>2</v>
      </c>
      <c r="R647" s="1" t="s">
        <v>45</v>
      </c>
      <c r="S647">
        <v>1</v>
      </c>
      <c r="T647" s="1" t="s">
        <v>105</v>
      </c>
      <c r="U647">
        <v>5346</v>
      </c>
      <c r="V647" s="1" t="s">
        <v>163</v>
      </c>
      <c r="W647">
        <v>6208</v>
      </c>
      <c r="X647">
        <v>4</v>
      </c>
      <c r="Y647" s="1" t="s">
        <v>48</v>
      </c>
      <c r="Z647" s="1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8">
      <c r="A648" s="1" t="s">
        <v>714</v>
      </c>
      <c r="B648">
        <v>34</v>
      </c>
      <c r="C648" s="1" t="s">
        <v>190</v>
      </c>
      <c r="D648" s="1" t="s">
        <v>49</v>
      </c>
      <c r="E648" s="1" t="s">
        <v>41</v>
      </c>
      <c r="F648">
        <v>810</v>
      </c>
      <c r="G648" s="1" t="s">
        <v>51</v>
      </c>
      <c r="H648">
        <v>8</v>
      </c>
      <c r="I648">
        <v>2</v>
      </c>
      <c r="J648" s="1" t="s">
        <v>68</v>
      </c>
      <c r="K648">
        <v>1</v>
      </c>
      <c r="L648">
        <v>1823</v>
      </c>
      <c r="M648">
        <v>2</v>
      </c>
      <c r="N648" s="1" t="s">
        <v>44</v>
      </c>
      <c r="O648">
        <v>92</v>
      </c>
      <c r="P648">
        <v>4</v>
      </c>
      <c r="Q648">
        <v>2</v>
      </c>
      <c r="R648" s="1" t="s">
        <v>137</v>
      </c>
      <c r="S648">
        <v>3</v>
      </c>
      <c r="T648" s="1" t="s">
        <v>105</v>
      </c>
      <c r="U648">
        <v>6799</v>
      </c>
      <c r="V648" s="1" t="s">
        <v>163</v>
      </c>
      <c r="W648">
        <v>22128</v>
      </c>
      <c r="X648">
        <v>1</v>
      </c>
      <c r="Y648" s="1" t="s">
        <v>48</v>
      </c>
      <c r="Z648" s="1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8">
      <c r="A649" s="1" t="s">
        <v>715</v>
      </c>
      <c r="B649">
        <v>34</v>
      </c>
      <c r="C649" s="1" t="s">
        <v>190</v>
      </c>
      <c r="D649" s="1" t="s">
        <v>49</v>
      </c>
      <c r="E649" s="1" t="s">
        <v>41</v>
      </c>
      <c r="F649">
        <v>1480</v>
      </c>
      <c r="G649" s="1" t="s">
        <v>51</v>
      </c>
      <c r="H649">
        <v>4</v>
      </c>
      <c r="I649">
        <v>3</v>
      </c>
      <c r="J649" s="1" t="s">
        <v>43</v>
      </c>
      <c r="K649">
        <v>1</v>
      </c>
      <c r="L649">
        <v>1882</v>
      </c>
      <c r="M649">
        <v>3</v>
      </c>
      <c r="N649" s="1" t="s">
        <v>44</v>
      </c>
      <c r="O649">
        <v>64</v>
      </c>
      <c r="P649">
        <v>3</v>
      </c>
      <c r="Q649">
        <v>3</v>
      </c>
      <c r="R649" s="1" t="s">
        <v>137</v>
      </c>
      <c r="S649">
        <v>4</v>
      </c>
      <c r="T649" s="1" t="s">
        <v>105</v>
      </c>
      <c r="U649">
        <v>9713</v>
      </c>
      <c r="V649" s="1" t="s">
        <v>163</v>
      </c>
      <c r="W649">
        <v>24444</v>
      </c>
      <c r="X649">
        <v>2</v>
      </c>
      <c r="Y649" s="1" t="s">
        <v>48</v>
      </c>
      <c r="Z649" s="1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8">
      <c r="A650" s="1" t="s">
        <v>716</v>
      </c>
      <c r="B650">
        <v>34</v>
      </c>
      <c r="C650" s="1" t="s">
        <v>190</v>
      </c>
      <c r="D650" s="1" t="s">
        <v>40</v>
      </c>
      <c r="E650" s="1" t="s">
        <v>59</v>
      </c>
      <c r="F650">
        <v>967</v>
      </c>
      <c r="G650" s="1" t="s">
        <v>42</v>
      </c>
      <c r="H650">
        <v>16</v>
      </c>
      <c r="I650">
        <v>4</v>
      </c>
      <c r="J650" s="1" t="s">
        <v>68</v>
      </c>
      <c r="K650">
        <v>1</v>
      </c>
      <c r="L650">
        <v>1905</v>
      </c>
      <c r="M650">
        <v>4</v>
      </c>
      <c r="N650" s="1" t="s">
        <v>44</v>
      </c>
      <c r="O650">
        <v>85</v>
      </c>
      <c r="P650">
        <v>1</v>
      </c>
      <c r="Q650">
        <v>1</v>
      </c>
      <c r="R650" s="1" t="s">
        <v>60</v>
      </c>
      <c r="S650">
        <v>1</v>
      </c>
      <c r="T650" s="1" t="s">
        <v>105</v>
      </c>
      <c r="U650">
        <v>2307</v>
      </c>
      <c r="V650" s="1" t="s">
        <v>47</v>
      </c>
      <c r="W650">
        <v>14460</v>
      </c>
      <c r="X650">
        <v>1</v>
      </c>
      <c r="Y650" s="1" t="s">
        <v>48</v>
      </c>
      <c r="Z650" s="1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8">
      <c r="A651" s="1" t="s">
        <v>717</v>
      </c>
      <c r="B651">
        <v>34</v>
      </c>
      <c r="C651" s="1" t="s">
        <v>190</v>
      </c>
      <c r="D651" s="1" t="s">
        <v>49</v>
      </c>
      <c r="E651" s="1" t="s">
        <v>41</v>
      </c>
      <c r="F651">
        <v>735</v>
      </c>
      <c r="G651" s="1" t="s">
        <v>51</v>
      </c>
      <c r="H651">
        <v>3</v>
      </c>
      <c r="I651">
        <v>1</v>
      </c>
      <c r="J651" s="1" t="s">
        <v>52</v>
      </c>
      <c r="K651">
        <v>1</v>
      </c>
      <c r="L651">
        <v>1915</v>
      </c>
      <c r="M651">
        <v>4</v>
      </c>
      <c r="N651" s="1" t="s">
        <v>53</v>
      </c>
      <c r="O651">
        <v>75</v>
      </c>
      <c r="P651">
        <v>2</v>
      </c>
      <c r="Q651">
        <v>2</v>
      </c>
      <c r="R651" s="1" t="s">
        <v>137</v>
      </c>
      <c r="S651">
        <v>4</v>
      </c>
      <c r="T651" s="1" t="s">
        <v>105</v>
      </c>
      <c r="U651">
        <v>8103</v>
      </c>
      <c r="V651" s="1" t="s">
        <v>163</v>
      </c>
      <c r="W651">
        <v>16495</v>
      </c>
      <c r="X651">
        <v>3</v>
      </c>
      <c r="Y651" s="1" t="s">
        <v>48</v>
      </c>
      <c r="Z651" s="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8">
      <c r="A652" s="1" t="s">
        <v>718</v>
      </c>
      <c r="B652">
        <v>34</v>
      </c>
      <c r="C652" s="1" t="s">
        <v>190</v>
      </c>
      <c r="D652" s="1" t="s">
        <v>49</v>
      </c>
      <c r="E652" s="1" t="s">
        <v>56</v>
      </c>
      <c r="F652">
        <v>735</v>
      </c>
      <c r="G652" s="1" t="s">
        <v>42</v>
      </c>
      <c r="H652">
        <v>22</v>
      </c>
      <c r="I652">
        <v>4</v>
      </c>
      <c r="J652" s="1" t="s">
        <v>73</v>
      </c>
      <c r="K652">
        <v>1</v>
      </c>
      <c r="L652">
        <v>1932</v>
      </c>
      <c r="M652">
        <v>3</v>
      </c>
      <c r="N652" s="1" t="s">
        <v>44</v>
      </c>
      <c r="O652">
        <v>86</v>
      </c>
      <c r="P652">
        <v>2</v>
      </c>
      <c r="Q652">
        <v>2</v>
      </c>
      <c r="R652" s="1" t="s">
        <v>60</v>
      </c>
      <c r="S652">
        <v>4</v>
      </c>
      <c r="T652" s="1" t="s">
        <v>105</v>
      </c>
      <c r="U652">
        <v>5747</v>
      </c>
      <c r="V652" s="1" t="s">
        <v>163</v>
      </c>
      <c r="W652">
        <v>26496</v>
      </c>
      <c r="X652">
        <v>1</v>
      </c>
      <c r="Y652" s="1" t="s">
        <v>48</v>
      </c>
      <c r="Z652" s="1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8">
      <c r="A653" s="1" t="s">
        <v>719</v>
      </c>
      <c r="B653">
        <v>34</v>
      </c>
      <c r="C653" s="1" t="s">
        <v>190</v>
      </c>
      <c r="D653" s="1" t="s">
        <v>49</v>
      </c>
      <c r="E653" s="1" t="s">
        <v>41</v>
      </c>
      <c r="F653">
        <v>937</v>
      </c>
      <c r="G653" s="1" t="s">
        <v>51</v>
      </c>
      <c r="H653">
        <v>1</v>
      </c>
      <c r="I653">
        <v>3</v>
      </c>
      <c r="J653" s="1" t="s">
        <v>57</v>
      </c>
      <c r="K653">
        <v>1</v>
      </c>
      <c r="L653">
        <v>1950</v>
      </c>
      <c r="M653">
        <v>1</v>
      </c>
      <c r="N653" s="1" t="s">
        <v>44</v>
      </c>
      <c r="O653">
        <v>32</v>
      </c>
      <c r="P653">
        <v>3</v>
      </c>
      <c r="Q653">
        <v>3</v>
      </c>
      <c r="R653" s="1" t="s">
        <v>137</v>
      </c>
      <c r="S653">
        <v>4</v>
      </c>
      <c r="T653" s="1" t="s">
        <v>46</v>
      </c>
      <c r="U653">
        <v>9888</v>
      </c>
      <c r="V653" s="1" t="s">
        <v>163</v>
      </c>
      <c r="W653">
        <v>6770</v>
      </c>
      <c r="X653">
        <v>1</v>
      </c>
      <c r="Y653" s="1" t="s">
        <v>48</v>
      </c>
      <c r="Z653" s="1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8">
      <c r="A654" s="1" t="s">
        <v>720</v>
      </c>
      <c r="B654">
        <v>34</v>
      </c>
      <c r="C654" s="1" t="s">
        <v>190</v>
      </c>
      <c r="D654" s="1" t="s">
        <v>49</v>
      </c>
      <c r="E654" s="1" t="s">
        <v>41</v>
      </c>
      <c r="F654">
        <v>1239</v>
      </c>
      <c r="G654" s="1" t="s">
        <v>51</v>
      </c>
      <c r="H654">
        <v>13</v>
      </c>
      <c r="I654">
        <v>4</v>
      </c>
      <c r="J654" s="1" t="s">
        <v>52</v>
      </c>
      <c r="K654">
        <v>1</v>
      </c>
      <c r="L654">
        <v>1951</v>
      </c>
      <c r="M654">
        <v>4</v>
      </c>
      <c r="N654" s="1" t="s">
        <v>44</v>
      </c>
      <c r="O654">
        <v>39</v>
      </c>
      <c r="P654">
        <v>3</v>
      </c>
      <c r="Q654">
        <v>3</v>
      </c>
      <c r="R654" s="1" t="s">
        <v>137</v>
      </c>
      <c r="S654">
        <v>3</v>
      </c>
      <c r="T654" s="1" t="s">
        <v>102</v>
      </c>
      <c r="U654">
        <v>8628</v>
      </c>
      <c r="V654" s="1" t="s">
        <v>163</v>
      </c>
      <c r="W654">
        <v>22914</v>
      </c>
      <c r="X654">
        <v>1</v>
      </c>
      <c r="Y654" s="1" t="s">
        <v>48</v>
      </c>
      <c r="Z654" s="1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8">
      <c r="A655" s="1" t="s">
        <v>721</v>
      </c>
      <c r="B655">
        <v>34</v>
      </c>
      <c r="C655" s="1" t="s">
        <v>190</v>
      </c>
      <c r="D655" s="1" t="s">
        <v>49</v>
      </c>
      <c r="E655" s="1" t="s">
        <v>41</v>
      </c>
      <c r="F655">
        <v>704</v>
      </c>
      <c r="G655" s="1" t="s">
        <v>51</v>
      </c>
      <c r="H655">
        <v>28</v>
      </c>
      <c r="I655">
        <v>3</v>
      </c>
      <c r="J655" s="1" t="s">
        <v>57</v>
      </c>
      <c r="K655">
        <v>1</v>
      </c>
      <c r="L655">
        <v>2035</v>
      </c>
      <c r="M655">
        <v>4</v>
      </c>
      <c r="N655" s="1" t="s">
        <v>53</v>
      </c>
      <c r="O655">
        <v>95</v>
      </c>
      <c r="P655">
        <v>2</v>
      </c>
      <c r="Q655">
        <v>2</v>
      </c>
      <c r="R655" s="1" t="s">
        <v>137</v>
      </c>
      <c r="S655">
        <v>3</v>
      </c>
      <c r="T655" s="1" t="s">
        <v>105</v>
      </c>
      <c r="U655">
        <v>6712</v>
      </c>
      <c r="V655" s="1" t="s">
        <v>163</v>
      </c>
      <c r="W655">
        <v>8978</v>
      </c>
      <c r="X655">
        <v>1</v>
      </c>
      <c r="Y655" s="1" t="s">
        <v>48</v>
      </c>
      <c r="Z655" s="1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8">
      <c r="A656" s="1" t="s">
        <v>722</v>
      </c>
      <c r="B656">
        <v>34</v>
      </c>
      <c r="C656" s="1" t="s">
        <v>190</v>
      </c>
      <c r="D656" s="1" t="s">
        <v>49</v>
      </c>
      <c r="E656" s="1" t="s">
        <v>276</v>
      </c>
      <c r="F656">
        <v>628</v>
      </c>
      <c r="G656" s="1" t="s">
        <v>42</v>
      </c>
      <c r="H656">
        <v>8</v>
      </c>
      <c r="I656">
        <v>3</v>
      </c>
      <c r="J656" s="1" t="s">
        <v>52</v>
      </c>
      <c r="K656">
        <v>1</v>
      </c>
      <c r="L656">
        <v>2068</v>
      </c>
      <c r="M656">
        <v>2</v>
      </c>
      <c r="N656" s="1" t="s">
        <v>44</v>
      </c>
      <c r="O656">
        <v>82</v>
      </c>
      <c r="P656">
        <v>4</v>
      </c>
      <c r="Q656">
        <v>2</v>
      </c>
      <c r="R656" s="1" t="s">
        <v>45</v>
      </c>
      <c r="S656">
        <v>3</v>
      </c>
      <c r="T656" s="1" t="s">
        <v>105</v>
      </c>
      <c r="U656">
        <v>4404</v>
      </c>
      <c r="V656" s="1" t="s">
        <v>47</v>
      </c>
      <c r="W656">
        <v>10228</v>
      </c>
      <c r="X656">
        <v>2</v>
      </c>
      <c r="Y656" s="1" t="s">
        <v>48</v>
      </c>
      <c r="Z656" s="1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8">
      <c r="A657" s="1" t="s">
        <v>722</v>
      </c>
      <c r="B657">
        <v>34</v>
      </c>
      <c r="C657" s="1" t="s">
        <v>190</v>
      </c>
      <c r="D657" s="1" t="s">
        <v>49</v>
      </c>
      <c r="E657" s="1" t="s">
        <v>276</v>
      </c>
      <c r="F657">
        <v>628</v>
      </c>
      <c r="G657" s="1" t="s">
        <v>42</v>
      </c>
      <c r="H657">
        <v>8</v>
      </c>
      <c r="I657">
        <v>3</v>
      </c>
      <c r="J657" s="1" t="s">
        <v>52</v>
      </c>
      <c r="K657">
        <v>1</v>
      </c>
      <c r="L657">
        <v>2068</v>
      </c>
      <c r="M657">
        <v>2</v>
      </c>
      <c r="N657" s="1" t="s">
        <v>44</v>
      </c>
      <c r="O657">
        <v>82</v>
      </c>
      <c r="P657">
        <v>4</v>
      </c>
      <c r="Q657">
        <v>2</v>
      </c>
      <c r="R657" s="1" t="s">
        <v>45</v>
      </c>
      <c r="S657">
        <v>3</v>
      </c>
      <c r="T657" s="1" t="s">
        <v>105</v>
      </c>
      <c r="U657">
        <v>4404</v>
      </c>
      <c r="V657" s="1" t="s">
        <v>47</v>
      </c>
      <c r="W657">
        <v>10228</v>
      </c>
      <c r="X657">
        <v>2</v>
      </c>
      <c r="Y657" s="1" t="s">
        <v>48</v>
      </c>
      <c r="Z657" s="1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8">
      <c r="A658" s="1" t="s">
        <v>723</v>
      </c>
      <c r="B658">
        <v>35</v>
      </c>
      <c r="C658" s="1" t="s">
        <v>190</v>
      </c>
      <c r="D658" s="1" t="s">
        <v>49</v>
      </c>
      <c r="E658" s="1" t="s">
        <v>41</v>
      </c>
      <c r="F658">
        <v>809</v>
      </c>
      <c r="G658" s="1" t="s">
        <v>42</v>
      </c>
      <c r="H658">
        <v>16</v>
      </c>
      <c r="I658">
        <v>3</v>
      </c>
      <c r="J658" s="1" t="s">
        <v>52</v>
      </c>
      <c r="K658">
        <v>1</v>
      </c>
      <c r="L658">
        <v>14</v>
      </c>
      <c r="M658">
        <v>1</v>
      </c>
      <c r="N658" s="1" t="s">
        <v>44</v>
      </c>
      <c r="O658">
        <v>84</v>
      </c>
      <c r="P658">
        <v>4</v>
      </c>
      <c r="Q658">
        <v>1</v>
      </c>
      <c r="R658" s="1" t="s">
        <v>45</v>
      </c>
      <c r="S658">
        <v>2</v>
      </c>
      <c r="T658" s="1" t="s">
        <v>105</v>
      </c>
      <c r="U658">
        <v>2426</v>
      </c>
      <c r="V658" s="1" t="s">
        <v>47</v>
      </c>
      <c r="W658">
        <v>16479</v>
      </c>
      <c r="X658">
        <v>0</v>
      </c>
      <c r="Y658" s="1" t="s">
        <v>48</v>
      </c>
      <c r="Z658" s="1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8">
      <c r="A659" s="1" t="s">
        <v>724</v>
      </c>
      <c r="B659">
        <v>35</v>
      </c>
      <c r="C659" s="1" t="s">
        <v>190</v>
      </c>
      <c r="D659" s="1" t="s">
        <v>49</v>
      </c>
      <c r="E659" s="1" t="s">
        <v>41</v>
      </c>
      <c r="F659">
        <v>890</v>
      </c>
      <c r="G659" s="1" t="s">
        <v>51</v>
      </c>
      <c r="H659">
        <v>2</v>
      </c>
      <c r="I659">
        <v>3</v>
      </c>
      <c r="J659" s="1" t="s">
        <v>57</v>
      </c>
      <c r="K659">
        <v>1</v>
      </c>
      <c r="L659">
        <v>49</v>
      </c>
      <c r="M659">
        <v>4</v>
      </c>
      <c r="N659" s="1" t="s">
        <v>53</v>
      </c>
      <c r="O659">
        <v>97</v>
      </c>
      <c r="P659">
        <v>3</v>
      </c>
      <c r="Q659">
        <v>1</v>
      </c>
      <c r="R659" s="1" t="s">
        <v>54</v>
      </c>
      <c r="S659">
        <v>4</v>
      </c>
      <c r="T659" s="1" t="s">
        <v>105</v>
      </c>
      <c r="U659">
        <v>2014</v>
      </c>
      <c r="V659" s="1" t="s">
        <v>47</v>
      </c>
      <c r="W659">
        <v>9687</v>
      </c>
      <c r="X659">
        <v>1</v>
      </c>
      <c r="Y659" s="1" t="s">
        <v>48</v>
      </c>
      <c r="Z659" s="1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8">
      <c r="A660" s="1" t="s">
        <v>725</v>
      </c>
      <c r="B660">
        <v>35</v>
      </c>
      <c r="C660" s="1" t="s">
        <v>190</v>
      </c>
      <c r="D660" s="1" t="s">
        <v>49</v>
      </c>
      <c r="E660" s="1" t="s">
        <v>41</v>
      </c>
      <c r="F660">
        <v>464</v>
      </c>
      <c r="G660" s="1" t="s">
        <v>42</v>
      </c>
      <c r="H660">
        <v>4</v>
      </c>
      <c r="I660">
        <v>2</v>
      </c>
      <c r="J660" s="1" t="s">
        <v>73</v>
      </c>
      <c r="K660">
        <v>1</v>
      </c>
      <c r="L660">
        <v>53</v>
      </c>
      <c r="M660">
        <v>3</v>
      </c>
      <c r="N660" s="1" t="s">
        <v>44</v>
      </c>
      <c r="O660">
        <v>75</v>
      </c>
      <c r="P660">
        <v>3</v>
      </c>
      <c r="Q660">
        <v>1</v>
      </c>
      <c r="R660" s="1" t="s">
        <v>45</v>
      </c>
      <c r="S660">
        <v>4</v>
      </c>
      <c r="T660" s="1" t="s">
        <v>102</v>
      </c>
      <c r="U660">
        <v>1951</v>
      </c>
      <c r="V660" s="1" t="s">
        <v>47</v>
      </c>
      <c r="W660">
        <v>10910</v>
      </c>
      <c r="X660">
        <v>1</v>
      </c>
      <c r="Y660" s="1" t="s">
        <v>48</v>
      </c>
      <c r="Z660" s="1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8">
      <c r="A661" s="1" t="s">
        <v>726</v>
      </c>
      <c r="B661">
        <v>35</v>
      </c>
      <c r="C661" s="1" t="s">
        <v>190</v>
      </c>
      <c r="D661" s="1" t="s">
        <v>49</v>
      </c>
      <c r="E661" s="1" t="s">
        <v>41</v>
      </c>
      <c r="F661">
        <v>1229</v>
      </c>
      <c r="G661" s="1" t="s">
        <v>42</v>
      </c>
      <c r="H661">
        <v>8</v>
      </c>
      <c r="I661">
        <v>1</v>
      </c>
      <c r="J661" s="1" t="s">
        <v>43</v>
      </c>
      <c r="K661">
        <v>1</v>
      </c>
      <c r="L661">
        <v>63</v>
      </c>
      <c r="M661">
        <v>4</v>
      </c>
      <c r="N661" s="1" t="s">
        <v>44</v>
      </c>
      <c r="O661">
        <v>36</v>
      </c>
      <c r="P661">
        <v>4</v>
      </c>
      <c r="Q661">
        <v>1</v>
      </c>
      <c r="R661" s="1" t="s">
        <v>45</v>
      </c>
      <c r="S661">
        <v>4</v>
      </c>
      <c r="T661" s="1" t="s">
        <v>105</v>
      </c>
      <c r="U661">
        <v>2269</v>
      </c>
      <c r="V661" s="1" t="s">
        <v>47</v>
      </c>
      <c r="W661">
        <v>4892</v>
      </c>
      <c r="X661">
        <v>1</v>
      </c>
      <c r="Y661" s="1" t="s">
        <v>48</v>
      </c>
      <c r="Z661" s="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8">
      <c r="A662" s="1" t="s">
        <v>727</v>
      </c>
      <c r="B662">
        <v>35</v>
      </c>
      <c r="C662" s="1" t="s">
        <v>190</v>
      </c>
      <c r="D662" s="1" t="s">
        <v>49</v>
      </c>
      <c r="E662" s="1" t="s">
        <v>59</v>
      </c>
      <c r="F662">
        <v>1097</v>
      </c>
      <c r="G662" s="1" t="s">
        <v>42</v>
      </c>
      <c r="H662">
        <v>11</v>
      </c>
      <c r="I662">
        <v>2</v>
      </c>
      <c r="J662" s="1" t="s">
        <v>52</v>
      </c>
      <c r="K662">
        <v>1</v>
      </c>
      <c r="L662">
        <v>70</v>
      </c>
      <c r="M662">
        <v>3</v>
      </c>
      <c r="N662" s="1" t="s">
        <v>44</v>
      </c>
      <c r="O662">
        <v>79</v>
      </c>
      <c r="P662">
        <v>2</v>
      </c>
      <c r="Q662">
        <v>3</v>
      </c>
      <c r="R662" s="1" t="s">
        <v>161</v>
      </c>
      <c r="S662">
        <v>1</v>
      </c>
      <c r="T662" s="1" t="s">
        <v>105</v>
      </c>
      <c r="U662">
        <v>9884</v>
      </c>
      <c r="V662" s="1" t="s">
        <v>163</v>
      </c>
      <c r="W662">
        <v>8302</v>
      </c>
      <c r="X662">
        <v>2</v>
      </c>
      <c r="Y662" s="1" t="s">
        <v>48</v>
      </c>
      <c r="Z662" s="1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8">
      <c r="A663" s="1" t="s">
        <v>728</v>
      </c>
      <c r="B663">
        <v>35</v>
      </c>
      <c r="C663" s="1" t="s">
        <v>190</v>
      </c>
      <c r="D663" s="1" t="s">
        <v>49</v>
      </c>
      <c r="E663" s="1" t="s">
        <v>56</v>
      </c>
      <c r="F663">
        <v>853</v>
      </c>
      <c r="G663" s="1" t="s">
        <v>51</v>
      </c>
      <c r="H663">
        <v>18</v>
      </c>
      <c r="I663">
        <v>5</v>
      </c>
      <c r="J663" s="1" t="s">
        <v>43</v>
      </c>
      <c r="K663">
        <v>1</v>
      </c>
      <c r="L663">
        <v>74</v>
      </c>
      <c r="M663">
        <v>2</v>
      </c>
      <c r="N663" s="1" t="s">
        <v>44</v>
      </c>
      <c r="O663">
        <v>71</v>
      </c>
      <c r="P663">
        <v>3</v>
      </c>
      <c r="Q663">
        <v>3</v>
      </c>
      <c r="R663" s="1" t="s">
        <v>137</v>
      </c>
      <c r="S663">
        <v>1</v>
      </c>
      <c r="T663" s="1" t="s">
        <v>105</v>
      </c>
      <c r="U663">
        <v>9069</v>
      </c>
      <c r="V663" s="1" t="s">
        <v>163</v>
      </c>
      <c r="W663">
        <v>11031</v>
      </c>
      <c r="X663">
        <v>1</v>
      </c>
      <c r="Y663" s="1" t="s">
        <v>48</v>
      </c>
      <c r="Z663" s="1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8">
      <c r="A664" s="1" t="s">
        <v>729</v>
      </c>
      <c r="B664">
        <v>35</v>
      </c>
      <c r="C664" s="1" t="s">
        <v>190</v>
      </c>
      <c r="D664" s="1" t="s">
        <v>49</v>
      </c>
      <c r="E664" s="1" t="s">
        <v>41</v>
      </c>
      <c r="F664">
        <v>1142</v>
      </c>
      <c r="G664" s="1" t="s">
        <v>42</v>
      </c>
      <c r="H664">
        <v>23</v>
      </c>
      <c r="I664">
        <v>4</v>
      </c>
      <c r="J664" s="1" t="s">
        <v>52</v>
      </c>
      <c r="K664">
        <v>1</v>
      </c>
      <c r="L664">
        <v>75</v>
      </c>
      <c r="M664">
        <v>3</v>
      </c>
      <c r="N664" s="1" t="s">
        <v>53</v>
      </c>
      <c r="O664">
        <v>30</v>
      </c>
      <c r="P664">
        <v>3</v>
      </c>
      <c r="Q664">
        <v>1</v>
      </c>
      <c r="R664" s="1" t="s">
        <v>45</v>
      </c>
      <c r="S664">
        <v>1</v>
      </c>
      <c r="T664" s="1" t="s">
        <v>105</v>
      </c>
      <c r="U664">
        <v>4014</v>
      </c>
      <c r="V664" s="1" t="s">
        <v>47</v>
      </c>
      <c r="W664">
        <v>16002</v>
      </c>
      <c r="X664">
        <v>3</v>
      </c>
      <c r="Y664" s="1" t="s">
        <v>48</v>
      </c>
      <c r="Z664" s="1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8">
      <c r="A665" s="1" t="s">
        <v>730</v>
      </c>
      <c r="B665">
        <v>35</v>
      </c>
      <c r="C665" s="1" t="s">
        <v>190</v>
      </c>
      <c r="D665" s="1" t="s">
        <v>49</v>
      </c>
      <c r="E665" s="1" t="s">
        <v>56</v>
      </c>
      <c r="F665">
        <v>664</v>
      </c>
      <c r="G665" s="1" t="s">
        <v>42</v>
      </c>
      <c r="H665">
        <v>1</v>
      </c>
      <c r="I665">
        <v>3</v>
      </c>
      <c r="J665" s="1" t="s">
        <v>52</v>
      </c>
      <c r="K665">
        <v>1</v>
      </c>
      <c r="L665">
        <v>88</v>
      </c>
      <c r="M665">
        <v>2</v>
      </c>
      <c r="N665" s="1" t="s">
        <v>44</v>
      </c>
      <c r="O665">
        <v>79</v>
      </c>
      <c r="P665">
        <v>3</v>
      </c>
      <c r="Q665">
        <v>1</v>
      </c>
      <c r="R665" s="1" t="s">
        <v>60</v>
      </c>
      <c r="S665">
        <v>1</v>
      </c>
      <c r="T665" s="1" t="s">
        <v>105</v>
      </c>
      <c r="U665">
        <v>2194</v>
      </c>
      <c r="V665" s="1" t="s">
        <v>47</v>
      </c>
      <c r="W665">
        <v>5868</v>
      </c>
      <c r="X665">
        <v>4</v>
      </c>
      <c r="Y665" s="1" t="s">
        <v>48</v>
      </c>
      <c r="Z665" s="1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8">
      <c r="A666" s="1" t="s">
        <v>731</v>
      </c>
      <c r="B666">
        <v>35</v>
      </c>
      <c r="C666" s="1" t="s">
        <v>190</v>
      </c>
      <c r="D666" s="1" t="s">
        <v>49</v>
      </c>
      <c r="E666" s="1" t="s">
        <v>41</v>
      </c>
      <c r="F666">
        <v>776</v>
      </c>
      <c r="G666" s="1" t="s">
        <v>51</v>
      </c>
      <c r="H666">
        <v>1</v>
      </c>
      <c r="I666">
        <v>4</v>
      </c>
      <c r="J666" s="1" t="s">
        <v>57</v>
      </c>
      <c r="K666">
        <v>1</v>
      </c>
      <c r="L666">
        <v>100</v>
      </c>
      <c r="M666">
        <v>3</v>
      </c>
      <c r="N666" s="1" t="s">
        <v>44</v>
      </c>
      <c r="O666">
        <v>32</v>
      </c>
      <c r="P666">
        <v>2</v>
      </c>
      <c r="Q666">
        <v>2</v>
      </c>
      <c r="R666" s="1" t="s">
        <v>137</v>
      </c>
      <c r="S666">
        <v>1</v>
      </c>
      <c r="T666" s="1" t="s">
        <v>46</v>
      </c>
      <c r="U666">
        <v>4312</v>
      </c>
      <c r="V666" s="1" t="s">
        <v>47</v>
      </c>
      <c r="W666">
        <v>23016</v>
      </c>
      <c r="X666">
        <v>0</v>
      </c>
      <c r="Y666" s="1" t="s">
        <v>48</v>
      </c>
      <c r="Z666" s="1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8">
      <c r="A667" s="1" t="s">
        <v>732</v>
      </c>
      <c r="B667">
        <v>35</v>
      </c>
      <c r="C667" s="1" t="s">
        <v>190</v>
      </c>
      <c r="D667" s="1" t="s">
        <v>49</v>
      </c>
      <c r="E667" s="1" t="s">
        <v>41</v>
      </c>
      <c r="F667">
        <v>1214</v>
      </c>
      <c r="G667" s="1" t="s">
        <v>42</v>
      </c>
      <c r="H667">
        <v>1</v>
      </c>
      <c r="I667">
        <v>3</v>
      </c>
      <c r="J667" s="1" t="s">
        <v>52</v>
      </c>
      <c r="K667">
        <v>1</v>
      </c>
      <c r="L667">
        <v>105</v>
      </c>
      <c r="M667">
        <v>2</v>
      </c>
      <c r="N667" s="1" t="s">
        <v>44</v>
      </c>
      <c r="O667">
        <v>30</v>
      </c>
      <c r="P667">
        <v>2</v>
      </c>
      <c r="Q667">
        <v>1</v>
      </c>
      <c r="R667" s="1" t="s">
        <v>60</v>
      </c>
      <c r="S667">
        <v>3</v>
      </c>
      <c r="T667" s="1" t="s">
        <v>46</v>
      </c>
      <c r="U667">
        <v>2859</v>
      </c>
      <c r="V667" s="1" t="s">
        <v>47</v>
      </c>
      <c r="W667">
        <v>26278</v>
      </c>
      <c r="X667">
        <v>1</v>
      </c>
      <c r="Y667" s="1" t="s">
        <v>48</v>
      </c>
      <c r="Z667" s="1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8">
      <c r="A668" s="1" t="s">
        <v>733</v>
      </c>
      <c r="B668">
        <v>35</v>
      </c>
      <c r="C668" s="1" t="s">
        <v>190</v>
      </c>
      <c r="D668" s="1" t="s">
        <v>49</v>
      </c>
      <c r="E668" s="1" t="s">
        <v>41</v>
      </c>
      <c r="F668">
        <v>662</v>
      </c>
      <c r="G668" s="1" t="s">
        <v>51</v>
      </c>
      <c r="H668">
        <v>1</v>
      </c>
      <c r="I668">
        <v>5</v>
      </c>
      <c r="J668" s="1" t="s">
        <v>57</v>
      </c>
      <c r="K668">
        <v>1</v>
      </c>
      <c r="L668">
        <v>204</v>
      </c>
      <c r="M668">
        <v>3</v>
      </c>
      <c r="N668" s="1" t="s">
        <v>44</v>
      </c>
      <c r="O668">
        <v>94</v>
      </c>
      <c r="P668">
        <v>3</v>
      </c>
      <c r="Q668">
        <v>3</v>
      </c>
      <c r="R668" s="1" t="s">
        <v>137</v>
      </c>
      <c r="S668">
        <v>2</v>
      </c>
      <c r="T668" s="1" t="s">
        <v>105</v>
      </c>
      <c r="U668">
        <v>7295</v>
      </c>
      <c r="V668" s="1" t="s">
        <v>163</v>
      </c>
      <c r="W668">
        <v>11439</v>
      </c>
      <c r="X668">
        <v>1</v>
      </c>
      <c r="Y668" s="1" t="s">
        <v>48</v>
      </c>
      <c r="Z668" s="1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8">
      <c r="A669" s="1" t="s">
        <v>734</v>
      </c>
      <c r="B669">
        <v>35</v>
      </c>
      <c r="C669" s="1" t="s">
        <v>190</v>
      </c>
      <c r="D669" s="1" t="s">
        <v>40</v>
      </c>
      <c r="E669" s="1" t="s">
        <v>41</v>
      </c>
      <c r="F669">
        <v>556</v>
      </c>
      <c r="G669" s="1" t="s">
        <v>42</v>
      </c>
      <c r="H669">
        <v>23</v>
      </c>
      <c r="I669">
        <v>2</v>
      </c>
      <c r="J669" s="1" t="s">
        <v>43</v>
      </c>
      <c r="K669">
        <v>1</v>
      </c>
      <c r="L669">
        <v>261</v>
      </c>
      <c r="M669">
        <v>2</v>
      </c>
      <c r="N669" s="1" t="s">
        <v>44</v>
      </c>
      <c r="O669">
        <v>50</v>
      </c>
      <c r="P669">
        <v>2</v>
      </c>
      <c r="Q669">
        <v>2</v>
      </c>
      <c r="R669" s="1" t="s">
        <v>112</v>
      </c>
      <c r="S669">
        <v>3</v>
      </c>
      <c r="T669" s="1" t="s">
        <v>105</v>
      </c>
      <c r="U669">
        <v>5916</v>
      </c>
      <c r="V669" s="1" t="s">
        <v>163</v>
      </c>
      <c r="W669">
        <v>15497</v>
      </c>
      <c r="X669">
        <v>3</v>
      </c>
      <c r="Y669" s="1" t="s">
        <v>48</v>
      </c>
      <c r="Z669" s="1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8">
      <c r="A670" s="1" t="s">
        <v>735</v>
      </c>
      <c r="B670">
        <v>35</v>
      </c>
      <c r="C670" s="1" t="s">
        <v>190</v>
      </c>
      <c r="D670" s="1" t="s">
        <v>49</v>
      </c>
      <c r="E670" s="1" t="s">
        <v>56</v>
      </c>
      <c r="F670">
        <v>138</v>
      </c>
      <c r="G670" s="1" t="s">
        <v>42</v>
      </c>
      <c r="H670">
        <v>2</v>
      </c>
      <c r="I670">
        <v>3</v>
      </c>
      <c r="J670" s="1" t="s">
        <v>52</v>
      </c>
      <c r="K670">
        <v>1</v>
      </c>
      <c r="L670">
        <v>269</v>
      </c>
      <c r="M670">
        <v>2</v>
      </c>
      <c r="N670" s="1" t="s">
        <v>53</v>
      </c>
      <c r="O670">
        <v>37</v>
      </c>
      <c r="P670">
        <v>3</v>
      </c>
      <c r="Q670">
        <v>2</v>
      </c>
      <c r="R670" s="1" t="s">
        <v>45</v>
      </c>
      <c r="S670">
        <v>2</v>
      </c>
      <c r="T670" s="1" t="s">
        <v>46</v>
      </c>
      <c r="U670">
        <v>4425</v>
      </c>
      <c r="V670" s="1" t="s">
        <v>47</v>
      </c>
      <c r="W670">
        <v>15986</v>
      </c>
      <c r="X670">
        <v>5</v>
      </c>
      <c r="Y670" s="1" t="s">
        <v>48</v>
      </c>
      <c r="Z670" s="1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8">
      <c r="A671" s="1" t="s">
        <v>736</v>
      </c>
      <c r="B671">
        <v>35</v>
      </c>
      <c r="C671" s="1" t="s">
        <v>190</v>
      </c>
      <c r="D671" s="1" t="s">
        <v>49</v>
      </c>
      <c r="E671" s="1" t="s">
        <v>56</v>
      </c>
      <c r="F671">
        <v>944</v>
      </c>
      <c r="G671" s="1" t="s">
        <v>51</v>
      </c>
      <c r="H671">
        <v>1</v>
      </c>
      <c r="I671">
        <v>3</v>
      </c>
      <c r="J671" s="1" t="s">
        <v>57</v>
      </c>
      <c r="K671">
        <v>1</v>
      </c>
      <c r="L671">
        <v>314</v>
      </c>
      <c r="M671">
        <v>3</v>
      </c>
      <c r="N671" s="1" t="s">
        <v>53</v>
      </c>
      <c r="O671">
        <v>92</v>
      </c>
      <c r="P671">
        <v>3</v>
      </c>
      <c r="Q671">
        <v>3</v>
      </c>
      <c r="R671" s="1" t="s">
        <v>137</v>
      </c>
      <c r="S671">
        <v>3</v>
      </c>
      <c r="T671" s="1" t="s">
        <v>46</v>
      </c>
      <c r="U671">
        <v>8789</v>
      </c>
      <c r="V671" s="1" t="s">
        <v>163</v>
      </c>
      <c r="W671">
        <v>9096</v>
      </c>
      <c r="X671">
        <v>1</v>
      </c>
      <c r="Y671" s="1" t="s">
        <v>48</v>
      </c>
      <c r="Z671" s="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8">
      <c r="A672" s="1" t="s">
        <v>737</v>
      </c>
      <c r="B672">
        <v>35</v>
      </c>
      <c r="C672" s="1" t="s">
        <v>190</v>
      </c>
      <c r="D672" s="1" t="s">
        <v>49</v>
      </c>
      <c r="E672" s="1" t="s">
        <v>41</v>
      </c>
      <c r="F672">
        <v>1315</v>
      </c>
      <c r="G672" s="1" t="s">
        <v>42</v>
      </c>
      <c r="H672">
        <v>22</v>
      </c>
      <c r="I672">
        <v>3</v>
      </c>
      <c r="J672" s="1" t="s">
        <v>43</v>
      </c>
      <c r="K672">
        <v>1</v>
      </c>
      <c r="L672">
        <v>381</v>
      </c>
      <c r="M672">
        <v>2</v>
      </c>
      <c r="N672" s="1" t="s">
        <v>53</v>
      </c>
      <c r="O672">
        <v>71</v>
      </c>
      <c r="P672">
        <v>4</v>
      </c>
      <c r="Q672">
        <v>3</v>
      </c>
      <c r="R672" s="1" t="s">
        <v>442</v>
      </c>
      <c r="S672">
        <v>2</v>
      </c>
      <c r="T672" s="1" t="s">
        <v>102</v>
      </c>
      <c r="U672">
        <v>11996</v>
      </c>
      <c r="V672" s="1" t="s">
        <v>253</v>
      </c>
      <c r="W672">
        <v>19100</v>
      </c>
      <c r="X672">
        <v>7</v>
      </c>
      <c r="Y672" s="1" t="s">
        <v>48</v>
      </c>
      <c r="Z672" s="1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8">
      <c r="A673" s="1" t="s">
        <v>738</v>
      </c>
      <c r="B673">
        <v>35</v>
      </c>
      <c r="C673" s="1" t="s">
        <v>190</v>
      </c>
      <c r="D673" s="1" t="s">
        <v>49</v>
      </c>
      <c r="E673" s="1" t="s">
        <v>41</v>
      </c>
      <c r="F673">
        <v>1232</v>
      </c>
      <c r="G673" s="1" t="s">
        <v>51</v>
      </c>
      <c r="H673">
        <v>16</v>
      </c>
      <c r="I673">
        <v>3</v>
      </c>
      <c r="J673" s="1" t="s">
        <v>57</v>
      </c>
      <c r="K673">
        <v>1</v>
      </c>
      <c r="L673">
        <v>406</v>
      </c>
      <c r="M673">
        <v>3</v>
      </c>
      <c r="N673" s="1" t="s">
        <v>44</v>
      </c>
      <c r="O673">
        <v>96</v>
      </c>
      <c r="P673">
        <v>3</v>
      </c>
      <c r="Q673">
        <v>3</v>
      </c>
      <c r="R673" s="1" t="s">
        <v>137</v>
      </c>
      <c r="S673">
        <v>2</v>
      </c>
      <c r="T673" s="1" t="s">
        <v>105</v>
      </c>
      <c r="U673">
        <v>8020</v>
      </c>
      <c r="V673" s="1" t="s">
        <v>163</v>
      </c>
      <c r="W673">
        <v>5100</v>
      </c>
      <c r="X673">
        <v>0</v>
      </c>
      <c r="Y673" s="1" t="s">
        <v>48</v>
      </c>
      <c r="Z673" s="1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8">
      <c r="A674" s="1" t="s">
        <v>739</v>
      </c>
      <c r="B674">
        <v>35</v>
      </c>
      <c r="C674" s="1" t="s">
        <v>190</v>
      </c>
      <c r="D674" s="1" t="s">
        <v>49</v>
      </c>
      <c r="E674" s="1" t="s">
        <v>41</v>
      </c>
      <c r="F674">
        <v>1296</v>
      </c>
      <c r="G674" s="1" t="s">
        <v>42</v>
      </c>
      <c r="H674">
        <v>5</v>
      </c>
      <c r="I674">
        <v>4</v>
      </c>
      <c r="J674" s="1" t="s">
        <v>68</v>
      </c>
      <c r="K674">
        <v>1</v>
      </c>
      <c r="L674">
        <v>464</v>
      </c>
      <c r="M674">
        <v>3</v>
      </c>
      <c r="N674" s="1" t="s">
        <v>44</v>
      </c>
      <c r="O674">
        <v>62</v>
      </c>
      <c r="P674">
        <v>3</v>
      </c>
      <c r="Q674">
        <v>3</v>
      </c>
      <c r="R674" s="1" t="s">
        <v>112</v>
      </c>
      <c r="S674">
        <v>2</v>
      </c>
      <c r="T674" s="1" t="s">
        <v>46</v>
      </c>
      <c r="U674">
        <v>8095</v>
      </c>
      <c r="V674" s="1" t="s">
        <v>163</v>
      </c>
      <c r="W674">
        <v>18264</v>
      </c>
      <c r="X674">
        <v>0</v>
      </c>
      <c r="Y674" s="1" t="s">
        <v>48</v>
      </c>
      <c r="Z674" s="1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8">
      <c r="A675" s="1" t="s">
        <v>740</v>
      </c>
      <c r="B675">
        <v>35</v>
      </c>
      <c r="C675" s="1" t="s">
        <v>190</v>
      </c>
      <c r="D675" s="1" t="s">
        <v>49</v>
      </c>
      <c r="E675" s="1" t="s">
        <v>41</v>
      </c>
      <c r="F675">
        <v>755</v>
      </c>
      <c r="G675" s="1" t="s">
        <v>42</v>
      </c>
      <c r="H675">
        <v>9</v>
      </c>
      <c r="I675">
        <v>4</v>
      </c>
      <c r="J675" s="1" t="s">
        <v>43</v>
      </c>
      <c r="K675">
        <v>1</v>
      </c>
      <c r="L675">
        <v>496</v>
      </c>
      <c r="M675">
        <v>3</v>
      </c>
      <c r="N675" s="1" t="s">
        <v>44</v>
      </c>
      <c r="O675">
        <v>97</v>
      </c>
      <c r="P675">
        <v>2</v>
      </c>
      <c r="Q675">
        <v>2</v>
      </c>
      <c r="R675" s="1" t="s">
        <v>161</v>
      </c>
      <c r="S675">
        <v>2</v>
      </c>
      <c r="T675" s="1" t="s">
        <v>46</v>
      </c>
      <c r="U675">
        <v>6540</v>
      </c>
      <c r="V675" s="1" t="s">
        <v>163</v>
      </c>
      <c r="W675">
        <v>19394</v>
      </c>
      <c r="X675">
        <v>9</v>
      </c>
      <c r="Y675" s="1" t="s">
        <v>48</v>
      </c>
      <c r="Z675" s="1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8">
      <c r="A676" s="1" t="s">
        <v>741</v>
      </c>
      <c r="B676">
        <v>35</v>
      </c>
      <c r="C676" s="1" t="s">
        <v>190</v>
      </c>
      <c r="D676" s="1" t="s">
        <v>49</v>
      </c>
      <c r="E676" s="1" t="s">
        <v>41</v>
      </c>
      <c r="F676">
        <v>144</v>
      </c>
      <c r="G676" s="1" t="s">
        <v>42</v>
      </c>
      <c r="H676">
        <v>22</v>
      </c>
      <c r="I676">
        <v>3</v>
      </c>
      <c r="J676" s="1" t="s">
        <v>43</v>
      </c>
      <c r="K676">
        <v>1</v>
      </c>
      <c r="L676">
        <v>577</v>
      </c>
      <c r="M676">
        <v>4</v>
      </c>
      <c r="N676" s="1" t="s">
        <v>44</v>
      </c>
      <c r="O676">
        <v>46</v>
      </c>
      <c r="P676">
        <v>1</v>
      </c>
      <c r="Q676">
        <v>1</v>
      </c>
      <c r="R676" s="1" t="s">
        <v>45</v>
      </c>
      <c r="S676">
        <v>3</v>
      </c>
      <c r="T676" s="1" t="s">
        <v>46</v>
      </c>
      <c r="U676">
        <v>4230</v>
      </c>
      <c r="V676" s="1" t="s">
        <v>47</v>
      </c>
      <c r="W676">
        <v>19225</v>
      </c>
      <c r="X676">
        <v>0</v>
      </c>
      <c r="Y676" s="1" t="s">
        <v>48</v>
      </c>
      <c r="Z676" s="1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8">
      <c r="A677" s="1" t="s">
        <v>742</v>
      </c>
      <c r="B677">
        <v>35</v>
      </c>
      <c r="C677" s="1" t="s">
        <v>190</v>
      </c>
      <c r="D677" s="1" t="s">
        <v>49</v>
      </c>
      <c r="E677" s="1" t="s">
        <v>41</v>
      </c>
      <c r="F677">
        <v>1276</v>
      </c>
      <c r="G677" s="1" t="s">
        <v>42</v>
      </c>
      <c r="H677">
        <v>16</v>
      </c>
      <c r="I677">
        <v>3</v>
      </c>
      <c r="J677" s="1" t="s">
        <v>43</v>
      </c>
      <c r="K677">
        <v>1</v>
      </c>
      <c r="L677">
        <v>586</v>
      </c>
      <c r="M677">
        <v>4</v>
      </c>
      <c r="N677" s="1" t="s">
        <v>44</v>
      </c>
      <c r="O677">
        <v>72</v>
      </c>
      <c r="P677">
        <v>3</v>
      </c>
      <c r="Q677">
        <v>3</v>
      </c>
      <c r="R677" s="1" t="s">
        <v>161</v>
      </c>
      <c r="S677">
        <v>3</v>
      </c>
      <c r="T677" s="1" t="s">
        <v>105</v>
      </c>
      <c r="U677">
        <v>7632</v>
      </c>
      <c r="V677" s="1" t="s">
        <v>163</v>
      </c>
      <c r="W677">
        <v>14295</v>
      </c>
      <c r="X677">
        <v>4</v>
      </c>
      <c r="Y677" s="1" t="s">
        <v>48</v>
      </c>
      <c r="Z677" s="1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8">
      <c r="A678" s="1" t="s">
        <v>743</v>
      </c>
      <c r="B678">
        <v>35</v>
      </c>
      <c r="C678" s="1" t="s">
        <v>190</v>
      </c>
      <c r="D678" s="1" t="s">
        <v>49</v>
      </c>
      <c r="E678" s="1" t="s">
        <v>41</v>
      </c>
      <c r="F678">
        <v>619</v>
      </c>
      <c r="G678" s="1" t="s">
        <v>51</v>
      </c>
      <c r="H678">
        <v>1</v>
      </c>
      <c r="I678">
        <v>3</v>
      </c>
      <c r="J678" s="1" t="s">
        <v>57</v>
      </c>
      <c r="K678">
        <v>1</v>
      </c>
      <c r="L678">
        <v>600</v>
      </c>
      <c r="M678">
        <v>2</v>
      </c>
      <c r="N678" s="1" t="s">
        <v>44</v>
      </c>
      <c r="O678">
        <v>85</v>
      </c>
      <c r="P678">
        <v>3</v>
      </c>
      <c r="Q678">
        <v>2</v>
      </c>
      <c r="R678" s="1" t="s">
        <v>137</v>
      </c>
      <c r="S678">
        <v>3</v>
      </c>
      <c r="T678" s="1" t="s">
        <v>105</v>
      </c>
      <c r="U678">
        <v>4717</v>
      </c>
      <c r="V678" s="1" t="s">
        <v>47</v>
      </c>
      <c r="W678">
        <v>18659</v>
      </c>
      <c r="X678">
        <v>9</v>
      </c>
      <c r="Y678" s="1" t="s">
        <v>48</v>
      </c>
      <c r="Z678" s="1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8">
      <c r="A679" s="1" t="s">
        <v>744</v>
      </c>
      <c r="B679">
        <v>35</v>
      </c>
      <c r="C679" s="1" t="s">
        <v>190</v>
      </c>
      <c r="D679" s="1" t="s">
        <v>49</v>
      </c>
      <c r="E679" s="1" t="s">
        <v>41</v>
      </c>
      <c r="F679">
        <v>195</v>
      </c>
      <c r="G679" s="1" t="s">
        <v>51</v>
      </c>
      <c r="H679">
        <v>1</v>
      </c>
      <c r="I679">
        <v>3</v>
      </c>
      <c r="J679" s="1" t="s">
        <v>52</v>
      </c>
      <c r="K679">
        <v>1</v>
      </c>
      <c r="L679">
        <v>620</v>
      </c>
      <c r="M679">
        <v>1</v>
      </c>
      <c r="N679" s="1" t="s">
        <v>53</v>
      </c>
      <c r="O679">
        <v>80</v>
      </c>
      <c r="P679">
        <v>3</v>
      </c>
      <c r="Q679">
        <v>2</v>
      </c>
      <c r="R679" s="1" t="s">
        <v>137</v>
      </c>
      <c r="S679">
        <v>3</v>
      </c>
      <c r="T679" s="1" t="s">
        <v>46</v>
      </c>
      <c r="U679">
        <v>4859</v>
      </c>
      <c r="V679" s="1" t="s">
        <v>47</v>
      </c>
      <c r="W679">
        <v>6698</v>
      </c>
      <c r="X679">
        <v>1</v>
      </c>
      <c r="Y679" s="1" t="s">
        <v>48</v>
      </c>
      <c r="Z679" s="1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8">
      <c r="A680" s="1" t="s">
        <v>745</v>
      </c>
      <c r="B680">
        <v>35</v>
      </c>
      <c r="C680" s="1" t="s">
        <v>190</v>
      </c>
      <c r="D680" s="1" t="s">
        <v>49</v>
      </c>
      <c r="E680" s="1" t="s">
        <v>41</v>
      </c>
      <c r="F680">
        <v>538</v>
      </c>
      <c r="G680" s="1" t="s">
        <v>42</v>
      </c>
      <c r="H680">
        <v>25</v>
      </c>
      <c r="I680">
        <v>2</v>
      </c>
      <c r="J680" s="1" t="s">
        <v>73</v>
      </c>
      <c r="K680">
        <v>1</v>
      </c>
      <c r="L680">
        <v>652</v>
      </c>
      <c r="M680">
        <v>1</v>
      </c>
      <c r="N680" s="1" t="s">
        <v>44</v>
      </c>
      <c r="O680">
        <v>54</v>
      </c>
      <c r="P680">
        <v>2</v>
      </c>
      <c r="Q680">
        <v>2</v>
      </c>
      <c r="R680" s="1" t="s">
        <v>45</v>
      </c>
      <c r="S680">
        <v>4</v>
      </c>
      <c r="T680" s="1" t="s">
        <v>46</v>
      </c>
      <c r="U680">
        <v>3681</v>
      </c>
      <c r="V680" s="1" t="s">
        <v>47</v>
      </c>
      <c r="W680">
        <v>14004</v>
      </c>
      <c r="X680">
        <v>4</v>
      </c>
      <c r="Y680" s="1" t="s">
        <v>48</v>
      </c>
      <c r="Z680" s="1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8">
      <c r="A681" s="1" t="s">
        <v>746</v>
      </c>
      <c r="B681">
        <v>35</v>
      </c>
      <c r="C681" s="1" t="s">
        <v>190</v>
      </c>
      <c r="D681" s="1" t="s">
        <v>49</v>
      </c>
      <c r="E681" s="1" t="s">
        <v>41</v>
      </c>
      <c r="F681">
        <v>1017</v>
      </c>
      <c r="G681" s="1" t="s">
        <v>42</v>
      </c>
      <c r="H681">
        <v>6</v>
      </c>
      <c r="I681">
        <v>4</v>
      </c>
      <c r="J681" s="1" t="s">
        <v>43</v>
      </c>
      <c r="K681">
        <v>1</v>
      </c>
      <c r="L681">
        <v>691</v>
      </c>
      <c r="M681">
        <v>2</v>
      </c>
      <c r="N681" s="1" t="s">
        <v>44</v>
      </c>
      <c r="O681">
        <v>82</v>
      </c>
      <c r="P681">
        <v>1</v>
      </c>
      <c r="Q681">
        <v>2</v>
      </c>
      <c r="R681" s="1" t="s">
        <v>60</v>
      </c>
      <c r="S681">
        <v>4</v>
      </c>
      <c r="T681" s="1" t="s">
        <v>46</v>
      </c>
      <c r="U681">
        <v>6646</v>
      </c>
      <c r="V681" s="1" t="s">
        <v>163</v>
      </c>
      <c r="W681">
        <v>19368</v>
      </c>
      <c r="X681">
        <v>1</v>
      </c>
      <c r="Y681" s="1" t="s">
        <v>48</v>
      </c>
      <c r="Z681" s="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8">
      <c r="A682" s="1" t="s">
        <v>747</v>
      </c>
      <c r="B682">
        <v>35</v>
      </c>
      <c r="C682" s="1" t="s">
        <v>190</v>
      </c>
      <c r="D682" s="1" t="s">
        <v>49</v>
      </c>
      <c r="E682" s="1" t="s">
        <v>59</v>
      </c>
      <c r="F682">
        <v>727</v>
      </c>
      <c r="G682" s="1" t="s">
        <v>42</v>
      </c>
      <c r="H682">
        <v>3</v>
      </c>
      <c r="I682">
        <v>3</v>
      </c>
      <c r="J682" s="1" t="s">
        <v>43</v>
      </c>
      <c r="K682">
        <v>1</v>
      </c>
      <c r="L682">
        <v>704</v>
      </c>
      <c r="M682">
        <v>3</v>
      </c>
      <c r="N682" s="1" t="s">
        <v>44</v>
      </c>
      <c r="O682">
        <v>41</v>
      </c>
      <c r="P682">
        <v>2</v>
      </c>
      <c r="Q682">
        <v>1</v>
      </c>
      <c r="R682" s="1" t="s">
        <v>45</v>
      </c>
      <c r="S682">
        <v>3</v>
      </c>
      <c r="T682" s="1" t="s">
        <v>105</v>
      </c>
      <c r="U682">
        <v>1281</v>
      </c>
      <c r="V682" s="1" t="s">
        <v>47</v>
      </c>
      <c r="W682">
        <v>16900</v>
      </c>
      <c r="X682">
        <v>1</v>
      </c>
      <c r="Y682" s="1" t="s">
        <v>48</v>
      </c>
      <c r="Z682" s="1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8">
      <c r="A683" s="1" t="s">
        <v>748</v>
      </c>
      <c r="B683">
        <v>35</v>
      </c>
      <c r="C683" s="1" t="s">
        <v>190</v>
      </c>
      <c r="D683" s="1" t="s">
        <v>49</v>
      </c>
      <c r="E683" s="1" t="s">
        <v>59</v>
      </c>
      <c r="F683">
        <v>1225</v>
      </c>
      <c r="G683" s="1" t="s">
        <v>42</v>
      </c>
      <c r="H683">
        <v>2</v>
      </c>
      <c r="I683">
        <v>4</v>
      </c>
      <c r="J683" s="1" t="s">
        <v>43</v>
      </c>
      <c r="K683">
        <v>1</v>
      </c>
      <c r="L683">
        <v>771</v>
      </c>
      <c r="M683">
        <v>4</v>
      </c>
      <c r="N683" s="1" t="s">
        <v>53</v>
      </c>
      <c r="O683">
        <v>61</v>
      </c>
      <c r="P683">
        <v>3</v>
      </c>
      <c r="Q683">
        <v>2</v>
      </c>
      <c r="R683" s="1" t="s">
        <v>161</v>
      </c>
      <c r="S683">
        <v>1</v>
      </c>
      <c r="T683" s="1" t="s">
        <v>102</v>
      </c>
      <c r="U683">
        <v>5093</v>
      </c>
      <c r="V683" s="1" t="s">
        <v>163</v>
      </c>
      <c r="W683">
        <v>4761</v>
      </c>
      <c r="X683">
        <v>2</v>
      </c>
      <c r="Y683" s="1" t="s">
        <v>48</v>
      </c>
      <c r="Z683" s="1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8">
      <c r="A684" s="1" t="s">
        <v>749</v>
      </c>
      <c r="B684">
        <v>35</v>
      </c>
      <c r="C684" s="1" t="s">
        <v>190</v>
      </c>
      <c r="D684" s="1" t="s">
        <v>49</v>
      </c>
      <c r="E684" s="1" t="s">
        <v>41</v>
      </c>
      <c r="F684">
        <v>384</v>
      </c>
      <c r="G684" s="1" t="s">
        <v>51</v>
      </c>
      <c r="H684">
        <v>8</v>
      </c>
      <c r="I684">
        <v>4</v>
      </c>
      <c r="J684" s="1" t="s">
        <v>43</v>
      </c>
      <c r="K684">
        <v>1</v>
      </c>
      <c r="L684">
        <v>805</v>
      </c>
      <c r="M684">
        <v>1</v>
      </c>
      <c r="N684" s="1" t="s">
        <v>53</v>
      </c>
      <c r="O684">
        <v>72</v>
      </c>
      <c r="P684">
        <v>3</v>
      </c>
      <c r="Q684">
        <v>1</v>
      </c>
      <c r="R684" s="1" t="s">
        <v>54</v>
      </c>
      <c r="S684">
        <v>4</v>
      </c>
      <c r="T684" s="1" t="s">
        <v>105</v>
      </c>
      <c r="U684">
        <v>2572</v>
      </c>
      <c r="V684" s="1" t="s">
        <v>47</v>
      </c>
      <c r="W684">
        <v>20317</v>
      </c>
      <c r="X684">
        <v>1</v>
      </c>
      <c r="Y684" s="1" t="s">
        <v>48</v>
      </c>
      <c r="Z684" s="1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8">
      <c r="A685" s="1" t="s">
        <v>750</v>
      </c>
      <c r="B685">
        <v>35</v>
      </c>
      <c r="C685" s="1" t="s">
        <v>190</v>
      </c>
      <c r="D685" s="1" t="s">
        <v>49</v>
      </c>
      <c r="E685" s="1" t="s">
        <v>41</v>
      </c>
      <c r="F685">
        <v>1258</v>
      </c>
      <c r="G685" s="1" t="s">
        <v>42</v>
      </c>
      <c r="H685">
        <v>1</v>
      </c>
      <c r="I685">
        <v>4</v>
      </c>
      <c r="J685" s="1" t="s">
        <v>43</v>
      </c>
      <c r="K685">
        <v>1</v>
      </c>
      <c r="L685">
        <v>826</v>
      </c>
      <c r="M685">
        <v>4</v>
      </c>
      <c r="N685" s="1" t="s">
        <v>53</v>
      </c>
      <c r="O685">
        <v>40</v>
      </c>
      <c r="P685">
        <v>4</v>
      </c>
      <c r="Q685">
        <v>1</v>
      </c>
      <c r="R685" s="1" t="s">
        <v>60</v>
      </c>
      <c r="S685">
        <v>3</v>
      </c>
      <c r="T685" s="1" t="s">
        <v>46</v>
      </c>
      <c r="U685">
        <v>2506</v>
      </c>
      <c r="V685" s="1" t="s">
        <v>47</v>
      </c>
      <c r="W685">
        <v>13301</v>
      </c>
      <c r="X685">
        <v>3</v>
      </c>
      <c r="Y685" s="1" t="s">
        <v>48</v>
      </c>
      <c r="Z685" s="1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8">
      <c r="A686" s="1" t="s">
        <v>751</v>
      </c>
      <c r="B686">
        <v>35</v>
      </c>
      <c r="C686" s="1" t="s">
        <v>190</v>
      </c>
      <c r="D686" s="1" t="s">
        <v>49</v>
      </c>
      <c r="E686" s="1" t="s">
        <v>41</v>
      </c>
      <c r="F686">
        <v>950</v>
      </c>
      <c r="G686" s="1" t="s">
        <v>42</v>
      </c>
      <c r="H686">
        <v>7</v>
      </c>
      <c r="I686">
        <v>3</v>
      </c>
      <c r="J686" s="1" t="s">
        <v>73</v>
      </c>
      <c r="K686">
        <v>1</v>
      </c>
      <c r="L686">
        <v>845</v>
      </c>
      <c r="M686">
        <v>3</v>
      </c>
      <c r="N686" s="1" t="s">
        <v>44</v>
      </c>
      <c r="O686">
        <v>59</v>
      </c>
      <c r="P686">
        <v>3</v>
      </c>
      <c r="Q686">
        <v>3</v>
      </c>
      <c r="R686" s="1" t="s">
        <v>112</v>
      </c>
      <c r="S686">
        <v>3</v>
      </c>
      <c r="T686" s="1" t="s">
        <v>46</v>
      </c>
      <c r="U686">
        <v>10221</v>
      </c>
      <c r="V686" s="1" t="s">
        <v>253</v>
      </c>
      <c r="W686">
        <v>18869</v>
      </c>
      <c r="X686">
        <v>3</v>
      </c>
      <c r="Y686" s="1" t="s">
        <v>48</v>
      </c>
      <c r="Z686" s="1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8">
      <c r="A687" s="1" t="s">
        <v>752</v>
      </c>
      <c r="B687">
        <v>35</v>
      </c>
      <c r="C687" s="1" t="s">
        <v>190</v>
      </c>
      <c r="D687" s="1" t="s">
        <v>49</v>
      </c>
      <c r="E687" s="1" t="s">
        <v>41</v>
      </c>
      <c r="F687">
        <v>1343</v>
      </c>
      <c r="G687" s="1" t="s">
        <v>42</v>
      </c>
      <c r="H687">
        <v>27</v>
      </c>
      <c r="I687">
        <v>1</v>
      </c>
      <c r="J687" s="1" t="s">
        <v>52</v>
      </c>
      <c r="K687">
        <v>1</v>
      </c>
      <c r="L687">
        <v>856</v>
      </c>
      <c r="M687">
        <v>3</v>
      </c>
      <c r="N687" s="1" t="s">
        <v>53</v>
      </c>
      <c r="O687">
        <v>53</v>
      </c>
      <c r="P687">
        <v>2</v>
      </c>
      <c r="Q687">
        <v>1</v>
      </c>
      <c r="R687" s="1" t="s">
        <v>60</v>
      </c>
      <c r="S687">
        <v>1</v>
      </c>
      <c r="T687" s="1" t="s">
        <v>46</v>
      </c>
      <c r="U687">
        <v>2559</v>
      </c>
      <c r="V687" s="1" t="s">
        <v>47</v>
      </c>
      <c r="W687">
        <v>17852</v>
      </c>
      <c r="X687">
        <v>1</v>
      </c>
      <c r="Y687" s="1" t="s">
        <v>48</v>
      </c>
      <c r="Z687" s="1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8">
      <c r="A688" s="1" t="s">
        <v>753</v>
      </c>
      <c r="B688">
        <v>35</v>
      </c>
      <c r="C688" s="1" t="s">
        <v>190</v>
      </c>
      <c r="D688" s="1" t="s">
        <v>49</v>
      </c>
      <c r="E688" s="1" t="s">
        <v>41</v>
      </c>
      <c r="F688">
        <v>607</v>
      </c>
      <c r="G688" s="1" t="s">
        <v>42</v>
      </c>
      <c r="H688">
        <v>9</v>
      </c>
      <c r="I688">
        <v>3</v>
      </c>
      <c r="J688" s="1" t="s">
        <v>43</v>
      </c>
      <c r="K688">
        <v>1</v>
      </c>
      <c r="L688">
        <v>880</v>
      </c>
      <c r="M688">
        <v>4</v>
      </c>
      <c r="N688" s="1" t="s">
        <v>53</v>
      </c>
      <c r="O688">
        <v>66</v>
      </c>
      <c r="P688">
        <v>2</v>
      </c>
      <c r="Q688">
        <v>3</v>
      </c>
      <c r="R688" s="1" t="s">
        <v>112</v>
      </c>
      <c r="S688">
        <v>3</v>
      </c>
      <c r="T688" s="1" t="s">
        <v>105</v>
      </c>
      <c r="U688">
        <v>10685</v>
      </c>
      <c r="V688" s="1" t="s">
        <v>253</v>
      </c>
      <c r="W688">
        <v>23457</v>
      </c>
      <c r="X688">
        <v>1</v>
      </c>
      <c r="Y688" s="1" t="s">
        <v>48</v>
      </c>
      <c r="Z688" s="1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8">
      <c r="A689" s="1" t="s">
        <v>754</v>
      </c>
      <c r="B689">
        <v>35</v>
      </c>
      <c r="C689" s="1" t="s">
        <v>190</v>
      </c>
      <c r="D689" s="1" t="s">
        <v>40</v>
      </c>
      <c r="E689" s="1" t="s">
        <v>56</v>
      </c>
      <c r="F689">
        <v>130</v>
      </c>
      <c r="G689" s="1" t="s">
        <v>42</v>
      </c>
      <c r="H689">
        <v>25</v>
      </c>
      <c r="I689">
        <v>4</v>
      </c>
      <c r="J689" s="1" t="s">
        <v>43</v>
      </c>
      <c r="K689">
        <v>1</v>
      </c>
      <c r="L689">
        <v>881</v>
      </c>
      <c r="M689">
        <v>4</v>
      </c>
      <c r="N689" s="1" t="s">
        <v>53</v>
      </c>
      <c r="O689">
        <v>96</v>
      </c>
      <c r="P689">
        <v>3</v>
      </c>
      <c r="Q689">
        <v>1</v>
      </c>
      <c r="R689" s="1" t="s">
        <v>60</v>
      </c>
      <c r="S689">
        <v>2</v>
      </c>
      <c r="T689" s="1" t="s">
        <v>102</v>
      </c>
      <c r="U689">
        <v>2022</v>
      </c>
      <c r="V689" s="1" t="s">
        <v>47</v>
      </c>
      <c r="W689">
        <v>16612</v>
      </c>
      <c r="X689">
        <v>1</v>
      </c>
      <c r="Y689" s="1" t="s">
        <v>48</v>
      </c>
      <c r="Z689" s="1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8">
      <c r="A690" s="1" t="s">
        <v>755</v>
      </c>
      <c r="B690">
        <v>35</v>
      </c>
      <c r="C690" s="1" t="s">
        <v>190</v>
      </c>
      <c r="D690" s="1" t="s">
        <v>49</v>
      </c>
      <c r="E690" s="1" t="s">
        <v>41</v>
      </c>
      <c r="F690">
        <v>672</v>
      </c>
      <c r="G690" s="1" t="s">
        <v>42</v>
      </c>
      <c r="H690">
        <v>25</v>
      </c>
      <c r="I690">
        <v>3</v>
      </c>
      <c r="J690" s="1" t="s">
        <v>68</v>
      </c>
      <c r="K690">
        <v>1</v>
      </c>
      <c r="L690">
        <v>899</v>
      </c>
      <c r="M690">
        <v>4</v>
      </c>
      <c r="N690" s="1" t="s">
        <v>44</v>
      </c>
      <c r="O690">
        <v>78</v>
      </c>
      <c r="P690">
        <v>2</v>
      </c>
      <c r="Q690">
        <v>3</v>
      </c>
      <c r="R690" s="1" t="s">
        <v>112</v>
      </c>
      <c r="S690">
        <v>2</v>
      </c>
      <c r="T690" s="1" t="s">
        <v>105</v>
      </c>
      <c r="U690">
        <v>10903</v>
      </c>
      <c r="V690" s="1" t="s">
        <v>253</v>
      </c>
      <c r="W690">
        <v>9129</v>
      </c>
      <c r="X690">
        <v>3</v>
      </c>
      <c r="Y690" s="1" t="s">
        <v>48</v>
      </c>
      <c r="Z690" s="1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8">
      <c r="A691" s="1" t="s">
        <v>756</v>
      </c>
      <c r="B691">
        <v>35</v>
      </c>
      <c r="C691" s="1" t="s">
        <v>190</v>
      </c>
      <c r="D691" s="1" t="s">
        <v>49</v>
      </c>
      <c r="E691" s="1" t="s">
        <v>41</v>
      </c>
      <c r="F691">
        <v>1137</v>
      </c>
      <c r="G691" s="1" t="s">
        <v>42</v>
      </c>
      <c r="H691">
        <v>21</v>
      </c>
      <c r="I691">
        <v>1</v>
      </c>
      <c r="J691" s="1" t="s">
        <v>43</v>
      </c>
      <c r="K691">
        <v>1</v>
      </c>
      <c r="L691">
        <v>942</v>
      </c>
      <c r="M691">
        <v>4</v>
      </c>
      <c r="N691" s="1" t="s">
        <v>53</v>
      </c>
      <c r="O691">
        <v>51</v>
      </c>
      <c r="P691">
        <v>3</v>
      </c>
      <c r="Q691">
        <v>2</v>
      </c>
      <c r="R691" s="1" t="s">
        <v>161</v>
      </c>
      <c r="S691">
        <v>4</v>
      </c>
      <c r="T691" s="1" t="s">
        <v>105</v>
      </c>
      <c r="U691">
        <v>4014</v>
      </c>
      <c r="V691" s="1" t="s">
        <v>47</v>
      </c>
      <c r="W691">
        <v>19170</v>
      </c>
      <c r="X691">
        <v>1</v>
      </c>
      <c r="Y691" s="1" t="s">
        <v>48</v>
      </c>
      <c r="Z691" s="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8">
      <c r="A692" s="1" t="s">
        <v>757</v>
      </c>
      <c r="B692">
        <v>35</v>
      </c>
      <c r="C692" s="1" t="s">
        <v>190</v>
      </c>
      <c r="D692" s="1" t="s">
        <v>49</v>
      </c>
      <c r="E692" s="1" t="s">
        <v>41</v>
      </c>
      <c r="F692">
        <v>1219</v>
      </c>
      <c r="G692" s="1" t="s">
        <v>51</v>
      </c>
      <c r="H692">
        <v>18</v>
      </c>
      <c r="I692">
        <v>3</v>
      </c>
      <c r="J692" s="1" t="s">
        <v>52</v>
      </c>
      <c r="K692">
        <v>1</v>
      </c>
      <c r="L692">
        <v>975</v>
      </c>
      <c r="M692">
        <v>3</v>
      </c>
      <c r="N692" s="1" t="s">
        <v>53</v>
      </c>
      <c r="O692">
        <v>86</v>
      </c>
      <c r="P692">
        <v>3</v>
      </c>
      <c r="Q692">
        <v>2</v>
      </c>
      <c r="R692" s="1" t="s">
        <v>137</v>
      </c>
      <c r="S692">
        <v>3</v>
      </c>
      <c r="T692" s="1" t="s">
        <v>105</v>
      </c>
      <c r="U692">
        <v>4601</v>
      </c>
      <c r="V692" s="1" t="s">
        <v>47</v>
      </c>
      <c r="W692">
        <v>6179</v>
      </c>
      <c r="X692">
        <v>1</v>
      </c>
      <c r="Y692" s="1" t="s">
        <v>48</v>
      </c>
      <c r="Z692" s="1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8">
      <c r="A693" s="1" t="s">
        <v>758</v>
      </c>
      <c r="B693">
        <v>35</v>
      </c>
      <c r="C693" s="1" t="s">
        <v>190</v>
      </c>
      <c r="D693" s="1" t="s">
        <v>49</v>
      </c>
      <c r="E693" s="1" t="s">
        <v>41</v>
      </c>
      <c r="F693">
        <v>882</v>
      </c>
      <c r="G693" s="1" t="s">
        <v>51</v>
      </c>
      <c r="H693">
        <v>3</v>
      </c>
      <c r="I693">
        <v>4</v>
      </c>
      <c r="J693" s="1" t="s">
        <v>43</v>
      </c>
      <c r="K693">
        <v>1</v>
      </c>
      <c r="L693">
        <v>984</v>
      </c>
      <c r="M693">
        <v>4</v>
      </c>
      <c r="N693" s="1" t="s">
        <v>44</v>
      </c>
      <c r="O693">
        <v>92</v>
      </c>
      <c r="P693">
        <v>3</v>
      </c>
      <c r="Q693">
        <v>3</v>
      </c>
      <c r="R693" s="1" t="s">
        <v>137</v>
      </c>
      <c r="S693">
        <v>4</v>
      </c>
      <c r="T693" s="1" t="s">
        <v>102</v>
      </c>
      <c r="U693">
        <v>7823</v>
      </c>
      <c r="V693" s="1" t="s">
        <v>163</v>
      </c>
      <c r="W693">
        <v>6812</v>
      </c>
      <c r="X693">
        <v>6</v>
      </c>
      <c r="Y693" s="1" t="s">
        <v>48</v>
      </c>
      <c r="Z693" s="1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8">
      <c r="A694" s="1" t="s">
        <v>759</v>
      </c>
      <c r="B694">
        <v>35</v>
      </c>
      <c r="C694" s="1" t="s">
        <v>190</v>
      </c>
      <c r="D694" s="1" t="s">
        <v>40</v>
      </c>
      <c r="E694" s="1" t="s">
        <v>41</v>
      </c>
      <c r="F694">
        <v>622</v>
      </c>
      <c r="G694" s="1" t="s">
        <v>42</v>
      </c>
      <c r="H694">
        <v>14</v>
      </c>
      <c r="I694">
        <v>4</v>
      </c>
      <c r="J694" s="1" t="s">
        <v>73</v>
      </c>
      <c r="K694">
        <v>1</v>
      </c>
      <c r="L694">
        <v>1010</v>
      </c>
      <c r="M694">
        <v>3</v>
      </c>
      <c r="N694" s="1" t="s">
        <v>44</v>
      </c>
      <c r="O694">
        <v>39</v>
      </c>
      <c r="P694">
        <v>2</v>
      </c>
      <c r="Q694">
        <v>1</v>
      </c>
      <c r="R694" s="1" t="s">
        <v>45</v>
      </c>
      <c r="S694">
        <v>2</v>
      </c>
      <c r="T694" s="1" t="s">
        <v>102</v>
      </c>
      <c r="U694">
        <v>3743</v>
      </c>
      <c r="V694" s="1" t="s">
        <v>47</v>
      </c>
      <c r="W694">
        <v>10074</v>
      </c>
      <c r="X694">
        <v>1</v>
      </c>
      <c r="Y694" s="1" t="s">
        <v>48</v>
      </c>
      <c r="Z694" s="1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8">
      <c r="A695" s="1" t="s">
        <v>760</v>
      </c>
      <c r="B695">
        <v>35</v>
      </c>
      <c r="C695" s="1" t="s">
        <v>190</v>
      </c>
      <c r="D695" s="1" t="s">
        <v>49</v>
      </c>
      <c r="E695" s="1" t="s">
        <v>41</v>
      </c>
      <c r="F695">
        <v>583</v>
      </c>
      <c r="G695" s="1" t="s">
        <v>42</v>
      </c>
      <c r="H695">
        <v>25</v>
      </c>
      <c r="I695">
        <v>4</v>
      </c>
      <c r="J695" s="1" t="s">
        <v>52</v>
      </c>
      <c r="K695">
        <v>1</v>
      </c>
      <c r="L695">
        <v>1014</v>
      </c>
      <c r="M695">
        <v>3</v>
      </c>
      <c r="N695" s="1" t="s">
        <v>53</v>
      </c>
      <c r="O695">
        <v>57</v>
      </c>
      <c r="P695">
        <v>3</v>
      </c>
      <c r="Q695">
        <v>3</v>
      </c>
      <c r="R695" s="1" t="s">
        <v>161</v>
      </c>
      <c r="S695">
        <v>3</v>
      </c>
      <c r="T695" s="1" t="s">
        <v>102</v>
      </c>
      <c r="U695">
        <v>10388</v>
      </c>
      <c r="V695" s="1" t="s">
        <v>253</v>
      </c>
      <c r="W695">
        <v>6975</v>
      </c>
      <c r="X695">
        <v>1</v>
      </c>
      <c r="Y695" s="1" t="s">
        <v>48</v>
      </c>
      <c r="Z695" s="1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8">
      <c r="A696" s="1" t="s">
        <v>761</v>
      </c>
      <c r="B696">
        <v>35</v>
      </c>
      <c r="C696" s="1" t="s">
        <v>190</v>
      </c>
      <c r="D696" s="1" t="s">
        <v>49</v>
      </c>
      <c r="E696" s="1" t="s">
        <v>41</v>
      </c>
      <c r="F696">
        <v>802</v>
      </c>
      <c r="G696" s="1" t="s">
        <v>42</v>
      </c>
      <c r="H696">
        <v>10</v>
      </c>
      <c r="I696">
        <v>3</v>
      </c>
      <c r="J696" s="1" t="s">
        <v>73</v>
      </c>
      <c r="K696">
        <v>1</v>
      </c>
      <c r="L696">
        <v>1028</v>
      </c>
      <c r="M696">
        <v>2</v>
      </c>
      <c r="N696" s="1" t="s">
        <v>44</v>
      </c>
      <c r="O696">
        <v>45</v>
      </c>
      <c r="P696">
        <v>3</v>
      </c>
      <c r="Q696">
        <v>1</v>
      </c>
      <c r="R696" s="1" t="s">
        <v>45</v>
      </c>
      <c r="S696">
        <v>4</v>
      </c>
      <c r="T696" s="1" t="s">
        <v>102</v>
      </c>
      <c r="U696">
        <v>3917</v>
      </c>
      <c r="V696" s="1" t="s">
        <v>47</v>
      </c>
      <c r="W696">
        <v>9541</v>
      </c>
      <c r="X696">
        <v>1</v>
      </c>
      <c r="Y696" s="1" t="s">
        <v>48</v>
      </c>
      <c r="Z696" s="1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8">
      <c r="A697" s="1" t="s">
        <v>762</v>
      </c>
      <c r="B697">
        <v>35</v>
      </c>
      <c r="C697" s="1" t="s">
        <v>190</v>
      </c>
      <c r="D697" s="1" t="s">
        <v>40</v>
      </c>
      <c r="E697" s="1" t="s">
        <v>41</v>
      </c>
      <c r="F697">
        <v>1204</v>
      </c>
      <c r="G697" s="1" t="s">
        <v>51</v>
      </c>
      <c r="H697">
        <v>4</v>
      </c>
      <c r="I697">
        <v>3</v>
      </c>
      <c r="J697" s="1" t="s">
        <v>68</v>
      </c>
      <c r="K697">
        <v>1</v>
      </c>
      <c r="L697">
        <v>1100</v>
      </c>
      <c r="M697">
        <v>4</v>
      </c>
      <c r="N697" s="1" t="s">
        <v>44</v>
      </c>
      <c r="O697">
        <v>86</v>
      </c>
      <c r="P697">
        <v>3</v>
      </c>
      <c r="Q697">
        <v>3</v>
      </c>
      <c r="R697" s="1" t="s">
        <v>137</v>
      </c>
      <c r="S697">
        <v>1</v>
      </c>
      <c r="T697" s="1" t="s">
        <v>46</v>
      </c>
      <c r="U697">
        <v>9582</v>
      </c>
      <c r="V697" s="1" t="s">
        <v>163</v>
      </c>
      <c r="W697">
        <v>10333</v>
      </c>
      <c r="X697">
        <v>0</v>
      </c>
      <c r="Y697" s="1" t="s">
        <v>48</v>
      </c>
      <c r="Z697" s="1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8">
      <c r="A698" s="1" t="s">
        <v>763</v>
      </c>
      <c r="B698">
        <v>35</v>
      </c>
      <c r="C698" s="1" t="s">
        <v>190</v>
      </c>
      <c r="D698" s="1" t="s">
        <v>49</v>
      </c>
      <c r="E698" s="1" t="s">
        <v>56</v>
      </c>
      <c r="F698">
        <v>1182</v>
      </c>
      <c r="G698" s="1" t="s">
        <v>51</v>
      </c>
      <c r="H698">
        <v>11</v>
      </c>
      <c r="I698">
        <v>2</v>
      </c>
      <c r="J698" s="1" t="s">
        <v>57</v>
      </c>
      <c r="K698">
        <v>1</v>
      </c>
      <c r="L698">
        <v>1137</v>
      </c>
      <c r="M698">
        <v>4</v>
      </c>
      <c r="N698" s="1" t="s">
        <v>44</v>
      </c>
      <c r="O698">
        <v>54</v>
      </c>
      <c r="P698">
        <v>3</v>
      </c>
      <c r="Q698">
        <v>2</v>
      </c>
      <c r="R698" s="1" t="s">
        <v>137</v>
      </c>
      <c r="S698">
        <v>4</v>
      </c>
      <c r="T698" s="1" t="s">
        <v>102</v>
      </c>
      <c r="U698">
        <v>4968</v>
      </c>
      <c r="V698" s="1" t="s">
        <v>47</v>
      </c>
      <c r="W698">
        <v>18500</v>
      </c>
      <c r="X698">
        <v>1</v>
      </c>
      <c r="Y698" s="1" t="s">
        <v>48</v>
      </c>
      <c r="Z698" s="1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8">
      <c r="A699" s="1" t="s">
        <v>764</v>
      </c>
      <c r="B699">
        <v>35</v>
      </c>
      <c r="C699" s="1" t="s">
        <v>190</v>
      </c>
      <c r="D699" s="1" t="s">
        <v>49</v>
      </c>
      <c r="E699" s="1" t="s">
        <v>41</v>
      </c>
      <c r="F699">
        <v>528</v>
      </c>
      <c r="G699" s="1" t="s">
        <v>71</v>
      </c>
      <c r="H699">
        <v>8</v>
      </c>
      <c r="I699">
        <v>4</v>
      </c>
      <c r="J699" s="1" t="s">
        <v>68</v>
      </c>
      <c r="K699">
        <v>1</v>
      </c>
      <c r="L699">
        <v>1164</v>
      </c>
      <c r="M699">
        <v>3</v>
      </c>
      <c r="N699" s="1" t="s">
        <v>44</v>
      </c>
      <c r="O699">
        <v>100</v>
      </c>
      <c r="P699">
        <v>3</v>
      </c>
      <c r="Q699">
        <v>1</v>
      </c>
      <c r="R699" s="1" t="s">
        <v>71</v>
      </c>
      <c r="S699">
        <v>3</v>
      </c>
      <c r="T699" s="1" t="s">
        <v>46</v>
      </c>
      <c r="U699">
        <v>4323</v>
      </c>
      <c r="V699" s="1" t="s">
        <v>47</v>
      </c>
      <c r="W699">
        <v>7108</v>
      </c>
      <c r="X699">
        <v>1</v>
      </c>
      <c r="Y699" s="1" t="s">
        <v>48</v>
      </c>
      <c r="Z699" s="1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8">
      <c r="A700" s="1" t="s">
        <v>765</v>
      </c>
      <c r="B700">
        <v>35</v>
      </c>
      <c r="C700" s="1" t="s">
        <v>190</v>
      </c>
      <c r="D700" s="1" t="s">
        <v>49</v>
      </c>
      <c r="E700" s="1" t="s">
        <v>41</v>
      </c>
      <c r="F700">
        <v>982</v>
      </c>
      <c r="G700" s="1" t="s">
        <v>42</v>
      </c>
      <c r="H700">
        <v>1</v>
      </c>
      <c r="I700">
        <v>4</v>
      </c>
      <c r="J700" s="1" t="s">
        <v>52</v>
      </c>
      <c r="K700">
        <v>1</v>
      </c>
      <c r="L700">
        <v>1172</v>
      </c>
      <c r="M700">
        <v>4</v>
      </c>
      <c r="N700" s="1" t="s">
        <v>44</v>
      </c>
      <c r="O700">
        <v>58</v>
      </c>
      <c r="P700">
        <v>2</v>
      </c>
      <c r="Q700">
        <v>1</v>
      </c>
      <c r="R700" s="1" t="s">
        <v>45</v>
      </c>
      <c r="S700">
        <v>3</v>
      </c>
      <c r="T700" s="1" t="s">
        <v>105</v>
      </c>
      <c r="U700">
        <v>2258</v>
      </c>
      <c r="V700" s="1" t="s">
        <v>47</v>
      </c>
      <c r="W700">
        <v>16340</v>
      </c>
      <c r="X700">
        <v>6</v>
      </c>
      <c r="Y700" s="1" t="s">
        <v>48</v>
      </c>
      <c r="Z700" s="1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8">
      <c r="A701" s="1" t="s">
        <v>766</v>
      </c>
      <c r="B701">
        <v>35</v>
      </c>
      <c r="C701" s="1" t="s">
        <v>190</v>
      </c>
      <c r="D701" s="1" t="s">
        <v>49</v>
      </c>
      <c r="E701" s="1" t="s">
        <v>41</v>
      </c>
      <c r="F701">
        <v>819</v>
      </c>
      <c r="G701" s="1" t="s">
        <v>42</v>
      </c>
      <c r="H701">
        <v>2</v>
      </c>
      <c r="I701">
        <v>3</v>
      </c>
      <c r="J701" s="1" t="s">
        <v>43</v>
      </c>
      <c r="K701">
        <v>1</v>
      </c>
      <c r="L701">
        <v>1182</v>
      </c>
      <c r="M701">
        <v>3</v>
      </c>
      <c r="N701" s="1" t="s">
        <v>44</v>
      </c>
      <c r="O701">
        <v>44</v>
      </c>
      <c r="P701">
        <v>2</v>
      </c>
      <c r="Q701">
        <v>3</v>
      </c>
      <c r="R701" s="1" t="s">
        <v>112</v>
      </c>
      <c r="S701">
        <v>2</v>
      </c>
      <c r="T701" s="1" t="s">
        <v>102</v>
      </c>
      <c r="U701">
        <v>10274</v>
      </c>
      <c r="V701" s="1" t="s">
        <v>253</v>
      </c>
      <c r="W701">
        <v>19588</v>
      </c>
      <c r="X701">
        <v>2</v>
      </c>
      <c r="Y701" s="1" t="s">
        <v>48</v>
      </c>
      <c r="Z701" s="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8">
      <c r="A702" s="1" t="s">
        <v>767</v>
      </c>
      <c r="B702">
        <v>35</v>
      </c>
      <c r="C702" s="1" t="s">
        <v>190</v>
      </c>
      <c r="D702" s="1" t="s">
        <v>49</v>
      </c>
      <c r="E702" s="1" t="s">
        <v>56</v>
      </c>
      <c r="F702">
        <v>636</v>
      </c>
      <c r="G702" s="1" t="s">
        <v>42</v>
      </c>
      <c r="H702">
        <v>4</v>
      </c>
      <c r="I702">
        <v>4</v>
      </c>
      <c r="J702" s="1" t="s">
        <v>73</v>
      </c>
      <c r="K702">
        <v>1</v>
      </c>
      <c r="L702">
        <v>1185</v>
      </c>
      <c r="M702">
        <v>4</v>
      </c>
      <c r="N702" s="1" t="s">
        <v>44</v>
      </c>
      <c r="O702">
        <v>47</v>
      </c>
      <c r="P702">
        <v>2</v>
      </c>
      <c r="Q702">
        <v>1</v>
      </c>
      <c r="R702" s="1" t="s">
        <v>45</v>
      </c>
      <c r="S702">
        <v>4</v>
      </c>
      <c r="T702" s="1" t="s">
        <v>105</v>
      </c>
      <c r="U702">
        <v>2376</v>
      </c>
      <c r="V702" s="1" t="s">
        <v>47</v>
      </c>
      <c r="W702">
        <v>26537</v>
      </c>
      <c r="X702">
        <v>1</v>
      </c>
      <c r="Y702" s="1" t="s">
        <v>48</v>
      </c>
      <c r="Z702" s="1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8">
      <c r="A703" s="1" t="s">
        <v>768</v>
      </c>
      <c r="B703">
        <v>35</v>
      </c>
      <c r="C703" s="1" t="s">
        <v>190</v>
      </c>
      <c r="D703" s="1" t="s">
        <v>49</v>
      </c>
      <c r="E703" s="1" t="s">
        <v>41</v>
      </c>
      <c r="F703">
        <v>1361</v>
      </c>
      <c r="G703" s="1" t="s">
        <v>51</v>
      </c>
      <c r="H703">
        <v>17</v>
      </c>
      <c r="I703">
        <v>4</v>
      </c>
      <c r="J703" s="1" t="s">
        <v>43</v>
      </c>
      <c r="K703">
        <v>1</v>
      </c>
      <c r="L703">
        <v>1218</v>
      </c>
      <c r="M703">
        <v>3</v>
      </c>
      <c r="N703" s="1" t="s">
        <v>44</v>
      </c>
      <c r="O703">
        <v>94</v>
      </c>
      <c r="P703">
        <v>3</v>
      </c>
      <c r="Q703">
        <v>2</v>
      </c>
      <c r="R703" s="1" t="s">
        <v>137</v>
      </c>
      <c r="S703">
        <v>1</v>
      </c>
      <c r="T703" s="1" t="s">
        <v>105</v>
      </c>
      <c r="U703">
        <v>8966</v>
      </c>
      <c r="V703" s="1" t="s">
        <v>163</v>
      </c>
      <c r="W703">
        <v>21026</v>
      </c>
      <c r="X703">
        <v>3</v>
      </c>
      <c r="Y703" s="1" t="s">
        <v>48</v>
      </c>
      <c r="Z703" s="1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8">
      <c r="A704" s="1" t="s">
        <v>769</v>
      </c>
      <c r="B704">
        <v>35</v>
      </c>
      <c r="C704" s="1" t="s">
        <v>190</v>
      </c>
      <c r="D704" s="1" t="s">
        <v>49</v>
      </c>
      <c r="E704" s="1" t="s">
        <v>59</v>
      </c>
      <c r="F704">
        <v>1212</v>
      </c>
      <c r="G704" s="1" t="s">
        <v>51</v>
      </c>
      <c r="H704">
        <v>8</v>
      </c>
      <c r="I704">
        <v>2</v>
      </c>
      <c r="J704" s="1" t="s">
        <v>57</v>
      </c>
      <c r="K704">
        <v>1</v>
      </c>
      <c r="L704">
        <v>1243</v>
      </c>
      <c r="M704">
        <v>3</v>
      </c>
      <c r="N704" s="1" t="s">
        <v>53</v>
      </c>
      <c r="O704">
        <v>78</v>
      </c>
      <c r="P704">
        <v>2</v>
      </c>
      <c r="Q704">
        <v>3</v>
      </c>
      <c r="R704" s="1" t="s">
        <v>137</v>
      </c>
      <c r="S704">
        <v>4</v>
      </c>
      <c r="T704" s="1" t="s">
        <v>105</v>
      </c>
      <c r="U704">
        <v>10377</v>
      </c>
      <c r="V704" s="1" t="s">
        <v>253</v>
      </c>
      <c r="W704">
        <v>13755</v>
      </c>
      <c r="X704">
        <v>4</v>
      </c>
      <c r="Y704" s="1" t="s">
        <v>48</v>
      </c>
      <c r="Z704" s="1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8">
      <c r="A705" s="1" t="s">
        <v>770</v>
      </c>
      <c r="B705">
        <v>35</v>
      </c>
      <c r="C705" s="1" t="s">
        <v>190</v>
      </c>
      <c r="D705" s="1" t="s">
        <v>49</v>
      </c>
      <c r="E705" s="1" t="s">
        <v>41</v>
      </c>
      <c r="F705">
        <v>735</v>
      </c>
      <c r="G705" s="1" t="s">
        <v>42</v>
      </c>
      <c r="H705">
        <v>6</v>
      </c>
      <c r="I705">
        <v>1</v>
      </c>
      <c r="J705" s="1" t="s">
        <v>43</v>
      </c>
      <c r="K705">
        <v>1</v>
      </c>
      <c r="L705">
        <v>1291</v>
      </c>
      <c r="M705">
        <v>3</v>
      </c>
      <c r="N705" s="1" t="s">
        <v>44</v>
      </c>
      <c r="O705">
        <v>66</v>
      </c>
      <c r="P705">
        <v>3</v>
      </c>
      <c r="Q705">
        <v>1</v>
      </c>
      <c r="R705" s="1" t="s">
        <v>60</v>
      </c>
      <c r="S705">
        <v>3</v>
      </c>
      <c r="T705" s="1" t="s">
        <v>105</v>
      </c>
      <c r="U705">
        <v>3506</v>
      </c>
      <c r="V705" s="1" t="s">
        <v>47</v>
      </c>
      <c r="W705">
        <v>6020</v>
      </c>
      <c r="X705">
        <v>0</v>
      </c>
      <c r="Y705" s="1" t="s">
        <v>48</v>
      </c>
      <c r="Z705" s="1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8">
      <c r="A706" s="1" t="s">
        <v>771</v>
      </c>
      <c r="B706">
        <v>35</v>
      </c>
      <c r="C706" s="1" t="s">
        <v>190</v>
      </c>
      <c r="D706" s="1" t="s">
        <v>49</v>
      </c>
      <c r="E706" s="1" t="s">
        <v>56</v>
      </c>
      <c r="F706">
        <v>482</v>
      </c>
      <c r="G706" s="1" t="s">
        <v>42</v>
      </c>
      <c r="H706">
        <v>4</v>
      </c>
      <c r="I706">
        <v>4</v>
      </c>
      <c r="J706" s="1" t="s">
        <v>43</v>
      </c>
      <c r="K706">
        <v>1</v>
      </c>
      <c r="L706">
        <v>1350</v>
      </c>
      <c r="M706">
        <v>3</v>
      </c>
      <c r="N706" s="1" t="s">
        <v>44</v>
      </c>
      <c r="O706">
        <v>87</v>
      </c>
      <c r="P706">
        <v>3</v>
      </c>
      <c r="Q706">
        <v>2</v>
      </c>
      <c r="R706" s="1" t="s">
        <v>60</v>
      </c>
      <c r="S706">
        <v>3</v>
      </c>
      <c r="T706" s="1" t="s">
        <v>46</v>
      </c>
      <c r="U706">
        <v>4249</v>
      </c>
      <c r="V706" s="1" t="s">
        <v>47</v>
      </c>
      <c r="W706">
        <v>2690</v>
      </c>
      <c r="X706">
        <v>1</v>
      </c>
      <c r="Y706" s="1" t="s">
        <v>48</v>
      </c>
      <c r="Z706" s="1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8">
      <c r="A707" s="1" t="s">
        <v>772</v>
      </c>
      <c r="B707">
        <v>35</v>
      </c>
      <c r="C707" s="1" t="s">
        <v>190</v>
      </c>
      <c r="D707" s="1" t="s">
        <v>49</v>
      </c>
      <c r="E707" s="1" t="s">
        <v>41</v>
      </c>
      <c r="F707">
        <v>817</v>
      </c>
      <c r="G707" s="1" t="s">
        <v>42</v>
      </c>
      <c r="H707">
        <v>1</v>
      </c>
      <c r="I707">
        <v>3</v>
      </c>
      <c r="J707" s="1" t="s">
        <v>52</v>
      </c>
      <c r="K707">
        <v>1</v>
      </c>
      <c r="L707">
        <v>1369</v>
      </c>
      <c r="M707">
        <v>4</v>
      </c>
      <c r="N707" s="1" t="s">
        <v>53</v>
      </c>
      <c r="O707">
        <v>60</v>
      </c>
      <c r="P707">
        <v>2</v>
      </c>
      <c r="Q707">
        <v>2</v>
      </c>
      <c r="R707" s="1" t="s">
        <v>45</v>
      </c>
      <c r="S707">
        <v>4</v>
      </c>
      <c r="T707" s="1" t="s">
        <v>105</v>
      </c>
      <c r="U707">
        <v>5363</v>
      </c>
      <c r="V707" s="1" t="s">
        <v>163</v>
      </c>
      <c r="W707">
        <v>10846</v>
      </c>
      <c r="X707">
        <v>0</v>
      </c>
      <c r="Y707" s="1" t="s">
        <v>48</v>
      </c>
      <c r="Z707" s="1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8">
      <c r="A708" s="1" t="s">
        <v>773</v>
      </c>
      <c r="B708">
        <v>35</v>
      </c>
      <c r="C708" s="1" t="s">
        <v>190</v>
      </c>
      <c r="D708" s="1" t="s">
        <v>40</v>
      </c>
      <c r="E708" s="1" t="s">
        <v>56</v>
      </c>
      <c r="F708">
        <v>662</v>
      </c>
      <c r="G708" s="1" t="s">
        <v>51</v>
      </c>
      <c r="H708">
        <v>18</v>
      </c>
      <c r="I708">
        <v>4</v>
      </c>
      <c r="J708" s="1" t="s">
        <v>57</v>
      </c>
      <c r="K708">
        <v>1</v>
      </c>
      <c r="L708">
        <v>1380</v>
      </c>
      <c r="M708">
        <v>4</v>
      </c>
      <c r="N708" s="1" t="s">
        <v>53</v>
      </c>
      <c r="O708">
        <v>67</v>
      </c>
      <c r="P708">
        <v>3</v>
      </c>
      <c r="Q708">
        <v>2</v>
      </c>
      <c r="R708" s="1" t="s">
        <v>137</v>
      </c>
      <c r="S708">
        <v>3</v>
      </c>
      <c r="T708" s="1" t="s">
        <v>105</v>
      </c>
      <c r="U708">
        <v>4614</v>
      </c>
      <c r="V708" s="1" t="s">
        <v>47</v>
      </c>
      <c r="W708">
        <v>23288</v>
      </c>
      <c r="X708">
        <v>0</v>
      </c>
      <c r="Y708" s="1" t="s">
        <v>48</v>
      </c>
      <c r="Z708" s="1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8">
      <c r="A709" s="1" t="s">
        <v>774</v>
      </c>
      <c r="B709">
        <v>35</v>
      </c>
      <c r="C709" s="1" t="s">
        <v>190</v>
      </c>
      <c r="D709" s="1" t="s">
        <v>49</v>
      </c>
      <c r="E709" s="1" t="s">
        <v>56</v>
      </c>
      <c r="F709">
        <v>200</v>
      </c>
      <c r="G709" s="1" t="s">
        <v>42</v>
      </c>
      <c r="H709">
        <v>18</v>
      </c>
      <c r="I709">
        <v>2</v>
      </c>
      <c r="J709" s="1" t="s">
        <v>43</v>
      </c>
      <c r="K709">
        <v>1</v>
      </c>
      <c r="L709">
        <v>1412</v>
      </c>
      <c r="M709">
        <v>3</v>
      </c>
      <c r="N709" s="1" t="s">
        <v>44</v>
      </c>
      <c r="O709">
        <v>60</v>
      </c>
      <c r="P709">
        <v>3</v>
      </c>
      <c r="Q709">
        <v>3</v>
      </c>
      <c r="R709" s="1" t="s">
        <v>112</v>
      </c>
      <c r="S709">
        <v>4</v>
      </c>
      <c r="T709" s="1" t="s">
        <v>46</v>
      </c>
      <c r="U709">
        <v>9362</v>
      </c>
      <c r="V709" s="1" t="s">
        <v>163</v>
      </c>
      <c r="W709">
        <v>19944</v>
      </c>
      <c r="X709">
        <v>2</v>
      </c>
      <c r="Y709" s="1" t="s">
        <v>48</v>
      </c>
      <c r="Z709" s="1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8">
      <c r="A710" s="1" t="s">
        <v>775</v>
      </c>
      <c r="B710">
        <v>35</v>
      </c>
      <c r="C710" s="1" t="s">
        <v>190</v>
      </c>
      <c r="D710" s="1" t="s">
        <v>49</v>
      </c>
      <c r="E710" s="1" t="s">
        <v>41</v>
      </c>
      <c r="F710">
        <v>660</v>
      </c>
      <c r="G710" s="1" t="s">
        <v>51</v>
      </c>
      <c r="H710">
        <v>7</v>
      </c>
      <c r="I710">
        <v>1</v>
      </c>
      <c r="J710" s="1" t="s">
        <v>43</v>
      </c>
      <c r="K710">
        <v>1</v>
      </c>
      <c r="L710">
        <v>1492</v>
      </c>
      <c r="M710">
        <v>4</v>
      </c>
      <c r="N710" s="1" t="s">
        <v>44</v>
      </c>
      <c r="O710">
        <v>76</v>
      </c>
      <c r="P710">
        <v>3</v>
      </c>
      <c r="Q710">
        <v>1</v>
      </c>
      <c r="R710" s="1" t="s">
        <v>54</v>
      </c>
      <c r="S710">
        <v>3</v>
      </c>
      <c r="T710" s="1" t="s">
        <v>105</v>
      </c>
      <c r="U710">
        <v>2404</v>
      </c>
      <c r="V710" s="1" t="s">
        <v>47</v>
      </c>
      <c r="W710">
        <v>16192</v>
      </c>
      <c r="X710">
        <v>1</v>
      </c>
      <c r="Y710" s="1" t="s">
        <v>48</v>
      </c>
      <c r="Z710" s="1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8">
      <c r="A711" s="1" t="s">
        <v>776</v>
      </c>
      <c r="B711">
        <v>35</v>
      </c>
      <c r="C711" s="1" t="s">
        <v>190</v>
      </c>
      <c r="D711" s="1" t="s">
        <v>49</v>
      </c>
      <c r="E711" s="1" t="s">
        <v>41</v>
      </c>
      <c r="F711">
        <v>1029</v>
      </c>
      <c r="G711" s="1" t="s">
        <v>42</v>
      </c>
      <c r="H711">
        <v>16</v>
      </c>
      <c r="I711">
        <v>3</v>
      </c>
      <c r="J711" s="1" t="s">
        <v>43</v>
      </c>
      <c r="K711">
        <v>1</v>
      </c>
      <c r="L711">
        <v>1529</v>
      </c>
      <c r="M711">
        <v>4</v>
      </c>
      <c r="N711" s="1" t="s">
        <v>53</v>
      </c>
      <c r="O711">
        <v>91</v>
      </c>
      <c r="P711">
        <v>2</v>
      </c>
      <c r="Q711">
        <v>3</v>
      </c>
      <c r="R711" s="1" t="s">
        <v>161</v>
      </c>
      <c r="S711">
        <v>2</v>
      </c>
      <c r="T711" s="1" t="s">
        <v>46</v>
      </c>
      <c r="U711">
        <v>8606</v>
      </c>
      <c r="V711" s="1" t="s">
        <v>163</v>
      </c>
      <c r="W711">
        <v>21195</v>
      </c>
      <c r="X711">
        <v>1</v>
      </c>
      <c r="Y711" s="1" t="s">
        <v>48</v>
      </c>
      <c r="Z711" s="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8">
      <c r="A712" s="1" t="s">
        <v>777</v>
      </c>
      <c r="B712">
        <v>35</v>
      </c>
      <c r="C712" s="1" t="s">
        <v>190</v>
      </c>
      <c r="D712" s="1" t="s">
        <v>49</v>
      </c>
      <c r="E712" s="1" t="s">
        <v>41</v>
      </c>
      <c r="F712">
        <v>1402</v>
      </c>
      <c r="G712" s="1" t="s">
        <v>51</v>
      </c>
      <c r="H712">
        <v>28</v>
      </c>
      <c r="I712">
        <v>4</v>
      </c>
      <c r="J712" s="1" t="s">
        <v>43</v>
      </c>
      <c r="K712">
        <v>1</v>
      </c>
      <c r="L712">
        <v>1554</v>
      </c>
      <c r="M712">
        <v>2</v>
      </c>
      <c r="N712" s="1" t="s">
        <v>53</v>
      </c>
      <c r="O712">
        <v>98</v>
      </c>
      <c r="P712">
        <v>2</v>
      </c>
      <c r="Q712">
        <v>1</v>
      </c>
      <c r="R712" s="1" t="s">
        <v>54</v>
      </c>
      <c r="S712">
        <v>3</v>
      </c>
      <c r="T712" s="1" t="s">
        <v>105</v>
      </c>
      <c r="U712">
        <v>2430</v>
      </c>
      <c r="V712" s="1" t="s">
        <v>47</v>
      </c>
      <c r="W712">
        <v>26204</v>
      </c>
      <c r="X712">
        <v>0</v>
      </c>
      <c r="Y712" s="1" t="s">
        <v>48</v>
      </c>
      <c r="Z712" s="1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8">
      <c r="A713" s="1" t="s">
        <v>778</v>
      </c>
      <c r="B713">
        <v>35</v>
      </c>
      <c r="C713" s="1" t="s">
        <v>190</v>
      </c>
      <c r="D713" s="1" t="s">
        <v>49</v>
      </c>
      <c r="E713" s="1" t="s">
        <v>41</v>
      </c>
      <c r="F713">
        <v>992</v>
      </c>
      <c r="G713" s="1" t="s">
        <v>42</v>
      </c>
      <c r="H713">
        <v>1</v>
      </c>
      <c r="I713">
        <v>3</v>
      </c>
      <c r="J713" s="1" t="s">
        <v>52</v>
      </c>
      <c r="K713">
        <v>1</v>
      </c>
      <c r="L713">
        <v>1564</v>
      </c>
      <c r="M713">
        <v>4</v>
      </c>
      <c r="N713" s="1" t="s">
        <v>44</v>
      </c>
      <c r="O713">
        <v>68</v>
      </c>
      <c r="P713">
        <v>2</v>
      </c>
      <c r="Q713">
        <v>1</v>
      </c>
      <c r="R713" s="1" t="s">
        <v>45</v>
      </c>
      <c r="S713">
        <v>1</v>
      </c>
      <c r="T713" s="1" t="s">
        <v>46</v>
      </c>
      <c r="U713">
        <v>2450</v>
      </c>
      <c r="V713" s="1" t="s">
        <v>47</v>
      </c>
      <c r="W713">
        <v>21731</v>
      </c>
      <c r="X713">
        <v>1</v>
      </c>
      <c r="Y713" s="1" t="s">
        <v>48</v>
      </c>
      <c r="Z713" s="1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8">
      <c r="A714" s="1" t="s">
        <v>779</v>
      </c>
      <c r="B714">
        <v>35</v>
      </c>
      <c r="C714" s="1" t="s">
        <v>190</v>
      </c>
      <c r="D714" s="1" t="s">
        <v>40</v>
      </c>
      <c r="E714" s="1" t="s">
        <v>41</v>
      </c>
      <c r="F714">
        <v>104</v>
      </c>
      <c r="G714" s="1" t="s">
        <v>42</v>
      </c>
      <c r="H714">
        <v>2</v>
      </c>
      <c r="I714">
        <v>3</v>
      </c>
      <c r="J714" s="1" t="s">
        <v>43</v>
      </c>
      <c r="K714">
        <v>1</v>
      </c>
      <c r="L714">
        <v>1569</v>
      </c>
      <c r="M714">
        <v>1</v>
      </c>
      <c r="N714" s="1" t="s">
        <v>53</v>
      </c>
      <c r="O714">
        <v>69</v>
      </c>
      <c r="P714">
        <v>3</v>
      </c>
      <c r="Q714">
        <v>1</v>
      </c>
      <c r="R714" s="1" t="s">
        <v>45</v>
      </c>
      <c r="S714">
        <v>1</v>
      </c>
      <c r="T714" s="1" t="s">
        <v>102</v>
      </c>
      <c r="U714">
        <v>2074</v>
      </c>
      <c r="V714" s="1" t="s">
        <v>47</v>
      </c>
      <c r="W714">
        <v>26619</v>
      </c>
      <c r="X714">
        <v>1</v>
      </c>
      <c r="Y714" s="1" t="s">
        <v>48</v>
      </c>
      <c r="Z714" s="1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8">
      <c r="A715" s="1" t="s">
        <v>780</v>
      </c>
      <c r="B715">
        <v>35</v>
      </c>
      <c r="C715" s="1" t="s">
        <v>190</v>
      </c>
      <c r="D715" s="1" t="s">
        <v>49</v>
      </c>
      <c r="E715" s="1" t="s">
        <v>41</v>
      </c>
      <c r="F715">
        <v>670</v>
      </c>
      <c r="G715" s="1" t="s">
        <v>42</v>
      </c>
      <c r="H715">
        <v>10</v>
      </c>
      <c r="I715">
        <v>4</v>
      </c>
      <c r="J715" s="1" t="s">
        <v>52</v>
      </c>
      <c r="K715">
        <v>1</v>
      </c>
      <c r="L715">
        <v>1587</v>
      </c>
      <c r="M715">
        <v>1</v>
      </c>
      <c r="N715" s="1" t="s">
        <v>53</v>
      </c>
      <c r="O715">
        <v>51</v>
      </c>
      <c r="P715">
        <v>3</v>
      </c>
      <c r="Q715">
        <v>2</v>
      </c>
      <c r="R715" s="1" t="s">
        <v>161</v>
      </c>
      <c r="S715">
        <v>3</v>
      </c>
      <c r="T715" s="1" t="s">
        <v>46</v>
      </c>
      <c r="U715">
        <v>6142</v>
      </c>
      <c r="V715" s="1" t="s">
        <v>163</v>
      </c>
      <c r="W715">
        <v>4223</v>
      </c>
      <c r="X715">
        <v>3</v>
      </c>
      <c r="Y715" s="1" t="s">
        <v>48</v>
      </c>
      <c r="Z715" s="1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8">
      <c r="A716" s="1" t="s">
        <v>781</v>
      </c>
      <c r="B716">
        <v>35</v>
      </c>
      <c r="C716" s="1" t="s">
        <v>190</v>
      </c>
      <c r="D716" s="1" t="s">
        <v>49</v>
      </c>
      <c r="E716" s="1" t="s">
        <v>41</v>
      </c>
      <c r="F716">
        <v>750</v>
      </c>
      <c r="G716" s="1" t="s">
        <v>42</v>
      </c>
      <c r="H716">
        <v>28</v>
      </c>
      <c r="I716">
        <v>3</v>
      </c>
      <c r="J716" s="1" t="s">
        <v>43</v>
      </c>
      <c r="K716">
        <v>1</v>
      </c>
      <c r="L716">
        <v>1596</v>
      </c>
      <c r="M716">
        <v>2</v>
      </c>
      <c r="N716" s="1" t="s">
        <v>44</v>
      </c>
      <c r="O716">
        <v>46</v>
      </c>
      <c r="P716">
        <v>4</v>
      </c>
      <c r="Q716">
        <v>2</v>
      </c>
      <c r="R716" s="1" t="s">
        <v>45</v>
      </c>
      <c r="S716">
        <v>3</v>
      </c>
      <c r="T716" s="1" t="s">
        <v>105</v>
      </c>
      <c r="U716">
        <v>3407</v>
      </c>
      <c r="V716" s="1" t="s">
        <v>47</v>
      </c>
      <c r="W716">
        <v>25348</v>
      </c>
      <c r="X716">
        <v>1</v>
      </c>
      <c r="Y716" s="1" t="s">
        <v>48</v>
      </c>
      <c r="Z716" s="1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8">
      <c r="A717" s="1" t="s">
        <v>782</v>
      </c>
      <c r="B717">
        <v>35</v>
      </c>
      <c r="C717" s="1" t="s">
        <v>190</v>
      </c>
      <c r="D717" s="1" t="s">
        <v>49</v>
      </c>
      <c r="E717" s="1" t="s">
        <v>41</v>
      </c>
      <c r="F717">
        <v>1349</v>
      </c>
      <c r="G717" s="1" t="s">
        <v>42</v>
      </c>
      <c r="H717">
        <v>7</v>
      </c>
      <c r="I717">
        <v>2</v>
      </c>
      <c r="J717" s="1" t="s">
        <v>43</v>
      </c>
      <c r="K717">
        <v>1</v>
      </c>
      <c r="L717">
        <v>1601</v>
      </c>
      <c r="M717">
        <v>3</v>
      </c>
      <c r="N717" s="1" t="s">
        <v>44</v>
      </c>
      <c r="O717">
        <v>63</v>
      </c>
      <c r="P717">
        <v>2</v>
      </c>
      <c r="Q717">
        <v>1</v>
      </c>
      <c r="R717" s="1" t="s">
        <v>45</v>
      </c>
      <c r="S717">
        <v>4</v>
      </c>
      <c r="T717" s="1" t="s">
        <v>105</v>
      </c>
      <c r="U717">
        <v>2690</v>
      </c>
      <c r="V717" s="1" t="s">
        <v>47</v>
      </c>
      <c r="W717">
        <v>7713</v>
      </c>
      <c r="X717">
        <v>1</v>
      </c>
      <c r="Y717" s="1" t="s">
        <v>48</v>
      </c>
      <c r="Z717" s="1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8">
      <c r="A718" s="1" t="s">
        <v>783</v>
      </c>
      <c r="B718">
        <v>35</v>
      </c>
      <c r="C718" s="1" t="s">
        <v>190</v>
      </c>
      <c r="D718" s="1" t="s">
        <v>49</v>
      </c>
      <c r="E718" s="1" t="s">
        <v>41</v>
      </c>
      <c r="F718">
        <v>819</v>
      </c>
      <c r="G718" s="1" t="s">
        <v>42</v>
      </c>
      <c r="H718">
        <v>18</v>
      </c>
      <c r="I718">
        <v>5</v>
      </c>
      <c r="J718" s="1" t="s">
        <v>43</v>
      </c>
      <c r="K718">
        <v>1</v>
      </c>
      <c r="L718">
        <v>1621</v>
      </c>
      <c r="M718">
        <v>2</v>
      </c>
      <c r="N718" s="1" t="s">
        <v>44</v>
      </c>
      <c r="O718">
        <v>48</v>
      </c>
      <c r="P718">
        <v>4</v>
      </c>
      <c r="Q718">
        <v>2</v>
      </c>
      <c r="R718" s="1" t="s">
        <v>60</v>
      </c>
      <c r="S718">
        <v>1</v>
      </c>
      <c r="T718" s="1" t="s">
        <v>105</v>
      </c>
      <c r="U718">
        <v>5208</v>
      </c>
      <c r="V718" s="1" t="s">
        <v>163</v>
      </c>
      <c r="W718">
        <v>26312</v>
      </c>
      <c r="X718">
        <v>1</v>
      </c>
      <c r="Y718" s="1" t="s">
        <v>48</v>
      </c>
      <c r="Z718" s="1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8">
      <c r="A719" s="1" t="s">
        <v>784</v>
      </c>
      <c r="B719">
        <v>35</v>
      </c>
      <c r="C719" s="1" t="s">
        <v>190</v>
      </c>
      <c r="D719" s="1" t="s">
        <v>49</v>
      </c>
      <c r="E719" s="1" t="s">
        <v>59</v>
      </c>
      <c r="F719">
        <v>208</v>
      </c>
      <c r="G719" s="1" t="s">
        <v>42</v>
      </c>
      <c r="H719">
        <v>8</v>
      </c>
      <c r="I719">
        <v>4</v>
      </c>
      <c r="J719" s="1" t="s">
        <v>43</v>
      </c>
      <c r="K719">
        <v>1</v>
      </c>
      <c r="L719">
        <v>1630</v>
      </c>
      <c r="M719">
        <v>3</v>
      </c>
      <c r="N719" s="1" t="s">
        <v>53</v>
      </c>
      <c r="O719">
        <v>52</v>
      </c>
      <c r="P719">
        <v>3</v>
      </c>
      <c r="Q719">
        <v>2</v>
      </c>
      <c r="R719" s="1" t="s">
        <v>161</v>
      </c>
      <c r="S719">
        <v>3</v>
      </c>
      <c r="T719" s="1" t="s">
        <v>105</v>
      </c>
      <c r="U719">
        <v>4148</v>
      </c>
      <c r="V719" s="1" t="s">
        <v>47</v>
      </c>
      <c r="W719">
        <v>12250</v>
      </c>
      <c r="X719">
        <v>1</v>
      </c>
      <c r="Y719" s="1" t="s">
        <v>48</v>
      </c>
      <c r="Z719" s="1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8">
      <c r="A720" s="1" t="s">
        <v>785</v>
      </c>
      <c r="B720">
        <v>35</v>
      </c>
      <c r="C720" s="1" t="s">
        <v>190</v>
      </c>
      <c r="D720" s="1" t="s">
        <v>40</v>
      </c>
      <c r="E720" s="1" t="s">
        <v>41</v>
      </c>
      <c r="F720">
        <v>737</v>
      </c>
      <c r="G720" s="1" t="s">
        <v>51</v>
      </c>
      <c r="H720">
        <v>10</v>
      </c>
      <c r="I720">
        <v>3</v>
      </c>
      <c r="J720" s="1" t="s">
        <v>52</v>
      </c>
      <c r="K720">
        <v>1</v>
      </c>
      <c r="L720">
        <v>1639</v>
      </c>
      <c r="M720">
        <v>4</v>
      </c>
      <c r="N720" s="1" t="s">
        <v>44</v>
      </c>
      <c r="O720">
        <v>55</v>
      </c>
      <c r="P720">
        <v>2</v>
      </c>
      <c r="Q720">
        <v>3</v>
      </c>
      <c r="R720" s="1" t="s">
        <v>137</v>
      </c>
      <c r="S720">
        <v>1</v>
      </c>
      <c r="T720" s="1" t="s">
        <v>105</v>
      </c>
      <c r="U720">
        <v>10306</v>
      </c>
      <c r="V720" s="1" t="s">
        <v>253</v>
      </c>
      <c r="W720">
        <v>21530</v>
      </c>
      <c r="X720">
        <v>9</v>
      </c>
      <c r="Y720" s="1" t="s">
        <v>48</v>
      </c>
      <c r="Z720" s="1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8">
      <c r="A721" s="1" t="s">
        <v>786</v>
      </c>
      <c r="B721">
        <v>35</v>
      </c>
      <c r="C721" s="1" t="s">
        <v>190</v>
      </c>
      <c r="D721" s="1" t="s">
        <v>40</v>
      </c>
      <c r="E721" s="1" t="s">
        <v>41</v>
      </c>
      <c r="F721">
        <v>763</v>
      </c>
      <c r="G721" s="1" t="s">
        <v>51</v>
      </c>
      <c r="H721">
        <v>15</v>
      </c>
      <c r="I721">
        <v>2</v>
      </c>
      <c r="J721" s="1" t="s">
        <v>52</v>
      </c>
      <c r="K721">
        <v>1</v>
      </c>
      <c r="L721">
        <v>1645</v>
      </c>
      <c r="M721">
        <v>1</v>
      </c>
      <c r="N721" s="1" t="s">
        <v>44</v>
      </c>
      <c r="O721">
        <v>59</v>
      </c>
      <c r="P721">
        <v>1</v>
      </c>
      <c r="Q721">
        <v>2</v>
      </c>
      <c r="R721" s="1" t="s">
        <v>137</v>
      </c>
      <c r="S721">
        <v>4</v>
      </c>
      <c r="T721" s="1" t="s">
        <v>102</v>
      </c>
      <c r="U721">
        <v>5440</v>
      </c>
      <c r="V721" s="1" t="s">
        <v>163</v>
      </c>
      <c r="W721">
        <v>22098</v>
      </c>
      <c r="X721">
        <v>6</v>
      </c>
      <c r="Y721" s="1" t="s">
        <v>48</v>
      </c>
      <c r="Z721" s="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8">
      <c r="A722" s="1" t="s">
        <v>787</v>
      </c>
      <c r="B722">
        <v>35</v>
      </c>
      <c r="C722" s="1" t="s">
        <v>190</v>
      </c>
      <c r="D722" s="1" t="s">
        <v>40</v>
      </c>
      <c r="E722" s="1" t="s">
        <v>56</v>
      </c>
      <c r="F722">
        <v>880</v>
      </c>
      <c r="G722" s="1" t="s">
        <v>51</v>
      </c>
      <c r="H722">
        <v>12</v>
      </c>
      <c r="I722">
        <v>4</v>
      </c>
      <c r="J722" s="1" t="s">
        <v>73</v>
      </c>
      <c r="K722">
        <v>1</v>
      </c>
      <c r="L722">
        <v>1667</v>
      </c>
      <c r="M722">
        <v>4</v>
      </c>
      <c r="N722" s="1" t="s">
        <v>44</v>
      </c>
      <c r="O722">
        <v>36</v>
      </c>
      <c r="P722">
        <v>3</v>
      </c>
      <c r="Q722">
        <v>2</v>
      </c>
      <c r="R722" s="1" t="s">
        <v>137</v>
      </c>
      <c r="S722">
        <v>4</v>
      </c>
      <c r="T722" s="1" t="s">
        <v>46</v>
      </c>
      <c r="U722">
        <v>4581</v>
      </c>
      <c r="V722" s="1" t="s">
        <v>47</v>
      </c>
      <c r="W722">
        <v>10414</v>
      </c>
      <c r="X722">
        <v>3</v>
      </c>
      <c r="Y722" s="1" t="s">
        <v>48</v>
      </c>
      <c r="Z722" s="1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8">
      <c r="A723" s="1" t="s">
        <v>788</v>
      </c>
      <c r="B723">
        <v>35</v>
      </c>
      <c r="C723" s="1" t="s">
        <v>190</v>
      </c>
      <c r="D723" s="1" t="s">
        <v>49</v>
      </c>
      <c r="E723" s="1" t="s">
        <v>56</v>
      </c>
      <c r="F723">
        <v>146</v>
      </c>
      <c r="G723" s="1" t="s">
        <v>42</v>
      </c>
      <c r="H723">
        <v>2</v>
      </c>
      <c r="I723">
        <v>4</v>
      </c>
      <c r="J723" s="1" t="s">
        <v>52</v>
      </c>
      <c r="K723">
        <v>1</v>
      </c>
      <c r="L723">
        <v>1704</v>
      </c>
      <c r="M723">
        <v>1</v>
      </c>
      <c r="N723" s="1" t="s">
        <v>44</v>
      </c>
      <c r="O723">
        <v>79</v>
      </c>
      <c r="P723">
        <v>2</v>
      </c>
      <c r="Q723">
        <v>1</v>
      </c>
      <c r="R723" s="1" t="s">
        <v>60</v>
      </c>
      <c r="S723">
        <v>4</v>
      </c>
      <c r="T723" s="1" t="s">
        <v>46</v>
      </c>
      <c r="U723">
        <v>4930</v>
      </c>
      <c r="V723" s="1" t="s">
        <v>47</v>
      </c>
      <c r="W723">
        <v>13970</v>
      </c>
      <c r="X723">
        <v>0</v>
      </c>
      <c r="Y723" s="1" t="s">
        <v>48</v>
      </c>
      <c r="Z723" s="1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8">
      <c r="A724" s="1" t="s">
        <v>789</v>
      </c>
      <c r="B724">
        <v>35</v>
      </c>
      <c r="C724" s="1" t="s">
        <v>190</v>
      </c>
      <c r="D724" s="1" t="s">
        <v>49</v>
      </c>
      <c r="E724" s="1" t="s">
        <v>41</v>
      </c>
      <c r="F724">
        <v>1370</v>
      </c>
      <c r="G724" s="1" t="s">
        <v>42</v>
      </c>
      <c r="H724">
        <v>27</v>
      </c>
      <c r="I724">
        <v>4</v>
      </c>
      <c r="J724" s="1" t="s">
        <v>43</v>
      </c>
      <c r="K724">
        <v>1</v>
      </c>
      <c r="L724">
        <v>1728</v>
      </c>
      <c r="M724">
        <v>4</v>
      </c>
      <c r="N724" s="1" t="s">
        <v>44</v>
      </c>
      <c r="O724">
        <v>49</v>
      </c>
      <c r="P724">
        <v>3</v>
      </c>
      <c r="Q724">
        <v>2</v>
      </c>
      <c r="R724" s="1" t="s">
        <v>112</v>
      </c>
      <c r="S724">
        <v>3</v>
      </c>
      <c r="T724" s="1" t="s">
        <v>105</v>
      </c>
      <c r="U724">
        <v>6883</v>
      </c>
      <c r="V724" s="1" t="s">
        <v>163</v>
      </c>
      <c r="W724">
        <v>5151</v>
      </c>
      <c r="X724">
        <v>2</v>
      </c>
      <c r="Y724" s="1" t="s">
        <v>48</v>
      </c>
      <c r="Z724" s="1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8">
      <c r="A725" s="1" t="s">
        <v>790</v>
      </c>
      <c r="B725">
        <v>35</v>
      </c>
      <c r="C725" s="1" t="s">
        <v>190</v>
      </c>
      <c r="D725" s="1" t="s">
        <v>40</v>
      </c>
      <c r="E725" s="1" t="s">
        <v>41</v>
      </c>
      <c r="F725">
        <v>303</v>
      </c>
      <c r="G725" s="1" t="s">
        <v>51</v>
      </c>
      <c r="H725">
        <v>27</v>
      </c>
      <c r="I725">
        <v>3</v>
      </c>
      <c r="J725" s="1" t="s">
        <v>43</v>
      </c>
      <c r="K725">
        <v>1</v>
      </c>
      <c r="L725">
        <v>1797</v>
      </c>
      <c r="M725">
        <v>3</v>
      </c>
      <c r="N725" s="1" t="s">
        <v>44</v>
      </c>
      <c r="O725">
        <v>84</v>
      </c>
      <c r="P725">
        <v>3</v>
      </c>
      <c r="Q725">
        <v>2</v>
      </c>
      <c r="R725" s="1" t="s">
        <v>137</v>
      </c>
      <c r="S725">
        <v>4</v>
      </c>
      <c r="T725" s="1" t="s">
        <v>46</v>
      </c>
      <c r="U725">
        <v>5813</v>
      </c>
      <c r="V725" s="1" t="s">
        <v>163</v>
      </c>
      <c r="W725">
        <v>13492</v>
      </c>
      <c r="X725">
        <v>1</v>
      </c>
      <c r="Y725" s="1" t="s">
        <v>48</v>
      </c>
      <c r="Z725" s="1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8">
      <c r="A726" s="1" t="s">
        <v>791</v>
      </c>
      <c r="B726">
        <v>35</v>
      </c>
      <c r="C726" s="1" t="s">
        <v>190</v>
      </c>
      <c r="D726" s="1" t="s">
        <v>49</v>
      </c>
      <c r="E726" s="1" t="s">
        <v>59</v>
      </c>
      <c r="F726">
        <v>1180</v>
      </c>
      <c r="G726" s="1" t="s">
        <v>42</v>
      </c>
      <c r="H726">
        <v>2</v>
      </c>
      <c r="I726">
        <v>2</v>
      </c>
      <c r="J726" s="1" t="s">
        <v>52</v>
      </c>
      <c r="K726">
        <v>1</v>
      </c>
      <c r="L726">
        <v>1804</v>
      </c>
      <c r="M726">
        <v>2</v>
      </c>
      <c r="N726" s="1" t="s">
        <v>44</v>
      </c>
      <c r="O726">
        <v>90</v>
      </c>
      <c r="P726">
        <v>3</v>
      </c>
      <c r="Q726">
        <v>2</v>
      </c>
      <c r="R726" s="1" t="s">
        <v>112</v>
      </c>
      <c r="S726">
        <v>4</v>
      </c>
      <c r="T726" s="1" t="s">
        <v>102</v>
      </c>
      <c r="U726">
        <v>5762</v>
      </c>
      <c r="V726" s="1" t="s">
        <v>163</v>
      </c>
      <c r="W726">
        <v>24442</v>
      </c>
      <c r="X726">
        <v>2</v>
      </c>
      <c r="Y726" s="1" t="s">
        <v>48</v>
      </c>
      <c r="Z726" s="1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8">
      <c r="A727" s="1" t="s">
        <v>792</v>
      </c>
      <c r="B727">
        <v>35</v>
      </c>
      <c r="C727" s="1" t="s">
        <v>190</v>
      </c>
      <c r="D727" s="1" t="s">
        <v>49</v>
      </c>
      <c r="E727" s="1" t="s">
        <v>41</v>
      </c>
      <c r="F727">
        <v>185</v>
      </c>
      <c r="G727" s="1" t="s">
        <v>42</v>
      </c>
      <c r="H727">
        <v>23</v>
      </c>
      <c r="I727">
        <v>4</v>
      </c>
      <c r="J727" s="1" t="s">
        <v>52</v>
      </c>
      <c r="K727">
        <v>1</v>
      </c>
      <c r="L727">
        <v>1826</v>
      </c>
      <c r="M727">
        <v>2</v>
      </c>
      <c r="N727" s="1" t="s">
        <v>44</v>
      </c>
      <c r="O727">
        <v>91</v>
      </c>
      <c r="P727">
        <v>1</v>
      </c>
      <c r="Q727">
        <v>1</v>
      </c>
      <c r="R727" s="1" t="s">
        <v>45</v>
      </c>
      <c r="S727">
        <v>3</v>
      </c>
      <c r="T727" s="1" t="s">
        <v>105</v>
      </c>
      <c r="U727">
        <v>2705</v>
      </c>
      <c r="V727" s="1" t="s">
        <v>47</v>
      </c>
      <c r="W727">
        <v>9696</v>
      </c>
      <c r="X727">
        <v>0</v>
      </c>
      <c r="Y727" s="1" t="s">
        <v>48</v>
      </c>
      <c r="Z727" s="1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8">
      <c r="A728" s="1" t="s">
        <v>793</v>
      </c>
      <c r="B728">
        <v>35</v>
      </c>
      <c r="C728" s="1" t="s">
        <v>190</v>
      </c>
      <c r="D728" s="1" t="s">
        <v>49</v>
      </c>
      <c r="E728" s="1" t="s">
        <v>41</v>
      </c>
      <c r="F728">
        <v>219</v>
      </c>
      <c r="G728" s="1" t="s">
        <v>42</v>
      </c>
      <c r="H728">
        <v>16</v>
      </c>
      <c r="I728">
        <v>2</v>
      </c>
      <c r="J728" s="1" t="s">
        <v>73</v>
      </c>
      <c r="K728">
        <v>1</v>
      </c>
      <c r="L728">
        <v>1886</v>
      </c>
      <c r="M728">
        <v>4</v>
      </c>
      <c r="N728" s="1" t="s">
        <v>53</v>
      </c>
      <c r="O728">
        <v>44</v>
      </c>
      <c r="P728">
        <v>2</v>
      </c>
      <c r="Q728">
        <v>2</v>
      </c>
      <c r="R728" s="1" t="s">
        <v>112</v>
      </c>
      <c r="S728">
        <v>2</v>
      </c>
      <c r="T728" s="1" t="s">
        <v>105</v>
      </c>
      <c r="U728">
        <v>4788</v>
      </c>
      <c r="V728" s="1" t="s">
        <v>47</v>
      </c>
      <c r="W728">
        <v>25388</v>
      </c>
      <c r="X728">
        <v>0</v>
      </c>
      <c r="Y728" s="1" t="s">
        <v>48</v>
      </c>
      <c r="Z728" s="1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8">
      <c r="A729" s="1" t="s">
        <v>794</v>
      </c>
      <c r="B729">
        <v>35</v>
      </c>
      <c r="C729" s="1" t="s">
        <v>190</v>
      </c>
      <c r="D729" s="1" t="s">
        <v>49</v>
      </c>
      <c r="E729" s="1" t="s">
        <v>41</v>
      </c>
      <c r="F729">
        <v>682</v>
      </c>
      <c r="G729" s="1" t="s">
        <v>51</v>
      </c>
      <c r="H729">
        <v>18</v>
      </c>
      <c r="I729">
        <v>4</v>
      </c>
      <c r="J729" s="1" t="s">
        <v>52</v>
      </c>
      <c r="K729">
        <v>1</v>
      </c>
      <c r="L729">
        <v>1945</v>
      </c>
      <c r="M729">
        <v>2</v>
      </c>
      <c r="N729" s="1" t="s">
        <v>44</v>
      </c>
      <c r="O729">
        <v>71</v>
      </c>
      <c r="P729">
        <v>3</v>
      </c>
      <c r="Q729">
        <v>2</v>
      </c>
      <c r="R729" s="1" t="s">
        <v>137</v>
      </c>
      <c r="S729">
        <v>1</v>
      </c>
      <c r="T729" s="1" t="s">
        <v>105</v>
      </c>
      <c r="U729">
        <v>5561</v>
      </c>
      <c r="V729" s="1" t="s">
        <v>163</v>
      </c>
      <c r="W729">
        <v>15975</v>
      </c>
      <c r="X729">
        <v>0</v>
      </c>
      <c r="Y729" s="1" t="s">
        <v>48</v>
      </c>
      <c r="Z729" s="1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8">
      <c r="A730" s="1" t="s">
        <v>795</v>
      </c>
      <c r="B730">
        <v>35</v>
      </c>
      <c r="C730" s="1" t="s">
        <v>190</v>
      </c>
      <c r="D730" s="1" t="s">
        <v>49</v>
      </c>
      <c r="E730" s="1" t="s">
        <v>41</v>
      </c>
      <c r="F730">
        <v>1224</v>
      </c>
      <c r="G730" s="1" t="s">
        <v>51</v>
      </c>
      <c r="H730">
        <v>7</v>
      </c>
      <c r="I730">
        <v>4</v>
      </c>
      <c r="J730" s="1" t="s">
        <v>43</v>
      </c>
      <c r="K730">
        <v>1</v>
      </c>
      <c r="L730">
        <v>1962</v>
      </c>
      <c r="M730">
        <v>3</v>
      </c>
      <c r="N730" s="1" t="s">
        <v>53</v>
      </c>
      <c r="O730">
        <v>55</v>
      </c>
      <c r="P730">
        <v>3</v>
      </c>
      <c r="Q730">
        <v>2</v>
      </c>
      <c r="R730" s="1" t="s">
        <v>137</v>
      </c>
      <c r="S730">
        <v>4</v>
      </c>
      <c r="T730" s="1" t="s">
        <v>105</v>
      </c>
      <c r="U730">
        <v>5204</v>
      </c>
      <c r="V730" s="1" t="s">
        <v>163</v>
      </c>
      <c r="W730">
        <v>13586</v>
      </c>
      <c r="X730">
        <v>1</v>
      </c>
      <c r="Y730" s="1" t="s">
        <v>48</v>
      </c>
      <c r="Z730" s="1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8">
      <c r="A731" s="1" t="s">
        <v>796</v>
      </c>
      <c r="B731">
        <v>35</v>
      </c>
      <c r="C731" s="1" t="s">
        <v>190</v>
      </c>
      <c r="D731" s="1" t="s">
        <v>49</v>
      </c>
      <c r="E731" s="1" t="s">
        <v>276</v>
      </c>
      <c r="F731">
        <v>1490</v>
      </c>
      <c r="G731" s="1" t="s">
        <v>42</v>
      </c>
      <c r="H731">
        <v>11</v>
      </c>
      <c r="I731">
        <v>4</v>
      </c>
      <c r="J731" s="1" t="s">
        <v>52</v>
      </c>
      <c r="K731">
        <v>1</v>
      </c>
      <c r="L731">
        <v>2003</v>
      </c>
      <c r="M731">
        <v>4</v>
      </c>
      <c r="N731" s="1" t="s">
        <v>44</v>
      </c>
      <c r="O731">
        <v>43</v>
      </c>
      <c r="P731">
        <v>3</v>
      </c>
      <c r="Q731">
        <v>1</v>
      </c>
      <c r="R731" s="1" t="s">
        <v>45</v>
      </c>
      <c r="S731">
        <v>3</v>
      </c>
      <c r="T731" s="1" t="s">
        <v>105</v>
      </c>
      <c r="U731">
        <v>2660</v>
      </c>
      <c r="V731" s="1" t="s">
        <v>47</v>
      </c>
      <c r="W731">
        <v>20232</v>
      </c>
      <c r="X731">
        <v>7</v>
      </c>
      <c r="Y731" s="1" t="s">
        <v>48</v>
      </c>
      <c r="Z731" s="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8">
      <c r="A732" s="1" t="s">
        <v>797</v>
      </c>
      <c r="B732">
        <v>35</v>
      </c>
      <c r="C732" s="1" t="s">
        <v>190</v>
      </c>
      <c r="D732" s="1" t="s">
        <v>49</v>
      </c>
      <c r="E732" s="1" t="s">
        <v>41</v>
      </c>
      <c r="F732">
        <v>1395</v>
      </c>
      <c r="G732" s="1" t="s">
        <v>42</v>
      </c>
      <c r="H732">
        <v>9</v>
      </c>
      <c r="I732">
        <v>4</v>
      </c>
      <c r="J732" s="1" t="s">
        <v>52</v>
      </c>
      <c r="K732">
        <v>1</v>
      </c>
      <c r="L732">
        <v>2008</v>
      </c>
      <c r="M732">
        <v>2</v>
      </c>
      <c r="N732" s="1" t="s">
        <v>44</v>
      </c>
      <c r="O732">
        <v>48</v>
      </c>
      <c r="P732">
        <v>3</v>
      </c>
      <c r="Q732">
        <v>2</v>
      </c>
      <c r="R732" s="1" t="s">
        <v>60</v>
      </c>
      <c r="S732">
        <v>3</v>
      </c>
      <c r="T732" s="1" t="s">
        <v>46</v>
      </c>
      <c r="U732">
        <v>5098</v>
      </c>
      <c r="V732" s="1" t="s">
        <v>163</v>
      </c>
      <c r="W732">
        <v>18698</v>
      </c>
      <c r="X732">
        <v>1</v>
      </c>
      <c r="Y732" s="1" t="s">
        <v>48</v>
      </c>
      <c r="Z732" s="1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8">
      <c r="A733" s="1" t="s">
        <v>798</v>
      </c>
      <c r="B733">
        <v>35</v>
      </c>
      <c r="C733" s="1" t="s">
        <v>190</v>
      </c>
      <c r="D733" s="1" t="s">
        <v>49</v>
      </c>
      <c r="E733" s="1" t="s">
        <v>41</v>
      </c>
      <c r="F733">
        <v>1146</v>
      </c>
      <c r="G733" s="1" t="s">
        <v>71</v>
      </c>
      <c r="H733">
        <v>26</v>
      </c>
      <c r="I733">
        <v>4</v>
      </c>
      <c r="J733" s="1" t="s">
        <v>43</v>
      </c>
      <c r="K733">
        <v>1</v>
      </c>
      <c r="L733">
        <v>2040</v>
      </c>
      <c r="M733">
        <v>3</v>
      </c>
      <c r="N733" s="1" t="s">
        <v>53</v>
      </c>
      <c r="O733">
        <v>31</v>
      </c>
      <c r="P733">
        <v>3</v>
      </c>
      <c r="Q733">
        <v>3</v>
      </c>
      <c r="R733" s="1" t="s">
        <v>71</v>
      </c>
      <c r="S733">
        <v>4</v>
      </c>
      <c r="T733" s="1" t="s">
        <v>46</v>
      </c>
      <c r="U733">
        <v>8837</v>
      </c>
      <c r="V733" s="1" t="s">
        <v>163</v>
      </c>
      <c r="W733">
        <v>16642</v>
      </c>
      <c r="X733">
        <v>1</v>
      </c>
      <c r="Y733" s="1" t="s">
        <v>48</v>
      </c>
      <c r="Z733" s="1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8">
      <c r="A734" s="1" t="s">
        <v>799</v>
      </c>
      <c r="B734">
        <v>35</v>
      </c>
      <c r="C734" s="1" t="s">
        <v>190</v>
      </c>
      <c r="D734" s="1" t="s">
        <v>49</v>
      </c>
      <c r="E734" s="1" t="s">
        <v>56</v>
      </c>
      <c r="F734">
        <v>1199</v>
      </c>
      <c r="G734" s="1" t="s">
        <v>42</v>
      </c>
      <c r="H734">
        <v>18</v>
      </c>
      <c r="I734">
        <v>4</v>
      </c>
      <c r="J734" s="1" t="s">
        <v>43</v>
      </c>
      <c r="K734">
        <v>1</v>
      </c>
      <c r="L734">
        <v>2049</v>
      </c>
      <c r="M734">
        <v>3</v>
      </c>
      <c r="N734" s="1" t="s">
        <v>44</v>
      </c>
      <c r="O734">
        <v>80</v>
      </c>
      <c r="P734">
        <v>3</v>
      </c>
      <c r="Q734">
        <v>2</v>
      </c>
      <c r="R734" s="1" t="s">
        <v>161</v>
      </c>
      <c r="S734">
        <v>3</v>
      </c>
      <c r="T734" s="1" t="s">
        <v>105</v>
      </c>
      <c r="U734">
        <v>5689</v>
      </c>
      <c r="V734" s="1" t="s">
        <v>163</v>
      </c>
      <c r="W734">
        <v>24594</v>
      </c>
      <c r="X734">
        <v>1</v>
      </c>
      <c r="Y734" s="1" t="s">
        <v>48</v>
      </c>
      <c r="Z734" s="1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8">
      <c r="A735" s="1" t="s">
        <v>800</v>
      </c>
      <c r="B735">
        <v>35</v>
      </c>
      <c r="C735" s="1" t="s">
        <v>190</v>
      </c>
      <c r="D735" s="1" t="s">
        <v>49</v>
      </c>
      <c r="E735" s="1" t="s">
        <v>41</v>
      </c>
      <c r="F735">
        <v>287</v>
      </c>
      <c r="G735" s="1" t="s">
        <v>42</v>
      </c>
      <c r="H735">
        <v>1</v>
      </c>
      <c r="I735">
        <v>4</v>
      </c>
      <c r="J735" s="1" t="s">
        <v>43</v>
      </c>
      <c r="K735">
        <v>1</v>
      </c>
      <c r="L735">
        <v>2052</v>
      </c>
      <c r="M735">
        <v>3</v>
      </c>
      <c r="N735" s="1" t="s">
        <v>53</v>
      </c>
      <c r="O735">
        <v>62</v>
      </c>
      <c r="P735">
        <v>1</v>
      </c>
      <c r="Q735">
        <v>1</v>
      </c>
      <c r="R735" s="1" t="s">
        <v>60</v>
      </c>
      <c r="S735">
        <v>4</v>
      </c>
      <c r="T735" s="1" t="s">
        <v>105</v>
      </c>
      <c r="U735">
        <v>2977</v>
      </c>
      <c r="V735" s="1" t="s">
        <v>47</v>
      </c>
      <c r="W735">
        <v>8952</v>
      </c>
      <c r="X735">
        <v>1</v>
      </c>
      <c r="Y735" s="1" t="s">
        <v>48</v>
      </c>
      <c r="Z735" s="1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8">
      <c r="A736" s="1" t="s">
        <v>801</v>
      </c>
      <c r="B736">
        <v>36</v>
      </c>
      <c r="C736" s="1" t="s">
        <v>802</v>
      </c>
      <c r="D736" s="1" t="s">
        <v>49</v>
      </c>
      <c r="E736" s="1" t="s">
        <v>41</v>
      </c>
      <c r="F736">
        <v>1299</v>
      </c>
      <c r="G736" s="1" t="s">
        <v>42</v>
      </c>
      <c r="H736">
        <v>27</v>
      </c>
      <c r="I736">
        <v>3</v>
      </c>
      <c r="J736" s="1" t="s">
        <v>52</v>
      </c>
      <c r="K736">
        <v>1</v>
      </c>
      <c r="L736">
        <v>13</v>
      </c>
      <c r="M736">
        <v>3</v>
      </c>
      <c r="N736" s="1" t="s">
        <v>44</v>
      </c>
      <c r="O736">
        <v>94</v>
      </c>
      <c r="P736">
        <v>3</v>
      </c>
      <c r="Q736">
        <v>2</v>
      </c>
      <c r="R736" s="1" t="s">
        <v>161</v>
      </c>
      <c r="S736">
        <v>3</v>
      </c>
      <c r="T736" s="1" t="s">
        <v>105</v>
      </c>
      <c r="U736">
        <v>5237</v>
      </c>
      <c r="V736" s="1" t="s">
        <v>163</v>
      </c>
      <c r="W736">
        <v>16577</v>
      </c>
      <c r="X736">
        <v>6</v>
      </c>
      <c r="Y736" s="1" t="s">
        <v>48</v>
      </c>
      <c r="Z736" s="1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8">
      <c r="A737" s="1" t="s">
        <v>803</v>
      </c>
      <c r="B737">
        <v>36</v>
      </c>
      <c r="C737" s="1" t="s">
        <v>802</v>
      </c>
      <c r="D737" s="1" t="s">
        <v>40</v>
      </c>
      <c r="E737" s="1" t="s">
        <v>41</v>
      </c>
      <c r="F737">
        <v>1218</v>
      </c>
      <c r="G737" s="1" t="s">
        <v>51</v>
      </c>
      <c r="H737">
        <v>9</v>
      </c>
      <c r="I737">
        <v>4</v>
      </c>
      <c r="J737" s="1" t="s">
        <v>43</v>
      </c>
      <c r="K737">
        <v>1</v>
      </c>
      <c r="L737">
        <v>27</v>
      </c>
      <c r="M737">
        <v>3</v>
      </c>
      <c r="N737" s="1" t="s">
        <v>44</v>
      </c>
      <c r="O737">
        <v>82</v>
      </c>
      <c r="P737">
        <v>2</v>
      </c>
      <c r="Q737">
        <v>1</v>
      </c>
      <c r="R737" s="1" t="s">
        <v>54</v>
      </c>
      <c r="S737">
        <v>1</v>
      </c>
      <c r="T737" s="1" t="s">
        <v>46</v>
      </c>
      <c r="U737">
        <v>3407</v>
      </c>
      <c r="V737" s="1" t="s">
        <v>47</v>
      </c>
      <c r="W737">
        <v>6986</v>
      </c>
      <c r="X737">
        <v>7</v>
      </c>
      <c r="Y737" s="1" t="s">
        <v>48</v>
      </c>
      <c r="Z737" s="1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8">
      <c r="A738" s="1" t="s">
        <v>804</v>
      </c>
      <c r="B738">
        <v>36</v>
      </c>
      <c r="C738" s="1" t="s">
        <v>802</v>
      </c>
      <c r="D738" s="1" t="s">
        <v>49</v>
      </c>
      <c r="E738" s="1" t="s">
        <v>41</v>
      </c>
      <c r="F738">
        <v>852</v>
      </c>
      <c r="G738" s="1" t="s">
        <v>42</v>
      </c>
      <c r="H738">
        <v>5</v>
      </c>
      <c r="I738">
        <v>4</v>
      </c>
      <c r="J738" s="1" t="s">
        <v>43</v>
      </c>
      <c r="K738">
        <v>1</v>
      </c>
      <c r="L738">
        <v>51</v>
      </c>
      <c r="M738">
        <v>2</v>
      </c>
      <c r="N738" s="1" t="s">
        <v>53</v>
      </c>
      <c r="O738">
        <v>82</v>
      </c>
      <c r="P738">
        <v>2</v>
      </c>
      <c r="Q738">
        <v>1</v>
      </c>
      <c r="R738" s="1" t="s">
        <v>60</v>
      </c>
      <c r="S738">
        <v>1</v>
      </c>
      <c r="T738" s="1" t="s">
        <v>105</v>
      </c>
      <c r="U738">
        <v>3419</v>
      </c>
      <c r="V738" s="1" t="s">
        <v>47</v>
      </c>
      <c r="W738">
        <v>13072</v>
      </c>
      <c r="X738">
        <v>9</v>
      </c>
      <c r="Y738" s="1" t="s">
        <v>48</v>
      </c>
      <c r="Z738" s="1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8">
      <c r="A739" s="1" t="s">
        <v>805</v>
      </c>
      <c r="B739">
        <v>36</v>
      </c>
      <c r="C739" s="1" t="s">
        <v>802</v>
      </c>
      <c r="D739" s="1" t="s">
        <v>49</v>
      </c>
      <c r="E739" s="1" t="s">
        <v>41</v>
      </c>
      <c r="F739">
        <v>1223</v>
      </c>
      <c r="G739" s="1" t="s">
        <v>42</v>
      </c>
      <c r="H739">
        <v>8</v>
      </c>
      <c r="I739">
        <v>3</v>
      </c>
      <c r="J739" s="1" t="s">
        <v>68</v>
      </c>
      <c r="K739">
        <v>1</v>
      </c>
      <c r="L739">
        <v>83</v>
      </c>
      <c r="M739">
        <v>3</v>
      </c>
      <c r="N739" s="1" t="s">
        <v>53</v>
      </c>
      <c r="O739">
        <v>59</v>
      </c>
      <c r="P739">
        <v>3</v>
      </c>
      <c r="Q739">
        <v>3</v>
      </c>
      <c r="R739" s="1" t="s">
        <v>161</v>
      </c>
      <c r="S739">
        <v>3</v>
      </c>
      <c r="T739" s="1" t="s">
        <v>102</v>
      </c>
      <c r="U739">
        <v>10096</v>
      </c>
      <c r="V739" s="1" t="s">
        <v>253</v>
      </c>
      <c r="W739">
        <v>8202</v>
      </c>
      <c r="X739">
        <v>1</v>
      </c>
      <c r="Y739" s="1" t="s">
        <v>48</v>
      </c>
      <c r="Z739" s="1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8">
      <c r="A740" s="1" t="s">
        <v>806</v>
      </c>
      <c r="B740">
        <v>36</v>
      </c>
      <c r="C740" s="1" t="s">
        <v>802</v>
      </c>
      <c r="D740" s="1" t="s">
        <v>49</v>
      </c>
      <c r="E740" s="1" t="s">
        <v>56</v>
      </c>
      <c r="F740">
        <v>1195</v>
      </c>
      <c r="G740" s="1" t="s">
        <v>42</v>
      </c>
      <c r="H740">
        <v>11</v>
      </c>
      <c r="I740">
        <v>3</v>
      </c>
      <c r="J740" s="1" t="s">
        <v>43</v>
      </c>
      <c r="K740">
        <v>1</v>
      </c>
      <c r="L740">
        <v>85</v>
      </c>
      <c r="M740">
        <v>2</v>
      </c>
      <c r="N740" s="1" t="s">
        <v>44</v>
      </c>
      <c r="O740">
        <v>95</v>
      </c>
      <c r="P740">
        <v>2</v>
      </c>
      <c r="Q740">
        <v>2</v>
      </c>
      <c r="R740" s="1" t="s">
        <v>112</v>
      </c>
      <c r="S740">
        <v>2</v>
      </c>
      <c r="T740" s="1" t="s">
        <v>46</v>
      </c>
      <c r="U740">
        <v>6499</v>
      </c>
      <c r="V740" s="1" t="s">
        <v>163</v>
      </c>
      <c r="W740">
        <v>22656</v>
      </c>
      <c r="X740">
        <v>1</v>
      </c>
      <c r="Y740" s="1" t="s">
        <v>48</v>
      </c>
      <c r="Z740" s="1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8">
      <c r="A741" s="1" t="s">
        <v>807</v>
      </c>
      <c r="B741">
        <v>36</v>
      </c>
      <c r="C741" s="1" t="s">
        <v>802</v>
      </c>
      <c r="D741" s="1" t="s">
        <v>40</v>
      </c>
      <c r="E741" s="1" t="s">
        <v>41</v>
      </c>
      <c r="F741">
        <v>318</v>
      </c>
      <c r="G741" s="1" t="s">
        <v>42</v>
      </c>
      <c r="H741">
        <v>9</v>
      </c>
      <c r="I741">
        <v>3</v>
      </c>
      <c r="J741" s="1" t="s">
        <v>52</v>
      </c>
      <c r="K741">
        <v>1</v>
      </c>
      <c r="L741">
        <v>90</v>
      </c>
      <c r="M741">
        <v>4</v>
      </c>
      <c r="N741" s="1" t="s">
        <v>44</v>
      </c>
      <c r="O741">
        <v>79</v>
      </c>
      <c r="P741">
        <v>2</v>
      </c>
      <c r="Q741">
        <v>1</v>
      </c>
      <c r="R741" s="1" t="s">
        <v>60</v>
      </c>
      <c r="S741">
        <v>3</v>
      </c>
      <c r="T741" s="1" t="s">
        <v>105</v>
      </c>
      <c r="U741">
        <v>3388</v>
      </c>
      <c r="V741" s="1" t="s">
        <v>47</v>
      </c>
      <c r="W741">
        <v>21777</v>
      </c>
      <c r="X741">
        <v>0</v>
      </c>
      <c r="Y741" s="1" t="s">
        <v>48</v>
      </c>
      <c r="Z741" s="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8">
      <c r="A742" s="1" t="s">
        <v>808</v>
      </c>
      <c r="B742">
        <v>36</v>
      </c>
      <c r="C742" s="1" t="s">
        <v>802</v>
      </c>
      <c r="D742" s="1" t="s">
        <v>49</v>
      </c>
      <c r="E742" s="1" t="s">
        <v>41</v>
      </c>
      <c r="F742">
        <v>132</v>
      </c>
      <c r="G742" s="1" t="s">
        <v>42</v>
      </c>
      <c r="H742">
        <v>6</v>
      </c>
      <c r="I742">
        <v>3</v>
      </c>
      <c r="J742" s="1" t="s">
        <v>43</v>
      </c>
      <c r="K742">
        <v>1</v>
      </c>
      <c r="L742">
        <v>97</v>
      </c>
      <c r="M742">
        <v>2</v>
      </c>
      <c r="N742" s="1" t="s">
        <v>53</v>
      </c>
      <c r="O742">
        <v>55</v>
      </c>
      <c r="P742">
        <v>4</v>
      </c>
      <c r="Q742">
        <v>1</v>
      </c>
      <c r="R742" s="1" t="s">
        <v>45</v>
      </c>
      <c r="S742">
        <v>4</v>
      </c>
      <c r="T742" s="1" t="s">
        <v>105</v>
      </c>
      <c r="U742">
        <v>3038</v>
      </c>
      <c r="V742" s="1" t="s">
        <v>47</v>
      </c>
      <c r="W742">
        <v>22002</v>
      </c>
      <c r="X742">
        <v>3</v>
      </c>
      <c r="Y742" s="1" t="s">
        <v>48</v>
      </c>
      <c r="Z742" s="1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8">
      <c r="A743" s="1" t="s">
        <v>809</v>
      </c>
      <c r="B743">
        <v>36</v>
      </c>
      <c r="C743" s="1" t="s">
        <v>802</v>
      </c>
      <c r="D743" s="1" t="s">
        <v>49</v>
      </c>
      <c r="E743" s="1" t="s">
        <v>56</v>
      </c>
      <c r="F743">
        <v>1467</v>
      </c>
      <c r="G743" s="1" t="s">
        <v>51</v>
      </c>
      <c r="H743">
        <v>11</v>
      </c>
      <c r="I743">
        <v>2</v>
      </c>
      <c r="J743" s="1" t="s">
        <v>68</v>
      </c>
      <c r="K743">
        <v>1</v>
      </c>
      <c r="L743">
        <v>154</v>
      </c>
      <c r="M743">
        <v>2</v>
      </c>
      <c r="N743" s="1" t="s">
        <v>53</v>
      </c>
      <c r="O743">
        <v>92</v>
      </c>
      <c r="P743">
        <v>3</v>
      </c>
      <c r="Q743">
        <v>3</v>
      </c>
      <c r="R743" s="1" t="s">
        <v>137</v>
      </c>
      <c r="S743">
        <v>4</v>
      </c>
      <c r="T743" s="1" t="s">
        <v>105</v>
      </c>
      <c r="U743">
        <v>9738</v>
      </c>
      <c r="V743" s="1" t="s">
        <v>163</v>
      </c>
      <c r="W743">
        <v>22952</v>
      </c>
      <c r="X743">
        <v>0</v>
      </c>
      <c r="Y743" s="1" t="s">
        <v>48</v>
      </c>
      <c r="Z743" s="1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8">
      <c r="A744" s="1" t="s">
        <v>810</v>
      </c>
      <c r="B744">
        <v>36</v>
      </c>
      <c r="C744" s="1" t="s">
        <v>802</v>
      </c>
      <c r="D744" s="1" t="s">
        <v>49</v>
      </c>
      <c r="E744" s="1" t="s">
        <v>41</v>
      </c>
      <c r="F744">
        <v>922</v>
      </c>
      <c r="G744" s="1" t="s">
        <v>42</v>
      </c>
      <c r="H744">
        <v>3</v>
      </c>
      <c r="I744">
        <v>2</v>
      </c>
      <c r="J744" s="1" t="s">
        <v>43</v>
      </c>
      <c r="K744">
        <v>1</v>
      </c>
      <c r="L744">
        <v>155</v>
      </c>
      <c r="M744">
        <v>1</v>
      </c>
      <c r="N744" s="1" t="s">
        <v>53</v>
      </c>
      <c r="O744">
        <v>39</v>
      </c>
      <c r="P744">
        <v>3</v>
      </c>
      <c r="Q744">
        <v>1</v>
      </c>
      <c r="R744" s="1" t="s">
        <v>45</v>
      </c>
      <c r="S744">
        <v>4</v>
      </c>
      <c r="T744" s="1" t="s">
        <v>102</v>
      </c>
      <c r="U744">
        <v>2835</v>
      </c>
      <c r="V744" s="1" t="s">
        <v>47</v>
      </c>
      <c r="W744">
        <v>2561</v>
      </c>
      <c r="X744">
        <v>5</v>
      </c>
      <c r="Y744" s="1" t="s">
        <v>48</v>
      </c>
      <c r="Z744" s="1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8">
      <c r="A745" s="1" t="s">
        <v>811</v>
      </c>
      <c r="B745">
        <v>36</v>
      </c>
      <c r="C745" s="1" t="s">
        <v>802</v>
      </c>
      <c r="D745" s="1" t="s">
        <v>49</v>
      </c>
      <c r="E745" s="1" t="s">
        <v>41</v>
      </c>
      <c r="F745">
        <v>216</v>
      </c>
      <c r="G745" s="1" t="s">
        <v>42</v>
      </c>
      <c r="H745">
        <v>6</v>
      </c>
      <c r="I745">
        <v>2</v>
      </c>
      <c r="J745" s="1" t="s">
        <v>52</v>
      </c>
      <c r="K745">
        <v>1</v>
      </c>
      <c r="L745">
        <v>178</v>
      </c>
      <c r="M745">
        <v>2</v>
      </c>
      <c r="N745" s="1" t="s">
        <v>44</v>
      </c>
      <c r="O745">
        <v>84</v>
      </c>
      <c r="P745">
        <v>3</v>
      </c>
      <c r="Q745">
        <v>2</v>
      </c>
      <c r="R745" s="1" t="s">
        <v>112</v>
      </c>
      <c r="S745">
        <v>2</v>
      </c>
      <c r="T745" s="1" t="s">
        <v>102</v>
      </c>
      <c r="U745">
        <v>4941</v>
      </c>
      <c r="V745" s="1" t="s">
        <v>47</v>
      </c>
      <c r="W745">
        <v>2819</v>
      </c>
      <c r="X745">
        <v>6</v>
      </c>
      <c r="Y745" s="1" t="s">
        <v>48</v>
      </c>
      <c r="Z745" s="1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8">
      <c r="A746" s="1" t="s">
        <v>812</v>
      </c>
      <c r="B746">
        <v>36</v>
      </c>
      <c r="C746" s="1" t="s">
        <v>802</v>
      </c>
      <c r="D746" s="1" t="s">
        <v>49</v>
      </c>
      <c r="E746" s="1" t="s">
        <v>56</v>
      </c>
      <c r="F746">
        <v>1480</v>
      </c>
      <c r="G746" s="1" t="s">
        <v>42</v>
      </c>
      <c r="H746">
        <v>3</v>
      </c>
      <c r="I746">
        <v>2</v>
      </c>
      <c r="J746" s="1" t="s">
        <v>52</v>
      </c>
      <c r="K746">
        <v>1</v>
      </c>
      <c r="L746">
        <v>238</v>
      </c>
      <c r="M746">
        <v>4</v>
      </c>
      <c r="N746" s="1" t="s">
        <v>44</v>
      </c>
      <c r="O746">
        <v>30</v>
      </c>
      <c r="P746">
        <v>3</v>
      </c>
      <c r="Q746">
        <v>1</v>
      </c>
      <c r="R746" s="1" t="s">
        <v>45</v>
      </c>
      <c r="S746">
        <v>2</v>
      </c>
      <c r="T746" s="1" t="s">
        <v>46</v>
      </c>
      <c r="U746">
        <v>2088</v>
      </c>
      <c r="V746" s="1" t="s">
        <v>47</v>
      </c>
      <c r="W746">
        <v>15062</v>
      </c>
      <c r="X746">
        <v>4</v>
      </c>
      <c r="Y746" s="1" t="s">
        <v>48</v>
      </c>
      <c r="Z746" s="1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8">
      <c r="A747" s="1" t="s">
        <v>813</v>
      </c>
      <c r="B747">
        <v>36</v>
      </c>
      <c r="C747" s="1" t="s">
        <v>802</v>
      </c>
      <c r="D747" s="1" t="s">
        <v>49</v>
      </c>
      <c r="E747" s="1" t="s">
        <v>56</v>
      </c>
      <c r="F747">
        <v>635</v>
      </c>
      <c r="G747" s="1" t="s">
        <v>42</v>
      </c>
      <c r="H747">
        <v>18</v>
      </c>
      <c r="I747">
        <v>1</v>
      </c>
      <c r="J747" s="1" t="s">
        <v>52</v>
      </c>
      <c r="K747">
        <v>1</v>
      </c>
      <c r="L747">
        <v>286</v>
      </c>
      <c r="M747">
        <v>2</v>
      </c>
      <c r="N747" s="1" t="s">
        <v>53</v>
      </c>
      <c r="O747">
        <v>73</v>
      </c>
      <c r="P747">
        <v>3</v>
      </c>
      <c r="Q747">
        <v>1</v>
      </c>
      <c r="R747" s="1" t="s">
        <v>45</v>
      </c>
      <c r="S747">
        <v>4</v>
      </c>
      <c r="T747" s="1" t="s">
        <v>46</v>
      </c>
      <c r="U747">
        <v>2153</v>
      </c>
      <c r="V747" s="1" t="s">
        <v>47</v>
      </c>
      <c r="W747">
        <v>7703</v>
      </c>
      <c r="X747">
        <v>1</v>
      </c>
      <c r="Y747" s="1" t="s">
        <v>48</v>
      </c>
      <c r="Z747" s="1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8">
      <c r="A748" s="1" t="s">
        <v>814</v>
      </c>
      <c r="B748">
        <v>36</v>
      </c>
      <c r="C748" s="1" t="s">
        <v>802</v>
      </c>
      <c r="D748" s="1" t="s">
        <v>49</v>
      </c>
      <c r="E748" s="1" t="s">
        <v>41</v>
      </c>
      <c r="F748">
        <v>1396</v>
      </c>
      <c r="G748" s="1" t="s">
        <v>42</v>
      </c>
      <c r="H748">
        <v>5</v>
      </c>
      <c r="I748">
        <v>2</v>
      </c>
      <c r="J748" s="1" t="s">
        <v>43</v>
      </c>
      <c r="K748">
        <v>1</v>
      </c>
      <c r="L748">
        <v>304</v>
      </c>
      <c r="M748">
        <v>4</v>
      </c>
      <c r="N748" s="1" t="s">
        <v>44</v>
      </c>
      <c r="O748">
        <v>62</v>
      </c>
      <c r="P748">
        <v>3</v>
      </c>
      <c r="Q748">
        <v>2</v>
      </c>
      <c r="R748" s="1" t="s">
        <v>45</v>
      </c>
      <c r="S748">
        <v>2</v>
      </c>
      <c r="T748" s="1" t="s">
        <v>46</v>
      </c>
      <c r="U748">
        <v>5914</v>
      </c>
      <c r="V748" s="1" t="s">
        <v>163</v>
      </c>
      <c r="W748">
        <v>9945</v>
      </c>
      <c r="X748">
        <v>8</v>
      </c>
      <c r="Y748" s="1" t="s">
        <v>48</v>
      </c>
      <c r="Z748" s="1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8">
      <c r="A749" s="1" t="s">
        <v>815</v>
      </c>
      <c r="B749">
        <v>36</v>
      </c>
      <c r="C749" s="1" t="s">
        <v>802</v>
      </c>
      <c r="D749" s="1" t="s">
        <v>49</v>
      </c>
      <c r="E749" s="1" t="s">
        <v>41</v>
      </c>
      <c r="F749">
        <v>1403</v>
      </c>
      <c r="G749" s="1" t="s">
        <v>42</v>
      </c>
      <c r="H749">
        <v>6</v>
      </c>
      <c r="I749">
        <v>3</v>
      </c>
      <c r="J749" s="1" t="s">
        <v>43</v>
      </c>
      <c r="K749">
        <v>1</v>
      </c>
      <c r="L749">
        <v>373</v>
      </c>
      <c r="M749">
        <v>4</v>
      </c>
      <c r="N749" s="1" t="s">
        <v>44</v>
      </c>
      <c r="O749">
        <v>47</v>
      </c>
      <c r="P749">
        <v>3</v>
      </c>
      <c r="Q749">
        <v>1</v>
      </c>
      <c r="R749" s="1" t="s">
        <v>45</v>
      </c>
      <c r="S749">
        <v>4</v>
      </c>
      <c r="T749" s="1" t="s">
        <v>105</v>
      </c>
      <c r="U749">
        <v>3210</v>
      </c>
      <c r="V749" s="1" t="s">
        <v>47</v>
      </c>
      <c r="W749">
        <v>20251</v>
      </c>
      <c r="X749">
        <v>0</v>
      </c>
      <c r="Y749" s="1" t="s">
        <v>48</v>
      </c>
      <c r="Z749" s="1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8">
      <c r="A750" s="1" t="s">
        <v>816</v>
      </c>
      <c r="B750">
        <v>36</v>
      </c>
      <c r="C750" s="1" t="s">
        <v>802</v>
      </c>
      <c r="D750" s="1" t="s">
        <v>49</v>
      </c>
      <c r="E750" s="1" t="s">
        <v>41</v>
      </c>
      <c r="F750">
        <v>506</v>
      </c>
      <c r="G750" s="1" t="s">
        <v>42</v>
      </c>
      <c r="H750">
        <v>3</v>
      </c>
      <c r="I750">
        <v>3</v>
      </c>
      <c r="J750" s="1" t="s">
        <v>68</v>
      </c>
      <c r="K750">
        <v>1</v>
      </c>
      <c r="L750">
        <v>397</v>
      </c>
      <c r="M750">
        <v>3</v>
      </c>
      <c r="N750" s="1" t="s">
        <v>44</v>
      </c>
      <c r="O750">
        <v>30</v>
      </c>
      <c r="P750">
        <v>3</v>
      </c>
      <c r="Q750">
        <v>2</v>
      </c>
      <c r="R750" s="1" t="s">
        <v>60</v>
      </c>
      <c r="S750">
        <v>2</v>
      </c>
      <c r="T750" s="1" t="s">
        <v>46</v>
      </c>
      <c r="U750">
        <v>4485</v>
      </c>
      <c r="V750" s="1" t="s">
        <v>47</v>
      </c>
      <c r="W750">
        <v>26285</v>
      </c>
      <c r="X750">
        <v>4</v>
      </c>
      <c r="Y750" s="1" t="s">
        <v>48</v>
      </c>
      <c r="Z750" s="1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8">
      <c r="A751" s="1" t="s">
        <v>817</v>
      </c>
      <c r="B751">
        <v>36</v>
      </c>
      <c r="C751" s="1" t="s">
        <v>802</v>
      </c>
      <c r="D751" s="1" t="s">
        <v>49</v>
      </c>
      <c r="E751" s="1" t="s">
        <v>56</v>
      </c>
      <c r="F751">
        <v>566</v>
      </c>
      <c r="G751" s="1" t="s">
        <v>42</v>
      </c>
      <c r="H751">
        <v>18</v>
      </c>
      <c r="I751">
        <v>4</v>
      </c>
      <c r="J751" s="1" t="s">
        <v>43</v>
      </c>
      <c r="K751">
        <v>1</v>
      </c>
      <c r="L751">
        <v>407</v>
      </c>
      <c r="M751">
        <v>3</v>
      </c>
      <c r="N751" s="1" t="s">
        <v>44</v>
      </c>
      <c r="O751">
        <v>81</v>
      </c>
      <c r="P751">
        <v>4</v>
      </c>
      <c r="Q751">
        <v>1</v>
      </c>
      <c r="R751" s="1" t="s">
        <v>45</v>
      </c>
      <c r="S751">
        <v>4</v>
      </c>
      <c r="T751" s="1" t="s">
        <v>105</v>
      </c>
      <c r="U751">
        <v>3688</v>
      </c>
      <c r="V751" s="1" t="s">
        <v>47</v>
      </c>
      <c r="W751">
        <v>7122</v>
      </c>
      <c r="X751">
        <v>4</v>
      </c>
      <c r="Y751" s="1" t="s">
        <v>48</v>
      </c>
      <c r="Z751" s="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8">
      <c r="A752" s="1" t="s">
        <v>818</v>
      </c>
      <c r="B752">
        <v>36</v>
      </c>
      <c r="C752" s="1" t="s">
        <v>802</v>
      </c>
      <c r="D752" s="1" t="s">
        <v>49</v>
      </c>
      <c r="E752" s="1" t="s">
        <v>59</v>
      </c>
      <c r="F752">
        <v>1105</v>
      </c>
      <c r="G752" s="1" t="s">
        <v>42</v>
      </c>
      <c r="H752">
        <v>24</v>
      </c>
      <c r="I752">
        <v>4</v>
      </c>
      <c r="J752" s="1" t="s">
        <v>43</v>
      </c>
      <c r="K752">
        <v>1</v>
      </c>
      <c r="L752">
        <v>419</v>
      </c>
      <c r="M752">
        <v>2</v>
      </c>
      <c r="N752" s="1" t="s">
        <v>53</v>
      </c>
      <c r="O752">
        <v>47</v>
      </c>
      <c r="P752">
        <v>3</v>
      </c>
      <c r="Q752">
        <v>2</v>
      </c>
      <c r="R752" s="1" t="s">
        <v>45</v>
      </c>
      <c r="S752">
        <v>2</v>
      </c>
      <c r="T752" s="1" t="s">
        <v>105</v>
      </c>
      <c r="U752">
        <v>5674</v>
      </c>
      <c r="V752" s="1" t="s">
        <v>163</v>
      </c>
      <c r="W752">
        <v>6927</v>
      </c>
      <c r="X752">
        <v>7</v>
      </c>
      <c r="Y752" s="1" t="s">
        <v>48</v>
      </c>
      <c r="Z752" s="1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8">
      <c r="A753" s="1" t="s">
        <v>819</v>
      </c>
      <c r="B753">
        <v>36</v>
      </c>
      <c r="C753" s="1" t="s">
        <v>802</v>
      </c>
      <c r="D753" s="1" t="s">
        <v>49</v>
      </c>
      <c r="E753" s="1" t="s">
        <v>59</v>
      </c>
      <c r="F753">
        <v>845</v>
      </c>
      <c r="G753" s="1" t="s">
        <v>51</v>
      </c>
      <c r="H753">
        <v>1</v>
      </c>
      <c r="I753">
        <v>5</v>
      </c>
      <c r="J753" s="1" t="s">
        <v>52</v>
      </c>
      <c r="K753">
        <v>1</v>
      </c>
      <c r="L753">
        <v>479</v>
      </c>
      <c r="M753">
        <v>4</v>
      </c>
      <c r="N753" s="1" t="s">
        <v>53</v>
      </c>
      <c r="O753">
        <v>45</v>
      </c>
      <c r="P753">
        <v>3</v>
      </c>
      <c r="Q753">
        <v>2</v>
      </c>
      <c r="R753" s="1" t="s">
        <v>137</v>
      </c>
      <c r="S753">
        <v>4</v>
      </c>
      <c r="T753" s="1" t="s">
        <v>46</v>
      </c>
      <c r="U753">
        <v>6653</v>
      </c>
      <c r="V753" s="1" t="s">
        <v>163</v>
      </c>
      <c r="W753">
        <v>15276</v>
      </c>
      <c r="X753">
        <v>4</v>
      </c>
      <c r="Y753" s="1" t="s">
        <v>48</v>
      </c>
      <c r="Z753" s="1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8">
      <c r="A754" s="1" t="s">
        <v>820</v>
      </c>
      <c r="B754">
        <v>36</v>
      </c>
      <c r="C754" s="1" t="s">
        <v>802</v>
      </c>
      <c r="D754" s="1" t="s">
        <v>49</v>
      </c>
      <c r="E754" s="1" t="s">
        <v>56</v>
      </c>
      <c r="F754">
        <v>541</v>
      </c>
      <c r="G754" s="1" t="s">
        <v>51</v>
      </c>
      <c r="H754">
        <v>3</v>
      </c>
      <c r="I754">
        <v>4</v>
      </c>
      <c r="J754" s="1" t="s">
        <v>52</v>
      </c>
      <c r="K754">
        <v>1</v>
      </c>
      <c r="L754">
        <v>481</v>
      </c>
      <c r="M754">
        <v>1</v>
      </c>
      <c r="N754" s="1" t="s">
        <v>44</v>
      </c>
      <c r="O754">
        <v>48</v>
      </c>
      <c r="P754">
        <v>2</v>
      </c>
      <c r="Q754">
        <v>3</v>
      </c>
      <c r="R754" s="1" t="s">
        <v>137</v>
      </c>
      <c r="S754">
        <v>4</v>
      </c>
      <c r="T754" s="1" t="s">
        <v>105</v>
      </c>
      <c r="U754">
        <v>9699</v>
      </c>
      <c r="V754" s="1" t="s">
        <v>163</v>
      </c>
      <c r="W754">
        <v>7246</v>
      </c>
      <c r="X754">
        <v>4</v>
      </c>
      <c r="Y754" s="1" t="s">
        <v>48</v>
      </c>
      <c r="Z754" s="1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8">
      <c r="A755" s="1" t="s">
        <v>821</v>
      </c>
      <c r="B755">
        <v>36</v>
      </c>
      <c r="C755" s="1" t="s">
        <v>802</v>
      </c>
      <c r="D755" s="1" t="s">
        <v>49</v>
      </c>
      <c r="E755" s="1" t="s">
        <v>41</v>
      </c>
      <c r="F755">
        <v>329</v>
      </c>
      <c r="G755" s="1" t="s">
        <v>42</v>
      </c>
      <c r="H755">
        <v>2</v>
      </c>
      <c r="I755">
        <v>3</v>
      </c>
      <c r="J755" s="1" t="s">
        <v>43</v>
      </c>
      <c r="K755">
        <v>1</v>
      </c>
      <c r="L755">
        <v>501</v>
      </c>
      <c r="M755">
        <v>4</v>
      </c>
      <c r="N755" s="1" t="s">
        <v>53</v>
      </c>
      <c r="O755">
        <v>96</v>
      </c>
      <c r="P755">
        <v>3</v>
      </c>
      <c r="Q755">
        <v>1</v>
      </c>
      <c r="R755" s="1" t="s">
        <v>60</v>
      </c>
      <c r="S755">
        <v>3</v>
      </c>
      <c r="T755" s="1" t="s">
        <v>105</v>
      </c>
      <c r="U755">
        <v>2543</v>
      </c>
      <c r="V755" s="1" t="s">
        <v>47</v>
      </c>
      <c r="W755">
        <v>11868</v>
      </c>
      <c r="X755">
        <v>4</v>
      </c>
      <c r="Y755" s="1" t="s">
        <v>48</v>
      </c>
      <c r="Z755" s="1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8">
      <c r="A756" s="1" t="s">
        <v>822</v>
      </c>
      <c r="B756">
        <v>36</v>
      </c>
      <c r="C756" s="1" t="s">
        <v>802</v>
      </c>
      <c r="D756" s="1" t="s">
        <v>49</v>
      </c>
      <c r="E756" s="1" t="s">
        <v>41</v>
      </c>
      <c r="F756">
        <v>164</v>
      </c>
      <c r="G756" s="1" t="s">
        <v>51</v>
      </c>
      <c r="H756">
        <v>2</v>
      </c>
      <c r="I756">
        <v>2</v>
      </c>
      <c r="J756" s="1" t="s">
        <v>52</v>
      </c>
      <c r="K756">
        <v>1</v>
      </c>
      <c r="L756">
        <v>513</v>
      </c>
      <c r="M756">
        <v>2</v>
      </c>
      <c r="N756" s="1" t="s">
        <v>44</v>
      </c>
      <c r="O756">
        <v>61</v>
      </c>
      <c r="P756">
        <v>2</v>
      </c>
      <c r="Q756">
        <v>3</v>
      </c>
      <c r="R756" s="1" t="s">
        <v>137</v>
      </c>
      <c r="S756">
        <v>3</v>
      </c>
      <c r="T756" s="1" t="s">
        <v>105</v>
      </c>
      <c r="U756">
        <v>7596</v>
      </c>
      <c r="V756" s="1" t="s">
        <v>163</v>
      </c>
      <c r="W756">
        <v>3809</v>
      </c>
      <c r="X756">
        <v>1</v>
      </c>
      <c r="Y756" s="1" t="s">
        <v>48</v>
      </c>
      <c r="Z756" s="1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8">
      <c r="A757" s="1" t="s">
        <v>823</v>
      </c>
      <c r="B757">
        <v>36</v>
      </c>
      <c r="C757" s="1" t="s">
        <v>802</v>
      </c>
      <c r="D757" s="1" t="s">
        <v>49</v>
      </c>
      <c r="E757" s="1" t="s">
        <v>59</v>
      </c>
      <c r="F757">
        <v>635</v>
      </c>
      <c r="G757" s="1" t="s">
        <v>51</v>
      </c>
      <c r="H757">
        <v>10</v>
      </c>
      <c r="I757">
        <v>4</v>
      </c>
      <c r="J757" s="1" t="s">
        <v>52</v>
      </c>
      <c r="K757">
        <v>1</v>
      </c>
      <c r="L757">
        <v>592</v>
      </c>
      <c r="M757">
        <v>2</v>
      </c>
      <c r="N757" s="1" t="s">
        <v>44</v>
      </c>
      <c r="O757">
        <v>32</v>
      </c>
      <c r="P757">
        <v>3</v>
      </c>
      <c r="Q757">
        <v>3</v>
      </c>
      <c r="R757" s="1" t="s">
        <v>137</v>
      </c>
      <c r="S757">
        <v>4</v>
      </c>
      <c r="T757" s="1" t="s">
        <v>46</v>
      </c>
      <c r="U757">
        <v>9980</v>
      </c>
      <c r="V757" s="1" t="s">
        <v>163</v>
      </c>
      <c r="W757">
        <v>15318</v>
      </c>
      <c r="X757">
        <v>1</v>
      </c>
      <c r="Y757" s="1" t="s">
        <v>48</v>
      </c>
      <c r="Z757" s="1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8">
      <c r="A758" s="1" t="s">
        <v>824</v>
      </c>
      <c r="B758">
        <v>36</v>
      </c>
      <c r="C758" s="1" t="s">
        <v>802</v>
      </c>
      <c r="D758" s="1" t="s">
        <v>49</v>
      </c>
      <c r="E758" s="1" t="s">
        <v>41</v>
      </c>
      <c r="F758">
        <v>913</v>
      </c>
      <c r="G758" s="1" t="s">
        <v>42</v>
      </c>
      <c r="H758">
        <v>9</v>
      </c>
      <c r="I758">
        <v>2</v>
      </c>
      <c r="J758" s="1" t="s">
        <v>52</v>
      </c>
      <c r="K758">
        <v>1</v>
      </c>
      <c r="L758">
        <v>699</v>
      </c>
      <c r="M758">
        <v>2</v>
      </c>
      <c r="N758" s="1" t="s">
        <v>44</v>
      </c>
      <c r="O758">
        <v>48</v>
      </c>
      <c r="P758">
        <v>2</v>
      </c>
      <c r="Q758">
        <v>2</v>
      </c>
      <c r="R758" s="1" t="s">
        <v>112</v>
      </c>
      <c r="S758">
        <v>2</v>
      </c>
      <c r="T758" s="1" t="s">
        <v>102</v>
      </c>
      <c r="U758">
        <v>8847</v>
      </c>
      <c r="V758" s="1" t="s">
        <v>163</v>
      </c>
      <c r="W758">
        <v>13934</v>
      </c>
      <c r="X758">
        <v>2</v>
      </c>
      <c r="Y758" s="1" t="s">
        <v>48</v>
      </c>
      <c r="Z758" s="1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8">
      <c r="A759" s="1" t="s">
        <v>825</v>
      </c>
      <c r="B759">
        <v>36</v>
      </c>
      <c r="C759" s="1" t="s">
        <v>802</v>
      </c>
      <c r="D759" s="1" t="s">
        <v>49</v>
      </c>
      <c r="E759" s="1" t="s">
        <v>59</v>
      </c>
      <c r="F759">
        <v>427</v>
      </c>
      <c r="G759" s="1" t="s">
        <v>42</v>
      </c>
      <c r="H759">
        <v>8</v>
      </c>
      <c r="I759">
        <v>3</v>
      </c>
      <c r="J759" s="1" t="s">
        <v>43</v>
      </c>
      <c r="K759">
        <v>1</v>
      </c>
      <c r="L759">
        <v>742</v>
      </c>
      <c r="M759">
        <v>1</v>
      </c>
      <c r="N759" s="1" t="s">
        <v>53</v>
      </c>
      <c r="O759">
        <v>63</v>
      </c>
      <c r="P759">
        <v>4</v>
      </c>
      <c r="Q759">
        <v>3</v>
      </c>
      <c r="R759" s="1" t="s">
        <v>252</v>
      </c>
      <c r="S759">
        <v>1</v>
      </c>
      <c r="T759" s="1" t="s">
        <v>105</v>
      </c>
      <c r="U759">
        <v>11713</v>
      </c>
      <c r="V759" s="1" t="s">
        <v>253</v>
      </c>
      <c r="W759">
        <v>20335</v>
      </c>
      <c r="X759">
        <v>9</v>
      </c>
      <c r="Y759" s="1" t="s">
        <v>48</v>
      </c>
      <c r="Z759" s="1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8">
      <c r="A760" s="1" t="s">
        <v>826</v>
      </c>
      <c r="B760">
        <v>36</v>
      </c>
      <c r="C760" s="1" t="s">
        <v>802</v>
      </c>
      <c r="D760" s="1" t="s">
        <v>49</v>
      </c>
      <c r="E760" s="1" t="s">
        <v>59</v>
      </c>
      <c r="F760">
        <v>1434</v>
      </c>
      <c r="G760" s="1" t="s">
        <v>51</v>
      </c>
      <c r="H760">
        <v>8</v>
      </c>
      <c r="I760">
        <v>4</v>
      </c>
      <c r="J760" s="1" t="s">
        <v>43</v>
      </c>
      <c r="K760">
        <v>1</v>
      </c>
      <c r="L760">
        <v>789</v>
      </c>
      <c r="M760">
        <v>1</v>
      </c>
      <c r="N760" s="1" t="s">
        <v>44</v>
      </c>
      <c r="O760">
        <v>76</v>
      </c>
      <c r="P760">
        <v>2</v>
      </c>
      <c r="Q760">
        <v>3</v>
      </c>
      <c r="R760" s="1" t="s">
        <v>137</v>
      </c>
      <c r="S760">
        <v>1</v>
      </c>
      <c r="T760" s="1" t="s">
        <v>46</v>
      </c>
      <c r="U760">
        <v>7587</v>
      </c>
      <c r="V760" s="1" t="s">
        <v>163</v>
      </c>
      <c r="W760">
        <v>14229</v>
      </c>
      <c r="X760">
        <v>1</v>
      </c>
      <c r="Y760" s="1" t="s">
        <v>48</v>
      </c>
      <c r="Z760" s="1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8">
      <c r="A761" s="1" t="s">
        <v>827</v>
      </c>
      <c r="B761">
        <v>36</v>
      </c>
      <c r="C761" s="1" t="s">
        <v>802</v>
      </c>
      <c r="D761" s="1" t="s">
        <v>49</v>
      </c>
      <c r="E761" s="1" t="s">
        <v>41</v>
      </c>
      <c r="F761">
        <v>676</v>
      </c>
      <c r="G761" s="1" t="s">
        <v>42</v>
      </c>
      <c r="H761">
        <v>1</v>
      </c>
      <c r="I761">
        <v>3</v>
      </c>
      <c r="J761" s="1" t="s">
        <v>73</v>
      </c>
      <c r="K761">
        <v>1</v>
      </c>
      <c r="L761">
        <v>823</v>
      </c>
      <c r="M761">
        <v>3</v>
      </c>
      <c r="N761" s="1" t="s">
        <v>53</v>
      </c>
      <c r="O761">
        <v>35</v>
      </c>
      <c r="P761">
        <v>3</v>
      </c>
      <c r="Q761">
        <v>2</v>
      </c>
      <c r="R761" s="1" t="s">
        <v>112</v>
      </c>
      <c r="S761">
        <v>2</v>
      </c>
      <c r="T761" s="1" t="s">
        <v>105</v>
      </c>
      <c r="U761">
        <v>5228</v>
      </c>
      <c r="V761" s="1" t="s">
        <v>163</v>
      </c>
      <c r="W761">
        <v>23361</v>
      </c>
      <c r="X761">
        <v>0</v>
      </c>
      <c r="Y761" s="1" t="s">
        <v>48</v>
      </c>
      <c r="Z761" s="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8">
      <c r="A762" s="1" t="s">
        <v>828</v>
      </c>
      <c r="B762">
        <v>36</v>
      </c>
      <c r="C762" s="1" t="s">
        <v>802</v>
      </c>
      <c r="D762" s="1" t="s">
        <v>49</v>
      </c>
      <c r="E762" s="1" t="s">
        <v>41</v>
      </c>
      <c r="F762">
        <v>1041</v>
      </c>
      <c r="G762" s="1" t="s">
        <v>71</v>
      </c>
      <c r="H762">
        <v>13</v>
      </c>
      <c r="I762">
        <v>3</v>
      </c>
      <c r="J762" s="1" t="s">
        <v>71</v>
      </c>
      <c r="K762">
        <v>1</v>
      </c>
      <c r="L762">
        <v>829</v>
      </c>
      <c r="M762">
        <v>3</v>
      </c>
      <c r="N762" s="1" t="s">
        <v>44</v>
      </c>
      <c r="O762">
        <v>36</v>
      </c>
      <c r="P762">
        <v>3</v>
      </c>
      <c r="Q762">
        <v>1</v>
      </c>
      <c r="R762" s="1" t="s">
        <v>71</v>
      </c>
      <c r="S762">
        <v>2</v>
      </c>
      <c r="T762" s="1" t="s">
        <v>105</v>
      </c>
      <c r="U762">
        <v>2143</v>
      </c>
      <c r="V762" s="1" t="s">
        <v>47</v>
      </c>
      <c r="W762">
        <v>25527</v>
      </c>
      <c r="X762">
        <v>4</v>
      </c>
      <c r="Y762" s="1" t="s">
        <v>48</v>
      </c>
      <c r="Z762" s="1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8">
      <c r="A763" s="1" t="s">
        <v>829</v>
      </c>
      <c r="B763">
        <v>36</v>
      </c>
      <c r="C763" s="1" t="s">
        <v>802</v>
      </c>
      <c r="D763" s="1" t="s">
        <v>49</v>
      </c>
      <c r="E763" s="1" t="s">
        <v>41</v>
      </c>
      <c r="F763">
        <v>928</v>
      </c>
      <c r="G763" s="1" t="s">
        <v>51</v>
      </c>
      <c r="H763">
        <v>1</v>
      </c>
      <c r="I763">
        <v>2</v>
      </c>
      <c r="J763" s="1" t="s">
        <v>43</v>
      </c>
      <c r="K763">
        <v>1</v>
      </c>
      <c r="L763">
        <v>857</v>
      </c>
      <c r="M763">
        <v>2</v>
      </c>
      <c r="N763" s="1" t="s">
        <v>44</v>
      </c>
      <c r="O763">
        <v>56</v>
      </c>
      <c r="P763">
        <v>3</v>
      </c>
      <c r="Q763">
        <v>2</v>
      </c>
      <c r="R763" s="1" t="s">
        <v>137</v>
      </c>
      <c r="S763">
        <v>4</v>
      </c>
      <c r="T763" s="1" t="s">
        <v>105</v>
      </c>
      <c r="U763">
        <v>6201</v>
      </c>
      <c r="V763" s="1" t="s">
        <v>163</v>
      </c>
      <c r="W763">
        <v>2823</v>
      </c>
      <c r="X763">
        <v>1</v>
      </c>
      <c r="Y763" s="1" t="s">
        <v>48</v>
      </c>
      <c r="Z763" s="1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8">
      <c r="A764" s="1" t="s">
        <v>830</v>
      </c>
      <c r="B764">
        <v>36</v>
      </c>
      <c r="C764" s="1" t="s">
        <v>802</v>
      </c>
      <c r="D764" s="1" t="s">
        <v>49</v>
      </c>
      <c r="E764" s="1" t="s">
        <v>41</v>
      </c>
      <c r="F764">
        <v>1278</v>
      </c>
      <c r="G764" s="1" t="s">
        <v>71</v>
      </c>
      <c r="H764">
        <v>8</v>
      </c>
      <c r="I764">
        <v>3</v>
      </c>
      <c r="J764" s="1" t="s">
        <v>43</v>
      </c>
      <c r="K764">
        <v>1</v>
      </c>
      <c r="L764">
        <v>878</v>
      </c>
      <c r="M764">
        <v>1</v>
      </c>
      <c r="N764" s="1" t="s">
        <v>44</v>
      </c>
      <c r="O764">
        <v>77</v>
      </c>
      <c r="P764">
        <v>2</v>
      </c>
      <c r="Q764">
        <v>1</v>
      </c>
      <c r="R764" s="1" t="s">
        <v>71</v>
      </c>
      <c r="S764">
        <v>1</v>
      </c>
      <c r="T764" s="1" t="s">
        <v>105</v>
      </c>
      <c r="U764">
        <v>2342</v>
      </c>
      <c r="V764" s="1" t="s">
        <v>47</v>
      </c>
      <c r="W764">
        <v>8635</v>
      </c>
      <c r="X764">
        <v>0</v>
      </c>
      <c r="Y764" s="1" t="s">
        <v>48</v>
      </c>
      <c r="Z764" s="1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8">
      <c r="A765" s="1" t="s">
        <v>831</v>
      </c>
      <c r="B765">
        <v>36</v>
      </c>
      <c r="C765" s="1" t="s">
        <v>802</v>
      </c>
      <c r="D765" s="1" t="s">
        <v>49</v>
      </c>
      <c r="E765" s="1" t="s">
        <v>41</v>
      </c>
      <c r="F765">
        <v>1425</v>
      </c>
      <c r="G765" s="1" t="s">
        <v>42</v>
      </c>
      <c r="H765">
        <v>14</v>
      </c>
      <c r="I765">
        <v>1</v>
      </c>
      <c r="J765" s="1" t="s">
        <v>43</v>
      </c>
      <c r="K765">
        <v>1</v>
      </c>
      <c r="L765">
        <v>924</v>
      </c>
      <c r="M765">
        <v>3</v>
      </c>
      <c r="N765" s="1" t="s">
        <v>44</v>
      </c>
      <c r="O765">
        <v>68</v>
      </c>
      <c r="P765">
        <v>3</v>
      </c>
      <c r="Q765">
        <v>2</v>
      </c>
      <c r="R765" s="1" t="s">
        <v>161</v>
      </c>
      <c r="S765">
        <v>4</v>
      </c>
      <c r="T765" s="1" t="s">
        <v>105</v>
      </c>
      <c r="U765">
        <v>6586</v>
      </c>
      <c r="V765" s="1" t="s">
        <v>163</v>
      </c>
      <c r="W765">
        <v>4821</v>
      </c>
      <c r="X765">
        <v>0</v>
      </c>
      <c r="Y765" s="1" t="s">
        <v>48</v>
      </c>
      <c r="Z765" s="1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8">
      <c r="A766" s="1" t="s">
        <v>832</v>
      </c>
      <c r="B766">
        <v>36</v>
      </c>
      <c r="C766" s="1" t="s">
        <v>802</v>
      </c>
      <c r="D766" s="1" t="s">
        <v>49</v>
      </c>
      <c r="E766" s="1" t="s">
        <v>41</v>
      </c>
      <c r="F766">
        <v>188</v>
      </c>
      <c r="G766" s="1" t="s">
        <v>42</v>
      </c>
      <c r="H766">
        <v>7</v>
      </c>
      <c r="I766">
        <v>4</v>
      </c>
      <c r="J766" s="1" t="s">
        <v>73</v>
      </c>
      <c r="K766">
        <v>1</v>
      </c>
      <c r="L766">
        <v>949</v>
      </c>
      <c r="M766">
        <v>2</v>
      </c>
      <c r="N766" s="1" t="s">
        <v>44</v>
      </c>
      <c r="O766">
        <v>65</v>
      </c>
      <c r="P766">
        <v>3</v>
      </c>
      <c r="Q766">
        <v>1</v>
      </c>
      <c r="R766" s="1" t="s">
        <v>60</v>
      </c>
      <c r="S766">
        <v>4</v>
      </c>
      <c r="T766" s="1" t="s">
        <v>46</v>
      </c>
      <c r="U766">
        <v>4678</v>
      </c>
      <c r="V766" s="1" t="s">
        <v>47</v>
      </c>
      <c r="W766">
        <v>23293</v>
      </c>
      <c r="X766">
        <v>2</v>
      </c>
      <c r="Y766" s="1" t="s">
        <v>48</v>
      </c>
      <c r="Z766" s="1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8">
      <c r="A767" s="1" t="s">
        <v>833</v>
      </c>
      <c r="B767">
        <v>36</v>
      </c>
      <c r="C767" s="1" t="s">
        <v>802</v>
      </c>
      <c r="D767" s="1" t="s">
        <v>49</v>
      </c>
      <c r="E767" s="1" t="s">
        <v>41</v>
      </c>
      <c r="F767">
        <v>938</v>
      </c>
      <c r="G767" s="1" t="s">
        <v>42</v>
      </c>
      <c r="H767">
        <v>2</v>
      </c>
      <c r="I767">
        <v>4</v>
      </c>
      <c r="J767" s="1" t="s">
        <v>52</v>
      </c>
      <c r="K767">
        <v>1</v>
      </c>
      <c r="L767">
        <v>958</v>
      </c>
      <c r="M767">
        <v>3</v>
      </c>
      <c r="N767" s="1" t="s">
        <v>44</v>
      </c>
      <c r="O767">
        <v>79</v>
      </c>
      <c r="P767">
        <v>3</v>
      </c>
      <c r="Q767">
        <v>1</v>
      </c>
      <c r="R767" s="1" t="s">
        <v>45</v>
      </c>
      <c r="S767">
        <v>3</v>
      </c>
      <c r="T767" s="1" t="s">
        <v>46</v>
      </c>
      <c r="U767">
        <v>2519</v>
      </c>
      <c r="V767" s="1" t="s">
        <v>47</v>
      </c>
      <c r="W767">
        <v>12287</v>
      </c>
      <c r="X767">
        <v>4</v>
      </c>
      <c r="Y767" s="1" t="s">
        <v>48</v>
      </c>
      <c r="Z767" s="1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8">
      <c r="A768" s="1" t="s">
        <v>834</v>
      </c>
      <c r="B768">
        <v>36</v>
      </c>
      <c r="C768" s="1" t="s">
        <v>802</v>
      </c>
      <c r="D768" s="1" t="s">
        <v>40</v>
      </c>
      <c r="E768" s="1" t="s">
        <v>41</v>
      </c>
      <c r="F768">
        <v>530</v>
      </c>
      <c r="G768" s="1" t="s">
        <v>51</v>
      </c>
      <c r="H768">
        <v>3</v>
      </c>
      <c r="I768">
        <v>1</v>
      </c>
      <c r="J768" s="1" t="s">
        <v>43</v>
      </c>
      <c r="K768">
        <v>1</v>
      </c>
      <c r="L768">
        <v>967</v>
      </c>
      <c r="M768">
        <v>3</v>
      </c>
      <c r="N768" s="1" t="s">
        <v>44</v>
      </c>
      <c r="O768">
        <v>51</v>
      </c>
      <c r="P768">
        <v>2</v>
      </c>
      <c r="Q768">
        <v>3</v>
      </c>
      <c r="R768" s="1" t="s">
        <v>137</v>
      </c>
      <c r="S768">
        <v>4</v>
      </c>
      <c r="T768" s="1" t="s">
        <v>105</v>
      </c>
      <c r="U768">
        <v>10325</v>
      </c>
      <c r="V768" s="1" t="s">
        <v>253</v>
      </c>
      <c r="W768">
        <v>5518</v>
      </c>
      <c r="X768">
        <v>1</v>
      </c>
      <c r="Y768" s="1" t="s">
        <v>48</v>
      </c>
      <c r="Z768" s="1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8">
      <c r="A769" s="1" t="s">
        <v>835</v>
      </c>
      <c r="B769">
        <v>36</v>
      </c>
      <c r="C769" s="1" t="s">
        <v>802</v>
      </c>
      <c r="D769" s="1" t="s">
        <v>49</v>
      </c>
      <c r="E769" s="1" t="s">
        <v>59</v>
      </c>
      <c r="F769">
        <v>1229</v>
      </c>
      <c r="G769" s="1" t="s">
        <v>51</v>
      </c>
      <c r="H769">
        <v>8</v>
      </c>
      <c r="I769">
        <v>4</v>
      </c>
      <c r="J769" s="1" t="s">
        <v>68</v>
      </c>
      <c r="K769">
        <v>1</v>
      </c>
      <c r="L769">
        <v>990</v>
      </c>
      <c r="M769">
        <v>1</v>
      </c>
      <c r="N769" s="1" t="s">
        <v>44</v>
      </c>
      <c r="O769">
        <v>84</v>
      </c>
      <c r="P769">
        <v>3</v>
      </c>
      <c r="Q769">
        <v>2</v>
      </c>
      <c r="R769" s="1" t="s">
        <v>137</v>
      </c>
      <c r="S769">
        <v>4</v>
      </c>
      <c r="T769" s="1" t="s">
        <v>102</v>
      </c>
      <c r="U769">
        <v>5079</v>
      </c>
      <c r="V769" s="1" t="s">
        <v>163</v>
      </c>
      <c r="W769">
        <v>25952</v>
      </c>
      <c r="X769">
        <v>4</v>
      </c>
      <c r="Y769" s="1" t="s">
        <v>48</v>
      </c>
      <c r="Z769" s="1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8">
      <c r="A770" s="1" t="s">
        <v>836</v>
      </c>
      <c r="B770">
        <v>36</v>
      </c>
      <c r="C770" s="1" t="s">
        <v>802</v>
      </c>
      <c r="D770" s="1" t="s">
        <v>40</v>
      </c>
      <c r="E770" s="1" t="s">
        <v>41</v>
      </c>
      <c r="F770">
        <v>885</v>
      </c>
      <c r="G770" s="1" t="s">
        <v>42</v>
      </c>
      <c r="H770">
        <v>16</v>
      </c>
      <c r="I770">
        <v>4</v>
      </c>
      <c r="J770" s="1" t="s">
        <v>43</v>
      </c>
      <c r="K770">
        <v>1</v>
      </c>
      <c r="L770">
        <v>1042</v>
      </c>
      <c r="M770">
        <v>3</v>
      </c>
      <c r="N770" s="1" t="s">
        <v>53</v>
      </c>
      <c r="O770">
        <v>43</v>
      </c>
      <c r="P770">
        <v>4</v>
      </c>
      <c r="Q770">
        <v>1</v>
      </c>
      <c r="R770" s="1" t="s">
        <v>45</v>
      </c>
      <c r="S770">
        <v>1</v>
      </c>
      <c r="T770" s="1" t="s">
        <v>46</v>
      </c>
      <c r="U770">
        <v>2743</v>
      </c>
      <c r="V770" s="1" t="s">
        <v>47</v>
      </c>
      <c r="W770">
        <v>8269</v>
      </c>
      <c r="X770">
        <v>1</v>
      </c>
      <c r="Y770" s="1" t="s">
        <v>48</v>
      </c>
      <c r="Z770" s="1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8">
      <c r="A771" s="1" t="s">
        <v>837</v>
      </c>
      <c r="B771">
        <v>36</v>
      </c>
      <c r="C771" s="1" t="s">
        <v>802</v>
      </c>
      <c r="D771" s="1" t="s">
        <v>40</v>
      </c>
      <c r="E771" s="1" t="s">
        <v>41</v>
      </c>
      <c r="F771">
        <v>660</v>
      </c>
      <c r="G771" s="1" t="s">
        <v>42</v>
      </c>
      <c r="H771">
        <v>15</v>
      </c>
      <c r="I771">
        <v>3</v>
      </c>
      <c r="J771" s="1" t="s">
        <v>73</v>
      </c>
      <c r="K771">
        <v>1</v>
      </c>
      <c r="L771">
        <v>1052</v>
      </c>
      <c r="M771">
        <v>1</v>
      </c>
      <c r="N771" s="1" t="s">
        <v>44</v>
      </c>
      <c r="O771">
        <v>81</v>
      </c>
      <c r="P771">
        <v>3</v>
      </c>
      <c r="Q771">
        <v>2</v>
      </c>
      <c r="R771" s="1" t="s">
        <v>45</v>
      </c>
      <c r="S771">
        <v>3</v>
      </c>
      <c r="T771" s="1" t="s">
        <v>102</v>
      </c>
      <c r="U771">
        <v>4834</v>
      </c>
      <c r="V771" s="1" t="s">
        <v>47</v>
      </c>
      <c r="W771">
        <v>7858</v>
      </c>
      <c r="X771">
        <v>7</v>
      </c>
      <c r="Y771" s="1" t="s">
        <v>48</v>
      </c>
      <c r="Z771" s="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8">
      <c r="A772" s="1" t="s">
        <v>838</v>
      </c>
      <c r="B772">
        <v>36</v>
      </c>
      <c r="C772" s="1" t="s">
        <v>802</v>
      </c>
      <c r="D772" s="1" t="s">
        <v>49</v>
      </c>
      <c r="E772" s="1" t="s">
        <v>41</v>
      </c>
      <c r="F772">
        <v>796</v>
      </c>
      <c r="G772" s="1" t="s">
        <v>42</v>
      </c>
      <c r="H772">
        <v>12</v>
      </c>
      <c r="I772">
        <v>5</v>
      </c>
      <c r="J772" s="1" t="s">
        <v>52</v>
      </c>
      <c r="K772">
        <v>1</v>
      </c>
      <c r="L772">
        <v>1073</v>
      </c>
      <c r="M772">
        <v>4</v>
      </c>
      <c r="N772" s="1" t="s">
        <v>53</v>
      </c>
      <c r="O772">
        <v>51</v>
      </c>
      <c r="P772">
        <v>2</v>
      </c>
      <c r="Q772">
        <v>3</v>
      </c>
      <c r="R772" s="1" t="s">
        <v>112</v>
      </c>
      <c r="S772">
        <v>4</v>
      </c>
      <c r="T772" s="1" t="s">
        <v>46</v>
      </c>
      <c r="U772">
        <v>8858</v>
      </c>
      <c r="V772" s="1" t="s">
        <v>163</v>
      </c>
      <c r="W772">
        <v>15669</v>
      </c>
      <c r="X772">
        <v>0</v>
      </c>
      <c r="Y772" s="1" t="s">
        <v>48</v>
      </c>
      <c r="Z772" s="1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8">
      <c r="A773" s="1" t="s">
        <v>839</v>
      </c>
      <c r="B773">
        <v>36</v>
      </c>
      <c r="C773" s="1" t="s">
        <v>802</v>
      </c>
      <c r="D773" s="1" t="s">
        <v>49</v>
      </c>
      <c r="E773" s="1" t="s">
        <v>59</v>
      </c>
      <c r="F773">
        <v>217</v>
      </c>
      <c r="G773" s="1" t="s">
        <v>42</v>
      </c>
      <c r="H773">
        <v>18</v>
      </c>
      <c r="I773">
        <v>4</v>
      </c>
      <c r="J773" s="1" t="s">
        <v>43</v>
      </c>
      <c r="K773">
        <v>1</v>
      </c>
      <c r="L773">
        <v>1133</v>
      </c>
      <c r="M773">
        <v>1</v>
      </c>
      <c r="N773" s="1" t="s">
        <v>44</v>
      </c>
      <c r="O773">
        <v>78</v>
      </c>
      <c r="P773">
        <v>3</v>
      </c>
      <c r="Q773">
        <v>2</v>
      </c>
      <c r="R773" s="1" t="s">
        <v>112</v>
      </c>
      <c r="S773">
        <v>4</v>
      </c>
      <c r="T773" s="1" t="s">
        <v>46</v>
      </c>
      <c r="U773">
        <v>7779</v>
      </c>
      <c r="V773" s="1" t="s">
        <v>163</v>
      </c>
      <c r="W773">
        <v>23238</v>
      </c>
      <c r="X773">
        <v>2</v>
      </c>
      <c r="Y773" s="1" t="s">
        <v>48</v>
      </c>
      <c r="Z773" s="1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8">
      <c r="A774" s="1" t="s">
        <v>840</v>
      </c>
      <c r="B774">
        <v>36</v>
      </c>
      <c r="C774" s="1" t="s">
        <v>802</v>
      </c>
      <c r="D774" s="1" t="s">
        <v>49</v>
      </c>
      <c r="E774" s="1" t="s">
        <v>41</v>
      </c>
      <c r="F774">
        <v>917</v>
      </c>
      <c r="G774" s="1" t="s">
        <v>42</v>
      </c>
      <c r="H774">
        <v>6</v>
      </c>
      <c r="I774">
        <v>4</v>
      </c>
      <c r="J774" s="1" t="s">
        <v>43</v>
      </c>
      <c r="K774">
        <v>1</v>
      </c>
      <c r="L774">
        <v>1221</v>
      </c>
      <c r="M774">
        <v>3</v>
      </c>
      <c r="N774" s="1" t="s">
        <v>44</v>
      </c>
      <c r="O774">
        <v>60</v>
      </c>
      <c r="P774">
        <v>1</v>
      </c>
      <c r="Q774">
        <v>1</v>
      </c>
      <c r="R774" s="1" t="s">
        <v>45</v>
      </c>
      <c r="S774">
        <v>3</v>
      </c>
      <c r="T774" s="1" t="s">
        <v>102</v>
      </c>
      <c r="U774">
        <v>2741</v>
      </c>
      <c r="V774" s="1" t="s">
        <v>47</v>
      </c>
      <c r="W774">
        <v>6865</v>
      </c>
      <c r="X774">
        <v>1</v>
      </c>
      <c r="Y774" s="1" t="s">
        <v>48</v>
      </c>
      <c r="Z774" s="1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8">
      <c r="A775" s="1" t="s">
        <v>841</v>
      </c>
      <c r="B775">
        <v>36</v>
      </c>
      <c r="C775" s="1" t="s">
        <v>802</v>
      </c>
      <c r="D775" s="1" t="s">
        <v>49</v>
      </c>
      <c r="E775" s="1" t="s">
        <v>41</v>
      </c>
      <c r="F775">
        <v>363</v>
      </c>
      <c r="G775" s="1" t="s">
        <v>42</v>
      </c>
      <c r="H775">
        <v>1</v>
      </c>
      <c r="I775">
        <v>3</v>
      </c>
      <c r="J775" s="1" t="s">
        <v>68</v>
      </c>
      <c r="K775">
        <v>1</v>
      </c>
      <c r="L775">
        <v>1237</v>
      </c>
      <c r="M775">
        <v>3</v>
      </c>
      <c r="N775" s="1" t="s">
        <v>53</v>
      </c>
      <c r="O775">
        <v>77</v>
      </c>
      <c r="P775">
        <v>1</v>
      </c>
      <c r="Q775">
        <v>3</v>
      </c>
      <c r="R775" s="1" t="s">
        <v>112</v>
      </c>
      <c r="S775">
        <v>1</v>
      </c>
      <c r="T775" s="1" t="s">
        <v>102</v>
      </c>
      <c r="U775">
        <v>10252</v>
      </c>
      <c r="V775" s="1" t="s">
        <v>253</v>
      </c>
      <c r="W775">
        <v>4235</v>
      </c>
      <c r="X775">
        <v>2</v>
      </c>
      <c r="Y775" s="1" t="s">
        <v>48</v>
      </c>
      <c r="Z775" s="1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8">
      <c r="A776" s="1" t="s">
        <v>842</v>
      </c>
      <c r="B776">
        <v>36</v>
      </c>
      <c r="C776" s="1" t="s">
        <v>802</v>
      </c>
      <c r="D776" s="1" t="s">
        <v>49</v>
      </c>
      <c r="E776" s="1" t="s">
        <v>56</v>
      </c>
      <c r="F776">
        <v>469</v>
      </c>
      <c r="G776" s="1" t="s">
        <v>42</v>
      </c>
      <c r="H776">
        <v>3</v>
      </c>
      <c r="I776">
        <v>3</v>
      </c>
      <c r="J776" s="1" t="s">
        <v>68</v>
      </c>
      <c r="K776">
        <v>1</v>
      </c>
      <c r="L776">
        <v>1257</v>
      </c>
      <c r="M776">
        <v>3</v>
      </c>
      <c r="N776" s="1" t="s">
        <v>44</v>
      </c>
      <c r="O776">
        <v>46</v>
      </c>
      <c r="P776">
        <v>3</v>
      </c>
      <c r="Q776">
        <v>1</v>
      </c>
      <c r="R776" s="1" t="s">
        <v>60</v>
      </c>
      <c r="S776">
        <v>2</v>
      </c>
      <c r="T776" s="1" t="s">
        <v>105</v>
      </c>
      <c r="U776">
        <v>3692</v>
      </c>
      <c r="V776" s="1" t="s">
        <v>47</v>
      </c>
      <c r="W776">
        <v>9256</v>
      </c>
      <c r="X776">
        <v>1</v>
      </c>
      <c r="Y776" s="1" t="s">
        <v>48</v>
      </c>
      <c r="Z776" s="1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8">
      <c r="A777" s="1" t="s">
        <v>843</v>
      </c>
      <c r="B777">
        <v>36</v>
      </c>
      <c r="C777" s="1" t="s">
        <v>802</v>
      </c>
      <c r="D777" s="1" t="s">
        <v>49</v>
      </c>
      <c r="E777" s="1" t="s">
        <v>41</v>
      </c>
      <c r="F777">
        <v>429</v>
      </c>
      <c r="G777" s="1" t="s">
        <v>42</v>
      </c>
      <c r="H777">
        <v>2</v>
      </c>
      <c r="I777">
        <v>4</v>
      </c>
      <c r="J777" s="1" t="s">
        <v>43</v>
      </c>
      <c r="K777">
        <v>1</v>
      </c>
      <c r="L777">
        <v>1294</v>
      </c>
      <c r="M777">
        <v>3</v>
      </c>
      <c r="N777" s="1" t="s">
        <v>53</v>
      </c>
      <c r="O777">
        <v>53</v>
      </c>
      <c r="P777">
        <v>3</v>
      </c>
      <c r="Q777">
        <v>2</v>
      </c>
      <c r="R777" s="1" t="s">
        <v>112</v>
      </c>
      <c r="S777">
        <v>2</v>
      </c>
      <c r="T777" s="1" t="s">
        <v>46</v>
      </c>
      <c r="U777">
        <v>5410</v>
      </c>
      <c r="V777" s="1" t="s">
        <v>163</v>
      </c>
      <c r="W777">
        <v>2323</v>
      </c>
      <c r="X777">
        <v>9</v>
      </c>
      <c r="Y777" s="1" t="s">
        <v>48</v>
      </c>
      <c r="Z777" s="1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8">
      <c r="A778" s="1" t="s">
        <v>844</v>
      </c>
      <c r="B778">
        <v>36</v>
      </c>
      <c r="C778" s="1" t="s">
        <v>802</v>
      </c>
      <c r="D778" s="1" t="s">
        <v>49</v>
      </c>
      <c r="E778" s="1" t="s">
        <v>41</v>
      </c>
      <c r="F778">
        <v>325</v>
      </c>
      <c r="G778" s="1" t="s">
        <v>42</v>
      </c>
      <c r="H778">
        <v>10</v>
      </c>
      <c r="I778">
        <v>4</v>
      </c>
      <c r="J778" s="1" t="s">
        <v>68</v>
      </c>
      <c r="K778">
        <v>1</v>
      </c>
      <c r="L778">
        <v>1312</v>
      </c>
      <c r="M778">
        <v>4</v>
      </c>
      <c r="N778" s="1" t="s">
        <v>53</v>
      </c>
      <c r="O778">
        <v>63</v>
      </c>
      <c r="P778">
        <v>3</v>
      </c>
      <c r="Q778">
        <v>3</v>
      </c>
      <c r="R778" s="1" t="s">
        <v>161</v>
      </c>
      <c r="S778">
        <v>3</v>
      </c>
      <c r="T778" s="1" t="s">
        <v>105</v>
      </c>
      <c r="U778">
        <v>7094</v>
      </c>
      <c r="V778" s="1" t="s">
        <v>163</v>
      </c>
      <c r="W778">
        <v>5747</v>
      </c>
      <c r="X778">
        <v>3</v>
      </c>
      <c r="Y778" s="1" t="s">
        <v>48</v>
      </c>
      <c r="Z778" s="1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8">
      <c r="A779" s="1" t="s">
        <v>845</v>
      </c>
      <c r="B779">
        <v>36</v>
      </c>
      <c r="C779" s="1" t="s">
        <v>802</v>
      </c>
      <c r="D779" s="1" t="s">
        <v>49</v>
      </c>
      <c r="E779" s="1" t="s">
        <v>56</v>
      </c>
      <c r="F779">
        <v>607</v>
      </c>
      <c r="G779" s="1" t="s">
        <v>51</v>
      </c>
      <c r="H779">
        <v>7</v>
      </c>
      <c r="I779">
        <v>3</v>
      </c>
      <c r="J779" s="1" t="s">
        <v>57</v>
      </c>
      <c r="K779">
        <v>1</v>
      </c>
      <c r="L779">
        <v>1362</v>
      </c>
      <c r="M779">
        <v>1</v>
      </c>
      <c r="N779" s="1" t="s">
        <v>53</v>
      </c>
      <c r="O779">
        <v>83</v>
      </c>
      <c r="P779">
        <v>4</v>
      </c>
      <c r="Q779">
        <v>2</v>
      </c>
      <c r="R779" s="1" t="s">
        <v>137</v>
      </c>
      <c r="S779">
        <v>1</v>
      </c>
      <c r="T779" s="1" t="s">
        <v>105</v>
      </c>
      <c r="U779">
        <v>4639</v>
      </c>
      <c r="V779" s="1" t="s">
        <v>47</v>
      </c>
      <c r="W779">
        <v>2261</v>
      </c>
      <c r="X779">
        <v>2</v>
      </c>
      <c r="Y779" s="1" t="s">
        <v>48</v>
      </c>
      <c r="Z779" s="1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8">
      <c r="A780" s="1" t="s">
        <v>846</v>
      </c>
      <c r="B780">
        <v>36</v>
      </c>
      <c r="C780" s="1" t="s">
        <v>802</v>
      </c>
      <c r="D780" s="1" t="s">
        <v>49</v>
      </c>
      <c r="E780" s="1" t="s">
        <v>41</v>
      </c>
      <c r="F780">
        <v>1174</v>
      </c>
      <c r="G780" s="1" t="s">
        <v>51</v>
      </c>
      <c r="H780">
        <v>3</v>
      </c>
      <c r="I780">
        <v>4</v>
      </c>
      <c r="J780" s="1" t="s">
        <v>57</v>
      </c>
      <c r="K780">
        <v>1</v>
      </c>
      <c r="L780">
        <v>1425</v>
      </c>
      <c r="M780">
        <v>1</v>
      </c>
      <c r="N780" s="1" t="s">
        <v>53</v>
      </c>
      <c r="O780">
        <v>99</v>
      </c>
      <c r="P780">
        <v>3</v>
      </c>
      <c r="Q780">
        <v>2</v>
      </c>
      <c r="R780" s="1" t="s">
        <v>137</v>
      </c>
      <c r="S780">
        <v>2</v>
      </c>
      <c r="T780" s="1" t="s">
        <v>46</v>
      </c>
      <c r="U780">
        <v>9278</v>
      </c>
      <c r="V780" s="1" t="s">
        <v>163</v>
      </c>
      <c r="W780">
        <v>20763</v>
      </c>
      <c r="X780">
        <v>3</v>
      </c>
      <c r="Y780" s="1" t="s">
        <v>48</v>
      </c>
      <c r="Z780" s="1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8">
      <c r="A781" s="1" t="s">
        <v>847</v>
      </c>
      <c r="B781">
        <v>36</v>
      </c>
      <c r="C781" s="1" t="s">
        <v>802</v>
      </c>
      <c r="D781" s="1" t="s">
        <v>49</v>
      </c>
      <c r="E781" s="1" t="s">
        <v>41</v>
      </c>
      <c r="F781">
        <v>172</v>
      </c>
      <c r="G781" s="1" t="s">
        <v>42</v>
      </c>
      <c r="H781">
        <v>4</v>
      </c>
      <c r="I781">
        <v>4</v>
      </c>
      <c r="J781" s="1" t="s">
        <v>43</v>
      </c>
      <c r="K781">
        <v>1</v>
      </c>
      <c r="L781">
        <v>1435</v>
      </c>
      <c r="M781">
        <v>1</v>
      </c>
      <c r="N781" s="1" t="s">
        <v>44</v>
      </c>
      <c r="O781">
        <v>37</v>
      </c>
      <c r="P781">
        <v>2</v>
      </c>
      <c r="Q781">
        <v>2</v>
      </c>
      <c r="R781" s="1" t="s">
        <v>45</v>
      </c>
      <c r="S781">
        <v>4</v>
      </c>
      <c r="T781" s="1" t="s">
        <v>46</v>
      </c>
      <c r="U781">
        <v>5810</v>
      </c>
      <c r="V781" s="1" t="s">
        <v>163</v>
      </c>
      <c r="W781">
        <v>22604</v>
      </c>
      <c r="X781">
        <v>1</v>
      </c>
      <c r="Y781" s="1" t="s">
        <v>48</v>
      </c>
      <c r="Z781" s="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8">
      <c r="A782" s="1" t="s">
        <v>848</v>
      </c>
      <c r="B782">
        <v>36</v>
      </c>
      <c r="C782" s="1" t="s">
        <v>802</v>
      </c>
      <c r="D782" s="1" t="s">
        <v>49</v>
      </c>
      <c r="E782" s="1" t="s">
        <v>41</v>
      </c>
      <c r="F782">
        <v>329</v>
      </c>
      <c r="G782" s="1" t="s">
        <v>51</v>
      </c>
      <c r="H782">
        <v>16</v>
      </c>
      <c r="I782">
        <v>4</v>
      </c>
      <c r="J782" s="1" t="s">
        <v>57</v>
      </c>
      <c r="K782">
        <v>1</v>
      </c>
      <c r="L782">
        <v>1436</v>
      </c>
      <c r="M782">
        <v>3</v>
      </c>
      <c r="N782" s="1" t="s">
        <v>53</v>
      </c>
      <c r="O782">
        <v>98</v>
      </c>
      <c r="P782">
        <v>2</v>
      </c>
      <c r="Q782">
        <v>2</v>
      </c>
      <c r="R782" s="1" t="s">
        <v>137</v>
      </c>
      <c r="S782">
        <v>1</v>
      </c>
      <c r="T782" s="1" t="s">
        <v>105</v>
      </c>
      <c r="U782">
        <v>5647</v>
      </c>
      <c r="V782" s="1" t="s">
        <v>163</v>
      </c>
      <c r="W782">
        <v>13494</v>
      </c>
      <c r="X782">
        <v>4</v>
      </c>
      <c r="Y782" s="1" t="s">
        <v>48</v>
      </c>
      <c r="Z782" s="1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8">
      <c r="A783" s="1" t="s">
        <v>849</v>
      </c>
      <c r="B783">
        <v>36</v>
      </c>
      <c r="C783" s="1" t="s">
        <v>802</v>
      </c>
      <c r="D783" s="1" t="s">
        <v>49</v>
      </c>
      <c r="E783" s="1" t="s">
        <v>41</v>
      </c>
      <c r="F783">
        <v>1157</v>
      </c>
      <c r="G783" s="1" t="s">
        <v>51</v>
      </c>
      <c r="H783">
        <v>2</v>
      </c>
      <c r="I783">
        <v>4</v>
      </c>
      <c r="J783" s="1" t="s">
        <v>43</v>
      </c>
      <c r="K783">
        <v>1</v>
      </c>
      <c r="L783">
        <v>1556</v>
      </c>
      <c r="M783">
        <v>3</v>
      </c>
      <c r="N783" s="1" t="s">
        <v>44</v>
      </c>
      <c r="O783">
        <v>70</v>
      </c>
      <c r="P783">
        <v>3</v>
      </c>
      <c r="Q783">
        <v>1</v>
      </c>
      <c r="R783" s="1" t="s">
        <v>54</v>
      </c>
      <c r="S783">
        <v>4</v>
      </c>
      <c r="T783" s="1" t="s">
        <v>46</v>
      </c>
      <c r="U783">
        <v>2644</v>
      </c>
      <c r="V783" s="1" t="s">
        <v>47</v>
      </c>
      <c r="W783">
        <v>17001</v>
      </c>
      <c r="X783">
        <v>3</v>
      </c>
      <c r="Y783" s="1" t="s">
        <v>48</v>
      </c>
      <c r="Z783" s="1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8">
      <c r="A784" s="1" t="s">
        <v>850</v>
      </c>
      <c r="B784">
        <v>36</v>
      </c>
      <c r="C784" s="1" t="s">
        <v>802</v>
      </c>
      <c r="D784" s="1" t="s">
        <v>49</v>
      </c>
      <c r="E784" s="1" t="s">
        <v>41</v>
      </c>
      <c r="F784">
        <v>884</v>
      </c>
      <c r="G784" s="1" t="s">
        <v>51</v>
      </c>
      <c r="H784">
        <v>1</v>
      </c>
      <c r="I784">
        <v>4</v>
      </c>
      <c r="J784" s="1" t="s">
        <v>43</v>
      </c>
      <c r="K784">
        <v>1</v>
      </c>
      <c r="L784">
        <v>1585</v>
      </c>
      <c r="M784">
        <v>2</v>
      </c>
      <c r="N784" s="1" t="s">
        <v>53</v>
      </c>
      <c r="O784">
        <v>73</v>
      </c>
      <c r="P784">
        <v>3</v>
      </c>
      <c r="Q784">
        <v>2</v>
      </c>
      <c r="R784" s="1" t="s">
        <v>137</v>
      </c>
      <c r="S784">
        <v>3</v>
      </c>
      <c r="T784" s="1" t="s">
        <v>46</v>
      </c>
      <c r="U784">
        <v>6815</v>
      </c>
      <c r="V784" s="1" t="s">
        <v>163</v>
      </c>
      <c r="W784">
        <v>21447</v>
      </c>
      <c r="X784">
        <v>6</v>
      </c>
      <c r="Y784" s="1" t="s">
        <v>48</v>
      </c>
      <c r="Z784" s="1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8">
      <c r="A785" s="1" t="s">
        <v>851</v>
      </c>
      <c r="B785">
        <v>36</v>
      </c>
      <c r="C785" s="1" t="s">
        <v>802</v>
      </c>
      <c r="D785" s="1" t="s">
        <v>49</v>
      </c>
      <c r="E785" s="1" t="s">
        <v>56</v>
      </c>
      <c r="F785">
        <v>1302</v>
      </c>
      <c r="G785" s="1" t="s">
        <v>42</v>
      </c>
      <c r="H785">
        <v>6</v>
      </c>
      <c r="I785">
        <v>4</v>
      </c>
      <c r="J785" s="1" t="s">
        <v>43</v>
      </c>
      <c r="K785">
        <v>1</v>
      </c>
      <c r="L785">
        <v>1594</v>
      </c>
      <c r="M785">
        <v>1</v>
      </c>
      <c r="N785" s="1" t="s">
        <v>44</v>
      </c>
      <c r="O785">
        <v>80</v>
      </c>
      <c r="P785">
        <v>4</v>
      </c>
      <c r="Q785">
        <v>2</v>
      </c>
      <c r="R785" s="1" t="s">
        <v>45</v>
      </c>
      <c r="S785">
        <v>1</v>
      </c>
      <c r="T785" s="1" t="s">
        <v>105</v>
      </c>
      <c r="U785">
        <v>5562</v>
      </c>
      <c r="V785" s="1" t="s">
        <v>163</v>
      </c>
      <c r="W785">
        <v>19711</v>
      </c>
      <c r="X785">
        <v>3</v>
      </c>
      <c r="Y785" s="1" t="s">
        <v>48</v>
      </c>
      <c r="Z785" s="1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8">
      <c r="A786" s="1" t="s">
        <v>852</v>
      </c>
      <c r="B786">
        <v>36</v>
      </c>
      <c r="C786" s="1" t="s">
        <v>802</v>
      </c>
      <c r="D786" s="1" t="s">
        <v>49</v>
      </c>
      <c r="E786" s="1" t="s">
        <v>41</v>
      </c>
      <c r="F786">
        <v>559</v>
      </c>
      <c r="G786" s="1" t="s">
        <v>42</v>
      </c>
      <c r="H786">
        <v>12</v>
      </c>
      <c r="I786">
        <v>4</v>
      </c>
      <c r="J786" s="1" t="s">
        <v>43</v>
      </c>
      <c r="K786">
        <v>1</v>
      </c>
      <c r="L786">
        <v>1614</v>
      </c>
      <c r="M786">
        <v>3</v>
      </c>
      <c r="N786" s="1" t="s">
        <v>53</v>
      </c>
      <c r="O786">
        <v>76</v>
      </c>
      <c r="P786">
        <v>3</v>
      </c>
      <c r="Q786">
        <v>2</v>
      </c>
      <c r="R786" s="1" t="s">
        <v>112</v>
      </c>
      <c r="S786">
        <v>3</v>
      </c>
      <c r="T786" s="1" t="s">
        <v>105</v>
      </c>
      <c r="U786">
        <v>4663</v>
      </c>
      <c r="V786" s="1" t="s">
        <v>47</v>
      </c>
      <c r="W786">
        <v>12421</v>
      </c>
      <c r="X786">
        <v>9</v>
      </c>
      <c r="Y786" s="1" t="s">
        <v>48</v>
      </c>
      <c r="Z786" s="1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8">
      <c r="A787" s="1" t="s">
        <v>853</v>
      </c>
      <c r="B787">
        <v>36</v>
      </c>
      <c r="C787" s="1" t="s">
        <v>802</v>
      </c>
      <c r="D787" s="1" t="s">
        <v>49</v>
      </c>
      <c r="E787" s="1" t="s">
        <v>41</v>
      </c>
      <c r="F787">
        <v>711</v>
      </c>
      <c r="G787" s="1" t="s">
        <v>42</v>
      </c>
      <c r="H787">
        <v>5</v>
      </c>
      <c r="I787">
        <v>4</v>
      </c>
      <c r="J787" s="1" t="s">
        <v>43</v>
      </c>
      <c r="K787">
        <v>1</v>
      </c>
      <c r="L787">
        <v>1651</v>
      </c>
      <c r="M787">
        <v>2</v>
      </c>
      <c r="N787" s="1" t="s">
        <v>53</v>
      </c>
      <c r="O787">
        <v>42</v>
      </c>
      <c r="P787">
        <v>3</v>
      </c>
      <c r="Q787">
        <v>3</v>
      </c>
      <c r="R787" s="1" t="s">
        <v>161</v>
      </c>
      <c r="S787">
        <v>1</v>
      </c>
      <c r="T787" s="1" t="s">
        <v>105</v>
      </c>
      <c r="U787">
        <v>8008</v>
      </c>
      <c r="V787" s="1" t="s">
        <v>163</v>
      </c>
      <c r="W787">
        <v>22792</v>
      </c>
      <c r="X787">
        <v>4</v>
      </c>
      <c r="Y787" s="1" t="s">
        <v>48</v>
      </c>
      <c r="Z787" s="1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8">
      <c r="A788" s="1" t="s">
        <v>854</v>
      </c>
      <c r="B788">
        <v>36</v>
      </c>
      <c r="C788" s="1" t="s">
        <v>802</v>
      </c>
      <c r="D788" s="1" t="s">
        <v>49</v>
      </c>
      <c r="E788" s="1" t="s">
        <v>41</v>
      </c>
      <c r="F788">
        <v>311</v>
      </c>
      <c r="G788" s="1" t="s">
        <v>42</v>
      </c>
      <c r="H788">
        <v>7</v>
      </c>
      <c r="I788">
        <v>3</v>
      </c>
      <c r="J788" s="1" t="s">
        <v>43</v>
      </c>
      <c r="K788">
        <v>1</v>
      </c>
      <c r="L788">
        <v>1659</v>
      </c>
      <c r="M788">
        <v>1</v>
      </c>
      <c r="N788" s="1" t="s">
        <v>44</v>
      </c>
      <c r="O788">
        <v>77</v>
      </c>
      <c r="P788">
        <v>3</v>
      </c>
      <c r="Q788">
        <v>1</v>
      </c>
      <c r="R788" s="1" t="s">
        <v>45</v>
      </c>
      <c r="S788">
        <v>2</v>
      </c>
      <c r="T788" s="1" t="s">
        <v>46</v>
      </c>
      <c r="U788">
        <v>2013</v>
      </c>
      <c r="V788" s="1" t="s">
        <v>47</v>
      </c>
      <c r="W788">
        <v>10950</v>
      </c>
      <c r="X788">
        <v>2</v>
      </c>
      <c r="Y788" s="1" t="s">
        <v>48</v>
      </c>
      <c r="Z788" s="1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8">
      <c r="A789" s="1" t="s">
        <v>855</v>
      </c>
      <c r="B789">
        <v>36</v>
      </c>
      <c r="C789" s="1" t="s">
        <v>802</v>
      </c>
      <c r="D789" s="1" t="s">
        <v>49</v>
      </c>
      <c r="E789" s="1" t="s">
        <v>59</v>
      </c>
      <c r="F789">
        <v>894</v>
      </c>
      <c r="G789" s="1" t="s">
        <v>42</v>
      </c>
      <c r="H789">
        <v>1</v>
      </c>
      <c r="I789">
        <v>4</v>
      </c>
      <c r="J789" s="1" t="s">
        <v>52</v>
      </c>
      <c r="K789">
        <v>1</v>
      </c>
      <c r="L789">
        <v>1662</v>
      </c>
      <c r="M789">
        <v>4</v>
      </c>
      <c r="N789" s="1" t="s">
        <v>53</v>
      </c>
      <c r="O789">
        <v>33</v>
      </c>
      <c r="P789">
        <v>2</v>
      </c>
      <c r="Q789">
        <v>2</v>
      </c>
      <c r="R789" s="1" t="s">
        <v>112</v>
      </c>
      <c r="S789">
        <v>3</v>
      </c>
      <c r="T789" s="1" t="s">
        <v>105</v>
      </c>
      <c r="U789">
        <v>4374</v>
      </c>
      <c r="V789" s="1" t="s">
        <v>47</v>
      </c>
      <c r="W789">
        <v>15411</v>
      </c>
      <c r="X789">
        <v>0</v>
      </c>
      <c r="Y789" s="1" t="s">
        <v>48</v>
      </c>
      <c r="Z789" s="1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8">
      <c r="A790" s="1" t="s">
        <v>856</v>
      </c>
      <c r="B790">
        <v>36</v>
      </c>
      <c r="C790" s="1" t="s">
        <v>802</v>
      </c>
      <c r="D790" s="1" t="s">
        <v>49</v>
      </c>
      <c r="E790" s="1" t="s">
        <v>41</v>
      </c>
      <c r="F790">
        <v>1040</v>
      </c>
      <c r="G790" s="1" t="s">
        <v>42</v>
      </c>
      <c r="H790">
        <v>3</v>
      </c>
      <c r="I790">
        <v>2</v>
      </c>
      <c r="J790" s="1" t="s">
        <v>43</v>
      </c>
      <c r="K790">
        <v>1</v>
      </c>
      <c r="L790">
        <v>1664</v>
      </c>
      <c r="M790">
        <v>4</v>
      </c>
      <c r="N790" s="1" t="s">
        <v>44</v>
      </c>
      <c r="O790">
        <v>79</v>
      </c>
      <c r="P790">
        <v>4</v>
      </c>
      <c r="Q790">
        <v>2</v>
      </c>
      <c r="R790" s="1" t="s">
        <v>161</v>
      </c>
      <c r="S790">
        <v>1</v>
      </c>
      <c r="T790" s="1" t="s">
        <v>102</v>
      </c>
      <c r="U790">
        <v>6842</v>
      </c>
      <c r="V790" s="1" t="s">
        <v>163</v>
      </c>
      <c r="W790">
        <v>26308</v>
      </c>
      <c r="X790">
        <v>6</v>
      </c>
      <c r="Y790" s="1" t="s">
        <v>48</v>
      </c>
      <c r="Z790" s="1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8">
      <c r="A791" s="1" t="s">
        <v>857</v>
      </c>
      <c r="B791">
        <v>36</v>
      </c>
      <c r="C791" s="1" t="s">
        <v>802</v>
      </c>
      <c r="D791" s="1" t="s">
        <v>49</v>
      </c>
      <c r="E791" s="1" t="s">
        <v>41</v>
      </c>
      <c r="F791">
        <v>1351</v>
      </c>
      <c r="G791" s="1" t="s">
        <v>42</v>
      </c>
      <c r="H791">
        <v>26</v>
      </c>
      <c r="I791">
        <v>4</v>
      </c>
      <c r="J791" s="1" t="s">
        <v>43</v>
      </c>
      <c r="K791">
        <v>1</v>
      </c>
      <c r="L791">
        <v>1682</v>
      </c>
      <c r="M791">
        <v>1</v>
      </c>
      <c r="N791" s="1" t="s">
        <v>44</v>
      </c>
      <c r="O791">
        <v>80</v>
      </c>
      <c r="P791">
        <v>3</v>
      </c>
      <c r="Q791">
        <v>2</v>
      </c>
      <c r="R791" s="1" t="s">
        <v>161</v>
      </c>
      <c r="S791">
        <v>3</v>
      </c>
      <c r="T791" s="1" t="s">
        <v>105</v>
      </c>
      <c r="U791">
        <v>5347</v>
      </c>
      <c r="V791" s="1" t="s">
        <v>163</v>
      </c>
      <c r="W791">
        <v>7419</v>
      </c>
      <c r="X791">
        <v>6</v>
      </c>
      <c r="Y791" s="1" t="s">
        <v>48</v>
      </c>
      <c r="Z791" s="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8">
      <c r="A792" s="1" t="s">
        <v>858</v>
      </c>
      <c r="B792">
        <v>36</v>
      </c>
      <c r="C792" s="1" t="s">
        <v>802</v>
      </c>
      <c r="D792" s="1" t="s">
        <v>49</v>
      </c>
      <c r="E792" s="1" t="s">
        <v>41</v>
      </c>
      <c r="F792">
        <v>530</v>
      </c>
      <c r="G792" s="1" t="s">
        <v>51</v>
      </c>
      <c r="H792">
        <v>2</v>
      </c>
      <c r="I792">
        <v>4</v>
      </c>
      <c r="J792" s="1" t="s">
        <v>43</v>
      </c>
      <c r="K792">
        <v>1</v>
      </c>
      <c r="L792">
        <v>1710</v>
      </c>
      <c r="M792">
        <v>3</v>
      </c>
      <c r="N792" s="1" t="s">
        <v>53</v>
      </c>
      <c r="O792">
        <v>51</v>
      </c>
      <c r="P792">
        <v>3</v>
      </c>
      <c r="Q792">
        <v>2</v>
      </c>
      <c r="R792" s="1" t="s">
        <v>54</v>
      </c>
      <c r="S792">
        <v>4</v>
      </c>
      <c r="T792" s="1" t="s">
        <v>46</v>
      </c>
      <c r="U792">
        <v>4502</v>
      </c>
      <c r="V792" s="1" t="s">
        <v>47</v>
      </c>
      <c r="W792">
        <v>7439</v>
      </c>
      <c r="X792">
        <v>3</v>
      </c>
      <c r="Y792" s="1" t="s">
        <v>48</v>
      </c>
      <c r="Z792" s="1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8">
      <c r="A793" s="1" t="s">
        <v>859</v>
      </c>
      <c r="B793">
        <v>36</v>
      </c>
      <c r="C793" s="1" t="s">
        <v>802</v>
      </c>
      <c r="D793" s="1" t="s">
        <v>40</v>
      </c>
      <c r="E793" s="1" t="s">
        <v>41</v>
      </c>
      <c r="F793">
        <v>1456</v>
      </c>
      <c r="G793" s="1" t="s">
        <v>51</v>
      </c>
      <c r="H793">
        <v>13</v>
      </c>
      <c r="I793">
        <v>5</v>
      </c>
      <c r="J793" s="1" t="s">
        <v>57</v>
      </c>
      <c r="K793">
        <v>1</v>
      </c>
      <c r="L793">
        <v>1733</v>
      </c>
      <c r="M793">
        <v>2</v>
      </c>
      <c r="N793" s="1" t="s">
        <v>44</v>
      </c>
      <c r="O793">
        <v>96</v>
      </c>
      <c r="P793">
        <v>2</v>
      </c>
      <c r="Q793">
        <v>2</v>
      </c>
      <c r="R793" s="1" t="s">
        <v>137</v>
      </c>
      <c r="S793">
        <v>1</v>
      </c>
      <c r="T793" s="1" t="s">
        <v>102</v>
      </c>
      <c r="U793">
        <v>6134</v>
      </c>
      <c r="V793" s="1" t="s">
        <v>163</v>
      </c>
      <c r="W793">
        <v>8658</v>
      </c>
      <c r="X793">
        <v>5</v>
      </c>
      <c r="Y793" s="1" t="s">
        <v>48</v>
      </c>
      <c r="Z793" s="1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8">
      <c r="A794" s="1" t="s">
        <v>860</v>
      </c>
      <c r="B794">
        <v>36</v>
      </c>
      <c r="C794" s="1" t="s">
        <v>802</v>
      </c>
      <c r="D794" s="1" t="s">
        <v>49</v>
      </c>
      <c r="E794" s="1" t="s">
        <v>41</v>
      </c>
      <c r="F794">
        <v>1383</v>
      </c>
      <c r="G794" s="1" t="s">
        <v>42</v>
      </c>
      <c r="H794">
        <v>10</v>
      </c>
      <c r="I794">
        <v>3</v>
      </c>
      <c r="J794" s="1" t="s">
        <v>43</v>
      </c>
      <c r="K794">
        <v>1</v>
      </c>
      <c r="L794">
        <v>1790</v>
      </c>
      <c r="M794">
        <v>4</v>
      </c>
      <c r="N794" s="1" t="s">
        <v>44</v>
      </c>
      <c r="O794">
        <v>90</v>
      </c>
      <c r="P794">
        <v>3</v>
      </c>
      <c r="Q794">
        <v>3</v>
      </c>
      <c r="R794" s="1" t="s">
        <v>161</v>
      </c>
      <c r="S794">
        <v>1</v>
      </c>
      <c r="T794" s="1" t="s">
        <v>105</v>
      </c>
      <c r="U794">
        <v>8321</v>
      </c>
      <c r="V794" s="1" t="s">
        <v>163</v>
      </c>
      <c r="W794">
        <v>25949</v>
      </c>
      <c r="X794">
        <v>7</v>
      </c>
      <c r="Y794" s="1" t="s">
        <v>48</v>
      </c>
      <c r="Z794" s="1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8">
      <c r="A795" s="1" t="s">
        <v>861</v>
      </c>
      <c r="B795">
        <v>36</v>
      </c>
      <c r="C795" s="1" t="s">
        <v>802</v>
      </c>
      <c r="D795" s="1" t="s">
        <v>49</v>
      </c>
      <c r="E795" s="1" t="s">
        <v>41</v>
      </c>
      <c r="F795">
        <v>430</v>
      </c>
      <c r="G795" s="1" t="s">
        <v>42</v>
      </c>
      <c r="H795">
        <v>2</v>
      </c>
      <c r="I795">
        <v>4</v>
      </c>
      <c r="J795" s="1" t="s">
        <v>73</v>
      </c>
      <c r="K795">
        <v>1</v>
      </c>
      <c r="L795">
        <v>1847</v>
      </c>
      <c r="M795">
        <v>4</v>
      </c>
      <c r="N795" s="1" t="s">
        <v>53</v>
      </c>
      <c r="O795">
        <v>73</v>
      </c>
      <c r="P795">
        <v>3</v>
      </c>
      <c r="Q795">
        <v>2</v>
      </c>
      <c r="R795" s="1" t="s">
        <v>60</v>
      </c>
      <c r="S795">
        <v>2</v>
      </c>
      <c r="T795" s="1" t="s">
        <v>105</v>
      </c>
      <c r="U795">
        <v>6962</v>
      </c>
      <c r="V795" s="1" t="s">
        <v>163</v>
      </c>
      <c r="W795">
        <v>19573</v>
      </c>
      <c r="X795">
        <v>4</v>
      </c>
      <c r="Y795" s="1" t="s">
        <v>48</v>
      </c>
      <c r="Z795" s="1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8">
      <c r="A796" s="1" t="s">
        <v>862</v>
      </c>
      <c r="B796">
        <v>36</v>
      </c>
      <c r="C796" s="1" t="s">
        <v>802</v>
      </c>
      <c r="D796" s="1" t="s">
        <v>49</v>
      </c>
      <c r="E796" s="1" t="s">
        <v>41</v>
      </c>
      <c r="F796">
        <v>1266</v>
      </c>
      <c r="G796" s="1" t="s">
        <v>51</v>
      </c>
      <c r="H796">
        <v>10</v>
      </c>
      <c r="I796">
        <v>4</v>
      </c>
      <c r="J796" s="1" t="s">
        <v>68</v>
      </c>
      <c r="K796">
        <v>1</v>
      </c>
      <c r="L796">
        <v>1880</v>
      </c>
      <c r="M796">
        <v>2</v>
      </c>
      <c r="N796" s="1" t="s">
        <v>53</v>
      </c>
      <c r="O796">
        <v>63</v>
      </c>
      <c r="P796">
        <v>2</v>
      </c>
      <c r="Q796">
        <v>2</v>
      </c>
      <c r="R796" s="1" t="s">
        <v>137</v>
      </c>
      <c r="S796">
        <v>3</v>
      </c>
      <c r="T796" s="1" t="s">
        <v>105</v>
      </c>
      <c r="U796">
        <v>5673</v>
      </c>
      <c r="V796" s="1" t="s">
        <v>163</v>
      </c>
      <c r="W796">
        <v>6060</v>
      </c>
      <c r="X796">
        <v>1</v>
      </c>
      <c r="Y796" s="1" t="s">
        <v>48</v>
      </c>
      <c r="Z796" s="1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8">
      <c r="A797" s="1" t="s">
        <v>863</v>
      </c>
      <c r="B797">
        <v>36</v>
      </c>
      <c r="C797" s="1" t="s">
        <v>802</v>
      </c>
      <c r="D797" s="1" t="s">
        <v>49</v>
      </c>
      <c r="E797" s="1" t="s">
        <v>56</v>
      </c>
      <c r="F797">
        <v>1213</v>
      </c>
      <c r="G797" s="1" t="s">
        <v>71</v>
      </c>
      <c r="H797">
        <v>2</v>
      </c>
      <c r="I797">
        <v>1</v>
      </c>
      <c r="J797" s="1" t="s">
        <v>71</v>
      </c>
      <c r="K797">
        <v>1</v>
      </c>
      <c r="L797">
        <v>1890</v>
      </c>
      <c r="M797">
        <v>2</v>
      </c>
      <c r="N797" s="1" t="s">
        <v>44</v>
      </c>
      <c r="O797">
        <v>94</v>
      </c>
      <c r="P797">
        <v>2</v>
      </c>
      <c r="Q797">
        <v>2</v>
      </c>
      <c r="R797" s="1" t="s">
        <v>71</v>
      </c>
      <c r="S797">
        <v>4</v>
      </c>
      <c r="T797" s="1" t="s">
        <v>46</v>
      </c>
      <c r="U797">
        <v>3886</v>
      </c>
      <c r="V797" s="1" t="s">
        <v>47</v>
      </c>
      <c r="W797">
        <v>4223</v>
      </c>
      <c r="X797">
        <v>1</v>
      </c>
      <c r="Y797" s="1" t="s">
        <v>48</v>
      </c>
      <c r="Z797" s="1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8">
      <c r="A798" s="1" t="s">
        <v>864</v>
      </c>
      <c r="B798">
        <v>36</v>
      </c>
      <c r="C798" s="1" t="s">
        <v>802</v>
      </c>
      <c r="D798" s="1" t="s">
        <v>49</v>
      </c>
      <c r="E798" s="1" t="s">
        <v>41</v>
      </c>
      <c r="F798">
        <v>335</v>
      </c>
      <c r="G798" s="1" t="s">
        <v>51</v>
      </c>
      <c r="H798">
        <v>17</v>
      </c>
      <c r="I798">
        <v>2</v>
      </c>
      <c r="J798" s="1" t="s">
        <v>57</v>
      </c>
      <c r="K798">
        <v>1</v>
      </c>
      <c r="L798">
        <v>1908</v>
      </c>
      <c r="M798">
        <v>3</v>
      </c>
      <c r="N798" s="1" t="s">
        <v>44</v>
      </c>
      <c r="O798">
        <v>33</v>
      </c>
      <c r="P798">
        <v>2</v>
      </c>
      <c r="Q798">
        <v>2</v>
      </c>
      <c r="R798" s="1" t="s">
        <v>137</v>
      </c>
      <c r="S798">
        <v>2</v>
      </c>
      <c r="T798" s="1" t="s">
        <v>105</v>
      </c>
      <c r="U798">
        <v>5507</v>
      </c>
      <c r="V798" s="1" t="s">
        <v>163</v>
      </c>
      <c r="W798">
        <v>16822</v>
      </c>
      <c r="X798">
        <v>2</v>
      </c>
      <c r="Y798" s="1" t="s">
        <v>48</v>
      </c>
      <c r="Z798" s="1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8">
      <c r="A799" s="1" t="s">
        <v>865</v>
      </c>
      <c r="B799">
        <v>36</v>
      </c>
      <c r="C799" s="1" t="s">
        <v>802</v>
      </c>
      <c r="D799" s="1" t="s">
        <v>49</v>
      </c>
      <c r="E799" s="1" t="s">
        <v>59</v>
      </c>
      <c r="F799">
        <v>1351</v>
      </c>
      <c r="G799" s="1" t="s">
        <v>42</v>
      </c>
      <c r="H799">
        <v>9</v>
      </c>
      <c r="I799">
        <v>4</v>
      </c>
      <c r="J799" s="1" t="s">
        <v>43</v>
      </c>
      <c r="K799">
        <v>1</v>
      </c>
      <c r="L799">
        <v>1949</v>
      </c>
      <c r="M799">
        <v>1</v>
      </c>
      <c r="N799" s="1" t="s">
        <v>44</v>
      </c>
      <c r="O799">
        <v>66</v>
      </c>
      <c r="P799">
        <v>4</v>
      </c>
      <c r="Q799">
        <v>1</v>
      </c>
      <c r="R799" s="1" t="s">
        <v>45</v>
      </c>
      <c r="S799">
        <v>2</v>
      </c>
      <c r="T799" s="1" t="s">
        <v>105</v>
      </c>
      <c r="U799">
        <v>2810</v>
      </c>
      <c r="V799" s="1" t="s">
        <v>47</v>
      </c>
      <c r="W799">
        <v>9238</v>
      </c>
      <c r="X799">
        <v>1</v>
      </c>
      <c r="Y799" s="1" t="s">
        <v>48</v>
      </c>
      <c r="Z799" s="1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8">
      <c r="A800" s="1" t="s">
        <v>866</v>
      </c>
      <c r="B800">
        <v>36</v>
      </c>
      <c r="C800" s="1" t="s">
        <v>802</v>
      </c>
      <c r="D800" s="1" t="s">
        <v>49</v>
      </c>
      <c r="E800" s="1" t="s">
        <v>41</v>
      </c>
      <c r="F800">
        <v>557</v>
      </c>
      <c r="G800" s="1" t="s">
        <v>51</v>
      </c>
      <c r="H800">
        <v>3</v>
      </c>
      <c r="I800">
        <v>3</v>
      </c>
      <c r="J800" s="1" t="s">
        <v>52</v>
      </c>
      <c r="K800">
        <v>1</v>
      </c>
      <c r="L800">
        <v>2024</v>
      </c>
      <c r="M800">
        <v>1</v>
      </c>
      <c r="N800" s="1" t="s">
        <v>53</v>
      </c>
      <c r="O800">
        <v>94</v>
      </c>
      <c r="P800">
        <v>2</v>
      </c>
      <c r="Q800">
        <v>3</v>
      </c>
      <c r="R800" s="1" t="s">
        <v>137</v>
      </c>
      <c r="S800">
        <v>4</v>
      </c>
      <c r="T800" s="1" t="s">
        <v>105</v>
      </c>
      <c r="U800">
        <v>7644</v>
      </c>
      <c r="V800" s="1" t="s">
        <v>163</v>
      </c>
      <c r="W800">
        <v>12695</v>
      </c>
      <c r="X800">
        <v>0</v>
      </c>
      <c r="Y800" s="1" t="s">
        <v>48</v>
      </c>
      <c r="Z800" s="1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8">
      <c r="A801" s="1" t="s">
        <v>867</v>
      </c>
      <c r="B801">
        <v>36</v>
      </c>
      <c r="C801" s="1" t="s">
        <v>802</v>
      </c>
      <c r="D801" s="1" t="s">
        <v>49</v>
      </c>
      <c r="E801" s="1" t="s">
        <v>56</v>
      </c>
      <c r="F801">
        <v>688</v>
      </c>
      <c r="G801" s="1" t="s">
        <v>42</v>
      </c>
      <c r="H801">
        <v>4</v>
      </c>
      <c r="I801">
        <v>2</v>
      </c>
      <c r="J801" s="1" t="s">
        <v>43</v>
      </c>
      <c r="K801">
        <v>1</v>
      </c>
      <c r="L801">
        <v>2025</v>
      </c>
      <c r="M801">
        <v>4</v>
      </c>
      <c r="N801" s="1" t="s">
        <v>53</v>
      </c>
      <c r="O801">
        <v>97</v>
      </c>
      <c r="P801">
        <v>3</v>
      </c>
      <c r="Q801">
        <v>2</v>
      </c>
      <c r="R801" s="1" t="s">
        <v>112</v>
      </c>
      <c r="S801">
        <v>2</v>
      </c>
      <c r="T801" s="1" t="s">
        <v>102</v>
      </c>
      <c r="U801">
        <v>5131</v>
      </c>
      <c r="V801" s="1" t="s">
        <v>163</v>
      </c>
      <c r="W801">
        <v>9192</v>
      </c>
      <c r="X801">
        <v>7</v>
      </c>
      <c r="Y801" s="1" t="s">
        <v>48</v>
      </c>
      <c r="Z801" s="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8">
      <c r="A802" s="1" t="s">
        <v>868</v>
      </c>
      <c r="B802">
        <v>36</v>
      </c>
      <c r="C802" s="1" t="s">
        <v>802</v>
      </c>
      <c r="D802" s="1" t="s">
        <v>49</v>
      </c>
      <c r="E802" s="1" t="s">
        <v>59</v>
      </c>
      <c r="F802">
        <v>301</v>
      </c>
      <c r="G802" s="1" t="s">
        <v>51</v>
      </c>
      <c r="H802">
        <v>15</v>
      </c>
      <c r="I802">
        <v>4</v>
      </c>
      <c r="J802" s="1" t="s">
        <v>57</v>
      </c>
      <c r="K802">
        <v>1</v>
      </c>
      <c r="L802">
        <v>2036</v>
      </c>
      <c r="M802">
        <v>4</v>
      </c>
      <c r="N802" s="1" t="s">
        <v>44</v>
      </c>
      <c r="O802">
        <v>88</v>
      </c>
      <c r="P802">
        <v>1</v>
      </c>
      <c r="Q802">
        <v>2</v>
      </c>
      <c r="R802" s="1" t="s">
        <v>137</v>
      </c>
      <c r="S802">
        <v>4</v>
      </c>
      <c r="T802" s="1" t="s">
        <v>102</v>
      </c>
      <c r="U802">
        <v>5406</v>
      </c>
      <c r="V802" s="1" t="s">
        <v>163</v>
      </c>
      <c r="W802">
        <v>10436</v>
      </c>
      <c r="X802">
        <v>1</v>
      </c>
      <c r="Y802" s="1" t="s">
        <v>48</v>
      </c>
      <c r="Z802" s="1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8">
      <c r="A803" s="1" t="s">
        <v>869</v>
      </c>
      <c r="B803">
        <v>36</v>
      </c>
      <c r="C803" s="1" t="s">
        <v>802</v>
      </c>
      <c r="D803" s="1" t="s">
        <v>49</v>
      </c>
      <c r="E803" s="1" t="s">
        <v>41</v>
      </c>
      <c r="F803">
        <v>1120</v>
      </c>
      <c r="G803" s="1" t="s">
        <v>51</v>
      </c>
      <c r="H803">
        <v>11</v>
      </c>
      <c r="I803">
        <v>4</v>
      </c>
      <c r="J803" s="1" t="s">
        <v>57</v>
      </c>
      <c r="K803">
        <v>1</v>
      </c>
      <c r="L803">
        <v>2045</v>
      </c>
      <c r="M803">
        <v>2</v>
      </c>
      <c r="N803" s="1" t="s">
        <v>53</v>
      </c>
      <c r="O803">
        <v>100</v>
      </c>
      <c r="P803">
        <v>2</v>
      </c>
      <c r="Q803">
        <v>2</v>
      </c>
      <c r="R803" s="1" t="s">
        <v>137</v>
      </c>
      <c r="S803">
        <v>4</v>
      </c>
      <c r="T803" s="1" t="s">
        <v>105</v>
      </c>
      <c r="U803">
        <v>6652</v>
      </c>
      <c r="V803" s="1" t="s">
        <v>163</v>
      </c>
      <c r="W803">
        <v>14369</v>
      </c>
      <c r="X803">
        <v>4</v>
      </c>
      <c r="Y803" s="1" t="s">
        <v>48</v>
      </c>
      <c r="Z803" s="1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8">
      <c r="A804" s="1" t="s">
        <v>870</v>
      </c>
      <c r="B804">
        <v>36</v>
      </c>
      <c r="C804" s="1" t="s">
        <v>802</v>
      </c>
      <c r="D804" s="1" t="s">
        <v>49</v>
      </c>
      <c r="E804" s="1" t="s">
        <v>56</v>
      </c>
      <c r="F804">
        <v>884</v>
      </c>
      <c r="G804" s="1" t="s">
        <v>42</v>
      </c>
      <c r="H804">
        <v>23</v>
      </c>
      <c r="I804">
        <v>2</v>
      </c>
      <c r="J804" s="1" t="s">
        <v>52</v>
      </c>
      <c r="K804">
        <v>1</v>
      </c>
      <c r="L804">
        <v>2061</v>
      </c>
      <c r="M804">
        <v>3</v>
      </c>
      <c r="N804" s="1" t="s">
        <v>44</v>
      </c>
      <c r="O804">
        <v>41</v>
      </c>
      <c r="P804">
        <v>4</v>
      </c>
      <c r="Q804">
        <v>2</v>
      </c>
      <c r="R804" s="1" t="s">
        <v>45</v>
      </c>
      <c r="S804">
        <v>4</v>
      </c>
      <c r="T804" s="1" t="s">
        <v>105</v>
      </c>
      <c r="U804">
        <v>2571</v>
      </c>
      <c r="V804" s="1" t="s">
        <v>47</v>
      </c>
      <c r="W804">
        <v>12290</v>
      </c>
      <c r="X804">
        <v>4</v>
      </c>
      <c r="Y804" s="1" t="s">
        <v>48</v>
      </c>
      <c r="Z804" s="1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8">
      <c r="A805" s="1" t="s">
        <v>870</v>
      </c>
      <c r="B805">
        <v>36</v>
      </c>
      <c r="C805" s="1" t="s">
        <v>802</v>
      </c>
      <c r="D805" s="1" t="s">
        <v>49</v>
      </c>
      <c r="E805" s="1" t="s">
        <v>56</v>
      </c>
      <c r="F805">
        <v>884</v>
      </c>
      <c r="G805" s="1" t="s">
        <v>42</v>
      </c>
      <c r="H805">
        <v>23</v>
      </c>
      <c r="I805">
        <v>2</v>
      </c>
      <c r="J805" s="1" t="s">
        <v>52</v>
      </c>
      <c r="K805">
        <v>1</v>
      </c>
      <c r="L805">
        <v>2061</v>
      </c>
      <c r="M805">
        <v>3</v>
      </c>
      <c r="N805" s="1" t="s">
        <v>44</v>
      </c>
      <c r="O805">
        <v>41</v>
      </c>
      <c r="P805">
        <v>4</v>
      </c>
      <c r="Q805">
        <v>2</v>
      </c>
      <c r="R805" s="1" t="s">
        <v>45</v>
      </c>
      <c r="S805">
        <v>4</v>
      </c>
      <c r="T805" s="1" t="s">
        <v>105</v>
      </c>
      <c r="U805">
        <v>2571</v>
      </c>
      <c r="V805" s="1" t="s">
        <v>47</v>
      </c>
      <c r="W805">
        <v>12290</v>
      </c>
      <c r="X805">
        <v>4</v>
      </c>
      <c r="Y805" s="1" t="s">
        <v>48</v>
      </c>
      <c r="Z805" s="1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8">
      <c r="A806" s="1" t="s">
        <v>871</v>
      </c>
      <c r="B806">
        <v>37</v>
      </c>
      <c r="C806" s="1" t="s">
        <v>802</v>
      </c>
      <c r="D806" s="1" t="s">
        <v>40</v>
      </c>
      <c r="E806" s="1" t="s">
        <v>41</v>
      </c>
      <c r="F806">
        <v>1373</v>
      </c>
      <c r="G806" s="1" t="s">
        <v>42</v>
      </c>
      <c r="H806">
        <v>2</v>
      </c>
      <c r="I806">
        <v>2</v>
      </c>
      <c r="J806" s="1" t="s">
        <v>73</v>
      </c>
      <c r="K806">
        <v>1</v>
      </c>
      <c r="L806">
        <v>4</v>
      </c>
      <c r="M806">
        <v>4</v>
      </c>
      <c r="N806" s="1" t="s">
        <v>44</v>
      </c>
      <c r="O806">
        <v>92</v>
      </c>
      <c r="P806">
        <v>2</v>
      </c>
      <c r="Q806">
        <v>1</v>
      </c>
      <c r="R806" s="1" t="s">
        <v>45</v>
      </c>
      <c r="S806">
        <v>3</v>
      </c>
      <c r="T806" s="1" t="s">
        <v>46</v>
      </c>
      <c r="U806">
        <v>2090</v>
      </c>
      <c r="V806" s="1" t="s">
        <v>47</v>
      </c>
      <c r="W806">
        <v>2396</v>
      </c>
      <c r="X806">
        <v>6</v>
      </c>
      <c r="Y806" s="1" t="s">
        <v>48</v>
      </c>
      <c r="Z806" s="1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8">
      <c r="A807" s="1" t="s">
        <v>872</v>
      </c>
      <c r="B807">
        <v>37</v>
      </c>
      <c r="C807" s="1" t="s">
        <v>802</v>
      </c>
      <c r="D807" s="1" t="s">
        <v>49</v>
      </c>
      <c r="E807" s="1" t="s">
        <v>41</v>
      </c>
      <c r="F807">
        <v>408</v>
      </c>
      <c r="G807" s="1" t="s">
        <v>42</v>
      </c>
      <c r="H807">
        <v>19</v>
      </c>
      <c r="I807">
        <v>2</v>
      </c>
      <c r="J807" s="1" t="s">
        <v>43</v>
      </c>
      <c r="K807">
        <v>1</v>
      </c>
      <c r="L807">
        <v>61</v>
      </c>
      <c r="M807">
        <v>2</v>
      </c>
      <c r="N807" s="1" t="s">
        <v>44</v>
      </c>
      <c r="O807">
        <v>73</v>
      </c>
      <c r="P807">
        <v>3</v>
      </c>
      <c r="Q807">
        <v>1</v>
      </c>
      <c r="R807" s="1" t="s">
        <v>60</v>
      </c>
      <c r="S807">
        <v>2</v>
      </c>
      <c r="T807" s="1" t="s">
        <v>105</v>
      </c>
      <c r="U807">
        <v>3022</v>
      </c>
      <c r="V807" s="1" t="s">
        <v>47</v>
      </c>
      <c r="W807">
        <v>10227</v>
      </c>
      <c r="X807">
        <v>4</v>
      </c>
      <c r="Y807" s="1" t="s">
        <v>48</v>
      </c>
      <c r="Z807" s="1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8">
      <c r="A808" s="1" t="s">
        <v>873</v>
      </c>
      <c r="B808">
        <v>37</v>
      </c>
      <c r="C808" s="1" t="s">
        <v>802</v>
      </c>
      <c r="D808" s="1" t="s">
        <v>49</v>
      </c>
      <c r="E808" s="1" t="s">
        <v>41</v>
      </c>
      <c r="F808">
        <v>1115</v>
      </c>
      <c r="G808" s="1" t="s">
        <v>42</v>
      </c>
      <c r="H808">
        <v>1</v>
      </c>
      <c r="I808">
        <v>4</v>
      </c>
      <c r="J808" s="1" t="s">
        <v>43</v>
      </c>
      <c r="K808">
        <v>1</v>
      </c>
      <c r="L808">
        <v>77</v>
      </c>
      <c r="M808">
        <v>1</v>
      </c>
      <c r="N808" s="1" t="s">
        <v>44</v>
      </c>
      <c r="O808">
        <v>51</v>
      </c>
      <c r="P808">
        <v>2</v>
      </c>
      <c r="Q808">
        <v>2</v>
      </c>
      <c r="R808" s="1" t="s">
        <v>112</v>
      </c>
      <c r="S808">
        <v>3</v>
      </c>
      <c r="T808" s="1" t="s">
        <v>102</v>
      </c>
      <c r="U808">
        <v>5993</v>
      </c>
      <c r="V808" s="1" t="s">
        <v>163</v>
      </c>
      <c r="W808">
        <v>2689</v>
      </c>
      <c r="X808">
        <v>1</v>
      </c>
      <c r="Y808" s="1" t="s">
        <v>48</v>
      </c>
      <c r="Z808" s="1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8">
      <c r="A809" s="1" t="s">
        <v>874</v>
      </c>
      <c r="B809">
        <v>37</v>
      </c>
      <c r="C809" s="1" t="s">
        <v>802</v>
      </c>
      <c r="D809" s="1" t="s">
        <v>49</v>
      </c>
      <c r="E809" s="1" t="s">
        <v>41</v>
      </c>
      <c r="F809">
        <v>397</v>
      </c>
      <c r="G809" s="1" t="s">
        <v>42</v>
      </c>
      <c r="H809">
        <v>7</v>
      </c>
      <c r="I809">
        <v>4</v>
      </c>
      <c r="J809" s="1" t="s">
        <v>52</v>
      </c>
      <c r="K809">
        <v>1</v>
      </c>
      <c r="L809">
        <v>102</v>
      </c>
      <c r="M809">
        <v>1</v>
      </c>
      <c r="N809" s="1" t="s">
        <v>44</v>
      </c>
      <c r="O809">
        <v>30</v>
      </c>
      <c r="P809">
        <v>3</v>
      </c>
      <c r="Q809">
        <v>3</v>
      </c>
      <c r="R809" s="1" t="s">
        <v>252</v>
      </c>
      <c r="S809">
        <v>3</v>
      </c>
      <c r="T809" s="1" t="s">
        <v>46</v>
      </c>
      <c r="U809">
        <v>13664</v>
      </c>
      <c r="V809" s="1" t="s">
        <v>253</v>
      </c>
      <c r="W809">
        <v>25258</v>
      </c>
      <c r="X809">
        <v>4</v>
      </c>
      <c r="Y809" s="1" t="s">
        <v>48</v>
      </c>
      <c r="Z809" s="1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8">
      <c r="A810" s="1" t="s">
        <v>875</v>
      </c>
      <c r="B810">
        <v>37</v>
      </c>
      <c r="C810" s="1" t="s">
        <v>802</v>
      </c>
      <c r="D810" s="1" t="s">
        <v>40</v>
      </c>
      <c r="E810" s="1" t="s">
        <v>41</v>
      </c>
      <c r="F810">
        <v>807</v>
      </c>
      <c r="G810" s="1" t="s">
        <v>71</v>
      </c>
      <c r="H810">
        <v>6</v>
      </c>
      <c r="I810">
        <v>4</v>
      </c>
      <c r="J810" s="1" t="s">
        <v>71</v>
      </c>
      <c r="K810">
        <v>1</v>
      </c>
      <c r="L810">
        <v>133</v>
      </c>
      <c r="M810">
        <v>3</v>
      </c>
      <c r="N810" s="1" t="s">
        <v>44</v>
      </c>
      <c r="O810">
        <v>63</v>
      </c>
      <c r="P810">
        <v>3</v>
      </c>
      <c r="Q810">
        <v>1</v>
      </c>
      <c r="R810" s="1" t="s">
        <v>71</v>
      </c>
      <c r="S810">
        <v>1</v>
      </c>
      <c r="T810" s="1" t="s">
        <v>102</v>
      </c>
      <c r="U810">
        <v>2073</v>
      </c>
      <c r="V810" s="1" t="s">
        <v>47</v>
      </c>
      <c r="W810">
        <v>23648</v>
      </c>
      <c r="X810">
        <v>4</v>
      </c>
      <c r="Y810" s="1" t="s">
        <v>48</v>
      </c>
      <c r="Z810" s="1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8">
      <c r="A811" s="1" t="s">
        <v>876</v>
      </c>
      <c r="B811">
        <v>37</v>
      </c>
      <c r="C811" s="1" t="s">
        <v>802</v>
      </c>
      <c r="D811" s="1" t="s">
        <v>49</v>
      </c>
      <c r="E811" s="1" t="s">
        <v>59</v>
      </c>
      <c r="F811">
        <v>1040</v>
      </c>
      <c r="G811" s="1" t="s">
        <v>42</v>
      </c>
      <c r="H811">
        <v>2</v>
      </c>
      <c r="I811">
        <v>2</v>
      </c>
      <c r="J811" s="1" t="s">
        <v>43</v>
      </c>
      <c r="K811">
        <v>1</v>
      </c>
      <c r="L811">
        <v>139</v>
      </c>
      <c r="M811">
        <v>3</v>
      </c>
      <c r="N811" s="1" t="s">
        <v>44</v>
      </c>
      <c r="O811">
        <v>100</v>
      </c>
      <c r="P811">
        <v>2</v>
      </c>
      <c r="Q811">
        <v>2</v>
      </c>
      <c r="R811" s="1" t="s">
        <v>161</v>
      </c>
      <c r="S811">
        <v>4</v>
      </c>
      <c r="T811" s="1" t="s">
        <v>102</v>
      </c>
      <c r="U811">
        <v>5163</v>
      </c>
      <c r="V811" s="1" t="s">
        <v>163</v>
      </c>
      <c r="W811">
        <v>15850</v>
      </c>
      <c r="X811">
        <v>5</v>
      </c>
      <c r="Y811" s="1" t="s">
        <v>48</v>
      </c>
      <c r="Z811" s="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8">
      <c r="A812" s="1" t="s">
        <v>877</v>
      </c>
      <c r="B812">
        <v>37</v>
      </c>
      <c r="C812" s="1" t="s">
        <v>802</v>
      </c>
      <c r="D812" s="1" t="s">
        <v>49</v>
      </c>
      <c r="E812" s="1" t="s">
        <v>41</v>
      </c>
      <c r="F812">
        <v>1189</v>
      </c>
      <c r="G812" s="1" t="s">
        <v>51</v>
      </c>
      <c r="H812">
        <v>3</v>
      </c>
      <c r="I812">
        <v>3</v>
      </c>
      <c r="J812" s="1" t="s">
        <v>43</v>
      </c>
      <c r="K812">
        <v>1</v>
      </c>
      <c r="L812">
        <v>152</v>
      </c>
      <c r="M812">
        <v>3</v>
      </c>
      <c r="N812" s="1" t="s">
        <v>44</v>
      </c>
      <c r="O812">
        <v>87</v>
      </c>
      <c r="P812">
        <v>3</v>
      </c>
      <c r="Q812">
        <v>3</v>
      </c>
      <c r="R812" s="1" t="s">
        <v>137</v>
      </c>
      <c r="S812">
        <v>4</v>
      </c>
      <c r="T812" s="1" t="s">
        <v>46</v>
      </c>
      <c r="U812">
        <v>7428</v>
      </c>
      <c r="V812" s="1" t="s">
        <v>163</v>
      </c>
      <c r="W812">
        <v>14506</v>
      </c>
      <c r="X812">
        <v>2</v>
      </c>
      <c r="Y812" s="1" t="s">
        <v>48</v>
      </c>
      <c r="Z812" s="1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8">
      <c r="A813" s="1" t="s">
        <v>878</v>
      </c>
      <c r="B813">
        <v>37</v>
      </c>
      <c r="C813" s="1" t="s">
        <v>802</v>
      </c>
      <c r="D813" s="1" t="s">
        <v>49</v>
      </c>
      <c r="E813" s="1" t="s">
        <v>41</v>
      </c>
      <c r="F813">
        <v>290</v>
      </c>
      <c r="G813" s="1" t="s">
        <v>42</v>
      </c>
      <c r="H813">
        <v>21</v>
      </c>
      <c r="I813">
        <v>3</v>
      </c>
      <c r="J813" s="1" t="s">
        <v>43</v>
      </c>
      <c r="K813">
        <v>1</v>
      </c>
      <c r="L813">
        <v>267</v>
      </c>
      <c r="M813">
        <v>2</v>
      </c>
      <c r="N813" s="1" t="s">
        <v>44</v>
      </c>
      <c r="O813">
        <v>65</v>
      </c>
      <c r="P813">
        <v>4</v>
      </c>
      <c r="Q813">
        <v>1</v>
      </c>
      <c r="R813" s="1" t="s">
        <v>60</v>
      </c>
      <c r="S813">
        <v>1</v>
      </c>
      <c r="T813" s="1" t="s">
        <v>105</v>
      </c>
      <c r="U813">
        <v>3564</v>
      </c>
      <c r="V813" s="1" t="s">
        <v>47</v>
      </c>
      <c r="W813">
        <v>22977</v>
      </c>
      <c r="X813">
        <v>1</v>
      </c>
      <c r="Y813" s="1" t="s">
        <v>48</v>
      </c>
      <c r="Z813" s="1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8">
      <c r="A814" s="1" t="s">
        <v>879</v>
      </c>
      <c r="B814">
        <v>37</v>
      </c>
      <c r="C814" s="1" t="s">
        <v>802</v>
      </c>
      <c r="D814" s="1" t="s">
        <v>49</v>
      </c>
      <c r="E814" s="1" t="s">
        <v>56</v>
      </c>
      <c r="F814">
        <v>663</v>
      </c>
      <c r="G814" s="1" t="s">
        <v>42</v>
      </c>
      <c r="H814">
        <v>11</v>
      </c>
      <c r="I814">
        <v>3</v>
      </c>
      <c r="J814" s="1" t="s">
        <v>73</v>
      </c>
      <c r="K814">
        <v>1</v>
      </c>
      <c r="L814">
        <v>306</v>
      </c>
      <c r="M814">
        <v>2</v>
      </c>
      <c r="N814" s="1" t="s">
        <v>44</v>
      </c>
      <c r="O814">
        <v>47</v>
      </c>
      <c r="P814">
        <v>3</v>
      </c>
      <c r="Q814">
        <v>3</v>
      </c>
      <c r="R814" s="1" t="s">
        <v>252</v>
      </c>
      <c r="S814">
        <v>4</v>
      </c>
      <c r="T814" s="1" t="s">
        <v>102</v>
      </c>
      <c r="U814">
        <v>12185</v>
      </c>
      <c r="V814" s="1" t="s">
        <v>253</v>
      </c>
      <c r="W814">
        <v>10056</v>
      </c>
      <c r="X814">
        <v>1</v>
      </c>
      <c r="Y814" s="1" t="s">
        <v>48</v>
      </c>
      <c r="Z814" s="1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8">
      <c r="A815" s="1" t="s">
        <v>880</v>
      </c>
      <c r="B815">
        <v>37</v>
      </c>
      <c r="C815" s="1" t="s">
        <v>802</v>
      </c>
      <c r="D815" s="1" t="s">
        <v>49</v>
      </c>
      <c r="E815" s="1" t="s">
        <v>56</v>
      </c>
      <c r="F815">
        <v>319</v>
      </c>
      <c r="G815" s="1" t="s">
        <v>51</v>
      </c>
      <c r="H815">
        <v>4</v>
      </c>
      <c r="I815">
        <v>4</v>
      </c>
      <c r="J815" s="1" t="s">
        <v>57</v>
      </c>
      <c r="K815">
        <v>1</v>
      </c>
      <c r="L815">
        <v>311</v>
      </c>
      <c r="M815">
        <v>1</v>
      </c>
      <c r="N815" s="1" t="s">
        <v>44</v>
      </c>
      <c r="O815">
        <v>41</v>
      </c>
      <c r="P815">
        <v>3</v>
      </c>
      <c r="Q815">
        <v>1</v>
      </c>
      <c r="R815" s="1" t="s">
        <v>54</v>
      </c>
      <c r="S815">
        <v>4</v>
      </c>
      <c r="T815" s="1" t="s">
        <v>102</v>
      </c>
      <c r="U815">
        <v>2793</v>
      </c>
      <c r="V815" s="1" t="s">
        <v>47</v>
      </c>
      <c r="W815">
        <v>2539</v>
      </c>
      <c r="X815">
        <v>4</v>
      </c>
      <c r="Y815" s="1" t="s">
        <v>48</v>
      </c>
      <c r="Z815" s="1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8">
      <c r="A816" s="1" t="s">
        <v>881</v>
      </c>
      <c r="B816">
        <v>37</v>
      </c>
      <c r="C816" s="1" t="s">
        <v>802</v>
      </c>
      <c r="D816" s="1" t="s">
        <v>49</v>
      </c>
      <c r="E816" s="1" t="s">
        <v>41</v>
      </c>
      <c r="F816">
        <v>1017</v>
      </c>
      <c r="G816" s="1" t="s">
        <v>42</v>
      </c>
      <c r="H816">
        <v>1</v>
      </c>
      <c r="I816">
        <v>2</v>
      </c>
      <c r="J816" s="1" t="s">
        <v>52</v>
      </c>
      <c r="K816">
        <v>1</v>
      </c>
      <c r="L816">
        <v>340</v>
      </c>
      <c r="M816">
        <v>3</v>
      </c>
      <c r="N816" s="1" t="s">
        <v>53</v>
      </c>
      <c r="O816">
        <v>83</v>
      </c>
      <c r="P816">
        <v>2</v>
      </c>
      <c r="Q816">
        <v>1</v>
      </c>
      <c r="R816" s="1" t="s">
        <v>60</v>
      </c>
      <c r="S816">
        <v>1</v>
      </c>
      <c r="T816" s="1" t="s">
        <v>105</v>
      </c>
      <c r="U816">
        <v>3920</v>
      </c>
      <c r="V816" s="1" t="s">
        <v>47</v>
      </c>
      <c r="W816">
        <v>18697</v>
      </c>
      <c r="X816">
        <v>2</v>
      </c>
      <c r="Y816" s="1" t="s">
        <v>48</v>
      </c>
      <c r="Z816" s="1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8">
      <c r="A817" s="1" t="s">
        <v>882</v>
      </c>
      <c r="B817">
        <v>37</v>
      </c>
      <c r="C817" s="1" t="s">
        <v>802</v>
      </c>
      <c r="D817" s="1" t="s">
        <v>40</v>
      </c>
      <c r="E817" s="1" t="s">
        <v>56</v>
      </c>
      <c r="F817">
        <v>504</v>
      </c>
      <c r="G817" s="1" t="s">
        <v>42</v>
      </c>
      <c r="H817">
        <v>10</v>
      </c>
      <c r="I817">
        <v>3</v>
      </c>
      <c r="J817" s="1" t="s">
        <v>52</v>
      </c>
      <c r="K817">
        <v>1</v>
      </c>
      <c r="L817">
        <v>342</v>
      </c>
      <c r="M817">
        <v>1</v>
      </c>
      <c r="N817" s="1" t="s">
        <v>44</v>
      </c>
      <c r="O817">
        <v>61</v>
      </c>
      <c r="P817">
        <v>3</v>
      </c>
      <c r="Q817">
        <v>3</v>
      </c>
      <c r="R817" s="1" t="s">
        <v>112</v>
      </c>
      <c r="S817">
        <v>3</v>
      </c>
      <c r="T817" s="1" t="s">
        <v>102</v>
      </c>
      <c r="U817">
        <v>10048</v>
      </c>
      <c r="V817" s="1" t="s">
        <v>253</v>
      </c>
      <c r="W817">
        <v>22573</v>
      </c>
      <c r="X817">
        <v>6</v>
      </c>
      <c r="Y817" s="1" t="s">
        <v>48</v>
      </c>
      <c r="Z817" s="1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8">
      <c r="A818" s="1" t="s">
        <v>883</v>
      </c>
      <c r="B818">
        <v>37</v>
      </c>
      <c r="C818" s="1" t="s">
        <v>802</v>
      </c>
      <c r="D818" s="1" t="s">
        <v>49</v>
      </c>
      <c r="E818" s="1" t="s">
        <v>41</v>
      </c>
      <c r="F818">
        <v>228</v>
      </c>
      <c r="G818" s="1" t="s">
        <v>51</v>
      </c>
      <c r="H818">
        <v>6</v>
      </c>
      <c r="I818">
        <v>4</v>
      </c>
      <c r="J818" s="1" t="s">
        <v>52</v>
      </c>
      <c r="K818">
        <v>1</v>
      </c>
      <c r="L818">
        <v>378</v>
      </c>
      <c r="M818">
        <v>3</v>
      </c>
      <c r="N818" s="1" t="s">
        <v>44</v>
      </c>
      <c r="O818">
        <v>98</v>
      </c>
      <c r="P818">
        <v>3</v>
      </c>
      <c r="Q818">
        <v>2</v>
      </c>
      <c r="R818" s="1" t="s">
        <v>137</v>
      </c>
      <c r="S818">
        <v>4</v>
      </c>
      <c r="T818" s="1" t="s">
        <v>105</v>
      </c>
      <c r="U818">
        <v>6502</v>
      </c>
      <c r="V818" s="1" t="s">
        <v>163</v>
      </c>
      <c r="W818">
        <v>22825</v>
      </c>
      <c r="X818">
        <v>4</v>
      </c>
      <c r="Y818" s="1" t="s">
        <v>48</v>
      </c>
      <c r="Z818" s="1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8">
      <c r="A819" s="1" t="s">
        <v>884</v>
      </c>
      <c r="B819">
        <v>37</v>
      </c>
      <c r="C819" s="1" t="s">
        <v>802</v>
      </c>
      <c r="D819" s="1" t="s">
        <v>49</v>
      </c>
      <c r="E819" s="1" t="s">
        <v>59</v>
      </c>
      <c r="F819">
        <v>728</v>
      </c>
      <c r="G819" s="1" t="s">
        <v>42</v>
      </c>
      <c r="H819">
        <v>1</v>
      </c>
      <c r="I819">
        <v>4</v>
      </c>
      <c r="J819" s="1" t="s">
        <v>52</v>
      </c>
      <c r="K819">
        <v>1</v>
      </c>
      <c r="L819">
        <v>380</v>
      </c>
      <c r="M819">
        <v>1</v>
      </c>
      <c r="N819" s="1" t="s">
        <v>53</v>
      </c>
      <c r="O819">
        <v>80</v>
      </c>
      <c r="P819">
        <v>3</v>
      </c>
      <c r="Q819">
        <v>3</v>
      </c>
      <c r="R819" s="1" t="s">
        <v>252</v>
      </c>
      <c r="S819">
        <v>4</v>
      </c>
      <c r="T819" s="1" t="s">
        <v>102</v>
      </c>
      <c r="U819">
        <v>13603</v>
      </c>
      <c r="V819" s="1" t="s">
        <v>253</v>
      </c>
      <c r="W819">
        <v>11677</v>
      </c>
      <c r="X819">
        <v>2</v>
      </c>
      <c r="Y819" s="1" t="s">
        <v>48</v>
      </c>
      <c r="Z819" s="1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8">
      <c r="A820" s="1" t="s">
        <v>885</v>
      </c>
      <c r="B820">
        <v>37</v>
      </c>
      <c r="C820" s="1" t="s">
        <v>802</v>
      </c>
      <c r="D820" s="1" t="s">
        <v>49</v>
      </c>
      <c r="E820" s="1" t="s">
        <v>41</v>
      </c>
      <c r="F820">
        <v>1372</v>
      </c>
      <c r="G820" s="1" t="s">
        <v>42</v>
      </c>
      <c r="H820">
        <v>1</v>
      </c>
      <c r="I820">
        <v>3</v>
      </c>
      <c r="J820" s="1" t="s">
        <v>43</v>
      </c>
      <c r="K820">
        <v>1</v>
      </c>
      <c r="L820">
        <v>391</v>
      </c>
      <c r="M820">
        <v>4</v>
      </c>
      <c r="N820" s="1" t="s">
        <v>53</v>
      </c>
      <c r="O820">
        <v>42</v>
      </c>
      <c r="P820">
        <v>3</v>
      </c>
      <c r="Q820">
        <v>1</v>
      </c>
      <c r="R820" s="1" t="s">
        <v>60</v>
      </c>
      <c r="S820">
        <v>4</v>
      </c>
      <c r="T820" s="1" t="s">
        <v>46</v>
      </c>
      <c r="U820">
        <v>2115</v>
      </c>
      <c r="V820" s="1" t="s">
        <v>47</v>
      </c>
      <c r="W820">
        <v>15881</v>
      </c>
      <c r="X820">
        <v>1</v>
      </c>
      <c r="Y820" s="1" t="s">
        <v>48</v>
      </c>
      <c r="Z820" s="1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8">
      <c r="A821" s="1" t="s">
        <v>886</v>
      </c>
      <c r="B821">
        <v>37</v>
      </c>
      <c r="C821" s="1" t="s">
        <v>802</v>
      </c>
      <c r="D821" s="1" t="s">
        <v>49</v>
      </c>
      <c r="E821" s="1" t="s">
        <v>56</v>
      </c>
      <c r="F821">
        <v>889</v>
      </c>
      <c r="G821" s="1" t="s">
        <v>42</v>
      </c>
      <c r="H821">
        <v>9</v>
      </c>
      <c r="I821">
        <v>3</v>
      </c>
      <c r="J821" s="1" t="s">
        <v>52</v>
      </c>
      <c r="K821">
        <v>1</v>
      </c>
      <c r="L821">
        <v>403</v>
      </c>
      <c r="M821">
        <v>2</v>
      </c>
      <c r="N821" s="1" t="s">
        <v>44</v>
      </c>
      <c r="O821">
        <v>53</v>
      </c>
      <c r="P821">
        <v>3</v>
      </c>
      <c r="Q821">
        <v>1</v>
      </c>
      <c r="R821" s="1" t="s">
        <v>60</v>
      </c>
      <c r="S821">
        <v>4</v>
      </c>
      <c r="T821" s="1" t="s">
        <v>105</v>
      </c>
      <c r="U821">
        <v>2326</v>
      </c>
      <c r="V821" s="1" t="s">
        <v>47</v>
      </c>
      <c r="W821">
        <v>11411</v>
      </c>
      <c r="X821">
        <v>1</v>
      </c>
      <c r="Y821" s="1" t="s">
        <v>48</v>
      </c>
      <c r="Z821" s="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8">
      <c r="A822" s="1" t="s">
        <v>887</v>
      </c>
      <c r="B822">
        <v>37</v>
      </c>
      <c r="C822" s="1" t="s">
        <v>802</v>
      </c>
      <c r="D822" s="1" t="s">
        <v>49</v>
      </c>
      <c r="E822" s="1" t="s">
        <v>41</v>
      </c>
      <c r="F822">
        <v>1192</v>
      </c>
      <c r="G822" s="1" t="s">
        <v>42</v>
      </c>
      <c r="H822">
        <v>5</v>
      </c>
      <c r="I822">
        <v>2</v>
      </c>
      <c r="J822" s="1" t="s">
        <v>52</v>
      </c>
      <c r="K822">
        <v>1</v>
      </c>
      <c r="L822">
        <v>460</v>
      </c>
      <c r="M822">
        <v>4</v>
      </c>
      <c r="N822" s="1" t="s">
        <v>44</v>
      </c>
      <c r="O822">
        <v>61</v>
      </c>
      <c r="P822">
        <v>3</v>
      </c>
      <c r="Q822">
        <v>2</v>
      </c>
      <c r="R822" s="1" t="s">
        <v>112</v>
      </c>
      <c r="S822">
        <v>4</v>
      </c>
      <c r="T822" s="1" t="s">
        <v>102</v>
      </c>
      <c r="U822">
        <v>6347</v>
      </c>
      <c r="V822" s="1" t="s">
        <v>163</v>
      </c>
      <c r="W822">
        <v>23177</v>
      </c>
      <c r="X822">
        <v>7</v>
      </c>
      <c r="Y822" s="1" t="s">
        <v>48</v>
      </c>
      <c r="Z822" s="1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8">
      <c r="A823" s="1" t="s">
        <v>888</v>
      </c>
      <c r="B823">
        <v>37</v>
      </c>
      <c r="C823" s="1" t="s">
        <v>802</v>
      </c>
      <c r="D823" s="1" t="s">
        <v>49</v>
      </c>
      <c r="E823" s="1" t="s">
        <v>41</v>
      </c>
      <c r="F823">
        <v>1319</v>
      </c>
      <c r="G823" s="1" t="s">
        <v>42</v>
      </c>
      <c r="H823">
        <v>6</v>
      </c>
      <c r="I823">
        <v>3</v>
      </c>
      <c r="J823" s="1" t="s">
        <v>52</v>
      </c>
      <c r="K823">
        <v>1</v>
      </c>
      <c r="L823">
        <v>474</v>
      </c>
      <c r="M823">
        <v>3</v>
      </c>
      <c r="N823" s="1" t="s">
        <v>44</v>
      </c>
      <c r="O823">
        <v>51</v>
      </c>
      <c r="P823">
        <v>4</v>
      </c>
      <c r="Q823">
        <v>2</v>
      </c>
      <c r="R823" s="1" t="s">
        <v>60</v>
      </c>
      <c r="S823">
        <v>1</v>
      </c>
      <c r="T823" s="1" t="s">
        <v>102</v>
      </c>
      <c r="U823">
        <v>5974</v>
      </c>
      <c r="V823" s="1" t="s">
        <v>163</v>
      </c>
      <c r="W823">
        <v>17001</v>
      </c>
      <c r="X823">
        <v>4</v>
      </c>
      <c r="Y823" s="1" t="s">
        <v>48</v>
      </c>
      <c r="Z823" s="1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8">
      <c r="A824" s="1" t="s">
        <v>889</v>
      </c>
      <c r="B824">
        <v>37</v>
      </c>
      <c r="C824" s="1" t="s">
        <v>802</v>
      </c>
      <c r="D824" s="1" t="s">
        <v>49</v>
      </c>
      <c r="E824" s="1" t="s">
        <v>41</v>
      </c>
      <c r="F824">
        <v>921</v>
      </c>
      <c r="G824" s="1" t="s">
        <v>42</v>
      </c>
      <c r="H824">
        <v>10</v>
      </c>
      <c r="I824">
        <v>3</v>
      </c>
      <c r="J824" s="1" t="s">
        <v>52</v>
      </c>
      <c r="K824">
        <v>1</v>
      </c>
      <c r="L824">
        <v>486</v>
      </c>
      <c r="M824">
        <v>3</v>
      </c>
      <c r="N824" s="1" t="s">
        <v>53</v>
      </c>
      <c r="O824">
        <v>98</v>
      </c>
      <c r="P824">
        <v>3</v>
      </c>
      <c r="Q824">
        <v>1</v>
      </c>
      <c r="R824" s="1" t="s">
        <v>45</v>
      </c>
      <c r="S824">
        <v>1</v>
      </c>
      <c r="T824" s="1" t="s">
        <v>105</v>
      </c>
      <c r="U824">
        <v>3452</v>
      </c>
      <c r="V824" s="1" t="s">
        <v>47</v>
      </c>
      <c r="W824">
        <v>17663</v>
      </c>
      <c r="X824">
        <v>6</v>
      </c>
      <c r="Y824" s="1" t="s">
        <v>48</v>
      </c>
      <c r="Z824" s="1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8">
      <c r="A825" s="1" t="s">
        <v>890</v>
      </c>
      <c r="B825">
        <v>37</v>
      </c>
      <c r="C825" s="1" t="s">
        <v>802</v>
      </c>
      <c r="D825" s="1" t="s">
        <v>49</v>
      </c>
      <c r="E825" s="1" t="s">
        <v>41</v>
      </c>
      <c r="F825">
        <v>1107</v>
      </c>
      <c r="G825" s="1" t="s">
        <v>42</v>
      </c>
      <c r="H825">
        <v>14</v>
      </c>
      <c r="I825">
        <v>3</v>
      </c>
      <c r="J825" s="1" t="s">
        <v>43</v>
      </c>
      <c r="K825">
        <v>1</v>
      </c>
      <c r="L825">
        <v>515</v>
      </c>
      <c r="M825">
        <v>4</v>
      </c>
      <c r="N825" s="1" t="s">
        <v>53</v>
      </c>
      <c r="O825">
        <v>95</v>
      </c>
      <c r="P825">
        <v>3</v>
      </c>
      <c r="Q825">
        <v>1</v>
      </c>
      <c r="R825" s="1" t="s">
        <v>45</v>
      </c>
      <c r="S825">
        <v>1</v>
      </c>
      <c r="T825" s="1" t="s">
        <v>102</v>
      </c>
      <c r="U825">
        <v>3034</v>
      </c>
      <c r="V825" s="1" t="s">
        <v>47</v>
      </c>
      <c r="W825">
        <v>26914</v>
      </c>
      <c r="X825">
        <v>1</v>
      </c>
      <c r="Y825" s="1" t="s">
        <v>48</v>
      </c>
      <c r="Z825" s="1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8">
      <c r="A826" s="1" t="s">
        <v>891</v>
      </c>
      <c r="B826">
        <v>37</v>
      </c>
      <c r="C826" s="1" t="s">
        <v>802</v>
      </c>
      <c r="D826" s="1" t="s">
        <v>49</v>
      </c>
      <c r="E826" s="1" t="s">
        <v>41</v>
      </c>
      <c r="F826">
        <v>1305</v>
      </c>
      <c r="G826" s="1" t="s">
        <v>42</v>
      </c>
      <c r="H826">
        <v>10</v>
      </c>
      <c r="I826">
        <v>4</v>
      </c>
      <c r="J826" s="1" t="s">
        <v>43</v>
      </c>
      <c r="K826">
        <v>1</v>
      </c>
      <c r="L826">
        <v>518</v>
      </c>
      <c r="M826">
        <v>3</v>
      </c>
      <c r="N826" s="1" t="s">
        <v>44</v>
      </c>
      <c r="O826">
        <v>49</v>
      </c>
      <c r="P826">
        <v>3</v>
      </c>
      <c r="Q826">
        <v>2</v>
      </c>
      <c r="R826" s="1" t="s">
        <v>112</v>
      </c>
      <c r="S826">
        <v>2</v>
      </c>
      <c r="T826" s="1" t="s">
        <v>46</v>
      </c>
      <c r="U826">
        <v>4197</v>
      </c>
      <c r="V826" s="1" t="s">
        <v>47</v>
      </c>
      <c r="W826">
        <v>21123</v>
      </c>
      <c r="X826">
        <v>2</v>
      </c>
      <c r="Y826" s="1" t="s">
        <v>48</v>
      </c>
      <c r="Z826" s="1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8">
      <c r="A827" s="1" t="s">
        <v>892</v>
      </c>
      <c r="B827">
        <v>37</v>
      </c>
      <c r="C827" s="1" t="s">
        <v>802</v>
      </c>
      <c r="D827" s="1" t="s">
        <v>49</v>
      </c>
      <c r="E827" s="1" t="s">
        <v>59</v>
      </c>
      <c r="F827">
        <v>1063</v>
      </c>
      <c r="G827" s="1" t="s">
        <v>42</v>
      </c>
      <c r="H827">
        <v>25</v>
      </c>
      <c r="I827">
        <v>5</v>
      </c>
      <c r="J827" s="1" t="s">
        <v>52</v>
      </c>
      <c r="K827">
        <v>1</v>
      </c>
      <c r="L827">
        <v>529</v>
      </c>
      <c r="M827">
        <v>2</v>
      </c>
      <c r="N827" s="1" t="s">
        <v>53</v>
      </c>
      <c r="O827">
        <v>72</v>
      </c>
      <c r="P827">
        <v>3</v>
      </c>
      <c r="Q827">
        <v>2</v>
      </c>
      <c r="R827" s="1" t="s">
        <v>60</v>
      </c>
      <c r="S827">
        <v>3</v>
      </c>
      <c r="T827" s="1" t="s">
        <v>105</v>
      </c>
      <c r="U827">
        <v>4449</v>
      </c>
      <c r="V827" s="1" t="s">
        <v>47</v>
      </c>
      <c r="W827">
        <v>23866</v>
      </c>
      <c r="X827">
        <v>3</v>
      </c>
      <c r="Y827" s="1" t="s">
        <v>48</v>
      </c>
      <c r="Z827" s="1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8">
      <c r="A828" s="1" t="s">
        <v>893</v>
      </c>
      <c r="B828">
        <v>37</v>
      </c>
      <c r="C828" s="1" t="s">
        <v>802</v>
      </c>
      <c r="D828" s="1" t="s">
        <v>49</v>
      </c>
      <c r="E828" s="1" t="s">
        <v>41</v>
      </c>
      <c r="F828">
        <v>799</v>
      </c>
      <c r="G828" s="1" t="s">
        <v>42</v>
      </c>
      <c r="H828">
        <v>1</v>
      </c>
      <c r="I828">
        <v>3</v>
      </c>
      <c r="J828" s="1" t="s">
        <v>68</v>
      </c>
      <c r="K828">
        <v>1</v>
      </c>
      <c r="L828">
        <v>623</v>
      </c>
      <c r="M828">
        <v>2</v>
      </c>
      <c r="N828" s="1" t="s">
        <v>53</v>
      </c>
      <c r="O828">
        <v>59</v>
      </c>
      <c r="P828">
        <v>3</v>
      </c>
      <c r="Q828">
        <v>3</v>
      </c>
      <c r="R828" s="1" t="s">
        <v>112</v>
      </c>
      <c r="S828">
        <v>4</v>
      </c>
      <c r="T828" s="1" t="s">
        <v>46</v>
      </c>
      <c r="U828">
        <v>7491</v>
      </c>
      <c r="V828" s="1" t="s">
        <v>163</v>
      </c>
      <c r="W828">
        <v>23848</v>
      </c>
      <c r="X828">
        <v>4</v>
      </c>
      <c r="Y828" s="1" t="s">
        <v>48</v>
      </c>
      <c r="Z828" s="1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8">
      <c r="A829" s="1" t="s">
        <v>894</v>
      </c>
      <c r="B829">
        <v>37</v>
      </c>
      <c r="C829" s="1" t="s">
        <v>802</v>
      </c>
      <c r="D829" s="1" t="s">
        <v>49</v>
      </c>
      <c r="E829" s="1" t="s">
        <v>59</v>
      </c>
      <c r="F829">
        <v>142</v>
      </c>
      <c r="G829" s="1" t="s">
        <v>51</v>
      </c>
      <c r="H829">
        <v>9</v>
      </c>
      <c r="I829">
        <v>4</v>
      </c>
      <c r="J829" s="1" t="s">
        <v>52</v>
      </c>
      <c r="K829">
        <v>1</v>
      </c>
      <c r="L829">
        <v>626</v>
      </c>
      <c r="M829">
        <v>1</v>
      </c>
      <c r="N829" s="1" t="s">
        <v>44</v>
      </c>
      <c r="O829">
        <v>69</v>
      </c>
      <c r="P829">
        <v>3</v>
      </c>
      <c r="Q829">
        <v>3</v>
      </c>
      <c r="R829" s="1" t="s">
        <v>137</v>
      </c>
      <c r="S829">
        <v>2</v>
      </c>
      <c r="T829" s="1" t="s">
        <v>102</v>
      </c>
      <c r="U829">
        <v>8834</v>
      </c>
      <c r="V829" s="1" t="s">
        <v>163</v>
      </c>
      <c r="W829">
        <v>24666</v>
      </c>
      <c r="X829">
        <v>1</v>
      </c>
      <c r="Y829" s="1" t="s">
        <v>48</v>
      </c>
      <c r="Z829" s="1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8">
      <c r="A830" s="1" t="s">
        <v>895</v>
      </c>
      <c r="B830">
        <v>37</v>
      </c>
      <c r="C830" s="1" t="s">
        <v>802</v>
      </c>
      <c r="D830" s="1" t="s">
        <v>49</v>
      </c>
      <c r="E830" s="1" t="s">
        <v>41</v>
      </c>
      <c r="F830">
        <v>446</v>
      </c>
      <c r="G830" s="1" t="s">
        <v>42</v>
      </c>
      <c r="H830">
        <v>1</v>
      </c>
      <c r="I830">
        <v>4</v>
      </c>
      <c r="J830" s="1" t="s">
        <v>43</v>
      </c>
      <c r="K830">
        <v>1</v>
      </c>
      <c r="L830">
        <v>635</v>
      </c>
      <c r="M830">
        <v>2</v>
      </c>
      <c r="N830" s="1" t="s">
        <v>53</v>
      </c>
      <c r="O830">
        <v>65</v>
      </c>
      <c r="P830">
        <v>3</v>
      </c>
      <c r="Q830">
        <v>2</v>
      </c>
      <c r="R830" s="1" t="s">
        <v>112</v>
      </c>
      <c r="S830">
        <v>2</v>
      </c>
      <c r="T830" s="1" t="s">
        <v>105</v>
      </c>
      <c r="U830">
        <v>6447</v>
      </c>
      <c r="V830" s="1" t="s">
        <v>163</v>
      </c>
      <c r="W830">
        <v>15701</v>
      </c>
      <c r="X830">
        <v>6</v>
      </c>
      <c r="Y830" s="1" t="s">
        <v>48</v>
      </c>
      <c r="Z830" s="1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8">
      <c r="A831" s="1" t="s">
        <v>896</v>
      </c>
      <c r="B831">
        <v>37</v>
      </c>
      <c r="C831" s="1" t="s">
        <v>802</v>
      </c>
      <c r="D831" s="1" t="s">
        <v>49</v>
      </c>
      <c r="E831" s="1" t="s">
        <v>41</v>
      </c>
      <c r="F831">
        <v>558</v>
      </c>
      <c r="G831" s="1" t="s">
        <v>51</v>
      </c>
      <c r="H831">
        <v>2</v>
      </c>
      <c r="I831">
        <v>3</v>
      </c>
      <c r="J831" s="1" t="s">
        <v>57</v>
      </c>
      <c r="K831">
        <v>1</v>
      </c>
      <c r="L831">
        <v>656</v>
      </c>
      <c r="M831">
        <v>4</v>
      </c>
      <c r="N831" s="1" t="s">
        <v>44</v>
      </c>
      <c r="O831">
        <v>75</v>
      </c>
      <c r="P831">
        <v>3</v>
      </c>
      <c r="Q831">
        <v>2</v>
      </c>
      <c r="R831" s="1" t="s">
        <v>137</v>
      </c>
      <c r="S831">
        <v>3</v>
      </c>
      <c r="T831" s="1" t="s">
        <v>105</v>
      </c>
      <c r="U831">
        <v>9602</v>
      </c>
      <c r="V831" s="1" t="s">
        <v>163</v>
      </c>
      <c r="W831">
        <v>3010</v>
      </c>
      <c r="X831">
        <v>4</v>
      </c>
      <c r="Y831" s="1" t="s">
        <v>48</v>
      </c>
      <c r="Z831" s="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8">
      <c r="A832" s="1" t="s">
        <v>897</v>
      </c>
      <c r="B832">
        <v>37</v>
      </c>
      <c r="C832" s="1" t="s">
        <v>802</v>
      </c>
      <c r="D832" s="1" t="s">
        <v>49</v>
      </c>
      <c r="E832" s="1" t="s">
        <v>41</v>
      </c>
      <c r="F832">
        <v>482</v>
      </c>
      <c r="G832" s="1" t="s">
        <v>42</v>
      </c>
      <c r="H832">
        <v>3</v>
      </c>
      <c r="I832">
        <v>3</v>
      </c>
      <c r="J832" s="1" t="s">
        <v>73</v>
      </c>
      <c r="K832">
        <v>1</v>
      </c>
      <c r="L832">
        <v>689</v>
      </c>
      <c r="M832">
        <v>3</v>
      </c>
      <c r="N832" s="1" t="s">
        <v>44</v>
      </c>
      <c r="O832">
        <v>36</v>
      </c>
      <c r="P832">
        <v>3</v>
      </c>
      <c r="Q832">
        <v>3</v>
      </c>
      <c r="R832" s="1" t="s">
        <v>112</v>
      </c>
      <c r="S832">
        <v>3</v>
      </c>
      <c r="T832" s="1" t="s">
        <v>105</v>
      </c>
      <c r="U832">
        <v>9434</v>
      </c>
      <c r="V832" s="1" t="s">
        <v>163</v>
      </c>
      <c r="W832">
        <v>9606</v>
      </c>
      <c r="X832">
        <v>1</v>
      </c>
      <c r="Y832" s="1" t="s">
        <v>48</v>
      </c>
      <c r="Z832" s="1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8">
      <c r="A833" s="1" t="s">
        <v>898</v>
      </c>
      <c r="B833">
        <v>37</v>
      </c>
      <c r="C833" s="1" t="s">
        <v>802</v>
      </c>
      <c r="D833" s="1" t="s">
        <v>49</v>
      </c>
      <c r="E833" s="1" t="s">
        <v>41</v>
      </c>
      <c r="F833">
        <v>1225</v>
      </c>
      <c r="G833" s="1" t="s">
        <v>42</v>
      </c>
      <c r="H833">
        <v>10</v>
      </c>
      <c r="I833">
        <v>2</v>
      </c>
      <c r="J833" s="1" t="s">
        <v>43</v>
      </c>
      <c r="K833">
        <v>1</v>
      </c>
      <c r="L833">
        <v>715</v>
      </c>
      <c r="M833">
        <v>4</v>
      </c>
      <c r="N833" s="1" t="s">
        <v>44</v>
      </c>
      <c r="O833">
        <v>80</v>
      </c>
      <c r="P833">
        <v>4</v>
      </c>
      <c r="Q833">
        <v>1</v>
      </c>
      <c r="R833" s="1" t="s">
        <v>60</v>
      </c>
      <c r="S833">
        <v>4</v>
      </c>
      <c r="T833" s="1" t="s">
        <v>46</v>
      </c>
      <c r="U833">
        <v>4680</v>
      </c>
      <c r="V833" s="1" t="s">
        <v>47</v>
      </c>
      <c r="W833">
        <v>15232</v>
      </c>
      <c r="X833">
        <v>3</v>
      </c>
      <c r="Y833" s="1" t="s">
        <v>48</v>
      </c>
      <c r="Z833" s="1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8">
      <c r="A834" s="1" t="s">
        <v>899</v>
      </c>
      <c r="B834">
        <v>37</v>
      </c>
      <c r="C834" s="1" t="s">
        <v>802</v>
      </c>
      <c r="D834" s="1" t="s">
        <v>49</v>
      </c>
      <c r="E834" s="1" t="s">
        <v>41</v>
      </c>
      <c r="F834">
        <v>571</v>
      </c>
      <c r="G834" s="1" t="s">
        <v>42</v>
      </c>
      <c r="H834">
        <v>10</v>
      </c>
      <c r="I834">
        <v>1</v>
      </c>
      <c r="J834" s="1" t="s">
        <v>43</v>
      </c>
      <c r="K834">
        <v>1</v>
      </c>
      <c r="L834">
        <v>802</v>
      </c>
      <c r="M834">
        <v>4</v>
      </c>
      <c r="N834" s="1" t="s">
        <v>53</v>
      </c>
      <c r="O834">
        <v>82</v>
      </c>
      <c r="P834">
        <v>3</v>
      </c>
      <c r="Q834">
        <v>1</v>
      </c>
      <c r="R834" s="1" t="s">
        <v>60</v>
      </c>
      <c r="S834">
        <v>1</v>
      </c>
      <c r="T834" s="1" t="s">
        <v>102</v>
      </c>
      <c r="U834">
        <v>2782</v>
      </c>
      <c r="V834" s="1" t="s">
        <v>47</v>
      </c>
      <c r="W834">
        <v>19905</v>
      </c>
      <c r="X834">
        <v>0</v>
      </c>
      <c r="Y834" s="1" t="s">
        <v>48</v>
      </c>
      <c r="Z834" s="1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8">
      <c r="A835" s="1" t="s">
        <v>900</v>
      </c>
      <c r="B835">
        <v>37</v>
      </c>
      <c r="C835" s="1" t="s">
        <v>802</v>
      </c>
      <c r="D835" s="1" t="s">
        <v>49</v>
      </c>
      <c r="E835" s="1" t="s">
        <v>41</v>
      </c>
      <c r="F835">
        <v>342</v>
      </c>
      <c r="G835" s="1" t="s">
        <v>51</v>
      </c>
      <c r="H835">
        <v>16</v>
      </c>
      <c r="I835">
        <v>4</v>
      </c>
      <c r="J835" s="1" t="s">
        <v>57</v>
      </c>
      <c r="K835">
        <v>1</v>
      </c>
      <c r="L835">
        <v>868</v>
      </c>
      <c r="M835">
        <v>4</v>
      </c>
      <c r="N835" s="1" t="s">
        <v>44</v>
      </c>
      <c r="O835">
        <v>66</v>
      </c>
      <c r="P835">
        <v>2</v>
      </c>
      <c r="Q835">
        <v>2</v>
      </c>
      <c r="R835" s="1" t="s">
        <v>137</v>
      </c>
      <c r="S835">
        <v>3</v>
      </c>
      <c r="T835" s="1" t="s">
        <v>102</v>
      </c>
      <c r="U835">
        <v>6334</v>
      </c>
      <c r="V835" s="1" t="s">
        <v>163</v>
      </c>
      <c r="W835">
        <v>24558</v>
      </c>
      <c r="X835">
        <v>4</v>
      </c>
      <c r="Y835" s="1" t="s">
        <v>48</v>
      </c>
      <c r="Z835" s="1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8">
      <c r="A836" s="1" t="s">
        <v>901</v>
      </c>
      <c r="B836">
        <v>37</v>
      </c>
      <c r="C836" s="1" t="s">
        <v>802</v>
      </c>
      <c r="D836" s="1" t="s">
        <v>49</v>
      </c>
      <c r="E836" s="1" t="s">
        <v>56</v>
      </c>
      <c r="F836">
        <v>1231</v>
      </c>
      <c r="G836" s="1" t="s">
        <v>51</v>
      </c>
      <c r="H836">
        <v>21</v>
      </c>
      <c r="I836">
        <v>2</v>
      </c>
      <c r="J836" s="1" t="s">
        <v>52</v>
      </c>
      <c r="K836">
        <v>1</v>
      </c>
      <c r="L836">
        <v>900</v>
      </c>
      <c r="M836">
        <v>3</v>
      </c>
      <c r="N836" s="1" t="s">
        <v>53</v>
      </c>
      <c r="O836">
        <v>54</v>
      </c>
      <c r="P836">
        <v>3</v>
      </c>
      <c r="Q836">
        <v>1</v>
      </c>
      <c r="R836" s="1" t="s">
        <v>54</v>
      </c>
      <c r="S836">
        <v>4</v>
      </c>
      <c r="T836" s="1" t="s">
        <v>105</v>
      </c>
      <c r="U836">
        <v>2973</v>
      </c>
      <c r="V836" s="1" t="s">
        <v>47</v>
      </c>
      <c r="W836">
        <v>21222</v>
      </c>
      <c r="X836">
        <v>5</v>
      </c>
      <c r="Y836" s="1" t="s">
        <v>48</v>
      </c>
      <c r="Z836" s="1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8">
      <c r="A837" s="1" t="s">
        <v>902</v>
      </c>
      <c r="B837">
        <v>37</v>
      </c>
      <c r="C837" s="1" t="s">
        <v>802</v>
      </c>
      <c r="D837" s="1" t="s">
        <v>49</v>
      </c>
      <c r="E837" s="1" t="s">
        <v>59</v>
      </c>
      <c r="F837">
        <v>1252</v>
      </c>
      <c r="G837" s="1" t="s">
        <v>51</v>
      </c>
      <c r="H837">
        <v>19</v>
      </c>
      <c r="I837">
        <v>2</v>
      </c>
      <c r="J837" s="1" t="s">
        <v>52</v>
      </c>
      <c r="K837">
        <v>1</v>
      </c>
      <c r="L837">
        <v>904</v>
      </c>
      <c r="M837">
        <v>1</v>
      </c>
      <c r="N837" s="1" t="s">
        <v>44</v>
      </c>
      <c r="O837">
        <v>32</v>
      </c>
      <c r="P837">
        <v>3</v>
      </c>
      <c r="Q837">
        <v>3</v>
      </c>
      <c r="R837" s="1" t="s">
        <v>137</v>
      </c>
      <c r="S837">
        <v>2</v>
      </c>
      <c r="T837" s="1" t="s">
        <v>46</v>
      </c>
      <c r="U837">
        <v>7642</v>
      </c>
      <c r="V837" s="1" t="s">
        <v>163</v>
      </c>
      <c r="W837">
        <v>4814</v>
      </c>
      <c r="X837">
        <v>1</v>
      </c>
      <c r="Y837" s="1" t="s">
        <v>48</v>
      </c>
      <c r="Z837" s="1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8">
      <c r="A838" s="1" t="s">
        <v>903</v>
      </c>
      <c r="B838">
        <v>37</v>
      </c>
      <c r="C838" s="1" t="s">
        <v>802</v>
      </c>
      <c r="D838" s="1" t="s">
        <v>40</v>
      </c>
      <c r="E838" s="1" t="s">
        <v>41</v>
      </c>
      <c r="F838">
        <v>625</v>
      </c>
      <c r="G838" s="1" t="s">
        <v>51</v>
      </c>
      <c r="H838">
        <v>1</v>
      </c>
      <c r="I838">
        <v>4</v>
      </c>
      <c r="J838" s="1" t="s">
        <v>43</v>
      </c>
      <c r="K838">
        <v>1</v>
      </c>
      <c r="L838">
        <v>970</v>
      </c>
      <c r="M838">
        <v>1</v>
      </c>
      <c r="N838" s="1" t="s">
        <v>44</v>
      </c>
      <c r="O838">
        <v>46</v>
      </c>
      <c r="P838">
        <v>2</v>
      </c>
      <c r="Q838">
        <v>3</v>
      </c>
      <c r="R838" s="1" t="s">
        <v>137</v>
      </c>
      <c r="S838">
        <v>3</v>
      </c>
      <c r="T838" s="1" t="s">
        <v>105</v>
      </c>
      <c r="U838">
        <v>10609</v>
      </c>
      <c r="V838" s="1" t="s">
        <v>253</v>
      </c>
      <c r="W838">
        <v>14922</v>
      </c>
      <c r="X838">
        <v>5</v>
      </c>
      <c r="Y838" s="1" t="s">
        <v>48</v>
      </c>
      <c r="Z838" s="1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8">
      <c r="A839" s="1" t="s">
        <v>904</v>
      </c>
      <c r="B839">
        <v>37</v>
      </c>
      <c r="C839" s="1" t="s">
        <v>802</v>
      </c>
      <c r="D839" s="1" t="s">
        <v>40</v>
      </c>
      <c r="E839" s="1" t="s">
        <v>41</v>
      </c>
      <c r="F839">
        <v>1141</v>
      </c>
      <c r="G839" s="1" t="s">
        <v>42</v>
      </c>
      <c r="H839">
        <v>11</v>
      </c>
      <c r="I839">
        <v>2</v>
      </c>
      <c r="J839" s="1" t="s">
        <v>52</v>
      </c>
      <c r="K839">
        <v>1</v>
      </c>
      <c r="L839">
        <v>1033</v>
      </c>
      <c r="M839">
        <v>1</v>
      </c>
      <c r="N839" s="1" t="s">
        <v>53</v>
      </c>
      <c r="O839">
        <v>61</v>
      </c>
      <c r="P839">
        <v>1</v>
      </c>
      <c r="Q839">
        <v>2</v>
      </c>
      <c r="R839" s="1" t="s">
        <v>161</v>
      </c>
      <c r="S839">
        <v>2</v>
      </c>
      <c r="T839" s="1" t="s">
        <v>105</v>
      </c>
      <c r="U839">
        <v>4777</v>
      </c>
      <c r="V839" s="1" t="s">
        <v>47</v>
      </c>
      <c r="W839">
        <v>14382</v>
      </c>
      <c r="X839">
        <v>5</v>
      </c>
      <c r="Y839" s="1" t="s">
        <v>48</v>
      </c>
      <c r="Z839" s="1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8">
      <c r="A840" s="1" t="s">
        <v>905</v>
      </c>
      <c r="B840">
        <v>37</v>
      </c>
      <c r="C840" s="1" t="s">
        <v>802</v>
      </c>
      <c r="D840" s="1" t="s">
        <v>49</v>
      </c>
      <c r="E840" s="1" t="s">
        <v>41</v>
      </c>
      <c r="F840">
        <v>124</v>
      </c>
      <c r="G840" s="1" t="s">
        <v>42</v>
      </c>
      <c r="H840">
        <v>3</v>
      </c>
      <c r="I840">
        <v>3</v>
      </c>
      <c r="J840" s="1" t="s">
        <v>73</v>
      </c>
      <c r="K840">
        <v>1</v>
      </c>
      <c r="L840">
        <v>1062</v>
      </c>
      <c r="M840">
        <v>4</v>
      </c>
      <c r="N840" s="1" t="s">
        <v>53</v>
      </c>
      <c r="O840">
        <v>35</v>
      </c>
      <c r="P840">
        <v>3</v>
      </c>
      <c r="Q840">
        <v>2</v>
      </c>
      <c r="R840" s="1" t="s">
        <v>161</v>
      </c>
      <c r="S840">
        <v>2</v>
      </c>
      <c r="T840" s="1" t="s">
        <v>46</v>
      </c>
      <c r="U840">
        <v>4107</v>
      </c>
      <c r="V840" s="1" t="s">
        <v>47</v>
      </c>
      <c r="W840">
        <v>13848</v>
      </c>
      <c r="X840">
        <v>3</v>
      </c>
      <c r="Y840" s="1" t="s">
        <v>48</v>
      </c>
      <c r="Z840" s="1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8">
      <c r="A841" s="1" t="s">
        <v>906</v>
      </c>
      <c r="B841">
        <v>37</v>
      </c>
      <c r="C841" s="1" t="s">
        <v>802</v>
      </c>
      <c r="D841" s="1" t="s">
        <v>49</v>
      </c>
      <c r="E841" s="1" t="s">
        <v>41</v>
      </c>
      <c r="F841">
        <v>309</v>
      </c>
      <c r="G841" s="1" t="s">
        <v>51</v>
      </c>
      <c r="H841">
        <v>10</v>
      </c>
      <c r="I841">
        <v>4</v>
      </c>
      <c r="J841" s="1" t="s">
        <v>43</v>
      </c>
      <c r="K841">
        <v>1</v>
      </c>
      <c r="L841">
        <v>1105</v>
      </c>
      <c r="M841">
        <v>4</v>
      </c>
      <c r="N841" s="1" t="s">
        <v>53</v>
      </c>
      <c r="O841">
        <v>88</v>
      </c>
      <c r="P841">
        <v>2</v>
      </c>
      <c r="Q841">
        <v>2</v>
      </c>
      <c r="R841" s="1" t="s">
        <v>137</v>
      </c>
      <c r="S841">
        <v>4</v>
      </c>
      <c r="T841" s="1" t="s">
        <v>102</v>
      </c>
      <c r="U841">
        <v>6694</v>
      </c>
      <c r="V841" s="1" t="s">
        <v>163</v>
      </c>
      <c r="W841">
        <v>24223</v>
      </c>
      <c r="X841">
        <v>2</v>
      </c>
      <c r="Y841" s="1" t="s">
        <v>48</v>
      </c>
      <c r="Z841" s="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8">
      <c r="A842" s="1" t="s">
        <v>907</v>
      </c>
      <c r="B842">
        <v>37</v>
      </c>
      <c r="C842" s="1" t="s">
        <v>802</v>
      </c>
      <c r="D842" s="1" t="s">
        <v>49</v>
      </c>
      <c r="E842" s="1" t="s">
        <v>41</v>
      </c>
      <c r="F842">
        <v>367</v>
      </c>
      <c r="G842" s="1" t="s">
        <v>42</v>
      </c>
      <c r="H842">
        <v>25</v>
      </c>
      <c r="I842">
        <v>2</v>
      </c>
      <c r="J842" s="1" t="s">
        <v>52</v>
      </c>
      <c r="K842">
        <v>1</v>
      </c>
      <c r="L842">
        <v>1161</v>
      </c>
      <c r="M842">
        <v>3</v>
      </c>
      <c r="N842" s="1" t="s">
        <v>53</v>
      </c>
      <c r="O842">
        <v>52</v>
      </c>
      <c r="P842">
        <v>2</v>
      </c>
      <c r="Q842">
        <v>2</v>
      </c>
      <c r="R842" s="1" t="s">
        <v>161</v>
      </c>
      <c r="S842">
        <v>4</v>
      </c>
      <c r="T842" s="1" t="s">
        <v>102</v>
      </c>
      <c r="U842">
        <v>5731</v>
      </c>
      <c r="V842" s="1" t="s">
        <v>163</v>
      </c>
      <c r="W842">
        <v>17171</v>
      </c>
      <c r="X842">
        <v>7</v>
      </c>
      <c r="Y842" s="1" t="s">
        <v>48</v>
      </c>
      <c r="Z842" s="1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8">
      <c r="A843" s="1" t="s">
        <v>908</v>
      </c>
      <c r="B843">
        <v>37</v>
      </c>
      <c r="C843" s="1" t="s">
        <v>802</v>
      </c>
      <c r="D843" s="1" t="s">
        <v>49</v>
      </c>
      <c r="E843" s="1" t="s">
        <v>41</v>
      </c>
      <c r="F843">
        <v>977</v>
      </c>
      <c r="G843" s="1" t="s">
        <v>42</v>
      </c>
      <c r="H843">
        <v>1</v>
      </c>
      <c r="I843">
        <v>3</v>
      </c>
      <c r="J843" s="1" t="s">
        <v>43</v>
      </c>
      <c r="K843">
        <v>1</v>
      </c>
      <c r="L843">
        <v>1196</v>
      </c>
      <c r="M843">
        <v>4</v>
      </c>
      <c r="N843" s="1" t="s">
        <v>53</v>
      </c>
      <c r="O843">
        <v>56</v>
      </c>
      <c r="P843">
        <v>2</v>
      </c>
      <c r="Q843">
        <v>2</v>
      </c>
      <c r="R843" s="1" t="s">
        <v>112</v>
      </c>
      <c r="S843">
        <v>4</v>
      </c>
      <c r="T843" s="1" t="s">
        <v>105</v>
      </c>
      <c r="U843">
        <v>6474</v>
      </c>
      <c r="V843" s="1" t="s">
        <v>163</v>
      </c>
      <c r="W843">
        <v>9961</v>
      </c>
      <c r="X843">
        <v>1</v>
      </c>
      <c r="Y843" s="1" t="s">
        <v>48</v>
      </c>
      <c r="Z843" s="1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8">
      <c r="A844" s="1" t="s">
        <v>909</v>
      </c>
      <c r="B844">
        <v>37</v>
      </c>
      <c r="C844" s="1" t="s">
        <v>802</v>
      </c>
      <c r="D844" s="1" t="s">
        <v>49</v>
      </c>
      <c r="E844" s="1" t="s">
        <v>41</v>
      </c>
      <c r="F844">
        <v>1439</v>
      </c>
      <c r="G844" s="1" t="s">
        <v>42</v>
      </c>
      <c r="H844">
        <v>4</v>
      </c>
      <c r="I844">
        <v>1</v>
      </c>
      <c r="J844" s="1" t="s">
        <v>43</v>
      </c>
      <c r="K844">
        <v>1</v>
      </c>
      <c r="L844">
        <v>1394</v>
      </c>
      <c r="M844">
        <v>3</v>
      </c>
      <c r="N844" s="1" t="s">
        <v>44</v>
      </c>
      <c r="O844">
        <v>54</v>
      </c>
      <c r="P844">
        <v>3</v>
      </c>
      <c r="Q844">
        <v>1</v>
      </c>
      <c r="R844" s="1" t="s">
        <v>60</v>
      </c>
      <c r="S844">
        <v>3</v>
      </c>
      <c r="T844" s="1" t="s">
        <v>105</v>
      </c>
      <c r="U844">
        <v>2996</v>
      </c>
      <c r="V844" s="1" t="s">
        <v>47</v>
      </c>
      <c r="W844">
        <v>5182</v>
      </c>
      <c r="X844">
        <v>7</v>
      </c>
      <c r="Y844" s="1" t="s">
        <v>48</v>
      </c>
      <c r="Z844" s="1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8">
      <c r="A845" s="1" t="s">
        <v>910</v>
      </c>
      <c r="B845">
        <v>37</v>
      </c>
      <c r="C845" s="1" t="s">
        <v>802</v>
      </c>
      <c r="D845" s="1" t="s">
        <v>49</v>
      </c>
      <c r="E845" s="1" t="s">
        <v>41</v>
      </c>
      <c r="F845">
        <v>1462</v>
      </c>
      <c r="G845" s="1" t="s">
        <v>42</v>
      </c>
      <c r="H845">
        <v>11</v>
      </c>
      <c r="I845">
        <v>3</v>
      </c>
      <c r="J845" s="1" t="s">
        <v>52</v>
      </c>
      <c r="K845">
        <v>1</v>
      </c>
      <c r="L845">
        <v>1411</v>
      </c>
      <c r="M845">
        <v>1</v>
      </c>
      <c r="N845" s="1" t="s">
        <v>53</v>
      </c>
      <c r="O845">
        <v>94</v>
      </c>
      <c r="P845">
        <v>3</v>
      </c>
      <c r="Q845">
        <v>1</v>
      </c>
      <c r="R845" s="1" t="s">
        <v>45</v>
      </c>
      <c r="S845">
        <v>3</v>
      </c>
      <c r="T845" s="1" t="s">
        <v>46</v>
      </c>
      <c r="U845">
        <v>3629</v>
      </c>
      <c r="V845" s="1" t="s">
        <v>47</v>
      </c>
      <c r="W845">
        <v>19106</v>
      </c>
      <c r="X845">
        <v>4</v>
      </c>
      <c r="Y845" s="1" t="s">
        <v>48</v>
      </c>
      <c r="Z845" s="1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8">
      <c r="A846" s="1" t="s">
        <v>911</v>
      </c>
      <c r="B846">
        <v>37</v>
      </c>
      <c r="C846" s="1" t="s">
        <v>802</v>
      </c>
      <c r="D846" s="1" t="s">
        <v>49</v>
      </c>
      <c r="E846" s="1" t="s">
        <v>59</v>
      </c>
      <c r="F846">
        <v>1413</v>
      </c>
      <c r="G846" s="1" t="s">
        <v>42</v>
      </c>
      <c r="H846">
        <v>5</v>
      </c>
      <c r="I846">
        <v>2</v>
      </c>
      <c r="J846" s="1" t="s">
        <v>68</v>
      </c>
      <c r="K846">
        <v>1</v>
      </c>
      <c r="L846">
        <v>1440</v>
      </c>
      <c r="M846">
        <v>3</v>
      </c>
      <c r="N846" s="1" t="s">
        <v>44</v>
      </c>
      <c r="O846">
        <v>84</v>
      </c>
      <c r="P846">
        <v>4</v>
      </c>
      <c r="Q846">
        <v>1</v>
      </c>
      <c r="R846" s="1" t="s">
        <v>45</v>
      </c>
      <c r="S846">
        <v>3</v>
      </c>
      <c r="T846" s="1" t="s">
        <v>46</v>
      </c>
      <c r="U846">
        <v>3500</v>
      </c>
      <c r="V846" s="1" t="s">
        <v>47</v>
      </c>
      <c r="W846">
        <v>25470</v>
      </c>
      <c r="X846">
        <v>0</v>
      </c>
      <c r="Y846" s="1" t="s">
        <v>48</v>
      </c>
      <c r="Z846" s="1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8">
      <c r="A847" s="1" t="s">
        <v>912</v>
      </c>
      <c r="B847">
        <v>37</v>
      </c>
      <c r="C847" s="1" t="s">
        <v>802</v>
      </c>
      <c r="D847" s="1" t="s">
        <v>49</v>
      </c>
      <c r="E847" s="1" t="s">
        <v>41</v>
      </c>
      <c r="F847">
        <v>674</v>
      </c>
      <c r="G847" s="1" t="s">
        <v>42</v>
      </c>
      <c r="H847">
        <v>13</v>
      </c>
      <c r="I847">
        <v>3</v>
      </c>
      <c r="J847" s="1" t="s">
        <v>52</v>
      </c>
      <c r="K847">
        <v>1</v>
      </c>
      <c r="L847">
        <v>1543</v>
      </c>
      <c r="M847">
        <v>1</v>
      </c>
      <c r="N847" s="1" t="s">
        <v>44</v>
      </c>
      <c r="O847">
        <v>47</v>
      </c>
      <c r="P847">
        <v>3</v>
      </c>
      <c r="Q847">
        <v>2</v>
      </c>
      <c r="R847" s="1" t="s">
        <v>60</v>
      </c>
      <c r="S847">
        <v>4</v>
      </c>
      <c r="T847" s="1" t="s">
        <v>105</v>
      </c>
      <c r="U847">
        <v>4285</v>
      </c>
      <c r="V847" s="1" t="s">
        <v>47</v>
      </c>
      <c r="W847">
        <v>3031</v>
      </c>
      <c r="X847">
        <v>1</v>
      </c>
      <c r="Y847" s="1" t="s">
        <v>48</v>
      </c>
      <c r="Z847" s="1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8">
      <c r="A848" s="1" t="s">
        <v>913</v>
      </c>
      <c r="B848">
        <v>37</v>
      </c>
      <c r="C848" s="1" t="s">
        <v>802</v>
      </c>
      <c r="D848" s="1" t="s">
        <v>49</v>
      </c>
      <c r="E848" s="1" t="s">
        <v>41</v>
      </c>
      <c r="F848">
        <v>671</v>
      </c>
      <c r="G848" s="1" t="s">
        <v>42</v>
      </c>
      <c r="H848">
        <v>19</v>
      </c>
      <c r="I848">
        <v>3</v>
      </c>
      <c r="J848" s="1" t="s">
        <v>43</v>
      </c>
      <c r="K848">
        <v>1</v>
      </c>
      <c r="L848">
        <v>1631</v>
      </c>
      <c r="M848">
        <v>3</v>
      </c>
      <c r="N848" s="1" t="s">
        <v>44</v>
      </c>
      <c r="O848">
        <v>85</v>
      </c>
      <c r="P848">
        <v>3</v>
      </c>
      <c r="Q848">
        <v>2</v>
      </c>
      <c r="R848" s="1" t="s">
        <v>112</v>
      </c>
      <c r="S848">
        <v>3</v>
      </c>
      <c r="T848" s="1" t="s">
        <v>105</v>
      </c>
      <c r="U848">
        <v>5768</v>
      </c>
      <c r="V848" s="1" t="s">
        <v>163</v>
      </c>
      <c r="W848">
        <v>26493</v>
      </c>
      <c r="X848">
        <v>3</v>
      </c>
      <c r="Y848" s="1" t="s">
        <v>48</v>
      </c>
      <c r="Z848" s="1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8">
      <c r="A849" s="1" t="s">
        <v>914</v>
      </c>
      <c r="B849">
        <v>37</v>
      </c>
      <c r="C849" s="1" t="s">
        <v>802</v>
      </c>
      <c r="D849" s="1" t="s">
        <v>49</v>
      </c>
      <c r="E849" s="1" t="s">
        <v>41</v>
      </c>
      <c r="F849">
        <v>1470</v>
      </c>
      <c r="G849" s="1" t="s">
        <v>42</v>
      </c>
      <c r="H849">
        <v>10</v>
      </c>
      <c r="I849">
        <v>3</v>
      </c>
      <c r="J849" s="1" t="s">
        <v>52</v>
      </c>
      <c r="K849">
        <v>1</v>
      </c>
      <c r="L849">
        <v>1640</v>
      </c>
      <c r="M849">
        <v>2</v>
      </c>
      <c r="N849" s="1" t="s">
        <v>53</v>
      </c>
      <c r="O849">
        <v>71</v>
      </c>
      <c r="P849">
        <v>3</v>
      </c>
      <c r="Q849">
        <v>1</v>
      </c>
      <c r="R849" s="1" t="s">
        <v>60</v>
      </c>
      <c r="S849">
        <v>2</v>
      </c>
      <c r="T849" s="1" t="s">
        <v>105</v>
      </c>
      <c r="U849">
        <v>3936</v>
      </c>
      <c r="V849" s="1" t="s">
        <v>47</v>
      </c>
      <c r="W849">
        <v>9953</v>
      </c>
      <c r="X849">
        <v>1</v>
      </c>
      <c r="Y849" s="1" t="s">
        <v>48</v>
      </c>
      <c r="Z849" s="1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8">
      <c r="A850" s="1" t="s">
        <v>915</v>
      </c>
      <c r="B850">
        <v>37</v>
      </c>
      <c r="C850" s="1" t="s">
        <v>802</v>
      </c>
      <c r="D850" s="1" t="s">
        <v>49</v>
      </c>
      <c r="E850" s="1" t="s">
        <v>56</v>
      </c>
      <c r="F850">
        <v>1278</v>
      </c>
      <c r="G850" s="1" t="s">
        <v>51</v>
      </c>
      <c r="H850">
        <v>1</v>
      </c>
      <c r="I850">
        <v>4</v>
      </c>
      <c r="J850" s="1" t="s">
        <v>52</v>
      </c>
      <c r="K850">
        <v>1</v>
      </c>
      <c r="L850">
        <v>1700</v>
      </c>
      <c r="M850">
        <v>3</v>
      </c>
      <c r="N850" s="1" t="s">
        <v>44</v>
      </c>
      <c r="O850">
        <v>31</v>
      </c>
      <c r="P850">
        <v>1</v>
      </c>
      <c r="Q850">
        <v>2</v>
      </c>
      <c r="R850" s="1" t="s">
        <v>137</v>
      </c>
      <c r="S850">
        <v>4</v>
      </c>
      <c r="T850" s="1" t="s">
        <v>102</v>
      </c>
      <c r="U850">
        <v>9525</v>
      </c>
      <c r="V850" s="1" t="s">
        <v>163</v>
      </c>
      <c r="W850">
        <v>7677</v>
      </c>
      <c r="X850">
        <v>1</v>
      </c>
      <c r="Y850" s="1" t="s">
        <v>48</v>
      </c>
      <c r="Z850" s="1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8">
      <c r="A851" s="1" t="s">
        <v>916</v>
      </c>
      <c r="B851">
        <v>37</v>
      </c>
      <c r="C851" s="1" t="s">
        <v>802</v>
      </c>
      <c r="D851" s="1" t="s">
        <v>49</v>
      </c>
      <c r="E851" s="1" t="s">
        <v>41</v>
      </c>
      <c r="F851">
        <v>589</v>
      </c>
      <c r="G851" s="1" t="s">
        <v>51</v>
      </c>
      <c r="H851">
        <v>9</v>
      </c>
      <c r="I851">
        <v>2</v>
      </c>
      <c r="J851" s="1" t="s">
        <v>57</v>
      </c>
      <c r="K851">
        <v>1</v>
      </c>
      <c r="L851">
        <v>1787</v>
      </c>
      <c r="M851">
        <v>2</v>
      </c>
      <c r="N851" s="1" t="s">
        <v>44</v>
      </c>
      <c r="O851">
        <v>46</v>
      </c>
      <c r="P851">
        <v>2</v>
      </c>
      <c r="Q851">
        <v>2</v>
      </c>
      <c r="R851" s="1" t="s">
        <v>137</v>
      </c>
      <c r="S851">
        <v>2</v>
      </c>
      <c r="T851" s="1" t="s">
        <v>105</v>
      </c>
      <c r="U851">
        <v>4189</v>
      </c>
      <c r="V851" s="1" t="s">
        <v>47</v>
      </c>
      <c r="W851">
        <v>8800</v>
      </c>
      <c r="X851">
        <v>1</v>
      </c>
      <c r="Y851" s="1" t="s">
        <v>48</v>
      </c>
      <c r="Z851" s="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8">
      <c r="A852" s="1" t="s">
        <v>917</v>
      </c>
      <c r="B852">
        <v>37</v>
      </c>
      <c r="C852" s="1" t="s">
        <v>802</v>
      </c>
      <c r="D852" s="1" t="s">
        <v>49</v>
      </c>
      <c r="E852" s="1" t="s">
        <v>41</v>
      </c>
      <c r="F852">
        <v>1239</v>
      </c>
      <c r="G852" s="1" t="s">
        <v>71</v>
      </c>
      <c r="H852">
        <v>8</v>
      </c>
      <c r="I852">
        <v>2</v>
      </c>
      <c r="J852" s="1" t="s">
        <v>73</v>
      </c>
      <c r="K852">
        <v>1</v>
      </c>
      <c r="L852">
        <v>1794</v>
      </c>
      <c r="M852">
        <v>3</v>
      </c>
      <c r="N852" s="1" t="s">
        <v>44</v>
      </c>
      <c r="O852">
        <v>89</v>
      </c>
      <c r="P852">
        <v>3</v>
      </c>
      <c r="Q852">
        <v>2</v>
      </c>
      <c r="R852" s="1" t="s">
        <v>71</v>
      </c>
      <c r="S852">
        <v>2</v>
      </c>
      <c r="T852" s="1" t="s">
        <v>102</v>
      </c>
      <c r="U852">
        <v>4071</v>
      </c>
      <c r="V852" s="1" t="s">
        <v>47</v>
      </c>
      <c r="W852">
        <v>12832</v>
      </c>
      <c r="X852">
        <v>2</v>
      </c>
      <c r="Y852" s="1" t="s">
        <v>48</v>
      </c>
      <c r="Z852" s="1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8">
      <c r="A853" s="1" t="s">
        <v>918</v>
      </c>
      <c r="B853">
        <v>37</v>
      </c>
      <c r="C853" s="1" t="s">
        <v>802</v>
      </c>
      <c r="D853" s="1" t="s">
        <v>40</v>
      </c>
      <c r="E853" s="1" t="s">
        <v>41</v>
      </c>
      <c r="F853">
        <v>370</v>
      </c>
      <c r="G853" s="1" t="s">
        <v>42</v>
      </c>
      <c r="H853">
        <v>10</v>
      </c>
      <c r="I853">
        <v>4</v>
      </c>
      <c r="J853" s="1" t="s">
        <v>52</v>
      </c>
      <c r="K853">
        <v>1</v>
      </c>
      <c r="L853">
        <v>1809</v>
      </c>
      <c r="M853">
        <v>4</v>
      </c>
      <c r="N853" s="1" t="s">
        <v>44</v>
      </c>
      <c r="O853">
        <v>58</v>
      </c>
      <c r="P853">
        <v>3</v>
      </c>
      <c r="Q853">
        <v>2</v>
      </c>
      <c r="R853" s="1" t="s">
        <v>112</v>
      </c>
      <c r="S853">
        <v>1</v>
      </c>
      <c r="T853" s="1" t="s">
        <v>46</v>
      </c>
      <c r="U853">
        <v>4213</v>
      </c>
      <c r="V853" s="1" t="s">
        <v>47</v>
      </c>
      <c r="W853">
        <v>4992</v>
      </c>
      <c r="X853">
        <v>1</v>
      </c>
      <c r="Y853" s="1" t="s">
        <v>48</v>
      </c>
      <c r="Z853" s="1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8">
      <c r="A854" s="1" t="s">
        <v>919</v>
      </c>
      <c r="B854">
        <v>37</v>
      </c>
      <c r="C854" s="1" t="s">
        <v>802</v>
      </c>
      <c r="D854" s="1" t="s">
        <v>49</v>
      </c>
      <c r="E854" s="1" t="s">
        <v>41</v>
      </c>
      <c r="F854">
        <v>783</v>
      </c>
      <c r="G854" s="1" t="s">
        <v>42</v>
      </c>
      <c r="H854">
        <v>7</v>
      </c>
      <c r="I854">
        <v>4</v>
      </c>
      <c r="J854" s="1" t="s">
        <v>52</v>
      </c>
      <c r="K854">
        <v>1</v>
      </c>
      <c r="L854">
        <v>1885</v>
      </c>
      <c r="M854">
        <v>4</v>
      </c>
      <c r="N854" s="1" t="s">
        <v>44</v>
      </c>
      <c r="O854">
        <v>78</v>
      </c>
      <c r="P854">
        <v>3</v>
      </c>
      <c r="Q854">
        <v>2</v>
      </c>
      <c r="R854" s="1" t="s">
        <v>60</v>
      </c>
      <c r="S854">
        <v>1</v>
      </c>
      <c r="T854" s="1" t="s">
        <v>105</v>
      </c>
      <c r="U854">
        <v>4284</v>
      </c>
      <c r="V854" s="1" t="s">
        <v>47</v>
      </c>
      <c r="W854">
        <v>13588</v>
      </c>
      <c r="X854">
        <v>5</v>
      </c>
      <c r="Y854" s="1" t="s">
        <v>48</v>
      </c>
      <c r="Z854" s="1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8">
      <c r="A855" s="1" t="s">
        <v>920</v>
      </c>
      <c r="B855">
        <v>37</v>
      </c>
      <c r="C855" s="1" t="s">
        <v>802</v>
      </c>
      <c r="D855" s="1" t="s">
        <v>49</v>
      </c>
      <c r="E855" s="1" t="s">
        <v>41</v>
      </c>
      <c r="F855">
        <v>161</v>
      </c>
      <c r="G855" s="1" t="s">
        <v>42</v>
      </c>
      <c r="H855">
        <v>10</v>
      </c>
      <c r="I855">
        <v>3</v>
      </c>
      <c r="J855" s="1" t="s">
        <v>43</v>
      </c>
      <c r="K855">
        <v>1</v>
      </c>
      <c r="L855">
        <v>2017</v>
      </c>
      <c r="M855">
        <v>3</v>
      </c>
      <c r="N855" s="1" t="s">
        <v>53</v>
      </c>
      <c r="O855">
        <v>42</v>
      </c>
      <c r="P855">
        <v>4</v>
      </c>
      <c r="Q855">
        <v>3</v>
      </c>
      <c r="R855" s="1" t="s">
        <v>252</v>
      </c>
      <c r="S855">
        <v>4</v>
      </c>
      <c r="T855" s="1" t="s">
        <v>105</v>
      </c>
      <c r="U855">
        <v>13744</v>
      </c>
      <c r="V855" s="1" t="s">
        <v>253</v>
      </c>
      <c r="W855">
        <v>15471</v>
      </c>
      <c r="X855">
        <v>1</v>
      </c>
      <c r="Y855" s="1" t="s">
        <v>48</v>
      </c>
      <c r="Z855" s="1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8">
      <c r="A856" s="1" t="s">
        <v>921</v>
      </c>
      <c r="B856">
        <v>38</v>
      </c>
      <c r="C856" s="1" t="s">
        <v>802</v>
      </c>
      <c r="D856" s="1" t="s">
        <v>49</v>
      </c>
      <c r="E856" s="1" t="s">
        <v>56</v>
      </c>
      <c r="F856">
        <v>216</v>
      </c>
      <c r="G856" s="1" t="s">
        <v>42</v>
      </c>
      <c r="H856">
        <v>23</v>
      </c>
      <c r="I856">
        <v>3</v>
      </c>
      <c r="J856" s="1" t="s">
        <v>43</v>
      </c>
      <c r="K856">
        <v>1</v>
      </c>
      <c r="L856">
        <v>12</v>
      </c>
      <c r="M856">
        <v>4</v>
      </c>
      <c r="N856" s="1" t="s">
        <v>44</v>
      </c>
      <c r="O856">
        <v>44</v>
      </c>
      <c r="P856">
        <v>2</v>
      </c>
      <c r="Q856">
        <v>3</v>
      </c>
      <c r="R856" s="1" t="s">
        <v>112</v>
      </c>
      <c r="S856">
        <v>3</v>
      </c>
      <c r="T856" s="1" t="s">
        <v>46</v>
      </c>
      <c r="U856">
        <v>9526</v>
      </c>
      <c r="V856" s="1" t="s">
        <v>163</v>
      </c>
      <c r="W856">
        <v>8787</v>
      </c>
      <c r="X856">
        <v>0</v>
      </c>
      <c r="Y856" s="1" t="s">
        <v>48</v>
      </c>
      <c r="Z856" s="1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8">
      <c r="A857" s="1" t="s">
        <v>922</v>
      </c>
      <c r="B857">
        <v>38</v>
      </c>
      <c r="C857" s="1" t="s">
        <v>802</v>
      </c>
      <c r="D857" s="1" t="s">
        <v>49</v>
      </c>
      <c r="E857" s="1" t="s">
        <v>41</v>
      </c>
      <c r="F857">
        <v>371</v>
      </c>
      <c r="G857" s="1" t="s">
        <v>42</v>
      </c>
      <c r="H857">
        <v>2</v>
      </c>
      <c r="I857">
        <v>3</v>
      </c>
      <c r="J857" s="1" t="s">
        <v>43</v>
      </c>
      <c r="K857">
        <v>1</v>
      </c>
      <c r="L857">
        <v>24</v>
      </c>
      <c r="M857">
        <v>4</v>
      </c>
      <c r="N857" s="1" t="s">
        <v>44</v>
      </c>
      <c r="O857">
        <v>45</v>
      </c>
      <c r="P857">
        <v>3</v>
      </c>
      <c r="Q857">
        <v>1</v>
      </c>
      <c r="R857" s="1" t="s">
        <v>60</v>
      </c>
      <c r="S857">
        <v>4</v>
      </c>
      <c r="T857" s="1" t="s">
        <v>46</v>
      </c>
      <c r="U857">
        <v>3944</v>
      </c>
      <c r="V857" s="1" t="s">
        <v>47</v>
      </c>
      <c r="W857">
        <v>4306</v>
      </c>
      <c r="X857">
        <v>5</v>
      </c>
      <c r="Y857" s="1" t="s">
        <v>48</v>
      </c>
      <c r="Z857" s="1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8">
      <c r="A858" s="1" t="s">
        <v>923</v>
      </c>
      <c r="B858">
        <v>38</v>
      </c>
      <c r="C858" s="1" t="s">
        <v>802</v>
      </c>
      <c r="D858" s="1" t="s">
        <v>49</v>
      </c>
      <c r="E858" s="1" t="s">
        <v>56</v>
      </c>
      <c r="F858">
        <v>653</v>
      </c>
      <c r="G858" s="1" t="s">
        <v>42</v>
      </c>
      <c r="H858">
        <v>29</v>
      </c>
      <c r="I858">
        <v>5</v>
      </c>
      <c r="J858" s="1" t="s">
        <v>43</v>
      </c>
      <c r="K858">
        <v>1</v>
      </c>
      <c r="L858">
        <v>79</v>
      </c>
      <c r="M858">
        <v>4</v>
      </c>
      <c r="N858" s="1" t="s">
        <v>53</v>
      </c>
      <c r="O858">
        <v>50</v>
      </c>
      <c r="P858">
        <v>3</v>
      </c>
      <c r="Q858">
        <v>2</v>
      </c>
      <c r="R858" s="1" t="s">
        <v>45</v>
      </c>
      <c r="S858">
        <v>4</v>
      </c>
      <c r="T858" s="1" t="s">
        <v>46</v>
      </c>
      <c r="U858">
        <v>2406</v>
      </c>
      <c r="V858" s="1" t="s">
        <v>47</v>
      </c>
      <c r="W858">
        <v>5456</v>
      </c>
      <c r="X858">
        <v>1</v>
      </c>
      <c r="Y858" s="1" t="s">
        <v>48</v>
      </c>
      <c r="Z858" s="1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8">
      <c r="A859" s="1" t="s">
        <v>924</v>
      </c>
      <c r="B859">
        <v>38</v>
      </c>
      <c r="C859" s="1" t="s">
        <v>802</v>
      </c>
      <c r="D859" s="1" t="s">
        <v>49</v>
      </c>
      <c r="E859" s="1" t="s">
        <v>59</v>
      </c>
      <c r="F859">
        <v>573</v>
      </c>
      <c r="G859" s="1" t="s">
        <v>42</v>
      </c>
      <c r="H859">
        <v>6</v>
      </c>
      <c r="I859">
        <v>3</v>
      </c>
      <c r="J859" s="1" t="s">
        <v>52</v>
      </c>
      <c r="K859">
        <v>1</v>
      </c>
      <c r="L859">
        <v>107</v>
      </c>
      <c r="M859">
        <v>2</v>
      </c>
      <c r="N859" s="1" t="s">
        <v>53</v>
      </c>
      <c r="O859">
        <v>79</v>
      </c>
      <c r="P859">
        <v>1</v>
      </c>
      <c r="Q859">
        <v>2</v>
      </c>
      <c r="R859" s="1" t="s">
        <v>60</v>
      </c>
      <c r="S859">
        <v>4</v>
      </c>
      <c r="T859" s="1" t="s">
        <v>102</v>
      </c>
      <c r="U859">
        <v>5329</v>
      </c>
      <c r="V859" s="1" t="s">
        <v>163</v>
      </c>
      <c r="W859">
        <v>15717</v>
      </c>
      <c r="X859">
        <v>7</v>
      </c>
      <c r="Y859" s="1" t="s">
        <v>48</v>
      </c>
      <c r="Z859" s="1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8">
      <c r="A860" s="1" t="s">
        <v>925</v>
      </c>
      <c r="B860">
        <v>38</v>
      </c>
      <c r="C860" s="1" t="s">
        <v>802</v>
      </c>
      <c r="D860" s="1" t="s">
        <v>49</v>
      </c>
      <c r="E860" s="1" t="s">
        <v>41</v>
      </c>
      <c r="F860">
        <v>364</v>
      </c>
      <c r="G860" s="1" t="s">
        <v>42</v>
      </c>
      <c r="H860">
        <v>3</v>
      </c>
      <c r="I860">
        <v>5</v>
      </c>
      <c r="J860" s="1" t="s">
        <v>68</v>
      </c>
      <c r="K860">
        <v>1</v>
      </c>
      <c r="L860">
        <v>193</v>
      </c>
      <c r="M860">
        <v>4</v>
      </c>
      <c r="N860" s="1" t="s">
        <v>53</v>
      </c>
      <c r="O860">
        <v>32</v>
      </c>
      <c r="P860">
        <v>3</v>
      </c>
      <c r="Q860">
        <v>2</v>
      </c>
      <c r="R860" s="1" t="s">
        <v>60</v>
      </c>
      <c r="S860">
        <v>3</v>
      </c>
      <c r="T860" s="1" t="s">
        <v>46</v>
      </c>
      <c r="U860">
        <v>4317</v>
      </c>
      <c r="V860" s="1" t="s">
        <v>47</v>
      </c>
      <c r="W860">
        <v>2302</v>
      </c>
      <c r="X860">
        <v>3</v>
      </c>
      <c r="Y860" s="1" t="s">
        <v>48</v>
      </c>
      <c r="Z860" s="1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8">
      <c r="A861" s="1" t="s">
        <v>926</v>
      </c>
      <c r="B861">
        <v>38</v>
      </c>
      <c r="C861" s="1" t="s">
        <v>802</v>
      </c>
      <c r="D861" s="1" t="s">
        <v>49</v>
      </c>
      <c r="E861" s="1" t="s">
        <v>41</v>
      </c>
      <c r="F861">
        <v>702</v>
      </c>
      <c r="G861" s="1" t="s">
        <v>51</v>
      </c>
      <c r="H861">
        <v>1</v>
      </c>
      <c r="I861">
        <v>4</v>
      </c>
      <c r="J861" s="1" t="s">
        <v>43</v>
      </c>
      <c r="K861">
        <v>1</v>
      </c>
      <c r="L861">
        <v>230</v>
      </c>
      <c r="M861">
        <v>1</v>
      </c>
      <c r="N861" s="1" t="s">
        <v>53</v>
      </c>
      <c r="O861">
        <v>59</v>
      </c>
      <c r="P861">
        <v>2</v>
      </c>
      <c r="Q861">
        <v>2</v>
      </c>
      <c r="R861" s="1" t="s">
        <v>137</v>
      </c>
      <c r="S861">
        <v>4</v>
      </c>
      <c r="T861" s="1" t="s">
        <v>46</v>
      </c>
      <c r="U861">
        <v>8686</v>
      </c>
      <c r="V861" s="1" t="s">
        <v>163</v>
      </c>
      <c r="W861">
        <v>12930</v>
      </c>
      <c r="X861">
        <v>4</v>
      </c>
      <c r="Y861" s="1" t="s">
        <v>48</v>
      </c>
      <c r="Z861" s="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8">
      <c r="A862" s="1" t="s">
        <v>927</v>
      </c>
      <c r="B862">
        <v>38</v>
      </c>
      <c r="C862" s="1" t="s">
        <v>802</v>
      </c>
      <c r="D862" s="1" t="s">
        <v>49</v>
      </c>
      <c r="E862" s="1" t="s">
        <v>41</v>
      </c>
      <c r="F862">
        <v>1380</v>
      </c>
      <c r="G862" s="1" t="s">
        <v>42</v>
      </c>
      <c r="H862">
        <v>9</v>
      </c>
      <c r="I862">
        <v>2</v>
      </c>
      <c r="J862" s="1" t="s">
        <v>43</v>
      </c>
      <c r="K862">
        <v>1</v>
      </c>
      <c r="L862">
        <v>245</v>
      </c>
      <c r="M862">
        <v>3</v>
      </c>
      <c r="N862" s="1" t="s">
        <v>53</v>
      </c>
      <c r="O862">
        <v>75</v>
      </c>
      <c r="P862">
        <v>3</v>
      </c>
      <c r="Q862">
        <v>1</v>
      </c>
      <c r="R862" s="1" t="s">
        <v>45</v>
      </c>
      <c r="S862">
        <v>4</v>
      </c>
      <c r="T862" s="1" t="s">
        <v>46</v>
      </c>
      <c r="U862">
        <v>2288</v>
      </c>
      <c r="V862" s="1" t="s">
        <v>47</v>
      </c>
      <c r="W862">
        <v>6319</v>
      </c>
      <c r="X862">
        <v>1</v>
      </c>
      <c r="Y862" s="1" t="s">
        <v>48</v>
      </c>
      <c r="Z862" s="1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8">
      <c r="A863" s="1" t="s">
        <v>928</v>
      </c>
      <c r="B863">
        <v>38</v>
      </c>
      <c r="C863" s="1" t="s">
        <v>802</v>
      </c>
      <c r="D863" s="1" t="s">
        <v>49</v>
      </c>
      <c r="E863" s="1" t="s">
        <v>41</v>
      </c>
      <c r="F863">
        <v>1261</v>
      </c>
      <c r="G863" s="1" t="s">
        <v>42</v>
      </c>
      <c r="H863">
        <v>2</v>
      </c>
      <c r="I863">
        <v>4</v>
      </c>
      <c r="J863" s="1" t="s">
        <v>43</v>
      </c>
      <c r="K863">
        <v>1</v>
      </c>
      <c r="L863">
        <v>271</v>
      </c>
      <c r="M863">
        <v>4</v>
      </c>
      <c r="N863" s="1" t="s">
        <v>44</v>
      </c>
      <c r="O863">
        <v>88</v>
      </c>
      <c r="P863">
        <v>3</v>
      </c>
      <c r="Q863">
        <v>2</v>
      </c>
      <c r="R863" s="1" t="s">
        <v>112</v>
      </c>
      <c r="S863">
        <v>3</v>
      </c>
      <c r="T863" s="1" t="s">
        <v>105</v>
      </c>
      <c r="U863">
        <v>6553</v>
      </c>
      <c r="V863" s="1" t="s">
        <v>163</v>
      </c>
      <c r="W863">
        <v>7259</v>
      </c>
      <c r="X863">
        <v>9</v>
      </c>
      <c r="Y863" s="1" t="s">
        <v>48</v>
      </c>
      <c r="Z863" s="1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8">
      <c r="A864" s="1" t="s">
        <v>929</v>
      </c>
      <c r="B864">
        <v>38</v>
      </c>
      <c r="C864" s="1" t="s">
        <v>802</v>
      </c>
      <c r="D864" s="1" t="s">
        <v>49</v>
      </c>
      <c r="E864" s="1" t="s">
        <v>41</v>
      </c>
      <c r="F864">
        <v>1084</v>
      </c>
      <c r="G864" s="1" t="s">
        <v>42</v>
      </c>
      <c r="H864">
        <v>29</v>
      </c>
      <c r="I864">
        <v>3</v>
      </c>
      <c r="J864" s="1" t="s">
        <v>68</v>
      </c>
      <c r="K864">
        <v>1</v>
      </c>
      <c r="L864">
        <v>273</v>
      </c>
      <c r="M864">
        <v>4</v>
      </c>
      <c r="N864" s="1" t="s">
        <v>44</v>
      </c>
      <c r="O864">
        <v>54</v>
      </c>
      <c r="P864">
        <v>3</v>
      </c>
      <c r="Q864">
        <v>2</v>
      </c>
      <c r="R864" s="1" t="s">
        <v>112</v>
      </c>
      <c r="S864">
        <v>4</v>
      </c>
      <c r="T864" s="1" t="s">
        <v>105</v>
      </c>
      <c r="U864">
        <v>6261</v>
      </c>
      <c r="V864" s="1" t="s">
        <v>163</v>
      </c>
      <c r="W864">
        <v>4185</v>
      </c>
      <c r="X864">
        <v>3</v>
      </c>
      <c r="Y864" s="1" t="s">
        <v>48</v>
      </c>
      <c r="Z864" s="1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8">
      <c r="A865" s="1" t="s">
        <v>930</v>
      </c>
      <c r="B865">
        <v>38</v>
      </c>
      <c r="C865" s="1" t="s">
        <v>802</v>
      </c>
      <c r="D865" s="1" t="s">
        <v>40</v>
      </c>
      <c r="E865" s="1" t="s">
        <v>41</v>
      </c>
      <c r="F865">
        <v>1180</v>
      </c>
      <c r="G865" s="1" t="s">
        <v>42</v>
      </c>
      <c r="H865">
        <v>29</v>
      </c>
      <c r="I865">
        <v>1</v>
      </c>
      <c r="J865" s="1" t="s">
        <v>52</v>
      </c>
      <c r="K865">
        <v>1</v>
      </c>
      <c r="L865">
        <v>282</v>
      </c>
      <c r="M865">
        <v>2</v>
      </c>
      <c r="N865" s="1" t="s">
        <v>44</v>
      </c>
      <c r="O865">
        <v>70</v>
      </c>
      <c r="P865">
        <v>3</v>
      </c>
      <c r="Q865">
        <v>2</v>
      </c>
      <c r="R865" s="1" t="s">
        <v>161</v>
      </c>
      <c r="S865">
        <v>1</v>
      </c>
      <c r="T865" s="1" t="s">
        <v>105</v>
      </c>
      <c r="U865">
        <v>6673</v>
      </c>
      <c r="V865" s="1" t="s">
        <v>163</v>
      </c>
      <c r="W865">
        <v>11354</v>
      </c>
      <c r="X865">
        <v>7</v>
      </c>
      <c r="Y865" s="1" t="s">
        <v>48</v>
      </c>
      <c r="Z865" s="1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8">
      <c r="A866" s="1" t="s">
        <v>931</v>
      </c>
      <c r="B866">
        <v>38</v>
      </c>
      <c r="C866" s="1" t="s">
        <v>802</v>
      </c>
      <c r="D866" s="1" t="s">
        <v>49</v>
      </c>
      <c r="E866" s="1" t="s">
        <v>41</v>
      </c>
      <c r="F866">
        <v>119</v>
      </c>
      <c r="G866" s="1" t="s">
        <v>51</v>
      </c>
      <c r="H866">
        <v>3</v>
      </c>
      <c r="I866">
        <v>3</v>
      </c>
      <c r="J866" s="1" t="s">
        <v>43</v>
      </c>
      <c r="K866">
        <v>1</v>
      </c>
      <c r="L866">
        <v>307</v>
      </c>
      <c r="M866">
        <v>1</v>
      </c>
      <c r="N866" s="1" t="s">
        <v>44</v>
      </c>
      <c r="O866">
        <v>76</v>
      </c>
      <c r="P866">
        <v>3</v>
      </c>
      <c r="Q866">
        <v>3</v>
      </c>
      <c r="R866" s="1" t="s">
        <v>137</v>
      </c>
      <c r="S866">
        <v>3</v>
      </c>
      <c r="T866" s="1" t="s">
        <v>102</v>
      </c>
      <c r="U866">
        <v>10609</v>
      </c>
      <c r="V866" s="1" t="s">
        <v>253</v>
      </c>
      <c r="W866">
        <v>9647</v>
      </c>
      <c r="X866">
        <v>0</v>
      </c>
      <c r="Y866" s="1" t="s">
        <v>48</v>
      </c>
      <c r="Z866" s="1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8">
      <c r="A867" s="1" t="s">
        <v>932</v>
      </c>
      <c r="B867">
        <v>38</v>
      </c>
      <c r="C867" s="1" t="s">
        <v>802</v>
      </c>
      <c r="D867" s="1" t="s">
        <v>49</v>
      </c>
      <c r="E867" s="1" t="s">
        <v>59</v>
      </c>
      <c r="F867">
        <v>1327</v>
      </c>
      <c r="G867" s="1" t="s">
        <v>51</v>
      </c>
      <c r="H867">
        <v>2</v>
      </c>
      <c r="I867">
        <v>2</v>
      </c>
      <c r="J867" s="1" t="s">
        <v>43</v>
      </c>
      <c r="K867">
        <v>1</v>
      </c>
      <c r="L867">
        <v>361</v>
      </c>
      <c r="M867">
        <v>4</v>
      </c>
      <c r="N867" s="1" t="s">
        <v>44</v>
      </c>
      <c r="O867">
        <v>39</v>
      </c>
      <c r="P867">
        <v>2</v>
      </c>
      <c r="Q867">
        <v>2</v>
      </c>
      <c r="R867" s="1" t="s">
        <v>137</v>
      </c>
      <c r="S867">
        <v>4</v>
      </c>
      <c r="T867" s="1" t="s">
        <v>105</v>
      </c>
      <c r="U867">
        <v>5249</v>
      </c>
      <c r="V867" s="1" t="s">
        <v>163</v>
      </c>
      <c r="W867">
        <v>19682</v>
      </c>
      <c r="X867">
        <v>3</v>
      </c>
      <c r="Y867" s="1" t="s">
        <v>48</v>
      </c>
      <c r="Z867" s="1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8">
      <c r="A868" s="1" t="s">
        <v>933</v>
      </c>
      <c r="B868">
        <v>38</v>
      </c>
      <c r="C868" s="1" t="s">
        <v>802</v>
      </c>
      <c r="D868" s="1" t="s">
        <v>49</v>
      </c>
      <c r="E868" s="1" t="s">
        <v>41</v>
      </c>
      <c r="F868">
        <v>322</v>
      </c>
      <c r="G868" s="1" t="s">
        <v>51</v>
      </c>
      <c r="H868">
        <v>7</v>
      </c>
      <c r="I868">
        <v>2</v>
      </c>
      <c r="J868" s="1" t="s">
        <v>52</v>
      </c>
      <c r="K868">
        <v>1</v>
      </c>
      <c r="L868">
        <v>382</v>
      </c>
      <c r="M868">
        <v>1</v>
      </c>
      <c r="N868" s="1" t="s">
        <v>53</v>
      </c>
      <c r="O868">
        <v>44</v>
      </c>
      <c r="P868">
        <v>4</v>
      </c>
      <c r="Q868">
        <v>2</v>
      </c>
      <c r="R868" s="1" t="s">
        <v>137</v>
      </c>
      <c r="S868">
        <v>1</v>
      </c>
      <c r="T868" s="1" t="s">
        <v>102</v>
      </c>
      <c r="U868">
        <v>5605</v>
      </c>
      <c r="V868" s="1" t="s">
        <v>163</v>
      </c>
      <c r="W868">
        <v>19191</v>
      </c>
      <c r="X868">
        <v>1</v>
      </c>
      <c r="Y868" s="1" t="s">
        <v>48</v>
      </c>
      <c r="Z868" s="1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8">
      <c r="A869" s="1" t="s">
        <v>934</v>
      </c>
      <c r="B869">
        <v>38</v>
      </c>
      <c r="C869" s="1" t="s">
        <v>802</v>
      </c>
      <c r="D869" s="1" t="s">
        <v>49</v>
      </c>
      <c r="E869" s="1" t="s">
        <v>41</v>
      </c>
      <c r="F869">
        <v>688</v>
      </c>
      <c r="G869" s="1" t="s">
        <v>42</v>
      </c>
      <c r="H869">
        <v>23</v>
      </c>
      <c r="I869">
        <v>4</v>
      </c>
      <c r="J869" s="1" t="s">
        <v>43</v>
      </c>
      <c r="K869">
        <v>1</v>
      </c>
      <c r="L869">
        <v>393</v>
      </c>
      <c r="M869">
        <v>4</v>
      </c>
      <c r="N869" s="1" t="s">
        <v>44</v>
      </c>
      <c r="O869">
        <v>82</v>
      </c>
      <c r="P869">
        <v>3</v>
      </c>
      <c r="Q869">
        <v>2</v>
      </c>
      <c r="R869" s="1" t="s">
        <v>161</v>
      </c>
      <c r="S869">
        <v>4</v>
      </c>
      <c r="T869" s="1" t="s">
        <v>102</v>
      </c>
      <c r="U869">
        <v>5745</v>
      </c>
      <c r="V869" s="1" t="s">
        <v>163</v>
      </c>
      <c r="W869">
        <v>18899</v>
      </c>
      <c r="X869">
        <v>9</v>
      </c>
      <c r="Y869" s="1" t="s">
        <v>48</v>
      </c>
      <c r="Z869" s="1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8">
      <c r="A870" s="1" t="s">
        <v>935</v>
      </c>
      <c r="B870">
        <v>38</v>
      </c>
      <c r="C870" s="1" t="s">
        <v>802</v>
      </c>
      <c r="D870" s="1" t="s">
        <v>49</v>
      </c>
      <c r="E870" s="1" t="s">
        <v>41</v>
      </c>
      <c r="F870">
        <v>849</v>
      </c>
      <c r="G870" s="1" t="s">
        <v>42</v>
      </c>
      <c r="H870">
        <v>25</v>
      </c>
      <c r="I870">
        <v>2</v>
      </c>
      <c r="J870" s="1" t="s">
        <v>43</v>
      </c>
      <c r="K870">
        <v>1</v>
      </c>
      <c r="L870">
        <v>421</v>
      </c>
      <c r="M870">
        <v>1</v>
      </c>
      <c r="N870" s="1" t="s">
        <v>53</v>
      </c>
      <c r="O870">
        <v>81</v>
      </c>
      <c r="P870">
        <v>2</v>
      </c>
      <c r="Q870">
        <v>3</v>
      </c>
      <c r="R870" s="1" t="s">
        <v>252</v>
      </c>
      <c r="S870">
        <v>2</v>
      </c>
      <c r="T870" s="1" t="s">
        <v>105</v>
      </c>
      <c r="U870">
        <v>12061</v>
      </c>
      <c r="V870" s="1" t="s">
        <v>253</v>
      </c>
      <c r="W870">
        <v>26707</v>
      </c>
      <c r="X870">
        <v>3</v>
      </c>
      <c r="Y870" s="1" t="s">
        <v>48</v>
      </c>
      <c r="Z870" s="1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8">
      <c r="A871" s="1" t="s">
        <v>936</v>
      </c>
      <c r="B871">
        <v>38</v>
      </c>
      <c r="C871" s="1" t="s">
        <v>802</v>
      </c>
      <c r="D871" s="1" t="s">
        <v>49</v>
      </c>
      <c r="E871" s="1" t="s">
        <v>41</v>
      </c>
      <c r="F871">
        <v>343</v>
      </c>
      <c r="G871" s="1" t="s">
        <v>42</v>
      </c>
      <c r="H871">
        <v>15</v>
      </c>
      <c r="I871">
        <v>2</v>
      </c>
      <c r="J871" s="1" t="s">
        <v>43</v>
      </c>
      <c r="K871">
        <v>1</v>
      </c>
      <c r="L871">
        <v>461</v>
      </c>
      <c r="M871">
        <v>3</v>
      </c>
      <c r="N871" s="1" t="s">
        <v>44</v>
      </c>
      <c r="O871">
        <v>92</v>
      </c>
      <c r="P871">
        <v>2</v>
      </c>
      <c r="Q871">
        <v>3</v>
      </c>
      <c r="R871" s="1" t="s">
        <v>252</v>
      </c>
      <c r="S871">
        <v>4</v>
      </c>
      <c r="T871" s="1" t="s">
        <v>102</v>
      </c>
      <c r="U871">
        <v>11510</v>
      </c>
      <c r="V871" s="1" t="s">
        <v>253</v>
      </c>
      <c r="W871">
        <v>15682</v>
      </c>
      <c r="X871">
        <v>0</v>
      </c>
      <c r="Y871" s="1" t="s">
        <v>48</v>
      </c>
      <c r="Z871" s="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8">
      <c r="A872" s="1" t="s">
        <v>937</v>
      </c>
      <c r="B872">
        <v>38</v>
      </c>
      <c r="C872" s="1" t="s">
        <v>802</v>
      </c>
      <c r="D872" s="1" t="s">
        <v>49</v>
      </c>
      <c r="E872" s="1" t="s">
        <v>56</v>
      </c>
      <c r="F872">
        <v>1490</v>
      </c>
      <c r="G872" s="1" t="s">
        <v>42</v>
      </c>
      <c r="H872">
        <v>2</v>
      </c>
      <c r="I872">
        <v>2</v>
      </c>
      <c r="J872" s="1" t="s">
        <v>43</v>
      </c>
      <c r="K872">
        <v>1</v>
      </c>
      <c r="L872">
        <v>556</v>
      </c>
      <c r="M872">
        <v>4</v>
      </c>
      <c r="N872" s="1" t="s">
        <v>44</v>
      </c>
      <c r="O872">
        <v>42</v>
      </c>
      <c r="P872">
        <v>3</v>
      </c>
      <c r="Q872">
        <v>1</v>
      </c>
      <c r="R872" s="1" t="s">
        <v>45</v>
      </c>
      <c r="S872">
        <v>4</v>
      </c>
      <c r="T872" s="1" t="s">
        <v>105</v>
      </c>
      <c r="U872">
        <v>1702</v>
      </c>
      <c r="V872" s="1" t="s">
        <v>47</v>
      </c>
      <c r="W872">
        <v>12106</v>
      </c>
      <c r="X872">
        <v>1</v>
      </c>
      <c r="Y872" s="1" t="s">
        <v>48</v>
      </c>
      <c r="Z872" s="1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8">
      <c r="A873" s="1" t="s">
        <v>938</v>
      </c>
      <c r="B873">
        <v>38</v>
      </c>
      <c r="C873" s="1" t="s">
        <v>802</v>
      </c>
      <c r="D873" s="1" t="s">
        <v>49</v>
      </c>
      <c r="E873" s="1" t="s">
        <v>41</v>
      </c>
      <c r="F873">
        <v>1495</v>
      </c>
      <c r="G873" s="1" t="s">
        <v>42</v>
      </c>
      <c r="H873">
        <v>10</v>
      </c>
      <c r="I873">
        <v>3</v>
      </c>
      <c r="J873" s="1" t="s">
        <v>52</v>
      </c>
      <c r="K873">
        <v>1</v>
      </c>
      <c r="L873">
        <v>634</v>
      </c>
      <c r="M873">
        <v>3</v>
      </c>
      <c r="N873" s="1" t="s">
        <v>53</v>
      </c>
      <c r="O873">
        <v>76</v>
      </c>
      <c r="P873">
        <v>3</v>
      </c>
      <c r="Q873">
        <v>2</v>
      </c>
      <c r="R873" s="1" t="s">
        <v>161</v>
      </c>
      <c r="S873">
        <v>3</v>
      </c>
      <c r="T873" s="1" t="s">
        <v>105</v>
      </c>
      <c r="U873">
        <v>9824</v>
      </c>
      <c r="V873" s="1" t="s">
        <v>163</v>
      </c>
      <c r="W873">
        <v>22174</v>
      </c>
      <c r="X873">
        <v>3</v>
      </c>
      <c r="Y873" s="1" t="s">
        <v>48</v>
      </c>
      <c r="Z873" s="1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8">
      <c r="A874" s="1" t="s">
        <v>939</v>
      </c>
      <c r="B874">
        <v>38</v>
      </c>
      <c r="C874" s="1" t="s">
        <v>802</v>
      </c>
      <c r="D874" s="1" t="s">
        <v>49</v>
      </c>
      <c r="E874" s="1" t="s">
        <v>41</v>
      </c>
      <c r="F874">
        <v>362</v>
      </c>
      <c r="G874" s="1" t="s">
        <v>42</v>
      </c>
      <c r="H874">
        <v>1</v>
      </c>
      <c r="I874">
        <v>1</v>
      </c>
      <c r="J874" s="1" t="s">
        <v>43</v>
      </c>
      <c r="K874">
        <v>1</v>
      </c>
      <c r="L874">
        <v>662</v>
      </c>
      <c r="M874">
        <v>3</v>
      </c>
      <c r="N874" s="1" t="s">
        <v>53</v>
      </c>
      <c r="O874">
        <v>43</v>
      </c>
      <c r="P874">
        <v>3</v>
      </c>
      <c r="Q874">
        <v>1</v>
      </c>
      <c r="R874" s="1" t="s">
        <v>60</v>
      </c>
      <c r="S874">
        <v>1</v>
      </c>
      <c r="T874" s="1" t="s">
        <v>46</v>
      </c>
      <c r="U874">
        <v>2619</v>
      </c>
      <c r="V874" s="1" t="s">
        <v>47</v>
      </c>
      <c r="W874">
        <v>14561</v>
      </c>
      <c r="X874">
        <v>3</v>
      </c>
      <c r="Y874" s="1" t="s">
        <v>48</v>
      </c>
      <c r="Z874" s="1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8">
      <c r="A875" s="1" t="s">
        <v>940</v>
      </c>
      <c r="B875">
        <v>38</v>
      </c>
      <c r="C875" s="1" t="s">
        <v>802</v>
      </c>
      <c r="D875" s="1" t="s">
        <v>49</v>
      </c>
      <c r="E875" s="1" t="s">
        <v>41</v>
      </c>
      <c r="F875">
        <v>243</v>
      </c>
      <c r="G875" s="1" t="s">
        <v>51</v>
      </c>
      <c r="H875">
        <v>7</v>
      </c>
      <c r="I875">
        <v>4</v>
      </c>
      <c r="J875" s="1" t="s">
        <v>57</v>
      </c>
      <c r="K875">
        <v>1</v>
      </c>
      <c r="L875">
        <v>709</v>
      </c>
      <c r="M875">
        <v>4</v>
      </c>
      <c r="N875" s="1" t="s">
        <v>53</v>
      </c>
      <c r="O875">
        <v>46</v>
      </c>
      <c r="P875">
        <v>2</v>
      </c>
      <c r="Q875">
        <v>2</v>
      </c>
      <c r="R875" s="1" t="s">
        <v>137</v>
      </c>
      <c r="S875">
        <v>4</v>
      </c>
      <c r="T875" s="1" t="s">
        <v>46</v>
      </c>
      <c r="U875">
        <v>4028</v>
      </c>
      <c r="V875" s="1" t="s">
        <v>47</v>
      </c>
      <c r="W875">
        <v>7791</v>
      </c>
      <c r="X875">
        <v>0</v>
      </c>
      <c r="Y875" s="1" t="s">
        <v>48</v>
      </c>
      <c r="Z875" s="1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8">
      <c r="A876" s="1" t="s">
        <v>941</v>
      </c>
      <c r="B876">
        <v>38</v>
      </c>
      <c r="C876" s="1" t="s">
        <v>802</v>
      </c>
      <c r="D876" s="1" t="s">
        <v>49</v>
      </c>
      <c r="E876" s="1" t="s">
        <v>41</v>
      </c>
      <c r="F876">
        <v>827</v>
      </c>
      <c r="G876" s="1" t="s">
        <v>42</v>
      </c>
      <c r="H876">
        <v>1</v>
      </c>
      <c r="I876">
        <v>4</v>
      </c>
      <c r="J876" s="1" t="s">
        <v>43</v>
      </c>
      <c r="K876">
        <v>1</v>
      </c>
      <c r="L876">
        <v>724</v>
      </c>
      <c r="M876">
        <v>2</v>
      </c>
      <c r="N876" s="1" t="s">
        <v>53</v>
      </c>
      <c r="O876">
        <v>33</v>
      </c>
      <c r="P876">
        <v>4</v>
      </c>
      <c r="Q876">
        <v>2</v>
      </c>
      <c r="R876" s="1" t="s">
        <v>161</v>
      </c>
      <c r="S876">
        <v>4</v>
      </c>
      <c r="T876" s="1" t="s">
        <v>46</v>
      </c>
      <c r="U876">
        <v>7625</v>
      </c>
      <c r="V876" s="1" t="s">
        <v>163</v>
      </c>
      <c r="W876">
        <v>19383</v>
      </c>
      <c r="X876">
        <v>0</v>
      </c>
      <c r="Y876" s="1" t="s">
        <v>48</v>
      </c>
      <c r="Z876" s="1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8">
      <c r="A877" s="1" t="s">
        <v>942</v>
      </c>
      <c r="B877">
        <v>38</v>
      </c>
      <c r="C877" s="1" t="s">
        <v>802</v>
      </c>
      <c r="D877" s="1" t="s">
        <v>49</v>
      </c>
      <c r="E877" s="1" t="s">
        <v>41</v>
      </c>
      <c r="F877">
        <v>168</v>
      </c>
      <c r="G877" s="1" t="s">
        <v>42</v>
      </c>
      <c r="H877">
        <v>1</v>
      </c>
      <c r="I877">
        <v>3</v>
      </c>
      <c r="J877" s="1" t="s">
        <v>43</v>
      </c>
      <c r="K877">
        <v>1</v>
      </c>
      <c r="L877">
        <v>743</v>
      </c>
      <c r="M877">
        <v>3</v>
      </c>
      <c r="N877" s="1" t="s">
        <v>53</v>
      </c>
      <c r="O877">
        <v>81</v>
      </c>
      <c r="P877">
        <v>3</v>
      </c>
      <c r="Q877">
        <v>3</v>
      </c>
      <c r="R877" s="1" t="s">
        <v>112</v>
      </c>
      <c r="S877">
        <v>3</v>
      </c>
      <c r="T877" s="1" t="s">
        <v>46</v>
      </c>
      <c r="U877">
        <v>7861</v>
      </c>
      <c r="V877" s="1" t="s">
        <v>163</v>
      </c>
      <c r="W877">
        <v>15397</v>
      </c>
      <c r="X877">
        <v>4</v>
      </c>
      <c r="Y877" s="1" t="s">
        <v>48</v>
      </c>
      <c r="Z877" s="1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8">
      <c r="A878" s="1" t="s">
        <v>943</v>
      </c>
      <c r="B878">
        <v>38</v>
      </c>
      <c r="C878" s="1" t="s">
        <v>802</v>
      </c>
      <c r="D878" s="1" t="s">
        <v>49</v>
      </c>
      <c r="E878" s="1" t="s">
        <v>41</v>
      </c>
      <c r="F878">
        <v>268</v>
      </c>
      <c r="G878" s="1" t="s">
        <v>42</v>
      </c>
      <c r="H878">
        <v>2</v>
      </c>
      <c r="I878">
        <v>5</v>
      </c>
      <c r="J878" s="1" t="s">
        <v>52</v>
      </c>
      <c r="K878">
        <v>1</v>
      </c>
      <c r="L878">
        <v>773</v>
      </c>
      <c r="M878">
        <v>4</v>
      </c>
      <c r="N878" s="1" t="s">
        <v>44</v>
      </c>
      <c r="O878">
        <v>92</v>
      </c>
      <c r="P878">
        <v>3</v>
      </c>
      <c r="Q878">
        <v>1</v>
      </c>
      <c r="R878" s="1" t="s">
        <v>60</v>
      </c>
      <c r="S878">
        <v>3</v>
      </c>
      <c r="T878" s="1" t="s">
        <v>105</v>
      </c>
      <c r="U878">
        <v>3057</v>
      </c>
      <c r="V878" s="1" t="s">
        <v>47</v>
      </c>
      <c r="W878">
        <v>20471</v>
      </c>
      <c r="X878">
        <v>6</v>
      </c>
      <c r="Y878" s="1" t="s">
        <v>48</v>
      </c>
      <c r="Z878" s="1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8">
      <c r="A879" s="1" t="s">
        <v>944</v>
      </c>
      <c r="B879">
        <v>38</v>
      </c>
      <c r="C879" s="1" t="s">
        <v>802</v>
      </c>
      <c r="D879" s="1" t="s">
        <v>49</v>
      </c>
      <c r="E879" s="1" t="s">
        <v>56</v>
      </c>
      <c r="F879">
        <v>240</v>
      </c>
      <c r="G879" s="1" t="s">
        <v>42</v>
      </c>
      <c r="H879">
        <v>2</v>
      </c>
      <c r="I879">
        <v>4</v>
      </c>
      <c r="J879" s="1" t="s">
        <v>43</v>
      </c>
      <c r="K879">
        <v>1</v>
      </c>
      <c r="L879">
        <v>803</v>
      </c>
      <c r="M879">
        <v>1</v>
      </c>
      <c r="N879" s="1" t="s">
        <v>53</v>
      </c>
      <c r="O879">
        <v>75</v>
      </c>
      <c r="P879">
        <v>4</v>
      </c>
      <c r="Q879">
        <v>2</v>
      </c>
      <c r="R879" s="1" t="s">
        <v>112</v>
      </c>
      <c r="S879">
        <v>1</v>
      </c>
      <c r="T879" s="1" t="s">
        <v>46</v>
      </c>
      <c r="U879">
        <v>5980</v>
      </c>
      <c r="V879" s="1" t="s">
        <v>163</v>
      </c>
      <c r="W879">
        <v>26085</v>
      </c>
      <c r="X879">
        <v>6</v>
      </c>
      <c r="Y879" s="1" t="s">
        <v>48</v>
      </c>
      <c r="Z879" s="1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8">
      <c r="A880" s="1" t="s">
        <v>945</v>
      </c>
      <c r="B880">
        <v>38</v>
      </c>
      <c r="C880" s="1" t="s">
        <v>802</v>
      </c>
      <c r="D880" s="1" t="s">
        <v>49</v>
      </c>
      <c r="E880" s="1" t="s">
        <v>56</v>
      </c>
      <c r="F880">
        <v>471</v>
      </c>
      <c r="G880" s="1" t="s">
        <v>42</v>
      </c>
      <c r="H880">
        <v>12</v>
      </c>
      <c r="I880">
        <v>3</v>
      </c>
      <c r="J880" s="1" t="s">
        <v>43</v>
      </c>
      <c r="K880">
        <v>1</v>
      </c>
      <c r="L880">
        <v>837</v>
      </c>
      <c r="M880">
        <v>1</v>
      </c>
      <c r="N880" s="1" t="s">
        <v>44</v>
      </c>
      <c r="O880">
        <v>45</v>
      </c>
      <c r="P880">
        <v>2</v>
      </c>
      <c r="Q880">
        <v>2</v>
      </c>
      <c r="R880" s="1" t="s">
        <v>161</v>
      </c>
      <c r="S880">
        <v>1</v>
      </c>
      <c r="T880" s="1" t="s">
        <v>102</v>
      </c>
      <c r="U880">
        <v>6288</v>
      </c>
      <c r="V880" s="1" t="s">
        <v>163</v>
      </c>
      <c r="W880">
        <v>4284</v>
      </c>
      <c r="X880">
        <v>2</v>
      </c>
      <c r="Y880" s="1" t="s">
        <v>48</v>
      </c>
      <c r="Z880" s="1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8">
      <c r="A881" s="1" t="s">
        <v>946</v>
      </c>
      <c r="B881">
        <v>38</v>
      </c>
      <c r="C881" s="1" t="s">
        <v>802</v>
      </c>
      <c r="D881" s="1" t="s">
        <v>49</v>
      </c>
      <c r="E881" s="1" t="s">
        <v>41</v>
      </c>
      <c r="F881">
        <v>395</v>
      </c>
      <c r="G881" s="1" t="s">
        <v>51</v>
      </c>
      <c r="H881">
        <v>9</v>
      </c>
      <c r="I881">
        <v>3</v>
      </c>
      <c r="J881" s="1" t="s">
        <v>57</v>
      </c>
      <c r="K881">
        <v>1</v>
      </c>
      <c r="L881">
        <v>893</v>
      </c>
      <c r="M881">
        <v>2</v>
      </c>
      <c r="N881" s="1" t="s">
        <v>44</v>
      </c>
      <c r="O881">
        <v>98</v>
      </c>
      <c r="P881">
        <v>2</v>
      </c>
      <c r="Q881">
        <v>1</v>
      </c>
      <c r="R881" s="1" t="s">
        <v>54</v>
      </c>
      <c r="S881">
        <v>2</v>
      </c>
      <c r="T881" s="1" t="s">
        <v>105</v>
      </c>
      <c r="U881">
        <v>2899</v>
      </c>
      <c r="V881" s="1" t="s">
        <v>47</v>
      </c>
      <c r="W881">
        <v>12102</v>
      </c>
      <c r="X881">
        <v>0</v>
      </c>
      <c r="Y881" s="1" t="s">
        <v>48</v>
      </c>
      <c r="Z881" s="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8">
      <c r="A882" s="1" t="s">
        <v>947</v>
      </c>
      <c r="B882">
        <v>38</v>
      </c>
      <c r="C882" s="1" t="s">
        <v>802</v>
      </c>
      <c r="D882" s="1" t="s">
        <v>49</v>
      </c>
      <c r="E882" s="1" t="s">
        <v>41</v>
      </c>
      <c r="F882">
        <v>1333</v>
      </c>
      <c r="G882" s="1" t="s">
        <v>42</v>
      </c>
      <c r="H882">
        <v>1</v>
      </c>
      <c r="I882">
        <v>3</v>
      </c>
      <c r="J882" s="1" t="s">
        <v>68</v>
      </c>
      <c r="K882">
        <v>1</v>
      </c>
      <c r="L882">
        <v>950</v>
      </c>
      <c r="M882">
        <v>4</v>
      </c>
      <c r="N882" s="1" t="s">
        <v>53</v>
      </c>
      <c r="O882">
        <v>80</v>
      </c>
      <c r="P882">
        <v>3</v>
      </c>
      <c r="Q882">
        <v>3</v>
      </c>
      <c r="R882" s="1" t="s">
        <v>252</v>
      </c>
      <c r="S882">
        <v>1</v>
      </c>
      <c r="T882" s="1" t="s">
        <v>105</v>
      </c>
      <c r="U882">
        <v>13582</v>
      </c>
      <c r="V882" s="1" t="s">
        <v>253</v>
      </c>
      <c r="W882">
        <v>16292</v>
      </c>
      <c r="X882">
        <v>1</v>
      </c>
      <c r="Y882" s="1" t="s">
        <v>48</v>
      </c>
      <c r="Z882" s="1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8">
      <c r="A883" s="1" t="s">
        <v>948</v>
      </c>
      <c r="B883">
        <v>38</v>
      </c>
      <c r="C883" s="1" t="s">
        <v>802</v>
      </c>
      <c r="D883" s="1" t="s">
        <v>49</v>
      </c>
      <c r="E883" s="1" t="s">
        <v>59</v>
      </c>
      <c r="F883">
        <v>152</v>
      </c>
      <c r="G883" s="1" t="s">
        <v>51</v>
      </c>
      <c r="H883">
        <v>10</v>
      </c>
      <c r="I883">
        <v>3</v>
      </c>
      <c r="J883" s="1" t="s">
        <v>68</v>
      </c>
      <c r="K883">
        <v>1</v>
      </c>
      <c r="L883">
        <v>983</v>
      </c>
      <c r="M883">
        <v>3</v>
      </c>
      <c r="N883" s="1" t="s">
        <v>53</v>
      </c>
      <c r="O883">
        <v>85</v>
      </c>
      <c r="P883">
        <v>3</v>
      </c>
      <c r="Q883">
        <v>2</v>
      </c>
      <c r="R883" s="1" t="s">
        <v>137</v>
      </c>
      <c r="S883">
        <v>4</v>
      </c>
      <c r="T883" s="1" t="s">
        <v>46</v>
      </c>
      <c r="U883">
        <v>5666</v>
      </c>
      <c r="V883" s="1" t="s">
        <v>163</v>
      </c>
      <c r="W883">
        <v>19899</v>
      </c>
      <c r="X883">
        <v>1</v>
      </c>
      <c r="Y883" s="1" t="s">
        <v>48</v>
      </c>
      <c r="Z883" s="1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8">
      <c r="A884" s="1" t="s">
        <v>949</v>
      </c>
      <c r="B884">
        <v>38</v>
      </c>
      <c r="C884" s="1" t="s">
        <v>802</v>
      </c>
      <c r="D884" s="1" t="s">
        <v>49</v>
      </c>
      <c r="E884" s="1" t="s">
        <v>56</v>
      </c>
      <c r="F884">
        <v>1391</v>
      </c>
      <c r="G884" s="1" t="s">
        <v>42</v>
      </c>
      <c r="H884">
        <v>10</v>
      </c>
      <c r="I884">
        <v>1</v>
      </c>
      <c r="J884" s="1" t="s">
        <v>52</v>
      </c>
      <c r="K884">
        <v>1</v>
      </c>
      <c r="L884">
        <v>1006</v>
      </c>
      <c r="M884">
        <v>3</v>
      </c>
      <c r="N884" s="1" t="s">
        <v>44</v>
      </c>
      <c r="O884">
        <v>66</v>
      </c>
      <c r="P884">
        <v>3</v>
      </c>
      <c r="Q884">
        <v>1</v>
      </c>
      <c r="R884" s="1" t="s">
        <v>60</v>
      </c>
      <c r="S884">
        <v>3</v>
      </c>
      <c r="T884" s="1" t="s">
        <v>105</v>
      </c>
      <c r="U884">
        <v>2684</v>
      </c>
      <c r="V884" s="1" t="s">
        <v>47</v>
      </c>
      <c r="W884">
        <v>12127</v>
      </c>
      <c r="X884">
        <v>0</v>
      </c>
      <c r="Y884" s="1" t="s">
        <v>48</v>
      </c>
      <c r="Z884" s="1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8">
      <c r="A885" s="1" t="s">
        <v>950</v>
      </c>
      <c r="B885">
        <v>38</v>
      </c>
      <c r="C885" s="1" t="s">
        <v>802</v>
      </c>
      <c r="D885" s="1" t="s">
        <v>49</v>
      </c>
      <c r="E885" s="1" t="s">
        <v>41</v>
      </c>
      <c r="F885">
        <v>1035</v>
      </c>
      <c r="G885" s="1" t="s">
        <v>51</v>
      </c>
      <c r="H885">
        <v>3</v>
      </c>
      <c r="I885">
        <v>4</v>
      </c>
      <c r="J885" s="1" t="s">
        <v>43</v>
      </c>
      <c r="K885">
        <v>1</v>
      </c>
      <c r="L885">
        <v>1036</v>
      </c>
      <c r="M885">
        <v>2</v>
      </c>
      <c r="N885" s="1" t="s">
        <v>44</v>
      </c>
      <c r="O885">
        <v>42</v>
      </c>
      <c r="P885">
        <v>3</v>
      </c>
      <c r="Q885">
        <v>2</v>
      </c>
      <c r="R885" s="1" t="s">
        <v>137</v>
      </c>
      <c r="S885">
        <v>4</v>
      </c>
      <c r="T885" s="1" t="s">
        <v>46</v>
      </c>
      <c r="U885">
        <v>6861</v>
      </c>
      <c r="V885" s="1" t="s">
        <v>163</v>
      </c>
      <c r="W885">
        <v>4981</v>
      </c>
      <c r="X885">
        <v>8</v>
      </c>
      <c r="Y885" s="1" t="s">
        <v>48</v>
      </c>
      <c r="Z885" s="1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8">
      <c r="A886" s="1" t="s">
        <v>951</v>
      </c>
      <c r="B886">
        <v>38</v>
      </c>
      <c r="C886" s="1" t="s">
        <v>802</v>
      </c>
      <c r="D886" s="1" t="s">
        <v>49</v>
      </c>
      <c r="E886" s="1" t="s">
        <v>56</v>
      </c>
      <c r="F886">
        <v>1186</v>
      </c>
      <c r="G886" s="1" t="s">
        <v>42</v>
      </c>
      <c r="H886">
        <v>3</v>
      </c>
      <c r="I886">
        <v>4</v>
      </c>
      <c r="J886" s="1" t="s">
        <v>73</v>
      </c>
      <c r="K886">
        <v>1</v>
      </c>
      <c r="L886">
        <v>1060</v>
      </c>
      <c r="M886">
        <v>3</v>
      </c>
      <c r="N886" s="1" t="s">
        <v>44</v>
      </c>
      <c r="O886">
        <v>44</v>
      </c>
      <c r="P886">
        <v>3</v>
      </c>
      <c r="Q886">
        <v>1</v>
      </c>
      <c r="R886" s="1" t="s">
        <v>60</v>
      </c>
      <c r="S886">
        <v>3</v>
      </c>
      <c r="T886" s="1" t="s">
        <v>105</v>
      </c>
      <c r="U886">
        <v>2821</v>
      </c>
      <c r="V886" s="1" t="s">
        <v>47</v>
      </c>
      <c r="W886">
        <v>2997</v>
      </c>
      <c r="X886">
        <v>3</v>
      </c>
      <c r="Y886" s="1" t="s">
        <v>48</v>
      </c>
      <c r="Z886" s="1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8">
      <c r="A887" s="1" t="s">
        <v>952</v>
      </c>
      <c r="B887">
        <v>38</v>
      </c>
      <c r="C887" s="1" t="s">
        <v>802</v>
      </c>
      <c r="D887" s="1" t="s">
        <v>49</v>
      </c>
      <c r="E887" s="1" t="s">
        <v>41</v>
      </c>
      <c r="F887">
        <v>330</v>
      </c>
      <c r="G887" s="1" t="s">
        <v>42</v>
      </c>
      <c r="H887">
        <v>17</v>
      </c>
      <c r="I887">
        <v>1</v>
      </c>
      <c r="J887" s="1" t="s">
        <v>43</v>
      </c>
      <c r="K887">
        <v>1</v>
      </c>
      <c r="L887">
        <v>1088</v>
      </c>
      <c r="M887">
        <v>3</v>
      </c>
      <c r="N887" s="1" t="s">
        <v>53</v>
      </c>
      <c r="O887">
        <v>65</v>
      </c>
      <c r="P887">
        <v>2</v>
      </c>
      <c r="Q887">
        <v>3</v>
      </c>
      <c r="R887" s="1" t="s">
        <v>161</v>
      </c>
      <c r="S887">
        <v>3</v>
      </c>
      <c r="T887" s="1" t="s">
        <v>105</v>
      </c>
      <c r="U887">
        <v>8823</v>
      </c>
      <c r="V887" s="1" t="s">
        <v>163</v>
      </c>
      <c r="W887">
        <v>24608</v>
      </c>
      <c r="X887">
        <v>0</v>
      </c>
      <c r="Y887" s="1" t="s">
        <v>48</v>
      </c>
      <c r="Z887" s="1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8">
      <c r="A888" s="1" t="s">
        <v>953</v>
      </c>
      <c r="B888">
        <v>38</v>
      </c>
      <c r="C888" s="1" t="s">
        <v>802</v>
      </c>
      <c r="D888" s="1" t="s">
        <v>49</v>
      </c>
      <c r="E888" s="1" t="s">
        <v>41</v>
      </c>
      <c r="F888">
        <v>770</v>
      </c>
      <c r="G888" s="1" t="s">
        <v>51</v>
      </c>
      <c r="H888">
        <v>10</v>
      </c>
      <c r="I888">
        <v>4</v>
      </c>
      <c r="J888" s="1" t="s">
        <v>57</v>
      </c>
      <c r="K888">
        <v>1</v>
      </c>
      <c r="L888">
        <v>1119</v>
      </c>
      <c r="M888">
        <v>3</v>
      </c>
      <c r="N888" s="1" t="s">
        <v>44</v>
      </c>
      <c r="O888">
        <v>73</v>
      </c>
      <c r="P888">
        <v>2</v>
      </c>
      <c r="Q888">
        <v>3</v>
      </c>
      <c r="R888" s="1" t="s">
        <v>137</v>
      </c>
      <c r="S888">
        <v>3</v>
      </c>
      <c r="T888" s="1" t="s">
        <v>102</v>
      </c>
      <c r="U888">
        <v>8740</v>
      </c>
      <c r="V888" s="1" t="s">
        <v>163</v>
      </c>
      <c r="W888">
        <v>5569</v>
      </c>
      <c r="X888">
        <v>0</v>
      </c>
      <c r="Y888" s="1" t="s">
        <v>48</v>
      </c>
      <c r="Z888" s="1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8">
      <c r="A889" s="1" t="s">
        <v>954</v>
      </c>
      <c r="B889">
        <v>38</v>
      </c>
      <c r="C889" s="1" t="s">
        <v>802</v>
      </c>
      <c r="D889" s="1" t="s">
        <v>49</v>
      </c>
      <c r="E889" s="1" t="s">
        <v>41</v>
      </c>
      <c r="F889">
        <v>130</v>
      </c>
      <c r="G889" s="1" t="s">
        <v>51</v>
      </c>
      <c r="H889">
        <v>2</v>
      </c>
      <c r="I889">
        <v>2</v>
      </c>
      <c r="J889" s="1" t="s">
        <v>57</v>
      </c>
      <c r="K889">
        <v>1</v>
      </c>
      <c r="L889">
        <v>1125</v>
      </c>
      <c r="M889">
        <v>4</v>
      </c>
      <c r="N889" s="1" t="s">
        <v>44</v>
      </c>
      <c r="O889">
        <v>32</v>
      </c>
      <c r="P889">
        <v>3</v>
      </c>
      <c r="Q889">
        <v>3</v>
      </c>
      <c r="R889" s="1" t="s">
        <v>137</v>
      </c>
      <c r="S889">
        <v>2</v>
      </c>
      <c r="T889" s="1" t="s">
        <v>46</v>
      </c>
      <c r="U889">
        <v>7351</v>
      </c>
      <c r="V889" s="1" t="s">
        <v>163</v>
      </c>
      <c r="W889">
        <v>20619</v>
      </c>
      <c r="X889">
        <v>7</v>
      </c>
      <c r="Y889" s="1" t="s">
        <v>48</v>
      </c>
      <c r="Z889" s="1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8">
      <c r="A890" s="1" t="s">
        <v>955</v>
      </c>
      <c r="B890">
        <v>38</v>
      </c>
      <c r="C890" s="1" t="s">
        <v>802</v>
      </c>
      <c r="D890" s="1" t="s">
        <v>49</v>
      </c>
      <c r="E890" s="1" t="s">
        <v>41</v>
      </c>
      <c r="F890">
        <v>433</v>
      </c>
      <c r="G890" s="1" t="s">
        <v>71</v>
      </c>
      <c r="H890">
        <v>1</v>
      </c>
      <c r="I890">
        <v>3</v>
      </c>
      <c r="J890" s="1" t="s">
        <v>71</v>
      </c>
      <c r="K890">
        <v>1</v>
      </c>
      <c r="L890">
        <v>1152</v>
      </c>
      <c r="M890">
        <v>3</v>
      </c>
      <c r="N890" s="1" t="s">
        <v>44</v>
      </c>
      <c r="O890">
        <v>37</v>
      </c>
      <c r="P890">
        <v>4</v>
      </c>
      <c r="Q890">
        <v>1</v>
      </c>
      <c r="R890" s="1" t="s">
        <v>71</v>
      </c>
      <c r="S890">
        <v>3</v>
      </c>
      <c r="T890" s="1" t="s">
        <v>105</v>
      </c>
      <c r="U890">
        <v>2844</v>
      </c>
      <c r="V890" s="1" t="s">
        <v>47</v>
      </c>
      <c r="W890">
        <v>6004</v>
      </c>
      <c r="X890">
        <v>1</v>
      </c>
      <c r="Y890" s="1" t="s">
        <v>48</v>
      </c>
      <c r="Z890" s="1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8">
      <c r="A891" s="1" t="s">
        <v>956</v>
      </c>
      <c r="B891">
        <v>38</v>
      </c>
      <c r="C891" s="1" t="s">
        <v>802</v>
      </c>
      <c r="D891" s="1" t="s">
        <v>49</v>
      </c>
      <c r="E891" s="1" t="s">
        <v>41</v>
      </c>
      <c r="F891">
        <v>1009</v>
      </c>
      <c r="G891" s="1" t="s">
        <v>51</v>
      </c>
      <c r="H891">
        <v>2</v>
      </c>
      <c r="I891">
        <v>2</v>
      </c>
      <c r="J891" s="1" t="s">
        <v>43</v>
      </c>
      <c r="K891">
        <v>1</v>
      </c>
      <c r="L891">
        <v>1355</v>
      </c>
      <c r="M891">
        <v>2</v>
      </c>
      <c r="N891" s="1" t="s">
        <v>53</v>
      </c>
      <c r="O891">
        <v>31</v>
      </c>
      <c r="P891">
        <v>3</v>
      </c>
      <c r="Q891">
        <v>2</v>
      </c>
      <c r="R891" s="1" t="s">
        <v>137</v>
      </c>
      <c r="S891">
        <v>1</v>
      </c>
      <c r="T891" s="1" t="s">
        <v>102</v>
      </c>
      <c r="U891">
        <v>6893</v>
      </c>
      <c r="V891" s="1" t="s">
        <v>163</v>
      </c>
      <c r="W891">
        <v>19461</v>
      </c>
      <c r="X891">
        <v>3</v>
      </c>
      <c r="Y891" s="1" t="s">
        <v>48</v>
      </c>
      <c r="Z891" s="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8">
      <c r="A892" s="1" t="s">
        <v>957</v>
      </c>
      <c r="B892">
        <v>38</v>
      </c>
      <c r="C892" s="1" t="s">
        <v>802</v>
      </c>
      <c r="D892" s="1" t="s">
        <v>49</v>
      </c>
      <c r="E892" s="1" t="s">
        <v>56</v>
      </c>
      <c r="F892">
        <v>693</v>
      </c>
      <c r="G892" s="1" t="s">
        <v>42</v>
      </c>
      <c r="H892">
        <v>7</v>
      </c>
      <c r="I892">
        <v>3</v>
      </c>
      <c r="J892" s="1" t="s">
        <v>43</v>
      </c>
      <c r="K892">
        <v>1</v>
      </c>
      <c r="L892">
        <v>1382</v>
      </c>
      <c r="M892">
        <v>4</v>
      </c>
      <c r="N892" s="1" t="s">
        <v>44</v>
      </c>
      <c r="O892">
        <v>57</v>
      </c>
      <c r="P892">
        <v>4</v>
      </c>
      <c r="Q892">
        <v>1</v>
      </c>
      <c r="R892" s="1" t="s">
        <v>60</v>
      </c>
      <c r="S892">
        <v>3</v>
      </c>
      <c r="T892" s="1" t="s">
        <v>102</v>
      </c>
      <c r="U892">
        <v>2610</v>
      </c>
      <c r="V892" s="1" t="s">
        <v>47</v>
      </c>
      <c r="W892">
        <v>15748</v>
      </c>
      <c r="X892">
        <v>1</v>
      </c>
      <c r="Y892" s="1" t="s">
        <v>48</v>
      </c>
      <c r="Z892" s="1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8">
      <c r="A893" s="1" t="s">
        <v>958</v>
      </c>
      <c r="B893">
        <v>38</v>
      </c>
      <c r="C893" s="1" t="s">
        <v>802</v>
      </c>
      <c r="D893" s="1" t="s">
        <v>49</v>
      </c>
      <c r="E893" s="1" t="s">
        <v>56</v>
      </c>
      <c r="F893">
        <v>888</v>
      </c>
      <c r="G893" s="1" t="s">
        <v>71</v>
      </c>
      <c r="H893">
        <v>10</v>
      </c>
      <c r="I893">
        <v>4</v>
      </c>
      <c r="J893" s="1" t="s">
        <v>71</v>
      </c>
      <c r="K893">
        <v>1</v>
      </c>
      <c r="L893">
        <v>1563</v>
      </c>
      <c r="M893">
        <v>3</v>
      </c>
      <c r="N893" s="1" t="s">
        <v>44</v>
      </c>
      <c r="O893">
        <v>71</v>
      </c>
      <c r="P893">
        <v>3</v>
      </c>
      <c r="Q893">
        <v>2</v>
      </c>
      <c r="R893" s="1" t="s">
        <v>71</v>
      </c>
      <c r="S893">
        <v>3</v>
      </c>
      <c r="T893" s="1" t="s">
        <v>105</v>
      </c>
      <c r="U893">
        <v>6077</v>
      </c>
      <c r="V893" s="1" t="s">
        <v>163</v>
      </c>
      <c r="W893">
        <v>14814</v>
      </c>
      <c r="X893">
        <v>3</v>
      </c>
      <c r="Y893" s="1" t="s">
        <v>48</v>
      </c>
      <c r="Z893" s="1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8">
      <c r="A894" s="1" t="s">
        <v>959</v>
      </c>
      <c r="B894">
        <v>38</v>
      </c>
      <c r="C894" s="1" t="s">
        <v>802</v>
      </c>
      <c r="D894" s="1" t="s">
        <v>40</v>
      </c>
      <c r="E894" s="1" t="s">
        <v>41</v>
      </c>
      <c r="F894">
        <v>903</v>
      </c>
      <c r="G894" s="1" t="s">
        <v>42</v>
      </c>
      <c r="H894">
        <v>2</v>
      </c>
      <c r="I894">
        <v>3</v>
      </c>
      <c r="J894" s="1" t="s">
        <v>52</v>
      </c>
      <c r="K894">
        <v>1</v>
      </c>
      <c r="L894">
        <v>1573</v>
      </c>
      <c r="M894">
        <v>3</v>
      </c>
      <c r="N894" s="1" t="s">
        <v>44</v>
      </c>
      <c r="O894">
        <v>81</v>
      </c>
      <c r="P894">
        <v>3</v>
      </c>
      <c r="Q894">
        <v>2</v>
      </c>
      <c r="R894" s="1" t="s">
        <v>112</v>
      </c>
      <c r="S894">
        <v>2</v>
      </c>
      <c r="T894" s="1" t="s">
        <v>105</v>
      </c>
      <c r="U894">
        <v>4855</v>
      </c>
      <c r="V894" s="1" t="s">
        <v>47</v>
      </c>
      <c r="W894">
        <v>7653</v>
      </c>
      <c r="X894">
        <v>4</v>
      </c>
      <c r="Y894" s="1" t="s">
        <v>48</v>
      </c>
      <c r="Z894" s="1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8">
      <c r="A895" s="1" t="s">
        <v>960</v>
      </c>
      <c r="B895">
        <v>38</v>
      </c>
      <c r="C895" s="1" t="s">
        <v>802</v>
      </c>
      <c r="D895" s="1" t="s">
        <v>49</v>
      </c>
      <c r="E895" s="1" t="s">
        <v>41</v>
      </c>
      <c r="F895">
        <v>1245</v>
      </c>
      <c r="G895" s="1" t="s">
        <v>51</v>
      </c>
      <c r="H895">
        <v>14</v>
      </c>
      <c r="I895">
        <v>3</v>
      </c>
      <c r="J895" s="1" t="s">
        <v>43</v>
      </c>
      <c r="K895">
        <v>1</v>
      </c>
      <c r="L895">
        <v>1582</v>
      </c>
      <c r="M895">
        <v>3</v>
      </c>
      <c r="N895" s="1" t="s">
        <v>44</v>
      </c>
      <c r="O895">
        <v>80</v>
      </c>
      <c r="P895">
        <v>3</v>
      </c>
      <c r="Q895">
        <v>2</v>
      </c>
      <c r="R895" s="1" t="s">
        <v>137</v>
      </c>
      <c r="S895">
        <v>2</v>
      </c>
      <c r="T895" s="1" t="s">
        <v>105</v>
      </c>
      <c r="U895">
        <v>9924</v>
      </c>
      <c r="V895" s="1" t="s">
        <v>163</v>
      </c>
      <c r="W895">
        <v>12355</v>
      </c>
      <c r="X895">
        <v>0</v>
      </c>
      <c r="Y895" s="1" t="s">
        <v>48</v>
      </c>
      <c r="Z895" s="1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8">
      <c r="A896" s="1" t="s">
        <v>961</v>
      </c>
      <c r="B896">
        <v>38</v>
      </c>
      <c r="C896" s="1" t="s">
        <v>802</v>
      </c>
      <c r="D896" s="1" t="s">
        <v>49</v>
      </c>
      <c r="E896" s="1" t="s">
        <v>41</v>
      </c>
      <c r="F896">
        <v>437</v>
      </c>
      <c r="G896" s="1" t="s">
        <v>51</v>
      </c>
      <c r="H896">
        <v>16</v>
      </c>
      <c r="I896">
        <v>3</v>
      </c>
      <c r="J896" s="1" t="s">
        <v>43</v>
      </c>
      <c r="K896">
        <v>1</v>
      </c>
      <c r="L896">
        <v>1583</v>
      </c>
      <c r="M896">
        <v>2</v>
      </c>
      <c r="N896" s="1" t="s">
        <v>53</v>
      </c>
      <c r="O896">
        <v>90</v>
      </c>
      <c r="P896">
        <v>3</v>
      </c>
      <c r="Q896">
        <v>2</v>
      </c>
      <c r="R896" s="1" t="s">
        <v>137</v>
      </c>
      <c r="S896">
        <v>2</v>
      </c>
      <c r="T896" s="1" t="s">
        <v>46</v>
      </c>
      <c r="U896">
        <v>4198</v>
      </c>
      <c r="V896" s="1" t="s">
        <v>47</v>
      </c>
      <c r="W896">
        <v>16379</v>
      </c>
      <c r="X896">
        <v>2</v>
      </c>
      <c r="Y896" s="1" t="s">
        <v>48</v>
      </c>
      <c r="Z896" s="1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8">
      <c r="A897" s="1" t="s">
        <v>962</v>
      </c>
      <c r="B897">
        <v>38</v>
      </c>
      <c r="C897" s="1" t="s">
        <v>802</v>
      </c>
      <c r="D897" s="1" t="s">
        <v>49</v>
      </c>
      <c r="E897" s="1" t="s">
        <v>41</v>
      </c>
      <c r="F897">
        <v>397</v>
      </c>
      <c r="G897" s="1" t="s">
        <v>42</v>
      </c>
      <c r="H897">
        <v>2</v>
      </c>
      <c r="I897">
        <v>2</v>
      </c>
      <c r="J897" s="1" t="s">
        <v>52</v>
      </c>
      <c r="K897">
        <v>1</v>
      </c>
      <c r="L897">
        <v>1638</v>
      </c>
      <c r="M897">
        <v>4</v>
      </c>
      <c r="N897" s="1" t="s">
        <v>53</v>
      </c>
      <c r="O897">
        <v>54</v>
      </c>
      <c r="P897">
        <v>2</v>
      </c>
      <c r="Q897">
        <v>3</v>
      </c>
      <c r="R897" s="1" t="s">
        <v>112</v>
      </c>
      <c r="S897">
        <v>3</v>
      </c>
      <c r="T897" s="1" t="s">
        <v>105</v>
      </c>
      <c r="U897">
        <v>7756</v>
      </c>
      <c r="V897" s="1" t="s">
        <v>163</v>
      </c>
      <c r="W897">
        <v>14199</v>
      </c>
      <c r="X897">
        <v>3</v>
      </c>
      <c r="Y897" s="1" t="s">
        <v>48</v>
      </c>
      <c r="Z897" s="1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8">
      <c r="A898" s="1" t="s">
        <v>963</v>
      </c>
      <c r="B898">
        <v>38</v>
      </c>
      <c r="C898" s="1" t="s">
        <v>802</v>
      </c>
      <c r="D898" s="1" t="s">
        <v>49</v>
      </c>
      <c r="E898" s="1" t="s">
        <v>56</v>
      </c>
      <c r="F898">
        <v>1189</v>
      </c>
      <c r="G898" s="1" t="s">
        <v>42</v>
      </c>
      <c r="H898">
        <v>1</v>
      </c>
      <c r="I898">
        <v>3</v>
      </c>
      <c r="J898" s="1" t="s">
        <v>43</v>
      </c>
      <c r="K898">
        <v>1</v>
      </c>
      <c r="L898">
        <v>1668</v>
      </c>
      <c r="M898">
        <v>4</v>
      </c>
      <c r="N898" s="1" t="s">
        <v>44</v>
      </c>
      <c r="O898">
        <v>90</v>
      </c>
      <c r="P898">
        <v>3</v>
      </c>
      <c r="Q898">
        <v>2</v>
      </c>
      <c r="R898" s="1" t="s">
        <v>60</v>
      </c>
      <c r="S898">
        <v>4</v>
      </c>
      <c r="T898" s="1" t="s">
        <v>105</v>
      </c>
      <c r="U898">
        <v>4735</v>
      </c>
      <c r="V898" s="1" t="s">
        <v>47</v>
      </c>
      <c r="W898">
        <v>9867</v>
      </c>
      <c r="X898">
        <v>7</v>
      </c>
      <c r="Y898" s="1" t="s">
        <v>48</v>
      </c>
      <c r="Z898" s="1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8">
      <c r="A899" s="1" t="s">
        <v>964</v>
      </c>
      <c r="B899">
        <v>38</v>
      </c>
      <c r="C899" s="1" t="s">
        <v>802</v>
      </c>
      <c r="D899" s="1" t="s">
        <v>49</v>
      </c>
      <c r="E899" s="1" t="s">
        <v>56</v>
      </c>
      <c r="F899">
        <v>148</v>
      </c>
      <c r="G899" s="1" t="s">
        <v>42</v>
      </c>
      <c r="H899">
        <v>2</v>
      </c>
      <c r="I899">
        <v>3</v>
      </c>
      <c r="J899" s="1" t="s">
        <v>52</v>
      </c>
      <c r="K899">
        <v>1</v>
      </c>
      <c r="L899">
        <v>1675</v>
      </c>
      <c r="M899">
        <v>4</v>
      </c>
      <c r="N899" s="1" t="s">
        <v>53</v>
      </c>
      <c r="O899">
        <v>42</v>
      </c>
      <c r="P899">
        <v>2</v>
      </c>
      <c r="Q899">
        <v>1</v>
      </c>
      <c r="R899" s="1" t="s">
        <v>45</v>
      </c>
      <c r="S899">
        <v>2</v>
      </c>
      <c r="T899" s="1" t="s">
        <v>46</v>
      </c>
      <c r="U899">
        <v>2440</v>
      </c>
      <c r="V899" s="1" t="s">
        <v>47</v>
      </c>
      <c r="W899">
        <v>23826</v>
      </c>
      <c r="X899">
        <v>1</v>
      </c>
      <c r="Y899" s="1" t="s">
        <v>48</v>
      </c>
      <c r="Z899" s="1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8">
      <c r="A900" s="1" t="s">
        <v>965</v>
      </c>
      <c r="B900">
        <v>38</v>
      </c>
      <c r="C900" s="1" t="s">
        <v>802</v>
      </c>
      <c r="D900" s="1" t="s">
        <v>49</v>
      </c>
      <c r="E900" s="1" t="s">
        <v>41</v>
      </c>
      <c r="F900">
        <v>1495</v>
      </c>
      <c r="G900" s="1" t="s">
        <v>42</v>
      </c>
      <c r="H900">
        <v>4</v>
      </c>
      <c r="I900">
        <v>2</v>
      </c>
      <c r="J900" s="1" t="s">
        <v>52</v>
      </c>
      <c r="K900">
        <v>1</v>
      </c>
      <c r="L900">
        <v>1687</v>
      </c>
      <c r="M900">
        <v>4</v>
      </c>
      <c r="N900" s="1" t="s">
        <v>53</v>
      </c>
      <c r="O900">
        <v>87</v>
      </c>
      <c r="P900">
        <v>3</v>
      </c>
      <c r="Q900">
        <v>1</v>
      </c>
      <c r="R900" s="1" t="s">
        <v>45</v>
      </c>
      <c r="S900">
        <v>3</v>
      </c>
      <c r="T900" s="1" t="s">
        <v>105</v>
      </c>
      <c r="U900">
        <v>3306</v>
      </c>
      <c r="V900" s="1" t="s">
        <v>47</v>
      </c>
      <c r="W900">
        <v>26176</v>
      </c>
      <c r="X900">
        <v>7</v>
      </c>
      <c r="Y900" s="1" t="s">
        <v>48</v>
      </c>
      <c r="Z900" s="1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8">
      <c r="A901" s="1" t="s">
        <v>966</v>
      </c>
      <c r="B901">
        <v>38</v>
      </c>
      <c r="C901" s="1" t="s">
        <v>802</v>
      </c>
      <c r="D901" s="1" t="s">
        <v>49</v>
      </c>
      <c r="E901" s="1" t="s">
        <v>56</v>
      </c>
      <c r="F901">
        <v>594</v>
      </c>
      <c r="G901" s="1" t="s">
        <v>42</v>
      </c>
      <c r="H901">
        <v>2</v>
      </c>
      <c r="I901">
        <v>2</v>
      </c>
      <c r="J901" s="1" t="s">
        <v>52</v>
      </c>
      <c r="K901">
        <v>1</v>
      </c>
      <c r="L901">
        <v>1760</v>
      </c>
      <c r="M901">
        <v>3</v>
      </c>
      <c r="N901" s="1" t="s">
        <v>53</v>
      </c>
      <c r="O901">
        <v>75</v>
      </c>
      <c r="P901">
        <v>2</v>
      </c>
      <c r="Q901">
        <v>1</v>
      </c>
      <c r="R901" s="1" t="s">
        <v>45</v>
      </c>
      <c r="S901">
        <v>2</v>
      </c>
      <c r="T901" s="1" t="s">
        <v>105</v>
      </c>
      <c r="U901">
        <v>2468</v>
      </c>
      <c r="V901" s="1" t="s">
        <v>47</v>
      </c>
      <c r="W901">
        <v>15963</v>
      </c>
      <c r="X901">
        <v>4</v>
      </c>
      <c r="Y901" s="1" t="s">
        <v>48</v>
      </c>
      <c r="Z901" s="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8">
      <c r="A902" s="1" t="s">
        <v>967</v>
      </c>
      <c r="B902">
        <v>38</v>
      </c>
      <c r="C902" s="1" t="s">
        <v>802</v>
      </c>
      <c r="D902" s="1" t="s">
        <v>49</v>
      </c>
      <c r="E902" s="1" t="s">
        <v>41</v>
      </c>
      <c r="F902">
        <v>833</v>
      </c>
      <c r="G902" s="1" t="s">
        <v>42</v>
      </c>
      <c r="H902">
        <v>18</v>
      </c>
      <c r="I902">
        <v>3</v>
      </c>
      <c r="J902" s="1" t="s">
        <v>52</v>
      </c>
      <c r="K902">
        <v>1</v>
      </c>
      <c r="L902">
        <v>1766</v>
      </c>
      <c r="M902">
        <v>2</v>
      </c>
      <c r="N902" s="1" t="s">
        <v>44</v>
      </c>
      <c r="O902">
        <v>60</v>
      </c>
      <c r="P902">
        <v>1</v>
      </c>
      <c r="Q902">
        <v>2</v>
      </c>
      <c r="R902" s="1" t="s">
        <v>161</v>
      </c>
      <c r="S902">
        <v>4</v>
      </c>
      <c r="T902" s="1" t="s">
        <v>105</v>
      </c>
      <c r="U902">
        <v>5811</v>
      </c>
      <c r="V902" s="1" t="s">
        <v>163</v>
      </c>
      <c r="W902">
        <v>24539</v>
      </c>
      <c r="X902">
        <v>3</v>
      </c>
      <c r="Y902" s="1" t="s">
        <v>48</v>
      </c>
      <c r="Z902" s="1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8">
      <c r="A903" s="1" t="s">
        <v>968</v>
      </c>
      <c r="B903">
        <v>38</v>
      </c>
      <c r="C903" s="1" t="s">
        <v>802</v>
      </c>
      <c r="D903" s="1" t="s">
        <v>49</v>
      </c>
      <c r="E903" s="1" t="s">
        <v>41</v>
      </c>
      <c r="F903">
        <v>1153</v>
      </c>
      <c r="G903" s="1" t="s">
        <v>42</v>
      </c>
      <c r="H903">
        <v>6</v>
      </c>
      <c r="I903">
        <v>2</v>
      </c>
      <c r="J903" s="1" t="s">
        <v>73</v>
      </c>
      <c r="K903">
        <v>1</v>
      </c>
      <c r="L903">
        <v>1782</v>
      </c>
      <c r="M903">
        <v>4</v>
      </c>
      <c r="N903" s="1" t="s">
        <v>53</v>
      </c>
      <c r="O903">
        <v>40</v>
      </c>
      <c r="P903">
        <v>2</v>
      </c>
      <c r="Q903">
        <v>1</v>
      </c>
      <c r="R903" s="1" t="s">
        <v>45</v>
      </c>
      <c r="S903">
        <v>3</v>
      </c>
      <c r="T903" s="1" t="s">
        <v>105</v>
      </c>
      <c r="U903">
        <v>3702</v>
      </c>
      <c r="V903" s="1" t="s">
        <v>47</v>
      </c>
      <c r="W903">
        <v>16376</v>
      </c>
      <c r="X903">
        <v>1</v>
      </c>
      <c r="Y903" s="1" t="s">
        <v>48</v>
      </c>
      <c r="Z903" s="1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8">
      <c r="A904" s="1" t="s">
        <v>969</v>
      </c>
      <c r="B904">
        <v>38</v>
      </c>
      <c r="C904" s="1" t="s">
        <v>802</v>
      </c>
      <c r="D904" s="1" t="s">
        <v>49</v>
      </c>
      <c r="E904" s="1" t="s">
        <v>59</v>
      </c>
      <c r="F904">
        <v>1336</v>
      </c>
      <c r="G904" s="1" t="s">
        <v>71</v>
      </c>
      <c r="H904">
        <v>2</v>
      </c>
      <c r="I904">
        <v>3</v>
      </c>
      <c r="J904" s="1" t="s">
        <v>71</v>
      </c>
      <c r="K904">
        <v>1</v>
      </c>
      <c r="L904">
        <v>1805</v>
      </c>
      <c r="M904">
        <v>1</v>
      </c>
      <c r="N904" s="1" t="s">
        <v>44</v>
      </c>
      <c r="O904">
        <v>100</v>
      </c>
      <c r="P904">
        <v>3</v>
      </c>
      <c r="Q904">
        <v>1</v>
      </c>
      <c r="R904" s="1" t="s">
        <v>71</v>
      </c>
      <c r="S904">
        <v>2</v>
      </c>
      <c r="T904" s="1" t="s">
        <v>102</v>
      </c>
      <c r="U904">
        <v>2592</v>
      </c>
      <c r="V904" s="1" t="s">
        <v>47</v>
      </c>
      <c r="W904">
        <v>7129</v>
      </c>
      <c r="X904">
        <v>5</v>
      </c>
      <c r="Y904" s="1" t="s">
        <v>48</v>
      </c>
      <c r="Z904" s="1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8">
      <c r="A905" s="1" t="s">
        <v>970</v>
      </c>
      <c r="B905">
        <v>38</v>
      </c>
      <c r="C905" s="1" t="s">
        <v>802</v>
      </c>
      <c r="D905" s="1" t="s">
        <v>49</v>
      </c>
      <c r="E905" s="1" t="s">
        <v>41</v>
      </c>
      <c r="F905">
        <v>723</v>
      </c>
      <c r="G905" s="1" t="s">
        <v>51</v>
      </c>
      <c r="H905">
        <v>2</v>
      </c>
      <c r="I905">
        <v>4</v>
      </c>
      <c r="J905" s="1" t="s">
        <v>57</v>
      </c>
      <c r="K905">
        <v>1</v>
      </c>
      <c r="L905">
        <v>1835</v>
      </c>
      <c r="M905">
        <v>2</v>
      </c>
      <c r="N905" s="1" t="s">
        <v>53</v>
      </c>
      <c r="O905">
        <v>77</v>
      </c>
      <c r="P905">
        <v>1</v>
      </c>
      <c r="Q905">
        <v>2</v>
      </c>
      <c r="R905" s="1" t="s">
        <v>54</v>
      </c>
      <c r="S905">
        <v>4</v>
      </c>
      <c r="T905" s="1" t="s">
        <v>105</v>
      </c>
      <c r="U905">
        <v>5405</v>
      </c>
      <c r="V905" s="1" t="s">
        <v>163</v>
      </c>
      <c r="W905">
        <v>4244</v>
      </c>
      <c r="X905">
        <v>2</v>
      </c>
      <c r="Y905" s="1" t="s">
        <v>48</v>
      </c>
      <c r="Z905" s="1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8">
      <c r="A906" s="1" t="s">
        <v>971</v>
      </c>
      <c r="B906">
        <v>38</v>
      </c>
      <c r="C906" s="1" t="s">
        <v>802</v>
      </c>
      <c r="D906" s="1" t="s">
        <v>49</v>
      </c>
      <c r="E906" s="1" t="s">
        <v>56</v>
      </c>
      <c r="F906">
        <v>1394</v>
      </c>
      <c r="G906" s="1" t="s">
        <v>42</v>
      </c>
      <c r="H906">
        <v>8</v>
      </c>
      <c r="I906">
        <v>3</v>
      </c>
      <c r="J906" s="1" t="s">
        <v>52</v>
      </c>
      <c r="K906">
        <v>1</v>
      </c>
      <c r="L906">
        <v>1937</v>
      </c>
      <c r="M906">
        <v>4</v>
      </c>
      <c r="N906" s="1" t="s">
        <v>53</v>
      </c>
      <c r="O906">
        <v>58</v>
      </c>
      <c r="P906">
        <v>2</v>
      </c>
      <c r="Q906">
        <v>2</v>
      </c>
      <c r="R906" s="1" t="s">
        <v>60</v>
      </c>
      <c r="S906">
        <v>2</v>
      </c>
      <c r="T906" s="1" t="s">
        <v>102</v>
      </c>
      <c r="U906">
        <v>2133</v>
      </c>
      <c r="V906" s="1" t="s">
        <v>47</v>
      </c>
      <c r="W906">
        <v>18115</v>
      </c>
      <c r="X906">
        <v>1</v>
      </c>
      <c r="Y906" s="1" t="s">
        <v>48</v>
      </c>
      <c r="Z906" s="1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8">
      <c r="A907" s="1" t="s">
        <v>972</v>
      </c>
      <c r="B907">
        <v>38</v>
      </c>
      <c r="C907" s="1" t="s">
        <v>802</v>
      </c>
      <c r="D907" s="1" t="s">
        <v>49</v>
      </c>
      <c r="E907" s="1" t="s">
        <v>41</v>
      </c>
      <c r="F907">
        <v>1206</v>
      </c>
      <c r="G907" s="1" t="s">
        <v>42</v>
      </c>
      <c r="H907">
        <v>9</v>
      </c>
      <c r="I907">
        <v>2</v>
      </c>
      <c r="J907" s="1" t="s">
        <v>43</v>
      </c>
      <c r="K907">
        <v>1</v>
      </c>
      <c r="L907">
        <v>1940</v>
      </c>
      <c r="M907">
        <v>2</v>
      </c>
      <c r="N907" s="1" t="s">
        <v>44</v>
      </c>
      <c r="O907">
        <v>71</v>
      </c>
      <c r="P907">
        <v>3</v>
      </c>
      <c r="Q907">
        <v>1</v>
      </c>
      <c r="R907" s="1" t="s">
        <v>60</v>
      </c>
      <c r="S907">
        <v>4</v>
      </c>
      <c r="T907" s="1" t="s">
        <v>102</v>
      </c>
      <c r="U907">
        <v>4771</v>
      </c>
      <c r="V907" s="1" t="s">
        <v>47</v>
      </c>
      <c r="W907">
        <v>14293</v>
      </c>
      <c r="X907">
        <v>2</v>
      </c>
      <c r="Y907" s="1" t="s">
        <v>48</v>
      </c>
      <c r="Z907" s="1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8">
      <c r="A908" s="1" t="s">
        <v>973</v>
      </c>
      <c r="B908">
        <v>38</v>
      </c>
      <c r="C908" s="1" t="s">
        <v>802</v>
      </c>
      <c r="D908" s="1" t="s">
        <v>49</v>
      </c>
      <c r="E908" s="1" t="s">
        <v>41</v>
      </c>
      <c r="F908">
        <v>1404</v>
      </c>
      <c r="G908" s="1" t="s">
        <v>51</v>
      </c>
      <c r="H908">
        <v>1</v>
      </c>
      <c r="I908">
        <v>3</v>
      </c>
      <c r="J908" s="1" t="s">
        <v>43</v>
      </c>
      <c r="K908">
        <v>1</v>
      </c>
      <c r="L908">
        <v>1961</v>
      </c>
      <c r="M908">
        <v>1</v>
      </c>
      <c r="N908" s="1" t="s">
        <v>44</v>
      </c>
      <c r="O908">
        <v>59</v>
      </c>
      <c r="P908">
        <v>2</v>
      </c>
      <c r="Q908">
        <v>1</v>
      </c>
      <c r="R908" s="1" t="s">
        <v>54</v>
      </c>
      <c r="S908">
        <v>1</v>
      </c>
      <c r="T908" s="1" t="s">
        <v>46</v>
      </c>
      <c r="U908">
        <v>2858</v>
      </c>
      <c r="V908" s="1" t="s">
        <v>47</v>
      </c>
      <c r="W908">
        <v>11473</v>
      </c>
      <c r="X908">
        <v>4</v>
      </c>
      <c r="Y908" s="1" t="s">
        <v>48</v>
      </c>
      <c r="Z908" s="1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8">
      <c r="A909" s="1" t="s">
        <v>974</v>
      </c>
      <c r="B909">
        <v>38</v>
      </c>
      <c r="C909" s="1" t="s">
        <v>802</v>
      </c>
      <c r="D909" s="1" t="s">
        <v>49</v>
      </c>
      <c r="E909" s="1" t="s">
        <v>56</v>
      </c>
      <c r="F909">
        <v>1444</v>
      </c>
      <c r="G909" s="1" t="s">
        <v>71</v>
      </c>
      <c r="H909">
        <v>1</v>
      </c>
      <c r="I909">
        <v>4</v>
      </c>
      <c r="J909" s="1" t="s">
        <v>73</v>
      </c>
      <c r="K909">
        <v>1</v>
      </c>
      <c r="L909">
        <v>1972</v>
      </c>
      <c r="M909">
        <v>4</v>
      </c>
      <c r="N909" s="1" t="s">
        <v>44</v>
      </c>
      <c r="O909">
        <v>88</v>
      </c>
      <c r="P909">
        <v>3</v>
      </c>
      <c r="Q909">
        <v>1</v>
      </c>
      <c r="R909" s="1" t="s">
        <v>71</v>
      </c>
      <c r="S909">
        <v>2</v>
      </c>
      <c r="T909" s="1" t="s">
        <v>105</v>
      </c>
      <c r="U909">
        <v>2991</v>
      </c>
      <c r="V909" s="1" t="s">
        <v>47</v>
      </c>
      <c r="W909">
        <v>5224</v>
      </c>
      <c r="X909">
        <v>0</v>
      </c>
      <c r="Y909" s="1" t="s">
        <v>48</v>
      </c>
      <c r="Z909" s="1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8">
      <c r="A910" s="1" t="s">
        <v>975</v>
      </c>
      <c r="B910">
        <v>38</v>
      </c>
      <c r="C910" s="1" t="s">
        <v>802</v>
      </c>
      <c r="D910" s="1" t="s">
        <v>49</v>
      </c>
      <c r="E910" s="1" t="s">
        <v>41</v>
      </c>
      <c r="F910">
        <v>1321</v>
      </c>
      <c r="G910" s="1" t="s">
        <v>51</v>
      </c>
      <c r="H910">
        <v>1</v>
      </c>
      <c r="I910">
        <v>4</v>
      </c>
      <c r="J910" s="1" t="s">
        <v>43</v>
      </c>
      <c r="K910">
        <v>1</v>
      </c>
      <c r="L910">
        <v>1995</v>
      </c>
      <c r="M910">
        <v>4</v>
      </c>
      <c r="N910" s="1" t="s">
        <v>44</v>
      </c>
      <c r="O910">
        <v>86</v>
      </c>
      <c r="P910">
        <v>3</v>
      </c>
      <c r="Q910">
        <v>2</v>
      </c>
      <c r="R910" s="1" t="s">
        <v>137</v>
      </c>
      <c r="S910">
        <v>2</v>
      </c>
      <c r="T910" s="1" t="s">
        <v>105</v>
      </c>
      <c r="U910">
        <v>4440</v>
      </c>
      <c r="V910" s="1" t="s">
        <v>47</v>
      </c>
      <c r="W910">
        <v>7636</v>
      </c>
      <c r="X910">
        <v>0</v>
      </c>
      <c r="Y910" s="1" t="s">
        <v>48</v>
      </c>
      <c r="Z910" s="1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8">
      <c r="A911" s="1" t="s">
        <v>976</v>
      </c>
      <c r="B911">
        <v>38</v>
      </c>
      <c r="C911" s="1" t="s">
        <v>802</v>
      </c>
      <c r="D911" s="1" t="s">
        <v>49</v>
      </c>
      <c r="E911" s="1" t="s">
        <v>56</v>
      </c>
      <c r="F911">
        <v>508</v>
      </c>
      <c r="G911" s="1" t="s">
        <v>42</v>
      </c>
      <c r="H911">
        <v>6</v>
      </c>
      <c r="I911">
        <v>4</v>
      </c>
      <c r="J911" s="1" t="s">
        <v>43</v>
      </c>
      <c r="K911">
        <v>1</v>
      </c>
      <c r="L911">
        <v>1997</v>
      </c>
      <c r="M911">
        <v>1</v>
      </c>
      <c r="N911" s="1" t="s">
        <v>44</v>
      </c>
      <c r="O911">
        <v>72</v>
      </c>
      <c r="P911">
        <v>2</v>
      </c>
      <c r="Q911">
        <v>2</v>
      </c>
      <c r="R911" s="1" t="s">
        <v>112</v>
      </c>
      <c r="S911">
        <v>3</v>
      </c>
      <c r="T911" s="1" t="s">
        <v>105</v>
      </c>
      <c r="U911">
        <v>5321</v>
      </c>
      <c r="V911" s="1" t="s">
        <v>163</v>
      </c>
      <c r="W911">
        <v>14284</v>
      </c>
      <c r="X911">
        <v>2</v>
      </c>
      <c r="Y911" s="1" t="s">
        <v>48</v>
      </c>
      <c r="Z911" s="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8">
      <c r="A912" s="1" t="s">
        <v>977</v>
      </c>
      <c r="B912">
        <v>38</v>
      </c>
      <c r="C912" s="1" t="s">
        <v>802</v>
      </c>
      <c r="D912" s="1" t="s">
        <v>49</v>
      </c>
      <c r="E912" s="1" t="s">
        <v>41</v>
      </c>
      <c r="F912">
        <v>201</v>
      </c>
      <c r="G912" s="1" t="s">
        <v>42</v>
      </c>
      <c r="H912">
        <v>10</v>
      </c>
      <c r="I912">
        <v>3</v>
      </c>
      <c r="J912" s="1" t="s">
        <v>52</v>
      </c>
      <c r="K912">
        <v>1</v>
      </c>
      <c r="L912">
        <v>2015</v>
      </c>
      <c r="M912">
        <v>2</v>
      </c>
      <c r="N912" s="1" t="s">
        <v>53</v>
      </c>
      <c r="O912">
        <v>99</v>
      </c>
      <c r="P912">
        <v>1</v>
      </c>
      <c r="Q912">
        <v>3</v>
      </c>
      <c r="R912" s="1" t="s">
        <v>252</v>
      </c>
      <c r="S912">
        <v>3</v>
      </c>
      <c r="T912" s="1" t="s">
        <v>105</v>
      </c>
      <c r="U912">
        <v>13206</v>
      </c>
      <c r="V912" s="1" t="s">
        <v>253</v>
      </c>
      <c r="W912">
        <v>3376</v>
      </c>
      <c r="X912">
        <v>3</v>
      </c>
      <c r="Y912" s="1" t="s">
        <v>48</v>
      </c>
      <c r="Z912" s="1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8">
      <c r="A913" s="1" t="s">
        <v>978</v>
      </c>
      <c r="B913">
        <v>38</v>
      </c>
      <c r="C913" s="1" t="s">
        <v>802</v>
      </c>
      <c r="D913" s="1" t="s">
        <v>49</v>
      </c>
      <c r="E913" s="1" t="s">
        <v>276</v>
      </c>
      <c r="F913">
        <v>345</v>
      </c>
      <c r="G913" s="1" t="s">
        <v>51</v>
      </c>
      <c r="H913">
        <v>10</v>
      </c>
      <c r="I913">
        <v>2</v>
      </c>
      <c r="J913" s="1" t="s">
        <v>43</v>
      </c>
      <c r="K913">
        <v>1</v>
      </c>
      <c r="L913">
        <v>2041</v>
      </c>
      <c r="M913">
        <v>1</v>
      </c>
      <c r="N913" s="1" t="s">
        <v>53</v>
      </c>
      <c r="O913">
        <v>100</v>
      </c>
      <c r="P913">
        <v>3</v>
      </c>
      <c r="Q913">
        <v>2</v>
      </c>
      <c r="R913" s="1" t="s">
        <v>137</v>
      </c>
      <c r="S913">
        <v>4</v>
      </c>
      <c r="T913" s="1" t="s">
        <v>105</v>
      </c>
      <c r="U913">
        <v>5343</v>
      </c>
      <c r="V913" s="1" t="s">
        <v>163</v>
      </c>
      <c r="W913">
        <v>5982</v>
      </c>
      <c r="X913">
        <v>1</v>
      </c>
      <c r="Y913" s="1" t="s">
        <v>48</v>
      </c>
      <c r="Z913" s="1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8">
      <c r="A914" s="1" t="s">
        <v>979</v>
      </c>
      <c r="B914">
        <v>39</v>
      </c>
      <c r="C914" s="1" t="s">
        <v>802</v>
      </c>
      <c r="D914" s="1" t="s">
        <v>40</v>
      </c>
      <c r="E914" s="1" t="s">
        <v>41</v>
      </c>
      <c r="F914">
        <v>895</v>
      </c>
      <c r="G914" s="1" t="s">
        <v>51</v>
      </c>
      <c r="H914">
        <v>5</v>
      </c>
      <c r="I914">
        <v>3</v>
      </c>
      <c r="J914" s="1" t="s">
        <v>68</v>
      </c>
      <c r="K914">
        <v>1</v>
      </c>
      <c r="L914">
        <v>42</v>
      </c>
      <c r="M914">
        <v>4</v>
      </c>
      <c r="N914" s="1" t="s">
        <v>44</v>
      </c>
      <c r="O914">
        <v>56</v>
      </c>
      <c r="P914">
        <v>3</v>
      </c>
      <c r="Q914">
        <v>2</v>
      </c>
      <c r="R914" s="1" t="s">
        <v>54</v>
      </c>
      <c r="S914">
        <v>4</v>
      </c>
      <c r="T914" s="1" t="s">
        <v>105</v>
      </c>
      <c r="U914">
        <v>2086</v>
      </c>
      <c r="V914" s="1" t="s">
        <v>47</v>
      </c>
      <c r="W914">
        <v>3335</v>
      </c>
      <c r="X914">
        <v>3</v>
      </c>
      <c r="Y914" s="1" t="s">
        <v>48</v>
      </c>
      <c r="Z914" s="1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8">
      <c r="A915" s="1" t="s">
        <v>980</v>
      </c>
      <c r="B915">
        <v>39</v>
      </c>
      <c r="C915" s="1" t="s">
        <v>802</v>
      </c>
      <c r="D915" s="1" t="s">
        <v>49</v>
      </c>
      <c r="E915" s="1" t="s">
        <v>41</v>
      </c>
      <c r="F915">
        <v>1329</v>
      </c>
      <c r="G915" s="1" t="s">
        <v>51</v>
      </c>
      <c r="H915">
        <v>4</v>
      </c>
      <c r="I915">
        <v>4</v>
      </c>
      <c r="J915" s="1" t="s">
        <v>43</v>
      </c>
      <c r="K915">
        <v>1</v>
      </c>
      <c r="L915">
        <v>182</v>
      </c>
      <c r="M915">
        <v>4</v>
      </c>
      <c r="N915" s="1" t="s">
        <v>53</v>
      </c>
      <c r="O915">
        <v>47</v>
      </c>
      <c r="P915">
        <v>2</v>
      </c>
      <c r="Q915">
        <v>2</v>
      </c>
      <c r="R915" s="1" t="s">
        <v>137</v>
      </c>
      <c r="S915">
        <v>3</v>
      </c>
      <c r="T915" s="1" t="s">
        <v>105</v>
      </c>
      <c r="U915">
        <v>5902</v>
      </c>
      <c r="V915" s="1" t="s">
        <v>163</v>
      </c>
      <c r="W915">
        <v>14590</v>
      </c>
      <c r="X915">
        <v>4</v>
      </c>
      <c r="Y915" s="1" t="s">
        <v>48</v>
      </c>
      <c r="Z915" s="1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8">
      <c r="A916" s="1" t="s">
        <v>981</v>
      </c>
      <c r="B916">
        <v>39</v>
      </c>
      <c r="C916" s="1" t="s">
        <v>802</v>
      </c>
      <c r="D916" s="1" t="s">
        <v>49</v>
      </c>
      <c r="E916" s="1" t="s">
        <v>41</v>
      </c>
      <c r="F916">
        <v>1431</v>
      </c>
      <c r="G916" s="1" t="s">
        <v>42</v>
      </c>
      <c r="H916">
        <v>1</v>
      </c>
      <c r="I916">
        <v>4</v>
      </c>
      <c r="J916" s="1" t="s">
        <v>52</v>
      </c>
      <c r="K916">
        <v>1</v>
      </c>
      <c r="L916">
        <v>332</v>
      </c>
      <c r="M916">
        <v>3</v>
      </c>
      <c r="N916" s="1" t="s">
        <v>53</v>
      </c>
      <c r="O916">
        <v>96</v>
      </c>
      <c r="P916">
        <v>3</v>
      </c>
      <c r="Q916">
        <v>1</v>
      </c>
      <c r="R916" s="1" t="s">
        <v>45</v>
      </c>
      <c r="S916">
        <v>3</v>
      </c>
      <c r="T916" s="1" t="s">
        <v>102</v>
      </c>
      <c r="U916">
        <v>2232</v>
      </c>
      <c r="V916" s="1" t="s">
        <v>47</v>
      </c>
      <c r="W916">
        <v>15417</v>
      </c>
      <c r="X916">
        <v>7</v>
      </c>
      <c r="Y916" s="1" t="s">
        <v>48</v>
      </c>
      <c r="Z916" s="1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8">
      <c r="A917" s="1" t="s">
        <v>982</v>
      </c>
      <c r="B917">
        <v>39</v>
      </c>
      <c r="C917" s="1" t="s">
        <v>802</v>
      </c>
      <c r="D917" s="1" t="s">
        <v>49</v>
      </c>
      <c r="E917" s="1" t="s">
        <v>56</v>
      </c>
      <c r="F917">
        <v>505</v>
      </c>
      <c r="G917" s="1" t="s">
        <v>42</v>
      </c>
      <c r="H917">
        <v>2</v>
      </c>
      <c r="I917">
        <v>4</v>
      </c>
      <c r="J917" s="1" t="s">
        <v>68</v>
      </c>
      <c r="K917">
        <v>1</v>
      </c>
      <c r="L917">
        <v>343</v>
      </c>
      <c r="M917">
        <v>3</v>
      </c>
      <c r="N917" s="1" t="s">
        <v>53</v>
      </c>
      <c r="O917">
        <v>64</v>
      </c>
      <c r="P917">
        <v>3</v>
      </c>
      <c r="Q917">
        <v>3</v>
      </c>
      <c r="R917" s="1" t="s">
        <v>161</v>
      </c>
      <c r="S917">
        <v>3</v>
      </c>
      <c r="T917" s="1" t="s">
        <v>46</v>
      </c>
      <c r="U917">
        <v>10938</v>
      </c>
      <c r="V917" s="1" t="s">
        <v>253</v>
      </c>
      <c r="W917">
        <v>6420</v>
      </c>
      <c r="X917">
        <v>0</v>
      </c>
      <c r="Y917" s="1" t="s">
        <v>48</v>
      </c>
      <c r="Z917" s="1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8">
      <c r="A918" s="1" t="s">
        <v>983</v>
      </c>
      <c r="B918">
        <v>39</v>
      </c>
      <c r="C918" s="1" t="s">
        <v>802</v>
      </c>
      <c r="D918" s="1" t="s">
        <v>49</v>
      </c>
      <c r="E918" s="1" t="s">
        <v>41</v>
      </c>
      <c r="F918">
        <v>1132</v>
      </c>
      <c r="G918" s="1" t="s">
        <v>42</v>
      </c>
      <c r="H918">
        <v>1</v>
      </c>
      <c r="I918">
        <v>3</v>
      </c>
      <c r="J918" s="1" t="s">
        <v>52</v>
      </c>
      <c r="K918">
        <v>1</v>
      </c>
      <c r="L918">
        <v>417</v>
      </c>
      <c r="M918">
        <v>3</v>
      </c>
      <c r="N918" s="1" t="s">
        <v>44</v>
      </c>
      <c r="O918">
        <v>48</v>
      </c>
      <c r="P918">
        <v>4</v>
      </c>
      <c r="Q918">
        <v>3</v>
      </c>
      <c r="R918" s="1" t="s">
        <v>161</v>
      </c>
      <c r="S918">
        <v>4</v>
      </c>
      <c r="T918" s="1" t="s">
        <v>102</v>
      </c>
      <c r="U918">
        <v>9613</v>
      </c>
      <c r="V918" s="1" t="s">
        <v>163</v>
      </c>
      <c r="W918">
        <v>10942</v>
      </c>
      <c r="X918">
        <v>0</v>
      </c>
      <c r="Y918" s="1" t="s">
        <v>48</v>
      </c>
      <c r="Z918" s="1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8">
      <c r="A919" s="1" t="s">
        <v>984</v>
      </c>
      <c r="B919">
        <v>39</v>
      </c>
      <c r="C919" s="1" t="s">
        <v>802</v>
      </c>
      <c r="D919" s="1" t="s">
        <v>49</v>
      </c>
      <c r="E919" s="1" t="s">
        <v>41</v>
      </c>
      <c r="F919">
        <v>117</v>
      </c>
      <c r="G919" s="1" t="s">
        <v>42</v>
      </c>
      <c r="H919">
        <v>10</v>
      </c>
      <c r="I919">
        <v>1</v>
      </c>
      <c r="J919" s="1" t="s">
        <v>52</v>
      </c>
      <c r="K919">
        <v>1</v>
      </c>
      <c r="L919">
        <v>429</v>
      </c>
      <c r="M919">
        <v>3</v>
      </c>
      <c r="N919" s="1" t="s">
        <v>44</v>
      </c>
      <c r="O919">
        <v>99</v>
      </c>
      <c r="P919">
        <v>3</v>
      </c>
      <c r="Q919">
        <v>4</v>
      </c>
      <c r="R919" s="1" t="s">
        <v>442</v>
      </c>
      <c r="S919">
        <v>1</v>
      </c>
      <c r="T919" s="1" t="s">
        <v>105</v>
      </c>
      <c r="U919">
        <v>17068</v>
      </c>
      <c r="V919" s="1" t="s">
        <v>368</v>
      </c>
      <c r="W919">
        <v>5355</v>
      </c>
      <c r="X919">
        <v>1</v>
      </c>
      <c r="Y919" s="1" t="s">
        <v>48</v>
      </c>
      <c r="Z919" s="1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8">
      <c r="A920" s="1" t="s">
        <v>985</v>
      </c>
      <c r="B920">
        <v>39</v>
      </c>
      <c r="C920" s="1" t="s">
        <v>802</v>
      </c>
      <c r="D920" s="1" t="s">
        <v>49</v>
      </c>
      <c r="E920" s="1" t="s">
        <v>56</v>
      </c>
      <c r="F920">
        <v>672</v>
      </c>
      <c r="G920" s="1" t="s">
        <v>42</v>
      </c>
      <c r="H920">
        <v>7</v>
      </c>
      <c r="I920">
        <v>2</v>
      </c>
      <c r="J920" s="1" t="s">
        <v>52</v>
      </c>
      <c r="K920">
        <v>1</v>
      </c>
      <c r="L920">
        <v>444</v>
      </c>
      <c r="M920">
        <v>3</v>
      </c>
      <c r="N920" s="1" t="s">
        <v>44</v>
      </c>
      <c r="O920">
        <v>54</v>
      </c>
      <c r="P920">
        <v>2</v>
      </c>
      <c r="Q920">
        <v>5</v>
      </c>
      <c r="R920" s="1" t="s">
        <v>442</v>
      </c>
      <c r="S920">
        <v>4</v>
      </c>
      <c r="T920" s="1" t="s">
        <v>105</v>
      </c>
      <c r="U920">
        <v>19272</v>
      </c>
      <c r="V920" s="1" t="s">
        <v>368</v>
      </c>
      <c r="W920">
        <v>21141</v>
      </c>
      <c r="X920">
        <v>1</v>
      </c>
      <c r="Y920" s="1" t="s">
        <v>48</v>
      </c>
      <c r="Z920" s="1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8">
      <c r="A921" s="1" t="s">
        <v>986</v>
      </c>
      <c r="B921">
        <v>39</v>
      </c>
      <c r="C921" s="1" t="s">
        <v>802</v>
      </c>
      <c r="D921" s="1" t="s">
        <v>40</v>
      </c>
      <c r="E921" s="1" t="s">
        <v>41</v>
      </c>
      <c r="F921">
        <v>1162</v>
      </c>
      <c r="G921" s="1" t="s">
        <v>51</v>
      </c>
      <c r="H921">
        <v>3</v>
      </c>
      <c r="I921">
        <v>2</v>
      </c>
      <c r="J921" s="1" t="s">
        <v>52</v>
      </c>
      <c r="K921">
        <v>1</v>
      </c>
      <c r="L921">
        <v>445</v>
      </c>
      <c r="M921">
        <v>4</v>
      </c>
      <c r="N921" s="1" t="s">
        <v>53</v>
      </c>
      <c r="O921">
        <v>41</v>
      </c>
      <c r="P921">
        <v>3</v>
      </c>
      <c r="Q921">
        <v>2</v>
      </c>
      <c r="R921" s="1" t="s">
        <v>137</v>
      </c>
      <c r="S921">
        <v>3</v>
      </c>
      <c r="T921" s="1" t="s">
        <v>105</v>
      </c>
      <c r="U921">
        <v>5238</v>
      </c>
      <c r="V921" s="1" t="s">
        <v>163</v>
      </c>
      <c r="W921">
        <v>17778</v>
      </c>
      <c r="X921">
        <v>4</v>
      </c>
      <c r="Y921" s="1" t="s">
        <v>48</v>
      </c>
      <c r="Z921" s="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8">
      <c r="A922" s="1" t="s">
        <v>987</v>
      </c>
      <c r="B922">
        <v>39</v>
      </c>
      <c r="C922" s="1" t="s">
        <v>802</v>
      </c>
      <c r="D922" s="1" t="s">
        <v>49</v>
      </c>
      <c r="E922" s="1" t="s">
        <v>56</v>
      </c>
      <c r="F922">
        <v>1218</v>
      </c>
      <c r="G922" s="1" t="s">
        <v>42</v>
      </c>
      <c r="H922">
        <v>1</v>
      </c>
      <c r="I922">
        <v>1</v>
      </c>
      <c r="J922" s="1" t="s">
        <v>43</v>
      </c>
      <c r="K922">
        <v>1</v>
      </c>
      <c r="L922">
        <v>531</v>
      </c>
      <c r="M922">
        <v>2</v>
      </c>
      <c r="N922" s="1" t="s">
        <v>44</v>
      </c>
      <c r="O922">
        <v>52</v>
      </c>
      <c r="P922">
        <v>3</v>
      </c>
      <c r="Q922">
        <v>5</v>
      </c>
      <c r="R922" s="1" t="s">
        <v>442</v>
      </c>
      <c r="S922">
        <v>3</v>
      </c>
      <c r="T922" s="1" t="s">
        <v>102</v>
      </c>
      <c r="U922">
        <v>19197</v>
      </c>
      <c r="V922" s="1" t="s">
        <v>368</v>
      </c>
      <c r="W922">
        <v>8213</v>
      </c>
      <c r="X922">
        <v>1</v>
      </c>
      <c r="Y922" s="1" t="s">
        <v>48</v>
      </c>
      <c r="Z922" s="1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8">
      <c r="A923" s="1" t="s">
        <v>988</v>
      </c>
      <c r="B923">
        <v>39</v>
      </c>
      <c r="C923" s="1" t="s">
        <v>802</v>
      </c>
      <c r="D923" s="1" t="s">
        <v>49</v>
      </c>
      <c r="E923" s="1" t="s">
        <v>56</v>
      </c>
      <c r="F923">
        <v>443</v>
      </c>
      <c r="G923" s="1" t="s">
        <v>42</v>
      </c>
      <c r="H923">
        <v>8</v>
      </c>
      <c r="I923">
        <v>1</v>
      </c>
      <c r="J923" s="1" t="s">
        <v>43</v>
      </c>
      <c r="K923">
        <v>1</v>
      </c>
      <c r="L923">
        <v>602</v>
      </c>
      <c r="M923">
        <v>3</v>
      </c>
      <c r="N923" s="1" t="s">
        <v>53</v>
      </c>
      <c r="O923">
        <v>48</v>
      </c>
      <c r="P923">
        <v>3</v>
      </c>
      <c r="Q923">
        <v>1</v>
      </c>
      <c r="R923" s="1" t="s">
        <v>45</v>
      </c>
      <c r="S923">
        <v>3</v>
      </c>
      <c r="T923" s="1" t="s">
        <v>105</v>
      </c>
      <c r="U923">
        <v>3755</v>
      </c>
      <c r="V923" s="1" t="s">
        <v>47</v>
      </c>
      <c r="W923">
        <v>17872</v>
      </c>
      <c r="X923">
        <v>1</v>
      </c>
      <c r="Y923" s="1" t="s">
        <v>48</v>
      </c>
      <c r="Z923" s="1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8">
      <c r="A924" s="1" t="s">
        <v>989</v>
      </c>
      <c r="B924">
        <v>39</v>
      </c>
      <c r="C924" s="1" t="s">
        <v>802</v>
      </c>
      <c r="D924" s="1" t="s">
        <v>49</v>
      </c>
      <c r="E924" s="1" t="s">
        <v>41</v>
      </c>
      <c r="F924">
        <v>408</v>
      </c>
      <c r="G924" s="1" t="s">
        <v>42</v>
      </c>
      <c r="H924">
        <v>2</v>
      </c>
      <c r="I924">
        <v>4</v>
      </c>
      <c r="J924" s="1" t="s">
        <v>68</v>
      </c>
      <c r="K924">
        <v>1</v>
      </c>
      <c r="L924">
        <v>721</v>
      </c>
      <c r="M924">
        <v>4</v>
      </c>
      <c r="N924" s="1" t="s">
        <v>53</v>
      </c>
      <c r="O924">
        <v>80</v>
      </c>
      <c r="P924">
        <v>2</v>
      </c>
      <c r="Q924">
        <v>2</v>
      </c>
      <c r="R924" s="1" t="s">
        <v>161</v>
      </c>
      <c r="S924">
        <v>3</v>
      </c>
      <c r="T924" s="1" t="s">
        <v>46</v>
      </c>
      <c r="U924">
        <v>4553</v>
      </c>
      <c r="V924" s="1" t="s">
        <v>47</v>
      </c>
      <c r="W924">
        <v>20978</v>
      </c>
      <c r="X924">
        <v>1</v>
      </c>
      <c r="Y924" s="1" t="s">
        <v>48</v>
      </c>
      <c r="Z924" s="1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8">
      <c r="A925" s="1" t="s">
        <v>990</v>
      </c>
      <c r="B925">
        <v>39</v>
      </c>
      <c r="C925" s="1" t="s">
        <v>802</v>
      </c>
      <c r="D925" s="1" t="s">
        <v>49</v>
      </c>
      <c r="E925" s="1" t="s">
        <v>41</v>
      </c>
      <c r="F925">
        <v>141</v>
      </c>
      <c r="G925" s="1" t="s">
        <v>71</v>
      </c>
      <c r="H925">
        <v>3</v>
      </c>
      <c r="I925">
        <v>3</v>
      </c>
      <c r="J925" s="1" t="s">
        <v>71</v>
      </c>
      <c r="K925">
        <v>1</v>
      </c>
      <c r="L925">
        <v>760</v>
      </c>
      <c r="M925">
        <v>3</v>
      </c>
      <c r="N925" s="1" t="s">
        <v>53</v>
      </c>
      <c r="O925">
        <v>44</v>
      </c>
      <c r="P925">
        <v>4</v>
      </c>
      <c r="Q925">
        <v>2</v>
      </c>
      <c r="R925" s="1" t="s">
        <v>71</v>
      </c>
      <c r="S925">
        <v>2</v>
      </c>
      <c r="T925" s="1" t="s">
        <v>105</v>
      </c>
      <c r="U925">
        <v>6389</v>
      </c>
      <c r="V925" s="1" t="s">
        <v>163</v>
      </c>
      <c r="W925">
        <v>18767</v>
      </c>
      <c r="X925">
        <v>9</v>
      </c>
      <c r="Y925" s="1" t="s">
        <v>48</v>
      </c>
      <c r="Z925" s="1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8">
      <c r="A926" s="1" t="s">
        <v>991</v>
      </c>
      <c r="B926">
        <v>39</v>
      </c>
      <c r="C926" s="1" t="s">
        <v>802</v>
      </c>
      <c r="D926" s="1" t="s">
        <v>49</v>
      </c>
      <c r="E926" s="1" t="s">
        <v>41</v>
      </c>
      <c r="F926">
        <v>1383</v>
      </c>
      <c r="G926" s="1" t="s">
        <v>71</v>
      </c>
      <c r="H926">
        <v>2</v>
      </c>
      <c r="I926">
        <v>3</v>
      </c>
      <c r="J926" s="1" t="s">
        <v>43</v>
      </c>
      <c r="K926">
        <v>1</v>
      </c>
      <c r="L926">
        <v>909</v>
      </c>
      <c r="M926">
        <v>4</v>
      </c>
      <c r="N926" s="1" t="s">
        <v>53</v>
      </c>
      <c r="O926">
        <v>42</v>
      </c>
      <c r="P926">
        <v>2</v>
      </c>
      <c r="Q926">
        <v>2</v>
      </c>
      <c r="R926" s="1" t="s">
        <v>71</v>
      </c>
      <c r="S926">
        <v>4</v>
      </c>
      <c r="T926" s="1" t="s">
        <v>105</v>
      </c>
      <c r="U926">
        <v>5204</v>
      </c>
      <c r="V926" s="1" t="s">
        <v>163</v>
      </c>
      <c r="W926">
        <v>7790</v>
      </c>
      <c r="X926">
        <v>8</v>
      </c>
      <c r="Y926" s="1" t="s">
        <v>48</v>
      </c>
      <c r="Z926" s="1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8">
      <c r="A927" s="1" t="s">
        <v>992</v>
      </c>
      <c r="B927">
        <v>39</v>
      </c>
      <c r="C927" s="1" t="s">
        <v>802</v>
      </c>
      <c r="D927" s="1" t="s">
        <v>40</v>
      </c>
      <c r="E927" s="1" t="s">
        <v>41</v>
      </c>
      <c r="F927">
        <v>1122</v>
      </c>
      <c r="G927" s="1" t="s">
        <v>42</v>
      </c>
      <c r="H927">
        <v>6</v>
      </c>
      <c r="I927">
        <v>3</v>
      </c>
      <c r="J927" s="1" t="s">
        <v>52</v>
      </c>
      <c r="K927">
        <v>1</v>
      </c>
      <c r="L927">
        <v>932</v>
      </c>
      <c r="M927">
        <v>4</v>
      </c>
      <c r="N927" s="1" t="s">
        <v>44</v>
      </c>
      <c r="O927">
        <v>70</v>
      </c>
      <c r="P927">
        <v>3</v>
      </c>
      <c r="Q927">
        <v>1</v>
      </c>
      <c r="R927" s="1" t="s">
        <v>45</v>
      </c>
      <c r="S927">
        <v>1</v>
      </c>
      <c r="T927" s="1" t="s">
        <v>105</v>
      </c>
      <c r="U927">
        <v>2404</v>
      </c>
      <c r="V927" s="1" t="s">
        <v>47</v>
      </c>
      <c r="W927">
        <v>4303</v>
      </c>
      <c r="X927">
        <v>7</v>
      </c>
      <c r="Y927" s="1" t="s">
        <v>48</v>
      </c>
      <c r="Z927" s="1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8">
      <c r="A928" s="1" t="s">
        <v>993</v>
      </c>
      <c r="B928">
        <v>39</v>
      </c>
      <c r="C928" s="1" t="s">
        <v>802</v>
      </c>
      <c r="D928" s="1" t="s">
        <v>49</v>
      </c>
      <c r="E928" s="1" t="s">
        <v>41</v>
      </c>
      <c r="F928">
        <v>903</v>
      </c>
      <c r="G928" s="1" t="s">
        <v>51</v>
      </c>
      <c r="H928">
        <v>2</v>
      </c>
      <c r="I928">
        <v>5</v>
      </c>
      <c r="J928" s="1" t="s">
        <v>43</v>
      </c>
      <c r="K928">
        <v>1</v>
      </c>
      <c r="L928">
        <v>985</v>
      </c>
      <c r="M928">
        <v>1</v>
      </c>
      <c r="N928" s="1" t="s">
        <v>44</v>
      </c>
      <c r="O928">
        <v>41</v>
      </c>
      <c r="P928">
        <v>4</v>
      </c>
      <c r="Q928">
        <v>3</v>
      </c>
      <c r="R928" s="1" t="s">
        <v>137</v>
      </c>
      <c r="S928">
        <v>3</v>
      </c>
      <c r="T928" s="1" t="s">
        <v>46</v>
      </c>
      <c r="U928">
        <v>7880</v>
      </c>
      <c r="V928" s="1" t="s">
        <v>163</v>
      </c>
      <c r="W928">
        <v>2560</v>
      </c>
      <c r="X928">
        <v>0</v>
      </c>
      <c r="Y928" s="1" t="s">
        <v>48</v>
      </c>
      <c r="Z928" s="1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8">
      <c r="A929" s="1" t="s">
        <v>994</v>
      </c>
      <c r="B929">
        <v>39</v>
      </c>
      <c r="C929" s="1" t="s">
        <v>802</v>
      </c>
      <c r="D929" s="1" t="s">
        <v>49</v>
      </c>
      <c r="E929" s="1" t="s">
        <v>41</v>
      </c>
      <c r="F929">
        <v>466</v>
      </c>
      <c r="G929" s="1" t="s">
        <v>42</v>
      </c>
      <c r="H929">
        <v>1</v>
      </c>
      <c r="I929">
        <v>1</v>
      </c>
      <c r="J929" s="1" t="s">
        <v>43</v>
      </c>
      <c r="K929">
        <v>1</v>
      </c>
      <c r="L929">
        <v>1026</v>
      </c>
      <c r="M929">
        <v>4</v>
      </c>
      <c r="N929" s="1" t="s">
        <v>53</v>
      </c>
      <c r="O929">
        <v>65</v>
      </c>
      <c r="P929">
        <v>2</v>
      </c>
      <c r="Q929">
        <v>4</v>
      </c>
      <c r="R929" s="1" t="s">
        <v>112</v>
      </c>
      <c r="S929">
        <v>4</v>
      </c>
      <c r="T929" s="1" t="s">
        <v>105</v>
      </c>
      <c r="U929">
        <v>12742</v>
      </c>
      <c r="V929" s="1" t="s">
        <v>253</v>
      </c>
      <c r="W929">
        <v>7060</v>
      </c>
      <c r="X929">
        <v>1</v>
      </c>
      <c r="Y929" s="1" t="s">
        <v>48</v>
      </c>
      <c r="Z929" s="1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8">
      <c r="A930" s="1" t="s">
        <v>995</v>
      </c>
      <c r="B930">
        <v>39</v>
      </c>
      <c r="C930" s="1" t="s">
        <v>802</v>
      </c>
      <c r="D930" s="1" t="s">
        <v>49</v>
      </c>
      <c r="E930" s="1" t="s">
        <v>56</v>
      </c>
      <c r="F930">
        <v>945</v>
      </c>
      <c r="G930" s="1" t="s">
        <v>42</v>
      </c>
      <c r="H930">
        <v>22</v>
      </c>
      <c r="I930">
        <v>3</v>
      </c>
      <c r="J930" s="1" t="s">
        <v>52</v>
      </c>
      <c r="K930">
        <v>1</v>
      </c>
      <c r="L930">
        <v>1043</v>
      </c>
      <c r="M930">
        <v>4</v>
      </c>
      <c r="N930" s="1" t="s">
        <v>53</v>
      </c>
      <c r="O930">
        <v>82</v>
      </c>
      <c r="P930">
        <v>3</v>
      </c>
      <c r="Q930">
        <v>3</v>
      </c>
      <c r="R930" s="1" t="s">
        <v>112</v>
      </c>
      <c r="S930">
        <v>1</v>
      </c>
      <c r="T930" s="1" t="s">
        <v>46</v>
      </c>
      <c r="U930">
        <v>10880</v>
      </c>
      <c r="V930" s="1" t="s">
        <v>253</v>
      </c>
      <c r="W930">
        <v>5083</v>
      </c>
      <c r="X930">
        <v>1</v>
      </c>
      <c r="Y930" s="1" t="s">
        <v>48</v>
      </c>
      <c r="Z930" s="1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8">
      <c r="A931" s="1" t="s">
        <v>996</v>
      </c>
      <c r="B931">
        <v>39</v>
      </c>
      <c r="C931" s="1" t="s">
        <v>802</v>
      </c>
      <c r="D931" s="1" t="s">
        <v>40</v>
      </c>
      <c r="E931" s="1" t="s">
        <v>56</v>
      </c>
      <c r="F931">
        <v>203</v>
      </c>
      <c r="G931" s="1" t="s">
        <v>42</v>
      </c>
      <c r="H931">
        <v>2</v>
      </c>
      <c r="I931">
        <v>3</v>
      </c>
      <c r="J931" s="1" t="s">
        <v>43</v>
      </c>
      <c r="K931">
        <v>1</v>
      </c>
      <c r="L931">
        <v>1127</v>
      </c>
      <c r="M931">
        <v>1</v>
      </c>
      <c r="N931" s="1" t="s">
        <v>44</v>
      </c>
      <c r="O931">
        <v>84</v>
      </c>
      <c r="P931">
        <v>3</v>
      </c>
      <c r="Q931">
        <v>4</v>
      </c>
      <c r="R931" s="1" t="s">
        <v>161</v>
      </c>
      <c r="S931">
        <v>4</v>
      </c>
      <c r="T931" s="1" t="s">
        <v>102</v>
      </c>
      <c r="U931">
        <v>12169</v>
      </c>
      <c r="V931" s="1" t="s">
        <v>253</v>
      </c>
      <c r="W931">
        <v>13547</v>
      </c>
      <c r="X931">
        <v>7</v>
      </c>
      <c r="Y931" s="1" t="s">
        <v>48</v>
      </c>
      <c r="Z931" s="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8">
      <c r="A932" s="1" t="s">
        <v>997</v>
      </c>
      <c r="B932">
        <v>39</v>
      </c>
      <c r="C932" s="1" t="s">
        <v>802</v>
      </c>
      <c r="D932" s="1" t="s">
        <v>49</v>
      </c>
      <c r="E932" s="1" t="s">
        <v>59</v>
      </c>
      <c r="F932">
        <v>439</v>
      </c>
      <c r="G932" s="1" t="s">
        <v>42</v>
      </c>
      <c r="H932">
        <v>9</v>
      </c>
      <c r="I932">
        <v>3</v>
      </c>
      <c r="J932" s="1" t="s">
        <v>43</v>
      </c>
      <c r="K932">
        <v>1</v>
      </c>
      <c r="L932">
        <v>1132</v>
      </c>
      <c r="M932">
        <v>3</v>
      </c>
      <c r="N932" s="1" t="s">
        <v>44</v>
      </c>
      <c r="O932">
        <v>70</v>
      </c>
      <c r="P932">
        <v>3</v>
      </c>
      <c r="Q932">
        <v>2</v>
      </c>
      <c r="R932" s="1" t="s">
        <v>45</v>
      </c>
      <c r="S932">
        <v>2</v>
      </c>
      <c r="T932" s="1" t="s">
        <v>46</v>
      </c>
      <c r="U932">
        <v>6782</v>
      </c>
      <c r="V932" s="1" t="s">
        <v>163</v>
      </c>
      <c r="W932">
        <v>8770</v>
      </c>
      <c r="X932">
        <v>9</v>
      </c>
      <c r="Y932" s="1" t="s">
        <v>48</v>
      </c>
      <c r="Z932" s="1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8">
      <c r="A933" s="1" t="s">
        <v>998</v>
      </c>
      <c r="B933">
        <v>39</v>
      </c>
      <c r="C933" s="1" t="s">
        <v>802</v>
      </c>
      <c r="D933" s="1" t="s">
        <v>49</v>
      </c>
      <c r="E933" s="1" t="s">
        <v>41</v>
      </c>
      <c r="F933">
        <v>412</v>
      </c>
      <c r="G933" s="1" t="s">
        <v>42</v>
      </c>
      <c r="H933">
        <v>13</v>
      </c>
      <c r="I933">
        <v>4</v>
      </c>
      <c r="J933" s="1" t="s">
        <v>52</v>
      </c>
      <c r="K933">
        <v>1</v>
      </c>
      <c r="L933">
        <v>1307</v>
      </c>
      <c r="M933">
        <v>3</v>
      </c>
      <c r="N933" s="1" t="s">
        <v>53</v>
      </c>
      <c r="O933">
        <v>94</v>
      </c>
      <c r="P933">
        <v>2</v>
      </c>
      <c r="Q933">
        <v>4</v>
      </c>
      <c r="R933" s="1" t="s">
        <v>442</v>
      </c>
      <c r="S933">
        <v>2</v>
      </c>
      <c r="T933" s="1" t="s">
        <v>102</v>
      </c>
      <c r="U933">
        <v>17123</v>
      </c>
      <c r="V933" s="1" t="s">
        <v>368</v>
      </c>
      <c r="W933">
        <v>17334</v>
      </c>
      <c r="X933">
        <v>6</v>
      </c>
      <c r="Y933" s="1" t="s">
        <v>48</v>
      </c>
      <c r="Z933" s="1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8">
      <c r="A934" s="1" t="s">
        <v>999</v>
      </c>
      <c r="B934">
        <v>39</v>
      </c>
      <c r="C934" s="1" t="s">
        <v>802</v>
      </c>
      <c r="D934" s="1" t="s">
        <v>40</v>
      </c>
      <c r="E934" s="1" t="s">
        <v>41</v>
      </c>
      <c r="F934">
        <v>360</v>
      </c>
      <c r="G934" s="1" t="s">
        <v>42</v>
      </c>
      <c r="H934">
        <v>23</v>
      </c>
      <c r="I934">
        <v>3</v>
      </c>
      <c r="J934" s="1" t="s">
        <v>52</v>
      </c>
      <c r="K934">
        <v>1</v>
      </c>
      <c r="L934">
        <v>1310</v>
      </c>
      <c r="M934">
        <v>3</v>
      </c>
      <c r="N934" s="1" t="s">
        <v>44</v>
      </c>
      <c r="O934">
        <v>93</v>
      </c>
      <c r="P934">
        <v>3</v>
      </c>
      <c r="Q934">
        <v>1</v>
      </c>
      <c r="R934" s="1" t="s">
        <v>60</v>
      </c>
      <c r="S934">
        <v>1</v>
      </c>
      <c r="T934" s="1" t="s">
        <v>46</v>
      </c>
      <c r="U934">
        <v>3904</v>
      </c>
      <c r="V934" s="1" t="s">
        <v>47</v>
      </c>
      <c r="W934">
        <v>22154</v>
      </c>
      <c r="X934">
        <v>0</v>
      </c>
      <c r="Y934" s="1" t="s">
        <v>48</v>
      </c>
      <c r="Z934" s="1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8">
      <c r="A935" s="1" t="s">
        <v>1000</v>
      </c>
      <c r="B935">
        <v>39</v>
      </c>
      <c r="C935" s="1" t="s">
        <v>802</v>
      </c>
      <c r="D935" s="1" t="s">
        <v>49</v>
      </c>
      <c r="E935" s="1" t="s">
        <v>41</v>
      </c>
      <c r="F935">
        <v>524</v>
      </c>
      <c r="G935" s="1" t="s">
        <v>42</v>
      </c>
      <c r="H935">
        <v>18</v>
      </c>
      <c r="I935">
        <v>2</v>
      </c>
      <c r="J935" s="1" t="s">
        <v>43</v>
      </c>
      <c r="K935">
        <v>1</v>
      </c>
      <c r="L935">
        <v>1322</v>
      </c>
      <c r="M935">
        <v>1</v>
      </c>
      <c r="N935" s="1" t="s">
        <v>44</v>
      </c>
      <c r="O935">
        <v>32</v>
      </c>
      <c r="P935">
        <v>3</v>
      </c>
      <c r="Q935">
        <v>2</v>
      </c>
      <c r="R935" s="1" t="s">
        <v>112</v>
      </c>
      <c r="S935">
        <v>3</v>
      </c>
      <c r="T935" s="1" t="s">
        <v>46</v>
      </c>
      <c r="U935">
        <v>4534</v>
      </c>
      <c r="V935" s="1" t="s">
        <v>47</v>
      </c>
      <c r="W935">
        <v>13352</v>
      </c>
      <c r="X935">
        <v>0</v>
      </c>
      <c r="Y935" s="1" t="s">
        <v>48</v>
      </c>
      <c r="Z935" s="1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8">
      <c r="A936" s="1" t="s">
        <v>1001</v>
      </c>
      <c r="B936">
        <v>39</v>
      </c>
      <c r="C936" s="1" t="s">
        <v>802</v>
      </c>
      <c r="D936" s="1" t="s">
        <v>49</v>
      </c>
      <c r="E936" s="1" t="s">
        <v>41</v>
      </c>
      <c r="F936">
        <v>1498</v>
      </c>
      <c r="G936" s="1" t="s">
        <v>51</v>
      </c>
      <c r="H936">
        <v>21</v>
      </c>
      <c r="I936">
        <v>4</v>
      </c>
      <c r="J936" s="1" t="s">
        <v>43</v>
      </c>
      <c r="K936">
        <v>1</v>
      </c>
      <c r="L936">
        <v>1390</v>
      </c>
      <c r="M936">
        <v>1</v>
      </c>
      <c r="N936" s="1" t="s">
        <v>44</v>
      </c>
      <c r="O936">
        <v>44</v>
      </c>
      <c r="P936">
        <v>2</v>
      </c>
      <c r="Q936">
        <v>2</v>
      </c>
      <c r="R936" s="1" t="s">
        <v>137</v>
      </c>
      <c r="S936">
        <v>4</v>
      </c>
      <c r="T936" s="1" t="s">
        <v>105</v>
      </c>
      <c r="U936">
        <v>6120</v>
      </c>
      <c r="V936" s="1" t="s">
        <v>163</v>
      </c>
      <c r="W936">
        <v>3567</v>
      </c>
      <c r="X936">
        <v>3</v>
      </c>
      <c r="Y936" s="1" t="s">
        <v>48</v>
      </c>
      <c r="Z936" s="1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8">
      <c r="A937" s="1" t="s">
        <v>1002</v>
      </c>
      <c r="B937">
        <v>39</v>
      </c>
      <c r="C937" s="1" t="s">
        <v>802</v>
      </c>
      <c r="D937" s="1" t="s">
        <v>49</v>
      </c>
      <c r="E937" s="1" t="s">
        <v>59</v>
      </c>
      <c r="F937">
        <v>1485</v>
      </c>
      <c r="G937" s="1" t="s">
        <v>42</v>
      </c>
      <c r="H937">
        <v>25</v>
      </c>
      <c r="I937">
        <v>2</v>
      </c>
      <c r="J937" s="1" t="s">
        <v>43</v>
      </c>
      <c r="K937">
        <v>1</v>
      </c>
      <c r="L937">
        <v>1397</v>
      </c>
      <c r="M937">
        <v>3</v>
      </c>
      <c r="N937" s="1" t="s">
        <v>44</v>
      </c>
      <c r="O937">
        <v>71</v>
      </c>
      <c r="P937">
        <v>3</v>
      </c>
      <c r="Q937">
        <v>3</v>
      </c>
      <c r="R937" s="1" t="s">
        <v>161</v>
      </c>
      <c r="S937">
        <v>3</v>
      </c>
      <c r="T937" s="1" t="s">
        <v>105</v>
      </c>
      <c r="U937">
        <v>10920</v>
      </c>
      <c r="V937" s="1" t="s">
        <v>253</v>
      </c>
      <c r="W937">
        <v>3449</v>
      </c>
      <c r="X937">
        <v>3</v>
      </c>
      <c r="Y937" s="1" t="s">
        <v>48</v>
      </c>
      <c r="Z937" s="1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8">
      <c r="A938" s="1" t="s">
        <v>1003</v>
      </c>
      <c r="B938">
        <v>39</v>
      </c>
      <c r="C938" s="1" t="s">
        <v>802</v>
      </c>
      <c r="D938" s="1" t="s">
        <v>40</v>
      </c>
      <c r="E938" s="1" t="s">
        <v>59</v>
      </c>
      <c r="F938">
        <v>592</v>
      </c>
      <c r="G938" s="1" t="s">
        <v>42</v>
      </c>
      <c r="H938">
        <v>2</v>
      </c>
      <c r="I938">
        <v>3</v>
      </c>
      <c r="J938" s="1" t="s">
        <v>43</v>
      </c>
      <c r="K938">
        <v>1</v>
      </c>
      <c r="L938">
        <v>1458</v>
      </c>
      <c r="M938">
        <v>1</v>
      </c>
      <c r="N938" s="1" t="s">
        <v>53</v>
      </c>
      <c r="O938">
        <v>54</v>
      </c>
      <c r="P938">
        <v>2</v>
      </c>
      <c r="Q938">
        <v>1</v>
      </c>
      <c r="R938" s="1" t="s">
        <v>45</v>
      </c>
      <c r="S938">
        <v>1</v>
      </c>
      <c r="T938" s="1" t="s">
        <v>46</v>
      </c>
      <c r="U938">
        <v>3646</v>
      </c>
      <c r="V938" s="1" t="s">
        <v>47</v>
      </c>
      <c r="W938">
        <v>17181</v>
      </c>
      <c r="X938">
        <v>2</v>
      </c>
      <c r="Y938" s="1" t="s">
        <v>48</v>
      </c>
      <c r="Z938" s="1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8">
      <c r="A939" s="1" t="s">
        <v>1004</v>
      </c>
      <c r="B939">
        <v>39</v>
      </c>
      <c r="C939" s="1" t="s">
        <v>802</v>
      </c>
      <c r="D939" s="1" t="s">
        <v>49</v>
      </c>
      <c r="E939" s="1" t="s">
        <v>41</v>
      </c>
      <c r="F939">
        <v>1089</v>
      </c>
      <c r="G939" s="1" t="s">
        <v>42</v>
      </c>
      <c r="H939">
        <v>6</v>
      </c>
      <c r="I939">
        <v>3</v>
      </c>
      <c r="J939" s="1" t="s">
        <v>43</v>
      </c>
      <c r="K939">
        <v>1</v>
      </c>
      <c r="L939">
        <v>1525</v>
      </c>
      <c r="M939">
        <v>2</v>
      </c>
      <c r="N939" s="1" t="s">
        <v>53</v>
      </c>
      <c r="O939">
        <v>32</v>
      </c>
      <c r="P939">
        <v>3</v>
      </c>
      <c r="Q939">
        <v>3</v>
      </c>
      <c r="R939" s="1" t="s">
        <v>112</v>
      </c>
      <c r="S939">
        <v>2</v>
      </c>
      <c r="T939" s="1" t="s">
        <v>46</v>
      </c>
      <c r="U939">
        <v>8376</v>
      </c>
      <c r="V939" s="1" t="s">
        <v>163</v>
      </c>
      <c r="W939">
        <v>9150</v>
      </c>
      <c r="X939">
        <v>4</v>
      </c>
      <c r="Y939" s="1" t="s">
        <v>48</v>
      </c>
      <c r="Z939" s="1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8">
      <c r="A940" s="1" t="s">
        <v>1005</v>
      </c>
      <c r="B940">
        <v>39</v>
      </c>
      <c r="C940" s="1" t="s">
        <v>802</v>
      </c>
      <c r="D940" s="1" t="s">
        <v>49</v>
      </c>
      <c r="E940" s="1" t="s">
        <v>41</v>
      </c>
      <c r="F940">
        <v>1462</v>
      </c>
      <c r="G940" s="1" t="s">
        <v>51</v>
      </c>
      <c r="H940">
        <v>6</v>
      </c>
      <c r="I940">
        <v>3</v>
      </c>
      <c r="J940" s="1" t="s">
        <v>52</v>
      </c>
      <c r="K940">
        <v>1</v>
      </c>
      <c r="L940">
        <v>1588</v>
      </c>
      <c r="M940">
        <v>4</v>
      </c>
      <c r="N940" s="1" t="s">
        <v>44</v>
      </c>
      <c r="O940">
        <v>38</v>
      </c>
      <c r="P940">
        <v>4</v>
      </c>
      <c r="Q940">
        <v>3</v>
      </c>
      <c r="R940" s="1" t="s">
        <v>137</v>
      </c>
      <c r="S940">
        <v>3</v>
      </c>
      <c r="T940" s="1" t="s">
        <v>105</v>
      </c>
      <c r="U940">
        <v>8237</v>
      </c>
      <c r="V940" s="1" t="s">
        <v>163</v>
      </c>
      <c r="W940">
        <v>4658</v>
      </c>
      <c r="X940">
        <v>2</v>
      </c>
      <c r="Y940" s="1" t="s">
        <v>48</v>
      </c>
      <c r="Z940" s="1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8">
      <c r="A941" s="1" t="s">
        <v>1006</v>
      </c>
      <c r="B941">
        <v>39</v>
      </c>
      <c r="C941" s="1" t="s">
        <v>802</v>
      </c>
      <c r="D941" s="1" t="s">
        <v>49</v>
      </c>
      <c r="E941" s="1" t="s">
        <v>41</v>
      </c>
      <c r="F941">
        <v>1387</v>
      </c>
      <c r="G941" s="1" t="s">
        <v>42</v>
      </c>
      <c r="H941">
        <v>10</v>
      </c>
      <c r="I941">
        <v>5</v>
      </c>
      <c r="J941" s="1" t="s">
        <v>52</v>
      </c>
      <c r="K941">
        <v>1</v>
      </c>
      <c r="L941">
        <v>1618</v>
      </c>
      <c r="M941">
        <v>2</v>
      </c>
      <c r="N941" s="1" t="s">
        <v>44</v>
      </c>
      <c r="O941">
        <v>76</v>
      </c>
      <c r="P941">
        <v>3</v>
      </c>
      <c r="Q941">
        <v>2</v>
      </c>
      <c r="R941" s="1" t="s">
        <v>112</v>
      </c>
      <c r="S941">
        <v>1</v>
      </c>
      <c r="T941" s="1" t="s">
        <v>105</v>
      </c>
      <c r="U941">
        <v>5377</v>
      </c>
      <c r="V941" s="1" t="s">
        <v>163</v>
      </c>
      <c r="W941">
        <v>3835</v>
      </c>
      <c r="X941">
        <v>2</v>
      </c>
      <c r="Y941" s="1" t="s">
        <v>48</v>
      </c>
      <c r="Z941" s="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8">
      <c r="A942" s="1" t="s">
        <v>1007</v>
      </c>
      <c r="B942">
        <v>39</v>
      </c>
      <c r="C942" s="1" t="s">
        <v>802</v>
      </c>
      <c r="D942" s="1" t="s">
        <v>49</v>
      </c>
      <c r="E942" s="1" t="s">
        <v>41</v>
      </c>
      <c r="F942">
        <v>170</v>
      </c>
      <c r="G942" s="1" t="s">
        <v>42</v>
      </c>
      <c r="H942">
        <v>3</v>
      </c>
      <c r="I942">
        <v>2</v>
      </c>
      <c r="J942" s="1" t="s">
        <v>52</v>
      </c>
      <c r="K942">
        <v>1</v>
      </c>
      <c r="L942">
        <v>1627</v>
      </c>
      <c r="M942">
        <v>3</v>
      </c>
      <c r="N942" s="1" t="s">
        <v>44</v>
      </c>
      <c r="O942">
        <v>76</v>
      </c>
      <c r="P942">
        <v>2</v>
      </c>
      <c r="Q942">
        <v>2</v>
      </c>
      <c r="R942" s="1" t="s">
        <v>45</v>
      </c>
      <c r="S942">
        <v>3</v>
      </c>
      <c r="T942" s="1" t="s">
        <v>102</v>
      </c>
      <c r="U942">
        <v>3069</v>
      </c>
      <c r="V942" s="1" t="s">
        <v>47</v>
      </c>
      <c r="W942">
        <v>10302</v>
      </c>
      <c r="X942">
        <v>0</v>
      </c>
      <c r="Y942" s="1" t="s">
        <v>48</v>
      </c>
      <c r="Z942" s="1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8">
      <c r="A943" s="1" t="s">
        <v>1008</v>
      </c>
      <c r="B943">
        <v>39</v>
      </c>
      <c r="C943" s="1" t="s">
        <v>802</v>
      </c>
      <c r="D943" s="1" t="s">
        <v>49</v>
      </c>
      <c r="E943" s="1" t="s">
        <v>56</v>
      </c>
      <c r="F943">
        <v>711</v>
      </c>
      <c r="G943" s="1" t="s">
        <v>42</v>
      </c>
      <c r="H943">
        <v>4</v>
      </c>
      <c r="I943">
        <v>3</v>
      </c>
      <c r="J943" s="1" t="s">
        <v>52</v>
      </c>
      <c r="K943">
        <v>1</v>
      </c>
      <c r="L943">
        <v>1633</v>
      </c>
      <c r="M943">
        <v>1</v>
      </c>
      <c r="N943" s="1" t="s">
        <v>53</v>
      </c>
      <c r="O943">
        <v>81</v>
      </c>
      <c r="P943">
        <v>3</v>
      </c>
      <c r="Q943">
        <v>2</v>
      </c>
      <c r="R943" s="1" t="s">
        <v>112</v>
      </c>
      <c r="S943">
        <v>3</v>
      </c>
      <c r="T943" s="1" t="s">
        <v>46</v>
      </c>
      <c r="U943">
        <v>5042</v>
      </c>
      <c r="V943" s="1" t="s">
        <v>163</v>
      </c>
      <c r="W943">
        <v>3140</v>
      </c>
      <c r="X943">
        <v>0</v>
      </c>
      <c r="Y943" s="1" t="s">
        <v>48</v>
      </c>
      <c r="Z943" s="1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8">
      <c r="A944" s="1" t="s">
        <v>1009</v>
      </c>
      <c r="B944">
        <v>39</v>
      </c>
      <c r="C944" s="1" t="s">
        <v>802</v>
      </c>
      <c r="D944" s="1" t="s">
        <v>49</v>
      </c>
      <c r="E944" s="1" t="s">
        <v>41</v>
      </c>
      <c r="F944">
        <v>492</v>
      </c>
      <c r="G944" s="1" t="s">
        <v>42</v>
      </c>
      <c r="H944">
        <v>12</v>
      </c>
      <c r="I944">
        <v>3</v>
      </c>
      <c r="J944" s="1" t="s">
        <v>52</v>
      </c>
      <c r="K944">
        <v>1</v>
      </c>
      <c r="L944">
        <v>1654</v>
      </c>
      <c r="M944">
        <v>4</v>
      </c>
      <c r="N944" s="1" t="s">
        <v>44</v>
      </c>
      <c r="O944">
        <v>66</v>
      </c>
      <c r="P944">
        <v>3</v>
      </c>
      <c r="Q944">
        <v>2</v>
      </c>
      <c r="R944" s="1" t="s">
        <v>112</v>
      </c>
      <c r="S944">
        <v>2</v>
      </c>
      <c r="T944" s="1" t="s">
        <v>105</v>
      </c>
      <c r="U944">
        <v>5295</v>
      </c>
      <c r="V944" s="1" t="s">
        <v>163</v>
      </c>
      <c r="W944">
        <v>7693</v>
      </c>
      <c r="X944">
        <v>4</v>
      </c>
      <c r="Y944" s="1" t="s">
        <v>48</v>
      </c>
      <c r="Z944" s="1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8">
      <c r="A945" s="1" t="s">
        <v>1010</v>
      </c>
      <c r="B945">
        <v>39</v>
      </c>
      <c r="C945" s="1" t="s">
        <v>802</v>
      </c>
      <c r="D945" s="1" t="s">
        <v>49</v>
      </c>
      <c r="E945" s="1" t="s">
        <v>59</v>
      </c>
      <c r="F945">
        <v>792</v>
      </c>
      <c r="G945" s="1" t="s">
        <v>42</v>
      </c>
      <c r="H945">
        <v>1</v>
      </c>
      <c r="I945">
        <v>3</v>
      </c>
      <c r="J945" s="1" t="s">
        <v>43</v>
      </c>
      <c r="K945">
        <v>1</v>
      </c>
      <c r="L945">
        <v>1737</v>
      </c>
      <c r="M945">
        <v>4</v>
      </c>
      <c r="N945" s="1" t="s">
        <v>44</v>
      </c>
      <c r="O945">
        <v>77</v>
      </c>
      <c r="P945">
        <v>3</v>
      </c>
      <c r="Q945">
        <v>2</v>
      </c>
      <c r="R945" s="1" t="s">
        <v>45</v>
      </c>
      <c r="S945">
        <v>4</v>
      </c>
      <c r="T945" s="1" t="s">
        <v>105</v>
      </c>
      <c r="U945">
        <v>6472</v>
      </c>
      <c r="V945" s="1" t="s">
        <v>163</v>
      </c>
      <c r="W945">
        <v>8989</v>
      </c>
      <c r="X945">
        <v>1</v>
      </c>
      <c r="Y945" s="1" t="s">
        <v>48</v>
      </c>
      <c r="Z945" s="1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8">
      <c r="A946" s="1" t="s">
        <v>1011</v>
      </c>
      <c r="B946">
        <v>39</v>
      </c>
      <c r="C946" s="1" t="s">
        <v>802</v>
      </c>
      <c r="D946" s="1" t="s">
        <v>49</v>
      </c>
      <c r="E946" s="1" t="s">
        <v>41</v>
      </c>
      <c r="F946">
        <v>1253</v>
      </c>
      <c r="G946" s="1" t="s">
        <v>42</v>
      </c>
      <c r="H946">
        <v>10</v>
      </c>
      <c r="I946">
        <v>1</v>
      </c>
      <c r="J946" s="1" t="s">
        <v>52</v>
      </c>
      <c r="K946">
        <v>1</v>
      </c>
      <c r="L946">
        <v>1800</v>
      </c>
      <c r="M946">
        <v>3</v>
      </c>
      <c r="N946" s="1" t="s">
        <v>44</v>
      </c>
      <c r="O946">
        <v>65</v>
      </c>
      <c r="P946">
        <v>3</v>
      </c>
      <c r="Q946">
        <v>3</v>
      </c>
      <c r="R946" s="1" t="s">
        <v>252</v>
      </c>
      <c r="S946">
        <v>3</v>
      </c>
      <c r="T946" s="1" t="s">
        <v>46</v>
      </c>
      <c r="U946">
        <v>13464</v>
      </c>
      <c r="V946" s="1" t="s">
        <v>253</v>
      </c>
      <c r="W946">
        <v>7914</v>
      </c>
      <c r="X946">
        <v>7</v>
      </c>
      <c r="Y946" s="1" t="s">
        <v>48</v>
      </c>
      <c r="Z946" s="1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8">
      <c r="A947" s="1" t="s">
        <v>1012</v>
      </c>
      <c r="B947">
        <v>39</v>
      </c>
      <c r="C947" s="1" t="s">
        <v>802</v>
      </c>
      <c r="D947" s="1" t="s">
        <v>49</v>
      </c>
      <c r="E947" s="1" t="s">
        <v>56</v>
      </c>
      <c r="F947">
        <v>766</v>
      </c>
      <c r="G947" s="1" t="s">
        <v>51</v>
      </c>
      <c r="H947">
        <v>20</v>
      </c>
      <c r="I947">
        <v>3</v>
      </c>
      <c r="J947" s="1" t="s">
        <v>43</v>
      </c>
      <c r="K947">
        <v>1</v>
      </c>
      <c r="L947">
        <v>1812</v>
      </c>
      <c r="M947">
        <v>3</v>
      </c>
      <c r="N947" s="1" t="s">
        <v>44</v>
      </c>
      <c r="O947">
        <v>83</v>
      </c>
      <c r="P947">
        <v>3</v>
      </c>
      <c r="Q947">
        <v>2</v>
      </c>
      <c r="R947" s="1" t="s">
        <v>137</v>
      </c>
      <c r="S947">
        <v>4</v>
      </c>
      <c r="T947" s="1" t="s">
        <v>102</v>
      </c>
      <c r="U947">
        <v>4127</v>
      </c>
      <c r="V947" s="1" t="s">
        <v>47</v>
      </c>
      <c r="W947">
        <v>19188</v>
      </c>
      <c r="X947">
        <v>2</v>
      </c>
      <c r="Y947" s="1" t="s">
        <v>48</v>
      </c>
      <c r="Z947" s="1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8">
      <c r="A948" s="1" t="s">
        <v>1013</v>
      </c>
      <c r="B948">
        <v>39</v>
      </c>
      <c r="C948" s="1" t="s">
        <v>802</v>
      </c>
      <c r="D948" s="1" t="s">
        <v>49</v>
      </c>
      <c r="E948" s="1" t="s">
        <v>41</v>
      </c>
      <c r="F948">
        <v>835</v>
      </c>
      <c r="G948" s="1" t="s">
        <v>42</v>
      </c>
      <c r="H948">
        <v>19</v>
      </c>
      <c r="I948">
        <v>4</v>
      </c>
      <c r="J948" s="1" t="s">
        <v>73</v>
      </c>
      <c r="K948">
        <v>1</v>
      </c>
      <c r="L948">
        <v>1871</v>
      </c>
      <c r="M948">
        <v>4</v>
      </c>
      <c r="N948" s="1" t="s">
        <v>44</v>
      </c>
      <c r="O948">
        <v>41</v>
      </c>
      <c r="P948">
        <v>3</v>
      </c>
      <c r="Q948">
        <v>2</v>
      </c>
      <c r="R948" s="1" t="s">
        <v>60</v>
      </c>
      <c r="S948">
        <v>4</v>
      </c>
      <c r="T948" s="1" t="s">
        <v>102</v>
      </c>
      <c r="U948">
        <v>3902</v>
      </c>
      <c r="V948" s="1" t="s">
        <v>47</v>
      </c>
      <c r="W948">
        <v>5141</v>
      </c>
      <c r="X948">
        <v>8</v>
      </c>
      <c r="Y948" s="1" t="s">
        <v>48</v>
      </c>
      <c r="Z948" s="1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8">
      <c r="A949" s="1" t="s">
        <v>1014</v>
      </c>
      <c r="B949">
        <v>39</v>
      </c>
      <c r="C949" s="1" t="s">
        <v>802</v>
      </c>
      <c r="D949" s="1" t="s">
        <v>49</v>
      </c>
      <c r="E949" s="1" t="s">
        <v>59</v>
      </c>
      <c r="F949">
        <v>1251</v>
      </c>
      <c r="G949" s="1" t="s">
        <v>51</v>
      </c>
      <c r="H949">
        <v>21</v>
      </c>
      <c r="I949">
        <v>4</v>
      </c>
      <c r="J949" s="1" t="s">
        <v>43</v>
      </c>
      <c r="K949">
        <v>1</v>
      </c>
      <c r="L949">
        <v>1929</v>
      </c>
      <c r="M949">
        <v>1</v>
      </c>
      <c r="N949" s="1" t="s">
        <v>53</v>
      </c>
      <c r="O949">
        <v>32</v>
      </c>
      <c r="P949">
        <v>1</v>
      </c>
      <c r="Q949">
        <v>2</v>
      </c>
      <c r="R949" s="1" t="s">
        <v>137</v>
      </c>
      <c r="S949">
        <v>3</v>
      </c>
      <c r="T949" s="1" t="s">
        <v>105</v>
      </c>
      <c r="U949">
        <v>5736</v>
      </c>
      <c r="V949" s="1" t="s">
        <v>163</v>
      </c>
      <c r="W949">
        <v>3987</v>
      </c>
      <c r="X949">
        <v>6</v>
      </c>
      <c r="Y949" s="1" t="s">
        <v>48</v>
      </c>
      <c r="Z949" s="1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8">
      <c r="A950" s="1" t="s">
        <v>1015</v>
      </c>
      <c r="B950">
        <v>39</v>
      </c>
      <c r="C950" s="1" t="s">
        <v>802</v>
      </c>
      <c r="D950" s="1" t="s">
        <v>49</v>
      </c>
      <c r="E950" s="1" t="s">
        <v>41</v>
      </c>
      <c r="F950">
        <v>867</v>
      </c>
      <c r="G950" s="1" t="s">
        <v>42</v>
      </c>
      <c r="H950">
        <v>9</v>
      </c>
      <c r="I950">
        <v>2</v>
      </c>
      <c r="J950" s="1" t="s">
        <v>52</v>
      </c>
      <c r="K950">
        <v>1</v>
      </c>
      <c r="L950">
        <v>1936</v>
      </c>
      <c r="M950">
        <v>1</v>
      </c>
      <c r="N950" s="1" t="s">
        <v>44</v>
      </c>
      <c r="O950">
        <v>87</v>
      </c>
      <c r="P950">
        <v>3</v>
      </c>
      <c r="Q950">
        <v>2</v>
      </c>
      <c r="R950" s="1" t="s">
        <v>112</v>
      </c>
      <c r="S950">
        <v>1</v>
      </c>
      <c r="T950" s="1" t="s">
        <v>105</v>
      </c>
      <c r="U950">
        <v>5151</v>
      </c>
      <c r="V950" s="1" t="s">
        <v>163</v>
      </c>
      <c r="W950">
        <v>12315</v>
      </c>
      <c r="X950">
        <v>1</v>
      </c>
      <c r="Y950" s="1" t="s">
        <v>48</v>
      </c>
      <c r="Z950" s="1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8">
      <c r="A951" s="1" t="s">
        <v>1016</v>
      </c>
      <c r="B951">
        <v>39</v>
      </c>
      <c r="C951" s="1" t="s">
        <v>802</v>
      </c>
      <c r="D951" s="1" t="s">
        <v>49</v>
      </c>
      <c r="E951" s="1" t="s">
        <v>41</v>
      </c>
      <c r="F951">
        <v>119</v>
      </c>
      <c r="G951" s="1" t="s">
        <v>51</v>
      </c>
      <c r="H951">
        <v>15</v>
      </c>
      <c r="I951">
        <v>4</v>
      </c>
      <c r="J951" s="1" t="s">
        <v>57</v>
      </c>
      <c r="K951">
        <v>1</v>
      </c>
      <c r="L951">
        <v>1975</v>
      </c>
      <c r="M951">
        <v>2</v>
      </c>
      <c r="N951" s="1" t="s">
        <v>44</v>
      </c>
      <c r="O951">
        <v>77</v>
      </c>
      <c r="P951">
        <v>3</v>
      </c>
      <c r="Q951">
        <v>4</v>
      </c>
      <c r="R951" s="1" t="s">
        <v>137</v>
      </c>
      <c r="S951">
        <v>1</v>
      </c>
      <c r="T951" s="1" t="s">
        <v>46</v>
      </c>
      <c r="U951">
        <v>13341</v>
      </c>
      <c r="V951" s="1" t="s">
        <v>253</v>
      </c>
      <c r="W951">
        <v>25098</v>
      </c>
      <c r="X951">
        <v>0</v>
      </c>
      <c r="Y951" s="1" t="s">
        <v>48</v>
      </c>
      <c r="Z951" s="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8">
      <c r="A952" s="1" t="s">
        <v>1017</v>
      </c>
      <c r="B952">
        <v>39</v>
      </c>
      <c r="C952" s="1" t="s">
        <v>802</v>
      </c>
      <c r="D952" s="1" t="s">
        <v>49</v>
      </c>
      <c r="E952" s="1" t="s">
        <v>41</v>
      </c>
      <c r="F952">
        <v>116</v>
      </c>
      <c r="G952" s="1" t="s">
        <v>42</v>
      </c>
      <c r="H952">
        <v>24</v>
      </c>
      <c r="I952">
        <v>1</v>
      </c>
      <c r="J952" s="1" t="s">
        <v>43</v>
      </c>
      <c r="K952">
        <v>1</v>
      </c>
      <c r="L952">
        <v>2014</v>
      </c>
      <c r="M952">
        <v>1</v>
      </c>
      <c r="N952" s="1" t="s">
        <v>44</v>
      </c>
      <c r="O952">
        <v>52</v>
      </c>
      <c r="P952">
        <v>3</v>
      </c>
      <c r="Q952">
        <v>2</v>
      </c>
      <c r="R952" s="1" t="s">
        <v>60</v>
      </c>
      <c r="S952">
        <v>4</v>
      </c>
      <c r="T952" s="1" t="s">
        <v>46</v>
      </c>
      <c r="U952">
        <v>4108</v>
      </c>
      <c r="V952" s="1" t="s">
        <v>47</v>
      </c>
      <c r="W952">
        <v>5340</v>
      </c>
      <c r="X952">
        <v>7</v>
      </c>
      <c r="Y952" s="1" t="s">
        <v>48</v>
      </c>
      <c r="Z952" s="1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8">
      <c r="A953" s="1" t="s">
        <v>1018</v>
      </c>
      <c r="B953">
        <v>39</v>
      </c>
      <c r="C953" s="1" t="s">
        <v>802</v>
      </c>
      <c r="D953" s="1" t="s">
        <v>49</v>
      </c>
      <c r="E953" s="1" t="s">
        <v>59</v>
      </c>
      <c r="F953">
        <v>105</v>
      </c>
      <c r="G953" s="1" t="s">
        <v>42</v>
      </c>
      <c r="H953">
        <v>9</v>
      </c>
      <c r="I953">
        <v>3</v>
      </c>
      <c r="J953" s="1" t="s">
        <v>43</v>
      </c>
      <c r="K953">
        <v>1</v>
      </c>
      <c r="L953">
        <v>2022</v>
      </c>
      <c r="M953">
        <v>4</v>
      </c>
      <c r="N953" s="1" t="s">
        <v>44</v>
      </c>
      <c r="O953">
        <v>87</v>
      </c>
      <c r="P953">
        <v>3</v>
      </c>
      <c r="Q953">
        <v>5</v>
      </c>
      <c r="R953" s="1" t="s">
        <v>442</v>
      </c>
      <c r="S953">
        <v>4</v>
      </c>
      <c r="T953" s="1" t="s">
        <v>46</v>
      </c>
      <c r="U953">
        <v>19431</v>
      </c>
      <c r="V953" s="1" t="s">
        <v>368</v>
      </c>
      <c r="W953">
        <v>15302</v>
      </c>
      <c r="X953">
        <v>2</v>
      </c>
      <c r="Y953" s="1" t="s">
        <v>48</v>
      </c>
      <c r="Z953" s="1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8">
      <c r="A954" s="1" t="s">
        <v>1019</v>
      </c>
      <c r="B954">
        <v>39</v>
      </c>
      <c r="C954" s="1" t="s">
        <v>802</v>
      </c>
      <c r="D954" s="1" t="s">
        <v>49</v>
      </c>
      <c r="E954" s="1" t="s">
        <v>41</v>
      </c>
      <c r="F954">
        <v>722</v>
      </c>
      <c r="G954" s="1" t="s">
        <v>51</v>
      </c>
      <c r="H954">
        <v>24</v>
      </c>
      <c r="I954">
        <v>1</v>
      </c>
      <c r="J954" s="1" t="s">
        <v>57</v>
      </c>
      <c r="K954">
        <v>1</v>
      </c>
      <c r="L954">
        <v>2056</v>
      </c>
      <c r="M954">
        <v>2</v>
      </c>
      <c r="N954" s="1" t="s">
        <v>53</v>
      </c>
      <c r="O954">
        <v>60</v>
      </c>
      <c r="P954">
        <v>2</v>
      </c>
      <c r="Q954">
        <v>4</v>
      </c>
      <c r="R954" s="1" t="s">
        <v>137</v>
      </c>
      <c r="S954">
        <v>4</v>
      </c>
      <c r="T954" s="1" t="s">
        <v>105</v>
      </c>
      <c r="U954">
        <v>12031</v>
      </c>
      <c r="V954" s="1" t="s">
        <v>253</v>
      </c>
      <c r="W954">
        <v>8828</v>
      </c>
      <c r="X954">
        <v>0</v>
      </c>
      <c r="Y954" s="1" t="s">
        <v>48</v>
      </c>
      <c r="Z954" s="1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8">
      <c r="A955" s="1" t="s">
        <v>1020</v>
      </c>
      <c r="B955">
        <v>39</v>
      </c>
      <c r="C955" s="1" t="s">
        <v>802</v>
      </c>
      <c r="D955" s="1" t="s">
        <v>49</v>
      </c>
      <c r="E955" s="1" t="s">
        <v>41</v>
      </c>
      <c r="F955">
        <v>613</v>
      </c>
      <c r="G955" s="1" t="s">
        <v>42</v>
      </c>
      <c r="H955">
        <v>6</v>
      </c>
      <c r="I955">
        <v>1</v>
      </c>
      <c r="J955" s="1" t="s">
        <v>52</v>
      </c>
      <c r="K955">
        <v>1</v>
      </c>
      <c r="L955">
        <v>2062</v>
      </c>
      <c r="M955">
        <v>4</v>
      </c>
      <c r="N955" s="1" t="s">
        <v>44</v>
      </c>
      <c r="O955">
        <v>42</v>
      </c>
      <c r="P955">
        <v>2</v>
      </c>
      <c r="Q955">
        <v>3</v>
      </c>
      <c r="R955" s="1" t="s">
        <v>161</v>
      </c>
      <c r="S955">
        <v>1</v>
      </c>
      <c r="T955" s="1" t="s">
        <v>105</v>
      </c>
      <c r="U955">
        <v>9991</v>
      </c>
      <c r="V955" s="1" t="s">
        <v>163</v>
      </c>
      <c r="W955">
        <v>21457</v>
      </c>
      <c r="X955">
        <v>4</v>
      </c>
      <c r="Y955" s="1" t="s">
        <v>48</v>
      </c>
      <c r="Z955" s="1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8">
      <c r="A956" s="1" t="s">
        <v>1019</v>
      </c>
      <c r="B956">
        <v>39</v>
      </c>
      <c r="C956" s="1" t="s">
        <v>802</v>
      </c>
      <c r="D956" s="1" t="s">
        <v>49</v>
      </c>
      <c r="E956" s="1" t="s">
        <v>41</v>
      </c>
      <c r="F956">
        <v>722</v>
      </c>
      <c r="G956" s="1" t="s">
        <v>51</v>
      </c>
      <c r="H956">
        <v>24</v>
      </c>
      <c r="I956">
        <v>1</v>
      </c>
      <c r="J956" s="1" t="s">
        <v>57</v>
      </c>
      <c r="K956">
        <v>1</v>
      </c>
      <c r="L956">
        <v>2056</v>
      </c>
      <c r="M956">
        <v>2</v>
      </c>
      <c r="N956" s="1" t="s">
        <v>53</v>
      </c>
      <c r="O956">
        <v>60</v>
      </c>
      <c r="P956">
        <v>2</v>
      </c>
      <c r="Q956">
        <v>4</v>
      </c>
      <c r="R956" s="1" t="s">
        <v>137</v>
      </c>
      <c r="S956">
        <v>4</v>
      </c>
      <c r="T956" s="1" t="s">
        <v>105</v>
      </c>
      <c r="U956">
        <v>12031</v>
      </c>
      <c r="V956" s="1" t="s">
        <v>253</v>
      </c>
      <c r="W956">
        <v>8828</v>
      </c>
      <c r="X956">
        <v>0</v>
      </c>
      <c r="Y956" s="1" t="s">
        <v>48</v>
      </c>
      <c r="Z956" s="1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8">
      <c r="A957" s="1" t="s">
        <v>1020</v>
      </c>
      <c r="B957">
        <v>39</v>
      </c>
      <c r="C957" s="1" t="s">
        <v>802</v>
      </c>
      <c r="D957" s="1" t="s">
        <v>49</v>
      </c>
      <c r="E957" s="1" t="s">
        <v>41</v>
      </c>
      <c r="F957">
        <v>613</v>
      </c>
      <c r="G957" s="1" t="s">
        <v>42</v>
      </c>
      <c r="H957">
        <v>6</v>
      </c>
      <c r="I957">
        <v>1</v>
      </c>
      <c r="J957" s="1" t="s">
        <v>52</v>
      </c>
      <c r="K957">
        <v>1</v>
      </c>
      <c r="L957">
        <v>2062</v>
      </c>
      <c r="M957">
        <v>4</v>
      </c>
      <c r="N957" s="1" t="s">
        <v>44</v>
      </c>
      <c r="O957">
        <v>42</v>
      </c>
      <c r="P957">
        <v>2</v>
      </c>
      <c r="Q957">
        <v>3</v>
      </c>
      <c r="R957" s="1" t="s">
        <v>161</v>
      </c>
      <c r="S957">
        <v>1</v>
      </c>
      <c r="T957" s="1" t="s">
        <v>105</v>
      </c>
      <c r="U957">
        <v>9991</v>
      </c>
      <c r="V957" s="1" t="s">
        <v>163</v>
      </c>
      <c r="W957">
        <v>21457</v>
      </c>
      <c r="X957">
        <v>4</v>
      </c>
      <c r="Y957" s="1" t="s">
        <v>48</v>
      </c>
      <c r="Z957" s="1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8">
      <c r="A958" s="1" t="s">
        <v>1021</v>
      </c>
      <c r="B958">
        <v>40</v>
      </c>
      <c r="C958" s="1" t="s">
        <v>802</v>
      </c>
      <c r="D958" s="1" t="s">
        <v>49</v>
      </c>
      <c r="E958" s="1" t="s">
        <v>56</v>
      </c>
      <c r="F958">
        <v>530</v>
      </c>
      <c r="G958" s="1" t="s">
        <v>42</v>
      </c>
      <c r="H958">
        <v>1</v>
      </c>
      <c r="I958">
        <v>4</v>
      </c>
      <c r="J958" s="1" t="s">
        <v>43</v>
      </c>
      <c r="K958">
        <v>1</v>
      </c>
      <c r="L958">
        <v>119</v>
      </c>
      <c r="M958">
        <v>3</v>
      </c>
      <c r="N958" s="1" t="s">
        <v>44</v>
      </c>
      <c r="O958">
        <v>78</v>
      </c>
      <c r="P958">
        <v>2</v>
      </c>
      <c r="Q958">
        <v>4</v>
      </c>
      <c r="R958" s="1" t="s">
        <v>161</v>
      </c>
      <c r="S958">
        <v>2</v>
      </c>
      <c r="T958" s="1" t="s">
        <v>105</v>
      </c>
      <c r="U958">
        <v>13503</v>
      </c>
      <c r="V958" s="1" t="s">
        <v>253</v>
      </c>
      <c r="W958">
        <v>14115</v>
      </c>
      <c r="X958">
        <v>1</v>
      </c>
      <c r="Y958" s="1" t="s">
        <v>48</v>
      </c>
      <c r="Z958" s="1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8">
      <c r="A959" s="1" t="s">
        <v>1022</v>
      </c>
      <c r="B959">
        <v>40</v>
      </c>
      <c r="C959" s="1" t="s">
        <v>802</v>
      </c>
      <c r="D959" s="1" t="s">
        <v>49</v>
      </c>
      <c r="E959" s="1" t="s">
        <v>56</v>
      </c>
      <c r="F959">
        <v>1395</v>
      </c>
      <c r="G959" s="1" t="s">
        <v>42</v>
      </c>
      <c r="H959">
        <v>26</v>
      </c>
      <c r="I959">
        <v>3</v>
      </c>
      <c r="J959" s="1" t="s">
        <v>52</v>
      </c>
      <c r="K959">
        <v>1</v>
      </c>
      <c r="L959">
        <v>202</v>
      </c>
      <c r="M959">
        <v>2</v>
      </c>
      <c r="N959" s="1" t="s">
        <v>53</v>
      </c>
      <c r="O959">
        <v>54</v>
      </c>
      <c r="P959">
        <v>3</v>
      </c>
      <c r="Q959">
        <v>2</v>
      </c>
      <c r="R959" s="1" t="s">
        <v>60</v>
      </c>
      <c r="S959">
        <v>2</v>
      </c>
      <c r="T959" s="1" t="s">
        <v>102</v>
      </c>
      <c r="U959">
        <v>5605</v>
      </c>
      <c r="V959" s="1" t="s">
        <v>163</v>
      </c>
      <c r="W959">
        <v>8504</v>
      </c>
      <c r="X959">
        <v>1</v>
      </c>
      <c r="Y959" s="1" t="s">
        <v>48</v>
      </c>
      <c r="Z959" s="1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8">
      <c r="A960" s="1" t="s">
        <v>1023</v>
      </c>
      <c r="B960">
        <v>40</v>
      </c>
      <c r="C960" s="1" t="s">
        <v>802</v>
      </c>
      <c r="D960" s="1" t="s">
        <v>49</v>
      </c>
      <c r="E960" s="1" t="s">
        <v>41</v>
      </c>
      <c r="F960">
        <v>630</v>
      </c>
      <c r="G960" s="1" t="s">
        <v>51</v>
      </c>
      <c r="H960">
        <v>4</v>
      </c>
      <c r="I960">
        <v>4</v>
      </c>
      <c r="J960" s="1" t="s">
        <v>57</v>
      </c>
      <c r="K960">
        <v>1</v>
      </c>
      <c r="L960">
        <v>215</v>
      </c>
      <c r="M960">
        <v>3</v>
      </c>
      <c r="N960" s="1" t="s">
        <v>44</v>
      </c>
      <c r="O960">
        <v>67</v>
      </c>
      <c r="P960">
        <v>2</v>
      </c>
      <c r="Q960">
        <v>3</v>
      </c>
      <c r="R960" s="1" t="s">
        <v>137</v>
      </c>
      <c r="S960">
        <v>4</v>
      </c>
      <c r="T960" s="1" t="s">
        <v>105</v>
      </c>
      <c r="U960">
        <v>10855</v>
      </c>
      <c r="V960" s="1" t="s">
        <v>253</v>
      </c>
      <c r="W960">
        <v>8552</v>
      </c>
      <c r="X960">
        <v>7</v>
      </c>
      <c r="Y960" s="1" t="s">
        <v>48</v>
      </c>
      <c r="Z960" s="1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8">
      <c r="A961" s="1" t="s">
        <v>1024</v>
      </c>
      <c r="B961">
        <v>40</v>
      </c>
      <c r="C961" s="1" t="s">
        <v>802</v>
      </c>
      <c r="D961" s="1" t="s">
        <v>49</v>
      </c>
      <c r="E961" s="1" t="s">
        <v>41</v>
      </c>
      <c r="F961">
        <v>989</v>
      </c>
      <c r="G961" s="1" t="s">
        <v>42</v>
      </c>
      <c r="H961">
        <v>4</v>
      </c>
      <c r="I961">
        <v>1</v>
      </c>
      <c r="J961" s="1" t="s">
        <v>52</v>
      </c>
      <c r="K961">
        <v>1</v>
      </c>
      <c r="L961">
        <v>253</v>
      </c>
      <c r="M961">
        <v>4</v>
      </c>
      <c r="N961" s="1" t="s">
        <v>53</v>
      </c>
      <c r="O961">
        <v>46</v>
      </c>
      <c r="P961">
        <v>3</v>
      </c>
      <c r="Q961">
        <v>5</v>
      </c>
      <c r="R961" s="1" t="s">
        <v>442</v>
      </c>
      <c r="S961">
        <v>3</v>
      </c>
      <c r="T961" s="1" t="s">
        <v>105</v>
      </c>
      <c r="U961">
        <v>19033</v>
      </c>
      <c r="V961" s="1" t="s">
        <v>368</v>
      </c>
      <c r="W961">
        <v>6499</v>
      </c>
      <c r="X961">
        <v>1</v>
      </c>
      <c r="Y961" s="1" t="s">
        <v>48</v>
      </c>
      <c r="Z961" s="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8">
      <c r="A962" s="1" t="s">
        <v>1025</v>
      </c>
      <c r="B962">
        <v>40</v>
      </c>
      <c r="C962" s="1" t="s">
        <v>802</v>
      </c>
      <c r="D962" s="1" t="s">
        <v>49</v>
      </c>
      <c r="E962" s="1" t="s">
        <v>41</v>
      </c>
      <c r="F962">
        <v>905</v>
      </c>
      <c r="G962" s="1" t="s">
        <v>42</v>
      </c>
      <c r="H962">
        <v>19</v>
      </c>
      <c r="I962">
        <v>2</v>
      </c>
      <c r="J962" s="1" t="s">
        <v>52</v>
      </c>
      <c r="K962">
        <v>1</v>
      </c>
      <c r="L962">
        <v>281</v>
      </c>
      <c r="M962">
        <v>3</v>
      </c>
      <c r="N962" s="1" t="s">
        <v>44</v>
      </c>
      <c r="O962">
        <v>99</v>
      </c>
      <c r="P962">
        <v>3</v>
      </c>
      <c r="Q962">
        <v>2</v>
      </c>
      <c r="R962" s="1" t="s">
        <v>45</v>
      </c>
      <c r="S962">
        <v>4</v>
      </c>
      <c r="T962" s="1" t="s">
        <v>105</v>
      </c>
      <c r="U962">
        <v>2741</v>
      </c>
      <c r="V962" s="1" t="s">
        <v>47</v>
      </c>
      <c r="W962">
        <v>16523</v>
      </c>
      <c r="X962">
        <v>8</v>
      </c>
      <c r="Y962" s="1" t="s">
        <v>48</v>
      </c>
      <c r="Z962" s="1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8">
      <c r="A963" s="1" t="s">
        <v>1026</v>
      </c>
      <c r="B963">
        <v>40</v>
      </c>
      <c r="C963" s="1" t="s">
        <v>802</v>
      </c>
      <c r="D963" s="1" t="s">
        <v>49</v>
      </c>
      <c r="E963" s="1" t="s">
        <v>59</v>
      </c>
      <c r="F963">
        <v>1151</v>
      </c>
      <c r="G963" s="1" t="s">
        <v>42</v>
      </c>
      <c r="H963">
        <v>9</v>
      </c>
      <c r="I963">
        <v>5</v>
      </c>
      <c r="J963" s="1" t="s">
        <v>43</v>
      </c>
      <c r="K963">
        <v>1</v>
      </c>
      <c r="L963">
        <v>287</v>
      </c>
      <c r="M963">
        <v>4</v>
      </c>
      <c r="N963" s="1" t="s">
        <v>44</v>
      </c>
      <c r="O963">
        <v>63</v>
      </c>
      <c r="P963">
        <v>2</v>
      </c>
      <c r="Q963">
        <v>2</v>
      </c>
      <c r="R963" s="1" t="s">
        <v>161</v>
      </c>
      <c r="S963">
        <v>4</v>
      </c>
      <c r="T963" s="1" t="s">
        <v>105</v>
      </c>
      <c r="U963">
        <v>4876</v>
      </c>
      <c r="V963" s="1" t="s">
        <v>47</v>
      </c>
      <c r="W963">
        <v>14242</v>
      </c>
      <c r="X963">
        <v>9</v>
      </c>
      <c r="Y963" s="1" t="s">
        <v>48</v>
      </c>
      <c r="Z963" s="1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8">
      <c r="A964" s="1" t="s">
        <v>1027</v>
      </c>
      <c r="B964">
        <v>40</v>
      </c>
      <c r="C964" s="1" t="s">
        <v>802</v>
      </c>
      <c r="D964" s="1" t="s">
        <v>49</v>
      </c>
      <c r="E964" s="1" t="s">
        <v>41</v>
      </c>
      <c r="F964">
        <v>1300</v>
      </c>
      <c r="G964" s="1" t="s">
        <v>42</v>
      </c>
      <c r="H964">
        <v>24</v>
      </c>
      <c r="I964">
        <v>2</v>
      </c>
      <c r="J964" s="1" t="s">
        <v>68</v>
      </c>
      <c r="K964">
        <v>1</v>
      </c>
      <c r="L964">
        <v>335</v>
      </c>
      <c r="M964">
        <v>1</v>
      </c>
      <c r="N964" s="1" t="s">
        <v>44</v>
      </c>
      <c r="O964">
        <v>62</v>
      </c>
      <c r="P964">
        <v>3</v>
      </c>
      <c r="Q964">
        <v>2</v>
      </c>
      <c r="R964" s="1" t="s">
        <v>60</v>
      </c>
      <c r="S964">
        <v>4</v>
      </c>
      <c r="T964" s="1" t="s">
        <v>102</v>
      </c>
      <c r="U964">
        <v>3319</v>
      </c>
      <c r="V964" s="1" t="s">
        <v>47</v>
      </c>
      <c r="W964">
        <v>24447</v>
      </c>
      <c r="X964">
        <v>1</v>
      </c>
      <c r="Y964" s="1" t="s">
        <v>48</v>
      </c>
      <c r="Z964" s="1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8">
      <c r="A965" s="1" t="s">
        <v>1028</v>
      </c>
      <c r="B965">
        <v>40</v>
      </c>
      <c r="C965" s="1" t="s">
        <v>802</v>
      </c>
      <c r="D965" s="1" t="s">
        <v>49</v>
      </c>
      <c r="E965" s="1" t="s">
        <v>41</v>
      </c>
      <c r="F965">
        <v>1416</v>
      </c>
      <c r="G965" s="1" t="s">
        <v>42</v>
      </c>
      <c r="H965">
        <v>2</v>
      </c>
      <c r="I965">
        <v>2</v>
      </c>
      <c r="J965" s="1" t="s">
        <v>52</v>
      </c>
      <c r="K965">
        <v>1</v>
      </c>
      <c r="L965">
        <v>352</v>
      </c>
      <c r="M965">
        <v>1</v>
      </c>
      <c r="N965" s="1" t="s">
        <v>44</v>
      </c>
      <c r="O965">
        <v>49</v>
      </c>
      <c r="P965">
        <v>3</v>
      </c>
      <c r="Q965">
        <v>5</v>
      </c>
      <c r="R965" s="1" t="s">
        <v>252</v>
      </c>
      <c r="S965">
        <v>3</v>
      </c>
      <c r="T965" s="1" t="s">
        <v>102</v>
      </c>
      <c r="U965">
        <v>19436</v>
      </c>
      <c r="V965" s="1" t="s">
        <v>368</v>
      </c>
      <c r="W965">
        <v>5949</v>
      </c>
      <c r="X965">
        <v>0</v>
      </c>
      <c r="Y965" s="1" t="s">
        <v>48</v>
      </c>
      <c r="Z965" s="1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8">
      <c r="A966" s="1" t="s">
        <v>1029</v>
      </c>
      <c r="B966">
        <v>40</v>
      </c>
      <c r="C966" s="1" t="s">
        <v>802</v>
      </c>
      <c r="D966" s="1" t="s">
        <v>49</v>
      </c>
      <c r="E966" s="1" t="s">
        <v>41</v>
      </c>
      <c r="F966">
        <v>1124</v>
      </c>
      <c r="G966" s="1" t="s">
        <v>51</v>
      </c>
      <c r="H966">
        <v>1</v>
      </c>
      <c r="I966">
        <v>2</v>
      </c>
      <c r="J966" s="1" t="s">
        <v>52</v>
      </c>
      <c r="K966">
        <v>1</v>
      </c>
      <c r="L966">
        <v>453</v>
      </c>
      <c r="M966">
        <v>2</v>
      </c>
      <c r="N966" s="1" t="s">
        <v>44</v>
      </c>
      <c r="O966">
        <v>57</v>
      </c>
      <c r="P966">
        <v>1</v>
      </c>
      <c r="Q966">
        <v>2</v>
      </c>
      <c r="R966" s="1" t="s">
        <v>137</v>
      </c>
      <c r="S966">
        <v>4</v>
      </c>
      <c r="T966" s="1" t="s">
        <v>105</v>
      </c>
      <c r="U966">
        <v>7457</v>
      </c>
      <c r="V966" s="1" t="s">
        <v>163</v>
      </c>
      <c r="W966">
        <v>13273</v>
      </c>
      <c r="X966">
        <v>2</v>
      </c>
      <c r="Y966" s="1" t="s">
        <v>48</v>
      </c>
      <c r="Z966" s="1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8">
      <c r="A967" s="1" t="s">
        <v>1030</v>
      </c>
      <c r="B967">
        <v>40</v>
      </c>
      <c r="C967" s="1" t="s">
        <v>802</v>
      </c>
      <c r="D967" s="1" t="s">
        <v>49</v>
      </c>
      <c r="E967" s="1" t="s">
        <v>41</v>
      </c>
      <c r="F967">
        <v>1171</v>
      </c>
      <c r="G967" s="1" t="s">
        <v>42</v>
      </c>
      <c r="H967">
        <v>10</v>
      </c>
      <c r="I967">
        <v>4</v>
      </c>
      <c r="J967" s="1" t="s">
        <v>43</v>
      </c>
      <c r="K967">
        <v>1</v>
      </c>
      <c r="L967">
        <v>483</v>
      </c>
      <c r="M967">
        <v>4</v>
      </c>
      <c r="N967" s="1" t="s">
        <v>53</v>
      </c>
      <c r="O967">
        <v>46</v>
      </c>
      <c r="P967">
        <v>4</v>
      </c>
      <c r="Q967">
        <v>1</v>
      </c>
      <c r="R967" s="1" t="s">
        <v>45</v>
      </c>
      <c r="S967">
        <v>3</v>
      </c>
      <c r="T967" s="1" t="s">
        <v>105</v>
      </c>
      <c r="U967">
        <v>2213</v>
      </c>
      <c r="V967" s="1" t="s">
        <v>47</v>
      </c>
      <c r="W967">
        <v>22495</v>
      </c>
      <c r="X967">
        <v>3</v>
      </c>
      <c r="Y967" s="1" t="s">
        <v>48</v>
      </c>
      <c r="Z967" s="1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8">
      <c r="A968" s="1" t="s">
        <v>1031</v>
      </c>
      <c r="B968">
        <v>40</v>
      </c>
      <c r="C968" s="1" t="s">
        <v>802</v>
      </c>
      <c r="D968" s="1" t="s">
        <v>40</v>
      </c>
      <c r="E968" s="1" t="s">
        <v>41</v>
      </c>
      <c r="F968">
        <v>575</v>
      </c>
      <c r="G968" s="1" t="s">
        <v>51</v>
      </c>
      <c r="H968">
        <v>22</v>
      </c>
      <c r="I968">
        <v>2</v>
      </c>
      <c r="J968" s="1" t="s">
        <v>57</v>
      </c>
      <c r="K968">
        <v>1</v>
      </c>
      <c r="L968">
        <v>492</v>
      </c>
      <c r="M968">
        <v>3</v>
      </c>
      <c r="N968" s="1" t="s">
        <v>44</v>
      </c>
      <c r="O968">
        <v>68</v>
      </c>
      <c r="P968">
        <v>2</v>
      </c>
      <c r="Q968">
        <v>2</v>
      </c>
      <c r="R968" s="1" t="s">
        <v>137</v>
      </c>
      <c r="S968">
        <v>3</v>
      </c>
      <c r="T968" s="1" t="s">
        <v>105</v>
      </c>
      <c r="U968">
        <v>6380</v>
      </c>
      <c r="V968" s="1" t="s">
        <v>163</v>
      </c>
      <c r="W968">
        <v>6110</v>
      </c>
      <c r="X968">
        <v>2</v>
      </c>
      <c r="Y968" s="1" t="s">
        <v>48</v>
      </c>
      <c r="Z968" s="1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8">
      <c r="A969" s="1" t="s">
        <v>1032</v>
      </c>
      <c r="B969">
        <v>40</v>
      </c>
      <c r="C969" s="1" t="s">
        <v>802</v>
      </c>
      <c r="D969" s="1" t="s">
        <v>49</v>
      </c>
      <c r="E969" s="1" t="s">
        <v>41</v>
      </c>
      <c r="F969">
        <v>759</v>
      </c>
      <c r="G969" s="1" t="s">
        <v>51</v>
      </c>
      <c r="H969">
        <v>2</v>
      </c>
      <c r="I969">
        <v>2</v>
      </c>
      <c r="J969" s="1" t="s">
        <v>57</v>
      </c>
      <c r="K969">
        <v>1</v>
      </c>
      <c r="L969">
        <v>516</v>
      </c>
      <c r="M969">
        <v>4</v>
      </c>
      <c r="N969" s="1" t="s">
        <v>53</v>
      </c>
      <c r="O969">
        <v>46</v>
      </c>
      <c r="P969">
        <v>3</v>
      </c>
      <c r="Q969">
        <v>2</v>
      </c>
      <c r="R969" s="1" t="s">
        <v>137</v>
      </c>
      <c r="S969">
        <v>2</v>
      </c>
      <c r="T969" s="1" t="s">
        <v>102</v>
      </c>
      <c r="U969">
        <v>5715</v>
      </c>
      <c r="V969" s="1" t="s">
        <v>163</v>
      </c>
      <c r="W969">
        <v>22553</v>
      </c>
      <c r="X969">
        <v>7</v>
      </c>
      <c r="Y969" s="1" t="s">
        <v>48</v>
      </c>
      <c r="Z969" s="1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8">
      <c r="A970" s="1" t="s">
        <v>1033</v>
      </c>
      <c r="B970">
        <v>40</v>
      </c>
      <c r="C970" s="1" t="s">
        <v>802</v>
      </c>
      <c r="D970" s="1" t="s">
        <v>49</v>
      </c>
      <c r="E970" s="1" t="s">
        <v>41</v>
      </c>
      <c r="F970">
        <v>555</v>
      </c>
      <c r="G970" s="1" t="s">
        <v>42</v>
      </c>
      <c r="H970">
        <v>2</v>
      </c>
      <c r="I970">
        <v>3</v>
      </c>
      <c r="J970" s="1" t="s">
        <v>52</v>
      </c>
      <c r="K970">
        <v>1</v>
      </c>
      <c r="L970">
        <v>521</v>
      </c>
      <c r="M970">
        <v>2</v>
      </c>
      <c r="N970" s="1" t="s">
        <v>53</v>
      </c>
      <c r="O970">
        <v>78</v>
      </c>
      <c r="P970">
        <v>2</v>
      </c>
      <c r="Q970">
        <v>2</v>
      </c>
      <c r="R970" s="1" t="s">
        <v>45</v>
      </c>
      <c r="S970">
        <v>3</v>
      </c>
      <c r="T970" s="1" t="s">
        <v>105</v>
      </c>
      <c r="U970">
        <v>3448</v>
      </c>
      <c r="V970" s="1" t="s">
        <v>47</v>
      </c>
      <c r="W970">
        <v>13436</v>
      </c>
      <c r="X970">
        <v>6</v>
      </c>
      <c r="Y970" s="1" t="s">
        <v>48</v>
      </c>
      <c r="Z970" s="1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8">
      <c r="A971" s="1" t="s">
        <v>1034</v>
      </c>
      <c r="B971">
        <v>40</v>
      </c>
      <c r="C971" s="1" t="s">
        <v>802</v>
      </c>
      <c r="D971" s="1" t="s">
        <v>49</v>
      </c>
      <c r="E971" s="1" t="s">
        <v>41</v>
      </c>
      <c r="F971">
        <v>1398</v>
      </c>
      <c r="G971" s="1" t="s">
        <v>51</v>
      </c>
      <c r="H971">
        <v>2</v>
      </c>
      <c r="I971">
        <v>4</v>
      </c>
      <c r="J971" s="1" t="s">
        <v>43</v>
      </c>
      <c r="K971">
        <v>1</v>
      </c>
      <c r="L971">
        <v>558</v>
      </c>
      <c r="M971">
        <v>3</v>
      </c>
      <c r="N971" s="1" t="s">
        <v>53</v>
      </c>
      <c r="O971">
        <v>79</v>
      </c>
      <c r="P971">
        <v>3</v>
      </c>
      <c r="Q971">
        <v>5</v>
      </c>
      <c r="R971" s="1" t="s">
        <v>442</v>
      </c>
      <c r="S971">
        <v>3</v>
      </c>
      <c r="T971" s="1" t="s">
        <v>105</v>
      </c>
      <c r="U971">
        <v>18041</v>
      </c>
      <c r="V971" s="1" t="s">
        <v>368</v>
      </c>
      <c r="W971">
        <v>13022</v>
      </c>
      <c r="X971">
        <v>0</v>
      </c>
      <c r="Y971" s="1" t="s">
        <v>48</v>
      </c>
      <c r="Z971" s="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8">
      <c r="A972" s="1" t="s">
        <v>1035</v>
      </c>
      <c r="B972">
        <v>40</v>
      </c>
      <c r="C972" s="1" t="s">
        <v>802</v>
      </c>
      <c r="D972" s="1" t="s">
        <v>49</v>
      </c>
      <c r="E972" s="1" t="s">
        <v>41</v>
      </c>
      <c r="F972">
        <v>302</v>
      </c>
      <c r="G972" s="1" t="s">
        <v>42</v>
      </c>
      <c r="H972">
        <v>6</v>
      </c>
      <c r="I972">
        <v>3</v>
      </c>
      <c r="J972" s="1" t="s">
        <v>43</v>
      </c>
      <c r="K972">
        <v>1</v>
      </c>
      <c r="L972">
        <v>601</v>
      </c>
      <c r="M972">
        <v>2</v>
      </c>
      <c r="N972" s="1" t="s">
        <v>53</v>
      </c>
      <c r="O972">
        <v>75</v>
      </c>
      <c r="P972">
        <v>3</v>
      </c>
      <c r="Q972">
        <v>4</v>
      </c>
      <c r="R972" s="1" t="s">
        <v>112</v>
      </c>
      <c r="S972">
        <v>3</v>
      </c>
      <c r="T972" s="1" t="s">
        <v>46</v>
      </c>
      <c r="U972">
        <v>13237</v>
      </c>
      <c r="V972" s="1" t="s">
        <v>253</v>
      </c>
      <c r="W972">
        <v>20364</v>
      </c>
      <c r="X972">
        <v>7</v>
      </c>
      <c r="Y972" s="1" t="s">
        <v>48</v>
      </c>
      <c r="Z972" s="1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8">
      <c r="A973" s="1" t="s">
        <v>1036</v>
      </c>
      <c r="B973">
        <v>40</v>
      </c>
      <c r="C973" s="1" t="s">
        <v>802</v>
      </c>
      <c r="D973" s="1" t="s">
        <v>49</v>
      </c>
      <c r="E973" s="1" t="s">
        <v>59</v>
      </c>
      <c r="F973">
        <v>1094</v>
      </c>
      <c r="G973" s="1" t="s">
        <v>51</v>
      </c>
      <c r="H973">
        <v>28</v>
      </c>
      <c r="I973">
        <v>3</v>
      </c>
      <c r="J973" s="1" t="s">
        <v>73</v>
      </c>
      <c r="K973">
        <v>1</v>
      </c>
      <c r="L973">
        <v>615</v>
      </c>
      <c r="M973">
        <v>3</v>
      </c>
      <c r="N973" s="1" t="s">
        <v>44</v>
      </c>
      <c r="O973">
        <v>58</v>
      </c>
      <c r="P973">
        <v>1</v>
      </c>
      <c r="Q973">
        <v>3</v>
      </c>
      <c r="R973" s="1" t="s">
        <v>137</v>
      </c>
      <c r="S973">
        <v>1</v>
      </c>
      <c r="T973" s="1" t="s">
        <v>102</v>
      </c>
      <c r="U973">
        <v>10932</v>
      </c>
      <c r="V973" s="1" t="s">
        <v>253</v>
      </c>
      <c r="W973">
        <v>11373</v>
      </c>
      <c r="X973">
        <v>3</v>
      </c>
      <c r="Y973" s="1" t="s">
        <v>48</v>
      </c>
      <c r="Z973" s="1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8">
      <c r="A974" s="1" t="s">
        <v>1037</v>
      </c>
      <c r="B974">
        <v>40</v>
      </c>
      <c r="C974" s="1" t="s">
        <v>802</v>
      </c>
      <c r="D974" s="1" t="s">
        <v>49</v>
      </c>
      <c r="E974" s="1" t="s">
        <v>56</v>
      </c>
      <c r="F974">
        <v>580</v>
      </c>
      <c r="G974" s="1" t="s">
        <v>51</v>
      </c>
      <c r="H974">
        <v>5</v>
      </c>
      <c r="I974">
        <v>4</v>
      </c>
      <c r="J974" s="1" t="s">
        <v>43</v>
      </c>
      <c r="K974">
        <v>1</v>
      </c>
      <c r="L974">
        <v>729</v>
      </c>
      <c r="M974">
        <v>4</v>
      </c>
      <c r="N974" s="1" t="s">
        <v>44</v>
      </c>
      <c r="O974">
        <v>48</v>
      </c>
      <c r="P974">
        <v>2</v>
      </c>
      <c r="Q974">
        <v>3</v>
      </c>
      <c r="R974" s="1" t="s">
        <v>137</v>
      </c>
      <c r="S974">
        <v>1</v>
      </c>
      <c r="T974" s="1" t="s">
        <v>105</v>
      </c>
      <c r="U974">
        <v>10475</v>
      </c>
      <c r="V974" s="1" t="s">
        <v>253</v>
      </c>
      <c r="W974">
        <v>23772</v>
      </c>
      <c r="X974">
        <v>5</v>
      </c>
      <c r="Y974" s="1" t="s">
        <v>48</v>
      </c>
      <c r="Z974" s="1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8">
      <c r="A975" s="1" t="s">
        <v>1038</v>
      </c>
      <c r="B975">
        <v>40</v>
      </c>
      <c r="C975" s="1" t="s">
        <v>802</v>
      </c>
      <c r="D975" s="1" t="s">
        <v>49</v>
      </c>
      <c r="E975" s="1" t="s">
        <v>41</v>
      </c>
      <c r="F975">
        <v>804</v>
      </c>
      <c r="G975" s="1" t="s">
        <v>42</v>
      </c>
      <c r="H975">
        <v>2</v>
      </c>
      <c r="I975">
        <v>1</v>
      </c>
      <c r="J975" s="1" t="s">
        <v>52</v>
      </c>
      <c r="K975">
        <v>1</v>
      </c>
      <c r="L975">
        <v>763</v>
      </c>
      <c r="M975">
        <v>4</v>
      </c>
      <c r="N975" s="1" t="s">
        <v>53</v>
      </c>
      <c r="O975">
        <v>86</v>
      </c>
      <c r="P975">
        <v>2</v>
      </c>
      <c r="Q975">
        <v>1</v>
      </c>
      <c r="R975" s="1" t="s">
        <v>60</v>
      </c>
      <c r="S975">
        <v>4</v>
      </c>
      <c r="T975" s="1" t="s">
        <v>46</v>
      </c>
      <c r="U975">
        <v>2342</v>
      </c>
      <c r="V975" s="1" t="s">
        <v>47</v>
      </c>
      <c r="W975">
        <v>22929</v>
      </c>
      <c r="X975">
        <v>0</v>
      </c>
      <c r="Y975" s="1" t="s">
        <v>48</v>
      </c>
      <c r="Z975" s="1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8">
      <c r="A976" s="1" t="s">
        <v>1039</v>
      </c>
      <c r="B976">
        <v>40</v>
      </c>
      <c r="C976" s="1" t="s">
        <v>802</v>
      </c>
      <c r="D976" s="1" t="s">
        <v>49</v>
      </c>
      <c r="E976" s="1" t="s">
        <v>56</v>
      </c>
      <c r="F976">
        <v>791</v>
      </c>
      <c r="G976" s="1" t="s">
        <v>42</v>
      </c>
      <c r="H976">
        <v>2</v>
      </c>
      <c r="I976">
        <v>2</v>
      </c>
      <c r="J976" s="1" t="s">
        <v>52</v>
      </c>
      <c r="K976">
        <v>1</v>
      </c>
      <c r="L976">
        <v>807</v>
      </c>
      <c r="M976">
        <v>3</v>
      </c>
      <c r="N976" s="1" t="s">
        <v>53</v>
      </c>
      <c r="O976">
        <v>38</v>
      </c>
      <c r="P976">
        <v>4</v>
      </c>
      <c r="Q976">
        <v>2</v>
      </c>
      <c r="R976" s="1" t="s">
        <v>161</v>
      </c>
      <c r="S976">
        <v>2</v>
      </c>
      <c r="T976" s="1" t="s">
        <v>105</v>
      </c>
      <c r="U976">
        <v>4244</v>
      </c>
      <c r="V976" s="1" t="s">
        <v>47</v>
      </c>
      <c r="W976">
        <v>9931</v>
      </c>
      <c r="X976">
        <v>1</v>
      </c>
      <c r="Y976" s="1" t="s">
        <v>48</v>
      </c>
      <c r="Z976" s="1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8">
      <c r="A977" s="1" t="s">
        <v>1040</v>
      </c>
      <c r="B977">
        <v>40</v>
      </c>
      <c r="C977" s="1" t="s">
        <v>802</v>
      </c>
      <c r="D977" s="1" t="s">
        <v>49</v>
      </c>
      <c r="E977" s="1" t="s">
        <v>56</v>
      </c>
      <c r="F977">
        <v>720</v>
      </c>
      <c r="G977" s="1" t="s">
        <v>42</v>
      </c>
      <c r="H977">
        <v>16</v>
      </c>
      <c r="I977">
        <v>4</v>
      </c>
      <c r="J977" s="1" t="s">
        <v>52</v>
      </c>
      <c r="K977">
        <v>1</v>
      </c>
      <c r="L977">
        <v>832</v>
      </c>
      <c r="M977">
        <v>1</v>
      </c>
      <c r="N977" s="1" t="s">
        <v>44</v>
      </c>
      <c r="O977">
        <v>51</v>
      </c>
      <c r="P977">
        <v>2</v>
      </c>
      <c r="Q977">
        <v>2</v>
      </c>
      <c r="R977" s="1" t="s">
        <v>45</v>
      </c>
      <c r="S977">
        <v>3</v>
      </c>
      <c r="T977" s="1" t="s">
        <v>46</v>
      </c>
      <c r="U977">
        <v>5094</v>
      </c>
      <c r="V977" s="1" t="s">
        <v>163</v>
      </c>
      <c r="W977">
        <v>11983</v>
      </c>
      <c r="X977">
        <v>6</v>
      </c>
      <c r="Y977" s="1" t="s">
        <v>48</v>
      </c>
      <c r="Z977" s="1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8">
      <c r="A978" s="1" t="s">
        <v>1041</v>
      </c>
      <c r="B978">
        <v>40</v>
      </c>
      <c r="C978" s="1" t="s">
        <v>802</v>
      </c>
      <c r="D978" s="1" t="s">
        <v>49</v>
      </c>
      <c r="E978" s="1" t="s">
        <v>41</v>
      </c>
      <c r="F978">
        <v>658</v>
      </c>
      <c r="G978" s="1" t="s">
        <v>51</v>
      </c>
      <c r="H978">
        <v>10</v>
      </c>
      <c r="I978">
        <v>4</v>
      </c>
      <c r="J978" s="1" t="s">
        <v>57</v>
      </c>
      <c r="K978">
        <v>1</v>
      </c>
      <c r="L978">
        <v>954</v>
      </c>
      <c r="M978">
        <v>1</v>
      </c>
      <c r="N978" s="1" t="s">
        <v>44</v>
      </c>
      <c r="O978">
        <v>67</v>
      </c>
      <c r="P978">
        <v>2</v>
      </c>
      <c r="Q978">
        <v>3</v>
      </c>
      <c r="R978" s="1" t="s">
        <v>137</v>
      </c>
      <c r="S978">
        <v>2</v>
      </c>
      <c r="T978" s="1" t="s">
        <v>102</v>
      </c>
      <c r="U978">
        <v>9705</v>
      </c>
      <c r="V978" s="1" t="s">
        <v>163</v>
      </c>
      <c r="W978">
        <v>20652</v>
      </c>
      <c r="X978">
        <v>2</v>
      </c>
      <c r="Y978" s="1" t="s">
        <v>48</v>
      </c>
      <c r="Z978" s="1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8">
      <c r="A979" s="1" t="s">
        <v>1042</v>
      </c>
      <c r="B979">
        <v>40</v>
      </c>
      <c r="C979" s="1" t="s">
        <v>802</v>
      </c>
      <c r="D979" s="1" t="s">
        <v>49</v>
      </c>
      <c r="E979" s="1" t="s">
        <v>56</v>
      </c>
      <c r="F979">
        <v>1469</v>
      </c>
      <c r="G979" s="1" t="s">
        <v>42</v>
      </c>
      <c r="H979">
        <v>9</v>
      </c>
      <c r="I979">
        <v>4</v>
      </c>
      <c r="J979" s="1" t="s">
        <v>52</v>
      </c>
      <c r="K979">
        <v>1</v>
      </c>
      <c r="L979">
        <v>964</v>
      </c>
      <c r="M979">
        <v>4</v>
      </c>
      <c r="N979" s="1" t="s">
        <v>44</v>
      </c>
      <c r="O979">
        <v>35</v>
      </c>
      <c r="P979">
        <v>3</v>
      </c>
      <c r="Q979">
        <v>1</v>
      </c>
      <c r="R979" s="1" t="s">
        <v>60</v>
      </c>
      <c r="S979">
        <v>2</v>
      </c>
      <c r="T979" s="1" t="s">
        <v>102</v>
      </c>
      <c r="U979">
        <v>3617</v>
      </c>
      <c r="V979" s="1" t="s">
        <v>47</v>
      </c>
      <c r="W979">
        <v>25063</v>
      </c>
      <c r="X979">
        <v>8</v>
      </c>
      <c r="Y979" s="1" t="s">
        <v>48</v>
      </c>
      <c r="Z979" s="1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8">
      <c r="A980" s="1" t="s">
        <v>1043</v>
      </c>
      <c r="B980">
        <v>40</v>
      </c>
      <c r="C980" s="1" t="s">
        <v>802</v>
      </c>
      <c r="D980" s="1" t="s">
        <v>40</v>
      </c>
      <c r="E980" s="1" t="s">
        <v>59</v>
      </c>
      <c r="F980">
        <v>1479</v>
      </c>
      <c r="G980" s="1" t="s">
        <v>51</v>
      </c>
      <c r="H980">
        <v>24</v>
      </c>
      <c r="I980">
        <v>3</v>
      </c>
      <c r="J980" s="1" t="s">
        <v>43</v>
      </c>
      <c r="K980">
        <v>1</v>
      </c>
      <c r="L980">
        <v>986</v>
      </c>
      <c r="M980">
        <v>2</v>
      </c>
      <c r="N980" s="1" t="s">
        <v>53</v>
      </c>
      <c r="O980">
        <v>100</v>
      </c>
      <c r="P980">
        <v>4</v>
      </c>
      <c r="Q980">
        <v>4</v>
      </c>
      <c r="R980" s="1" t="s">
        <v>137</v>
      </c>
      <c r="S980">
        <v>2</v>
      </c>
      <c r="T980" s="1" t="s">
        <v>46</v>
      </c>
      <c r="U980">
        <v>13194</v>
      </c>
      <c r="V980" s="1" t="s">
        <v>253</v>
      </c>
      <c r="W980">
        <v>17071</v>
      </c>
      <c r="X980">
        <v>4</v>
      </c>
      <c r="Y980" s="1" t="s">
        <v>48</v>
      </c>
      <c r="Z980" s="1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8">
      <c r="A981" s="1" t="s">
        <v>1044</v>
      </c>
      <c r="B981">
        <v>40</v>
      </c>
      <c r="C981" s="1" t="s">
        <v>802</v>
      </c>
      <c r="D981" s="1" t="s">
        <v>49</v>
      </c>
      <c r="E981" s="1" t="s">
        <v>41</v>
      </c>
      <c r="F981">
        <v>300</v>
      </c>
      <c r="G981" s="1" t="s">
        <v>51</v>
      </c>
      <c r="H981">
        <v>26</v>
      </c>
      <c r="I981">
        <v>3</v>
      </c>
      <c r="J981" s="1" t="s">
        <v>57</v>
      </c>
      <c r="K981">
        <v>1</v>
      </c>
      <c r="L981">
        <v>1066</v>
      </c>
      <c r="M981">
        <v>3</v>
      </c>
      <c r="N981" s="1" t="s">
        <v>44</v>
      </c>
      <c r="O981">
        <v>74</v>
      </c>
      <c r="P981">
        <v>3</v>
      </c>
      <c r="Q981">
        <v>2</v>
      </c>
      <c r="R981" s="1" t="s">
        <v>137</v>
      </c>
      <c r="S981">
        <v>1</v>
      </c>
      <c r="T981" s="1" t="s">
        <v>105</v>
      </c>
      <c r="U981">
        <v>8396</v>
      </c>
      <c r="V981" s="1" t="s">
        <v>163</v>
      </c>
      <c r="W981">
        <v>22217</v>
      </c>
      <c r="X981">
        <v>1</v>
      </c>
      <c r="Y981" s="1" t="s">
        <v>48</v>
      </c>
      <c r="Z981" s="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8">
      <c r="A982" s="1" t="s">
        <v>1045</v>
      </c>
      <c r="B982">
        <v>40</v>
      </c>
      <c r="C982" s="1" t="s">
        <v>802</v>
      </c>
      <c r="D982" s="1" t="s">
        <v>49</v>
      </c>
      <c r="E982" s="1" t="s">
        <v>41</v>
      </c>
      <c r="F982">
        <v>1492</v>
      </c>
      <c r="G982" s="1" t="s">
        <v>42</v>
      </c>
      <c r="H982">
        <v>20</v>
      </c>
      <c r="I982">
        <v>4</v>
      </c>
      <c r="J982" s="1" t="s">
        <v>68</v>
      </c>
      <c r="K982">
        <v>1</v>
      </c>
      <c r="L982">
        <v>1092</v>
      </c>
      <c r="M982">
        <v>1</v>
      </c>
      <c r="N982" s="1" t="s">
        <v>44</v>
      </c>
      <c r="O982">
        <v>61</v>
      </c>
      <c r="P982">
        <v>3</v>
      </c>
      <c r="Q982">
        <v>3</v>
      </c>
      <c r="R982" s="1" t="s">
        <v>161</v>
      </c>
      <c r="S982">
        <v>4</v>
      </c>
      <c r="T982" s="1" t="s">
        <v>105</v>
      </c>
      <c r="U982">
        <v>10322</v>
      </c>
      <c r="V982" s="1" t="s">
        <v>253</v>
      </c>
      <c r="W982">
        <v>26542</v>
      </c>
      <c r="X982">
        <v>4</v>
      </c>
      <c r="Y982" s="1" t="s">
        <v>48</v>
      </c>
      <c r="Z982" s="1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8">
      <c r="A983" s="1" t="s">
        <v>1046</v>
      </c>
      <c r="B983">
        <v>40</v>
      </c>
      <c r="C983" s="1" t="s">
        <v>802</v>
      </c>
      <c r="D983" s="1" t="s">
        <v>49</v>
      </c>
      <c r="E983" s="1" t="s">
        <v>41</v>
      </c>
      <c r="F983">
        <v>1308</v>
      </c>
      <c r="G983" s="1" t="s">
        <v>42</v>
      </c>
      <c r="H983">
        <v>14</v>
      </c>
      <c r="I983">
        <v>3</v>
      </c>
      <c r="J983" s="1" t="s">
        <v>52</v>
      </c>
      <c r="K983">
        <v>1</v>
      </c>
      <c r="L983">
        <v>1128</v>
      </c>
      <c r="M983">
        <v>3</v>
      </c>
      <c r="N983" s="1" t="s">
        <v>44</v>
      </c>
      <c r="O983">
        <v>44</v>
      </c>
      <c r="P983">
        <v>2</v>
      </c>
      <c r="Q983">
        <v>5</v>
      </c>
      <c r="R983" s="1" t="s">
        <v>252</v>
      </c>
      <c r="S983">
        <v>3</v>
      </c>
      <c r="T983" s="1" t="s">
        <v>46</v>
      </c>
      <c r="U983">
        <v>19626</v>
      </c>
      <c r="V983" s="1" t="s">
        <v>368</v>
      </c>
      <c r="W983">
        <v>17544</v>
      </c>
      <c r="X983">
        <v>1</v>
      </c>
      <c r="Y983" s="1" t="s">
        <v>48</v>
      </c>
      <c r="Z983" s="1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8">
      <c r="A984" s="1" t="s">
        <v>1047</v>
      </c>
      <c r="B984">
        <v>40</v>
      </c>
      <c r="C984" s="1" t="s">
        <v>802</v>
      </c>
      <c r="D984" s="1" t="s">
        <v>49</v>
      </c>
      <c r="E984" s="1" t="s">
        <v>56</v>
      </c>
      <c r="F984">
        <v>593</v>
      </c>
      <c r="G984" s="1" t="s">
        <v>42</v>
      </c>
      <c r="H984">
        <v>9</v>
      </c>
      <c r="I984">
        <v>4</v>
      </c>
      <c r="J984" s="1" t="s">
        <v>52</v>
      </c>
      <c r="K984">
        <v>1</v>
      </c>
      <c r="L984">
        <v>1166</v>
      </c>
      <c r="M984">
        <v>2</v>
      </c>
      <c r="N984" s="1" t="s">
        <v>53</v>
      </c>
      <c r="O984">
        <v>88</v>
      </c>
      <c r="P984">
        <v>3</v>
      </c>
      <c r="Q984">
        <v>3</v>
      </c>
      <c r="R984" s="1" t="s">
        <v>252</v>
      </c>
      <c r="S984">
        <v>3</v>
      </c>
      <c r="T984" s="1" t="s">
        <v>46</v>
      </c>
      <c r="U984">
        <v>13499</v>
      </c>
      <c r="V984" s="1" t="s">
        <v>253</v>
      </c>
      <c r="W984">
        <v>13782</v>
      </c>
      <c r="X984">
        <v>9</v>
      </c>
      <c r="Y984" s="1" t="s">
        <v>48</v>
      </c>
      <c r="Z984" s="1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8">
      <c r="A985" s="1" t="s">
        <v>1048</v>
      </c>
      <c r="B985">
        <v>40</v>
      </c>
      <c r="C985" s="1" t="s">
        <v>802</v>
      </c>
      <c r="D985" s="1" t="s">
        <v>49</v>
      </c>
      <c r="E985" s="1" t="s">
        <v>56</v>
      </c>
      <c r="F985">
        <v>902</v>
      </c>
      <c r="G985" s="1" t="s">
        <v>42</v>
      </c>
      <c r="H985">
        <v>26</v>
      </c>
      <c r="I985">
        <v>2</v>
      </c>
      <c r="J985" s="1" t="s">
        <v>52</v>
      </c>
      <c r="K985">
        <v>1</v>
      </c>
      <c r="L985">
        <v>1180</v>
      </c>
      <c r="M985">
        <v>3</v>
      </c>
      <c r="N985" s="1" t="s">
        <v>53</v>
      </c>
      <c r="O985">
        <v>92</v>
      </c>
      <c r="P985">
        <v>2</v>
      </c>
      <c r="Q985">
        <v>2</v>
      </c>
      <c r="R985" s="1" t="s">
        <v>60</v>
      </c>
      <c r="S985">
        <v>4</v>
      </c>
      <c r="T985" s="1" t="s">
        <v>105</v>
      </c>
      <c r="U985">
        <v>4422</v>
      </c>
      <c r="V985" s="1" t="s">
        <v>47</v>
      </c>
      <c r="W985">
        <v>21203</v>
      </c>
      <c r="X985">
        <v>3</v>
      </c>
      <c r="Y985" s="1" t="s">
        <v>48</v>
      </c>
      <c r="Z985" s="1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8">
      <c r="A986" s="1" t="s">
        <v>1049</v>
      </c>
      <c r="B986">
        <v>40</v>
      </c>
      <c r="C986" s="1" t="s">
        <v>802</v>
      </c>
      <c r="D986" s="1" t="s">
        <v>49</v>
      </c>
      <c r="E986" s="1" t="s">
        <v>56</v>
      </c>
      <c r="F986">
        <v>1184</v>
      </c>
      <c r="G986" s="1" t="s">
        <v>51</v>
      </c>
      <c r="H986">
        <v>2</v>
      </c>
      <c r="I986">
        <v>4</v>
      </c>
      <c r="J986" s="1" t="s">
        <v>52</v>
      </c>
      <c r="K986">
        <v>1</v>
      </c>
      <c r="L986">
        <v>1212</v>
      </c>
      <c r="M986">
        <v>2</v>
      </c>
      <c r="N986" s="1" t="s">
        <v>44</v>
      </c>
      <c r="O986">
        <v>62</v>
      </c>
      <c r="P986">
        <v>3</v>
      </c>
      <c r="Q986">
        <v>2</v>
      </c>
      <c r="R986" s="1" t="s">
        <v>137</v>
      </c>
      <c r="S986">
        <v>2</v>
      </c>
      <c r="T986" s="1" t="s">
        <v>105</v>
      </c>
      <c r="U986">
        <v>4327</v>
      </c>
      <c r="V986" s="1" t="s">
        <v>47</v>
      </c>
      <c r="W986">
        <v>25440</v>
      </c>
      <c r="X986">
        <v>5</v>
      </c>
      <c r="Y986" s="1" t="s">
        <v>48</v>
      </c>
      <c r="Z986" s="1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8">
      <c r="A987" s="1" t="s">
        <v>1050</v>
      </c>
      <c r="B987">
        <v>40</v>
      </c>
      <c r="C987" s="1" t="s">
        <v>802</v>
      </c>
      <c r="D987" s="1" t="s">
        <v>49</v>
      </c>
      <c r="E987" s="1" t="s">
        <v>41</v>
      </c>
      <c r="F987">
        <v>107</v>
      </c>
      <c r="G987" s="1" t="s">
        <v>51</v>
      </c>
      <c r="H987">
        <v>10</v>
      </c>
      <c r="I987">
        <v>3</v>
      </c>
      <c r="J987" s="1" t="s">
        <v>68</v>
      </c>
      <c r="K987">
        <v>1</v>
      </c>
      <c r="L987">
        <v>1239</v>
      </c>
      <c r="M987">
        <v>2</v>
      </c>
      <c r="N987" s="1" t="s">
        <v>53</v>
      </c>
      <c r="O987">
        <v>84</v>
      </c>
      <c r="P987">
        <v>2</v>
      </c>
      <c r="Q987">
        <v>2</v>
      </c>
      <c r="R987" s="1" t="s">
        <v>137</v>
      </c>
      <c r="S987">
        <v>2</v>
      </c>
      <c r="T987" s="1" t="s">
        <v>102</v>
      </c>
      <c r="U987">
        <v>6852</v>
      </c>
      <c r="V987" s="1" t="s">
        <v>163</v>
      </c>
      <c r="W987">
        <v>11591</v>
      </c>
      <c r="X987">
        <v>7</v>
      </c>
      <c r="Y987" s="1" t="s">
        <v>48</v>
      </c>
      <c r="Z987" s="1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8">
      <c r="A988" s="1" t="s">
        <v>1051</v>
      </c>
      <c r="B988">
        <v>40</v>
      </c>
      <c r="C988" s="1" t="s">
        <v>802</v>
      </c>
      <c r="D988" s="1" t="s">
        <v>40</v>
      </c>
      <c r="E988" s="1" t="s">
        <v>41</v>
      </c>
      <c r="F988">
        <v>299</v>
      </c>
      <c r="G988" s="1" t="s">
        <v>51</v>
      </c>
      <c r="H988">
        <v>25</v>
      </c>
      <c r="I988">
        <v>4</v>
      </c>
      <c r="J988" s="1" t="s">
        <v>57</v>
      </c>
      <c r="K988">
        <v>1</v>
      </c>
      <c r="L988">
        <v>1318</v>
      </c>
      <c r="M988">
        <v>4</v>
      </c>
      <c r="N988" s="1" t="s">
        <v>44</v>
      </c>
      <c r="O988">
        <v>57</v>
      </c>
      <c r="P988">
        <v>2</v>
      </c>
      <c r="Q988">
        <v>3</v>
      </c>
      <c r="R988" s="1" t="s">
        <v>137</v>
      </c>
      <c r="S988">
        <v>2</v>
      </c>
      <c r="T988" s="1" t="s">
        <v>46</v>
      </c>
      <c r="U988">
        <v>9094</v>
      </c>
      <c r="V988" s="1" t="s">
        <v>163</v>
      </c>
      <c r="W988">
        <v>17235</v>
      </c>
      <c r="X988">
        <v>2</v>
      </c>
      <c r="Y988" s="1" t="s">
        <v>48</v>
      </c>
      <c r="Z988" s="1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8">
      <c r="A989" s="1" t="s">
        <v>1052</v>
      </c>
      <c r="B989">
        <v>40</v>
      </c>
      <c r="C989" s="1" t="s">
        <v>802</v>
      </c>
      <c r="D989" s="1" t="s">
        <v>49</v>
      </c>
      <c r="E989" s="1" t="s">
        <v>59</v>
      </c>
      <c r="F989">
        <v>458</v>
      </c>
      <c r="G989" s="1" t="s">
        <v>42</v>
      </c>
      <c r="H989">
        <v>16</v>
      </c>
      <c r="I989">
        <v>2</v>
      </c>
      <c r="J989" s="1" t="s">
        <v>43</v>
      </c>
      <c r="K989">
        <v>1</v>
      </c>
      <c r="L989">
        <v>1340</v>
      </c>
      <c r="M989">
        <v>3</v>
      </c>
      <c r="N989" s="1" t="s">
        <v>44</v>
      </c>
      <c r="O989">
        <v>74</v>
      </c>
      <c r="P989">
        <v>3</v>
      </c>
      <c r="Q989">
        <v>1</v>
      </c>
      <c r="R989" s="1" t="s">
        <v>60</v>
      </c>
      <c r="S989">
        <v>3</v>
      </c>
      <c r="T989" s="1" t="s">
        <v>102</v>
      </c>
      <c r="U989">
        <v>3544</v>
      </c>
      <c r="V989" s="1" t="s">
        <v>47</v>
      </c>
      <c r="W989">
        <v>8532</v>
      </c>
      <c r="X989">
        <v>9</v>
      </c>
      <c r="Y989" s="1" t="s">
        <v>48</v>
      </c>
      <c r="Z989" s="1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8">
      <c r="A990" s="1" t="s">
        <v>1053</v>
      </c>
      <c r="B990">
        <v>40</v>
      </c>
      <c r="C990" s="1" t="s">
        <v>802</v>
      </c>
      <c r="D990" s="1" t="s">
        <v>49</v>
      </c>
      <c r="E990" s="1" t="s">
        <v>41</v>
      </c>
      <c r="F990">
        <v>523</v>
      </c>
      <c r="G990" s="1" t="s">
        <v>42</v>
      </c>
      <c r="H990">
        <v>2</v>
      </c>
      <c r="I990">
        <v>3</v>
      </c>
      <c r="J990" s="1" t="s">
        <v>43</v>
      </c>
      <c r="K990">
        <v>1</v>
      </c>
      <c r="L990">
        <v>1346</v>
      </c>
      <c r="M990">
        <v>3</v>
      </c>
      <c r="N990" s="1" t="s">
        <v>44</v>
      </c>
      <c r="O990">
        <v>98</v>
      </c>
      <c r="P990">
        <v>3</v>
      </c>
      <c r="Q990">
        <v>2</v>
      </c>
      <c r="R990" s="1" t="s">
        <v>60</v>
      </c>
      <c r="S990">
        <v>4</v>
      </c>
      <c r="T990" s="1" t="s">
        <v>46</v>
      </c>
      <c r="U990">
        <v>4661</v>
      </c>
      <c r="V990" s="1" t="s">
        <v>47</v>
      </c>
      <c r="W990">
        <v>22455</v>
      </c>
      <c r="X990">
        <v>1</v>
      </c>
      <c r="Y990" s="1" t="s">
        <v>48</v>
      </c>
      <c r="Z990" s="1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8">
      <c r="A991" s="1" t="s">
        <v>1054</v>
      </c>
      <c r="B991">
        <v>40</v>
      </c>
      <c r="C991" s="1" t="s">
        <v>802</v>
      </c>
      <c r="D991" s="1" t="s">
        <v>49</v>
      </c>
      <c r="E991" s="1" t="s">
        <v>41</v>
      </c>
      <c r="F991">
        <v>329</v>
      </c>
      <c r="G991" s="1" t="s">
        <v>42</v>
      </c>
      <c r="H991">
        <v>1</v>
      </c>
      <c r="I991">
        <v>4</v>
      </c>
      <c r="J991" s="1" t="s">
        <v>43</v>
      </c>
      <c r="K991">
        <v>1</v>
      </c>
      <c r="L991">
        <v>1361</v>
      </c>
      <c r="M991">
        <v>2</v>
      </c>
      <c r="N991" s="1" t="s">
        <v>44</v>
      </c>
      <c r="O991">
        <v>88</v>
      </c>
      <c r="P991">
        <v>3</v>
      </c>
      <c r="Q991">
        <v>1</v>
      </c>
      <c r="R991" s="1" t="s">
        <v>45</v>
      </c>
      <c r="S991">
        <v>2</v>
      </c>
      <c r="T991" s="1" t="s">
        <v>105</v>
      </c>
      <c r="U991">
        <v>2387</v>
      </c>
      <c r="V991" s="1" t="s">
        <v>47</v>
      </c>
      <c r="W991">
        <v>6762</v>
      </c>
      <c r="X991">
        <v>3</v>
      </c>
      <c r="Y991" s="1" t="s">
        <v>48</v>
      </c>
      <c r="Z991" s="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8">
      <c r="A992" s="1" t="s">
        <v>1055</v>
      </c>
      <c r="B992">
        <v>40</v>
      </c>
      <c r="C992" s="1" t="s">
        <v>802</v>
      </c>
      <c r="D992" s="1" t="s">
        <v>49</v>
      </c>
      <c r="E992" s="1" t="s">
        <v>41</v>
      </c>
      <c r="F992">
        <v>1202</v>
      </c>
      <c r="G992" s="1" t="s">
        <v>42</v>
      </c>
      <c r="H992">
        <v>2</v>
      </c>
      <c r="I992">
        <v>1</v>
      </c>
      <c r="J992" s="1" t="s">
        <v>52</v>
      </c>
      <c r="K992">
        <v>1</v>
      </c>
      <c r="L992">
        <v>1375</v>
      </c>
      <c r="M992">
        <v>2</v>
      </c>
      <c r="N992" s="1" t="s">
        <v>53</v>
      </c>
      <c r="O992">
        <v>89</v>
      </c>
      <c r="P992">
        <v>4</v>
      </c>
      <c r="Q992">
        <v>2</v>
      </c>
      <c r="R992" s="1" t="s">
        <v>161</v>
      </c>
      <c r="S992">
        <v>3</v>
      </c>
      <c r="T992" s="1" t="s">
        <v>102</v>
      </c>
      <c r="U992">
        <v>6377</v>
      </c>
      <c r="V992" s="1" t="s">
        <v>163</v>
      </c>
      <c r="W992">
        <v>13888</v>
      </c>
      <c r="X992">
        <v>5</v>
      </c>
      <c r="Y992" s="1" t="s">
        <v>48</v>
      </c>
      <c r="Z992" s="1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8">
      <c r="A993" s="1" t="s">
        <v>1056</v>
      </c>
      <c r="B993">
        <v>40</v>
      </c>
      <c r="C993" s="1" t="s">
        <v>802</v>
      </c>
      <c r="D993" s="1" t="s">
        <v>49</v>
      </c>
      <c r="E993" s="1" t="s">
        <v>59</v>
      </c>
      <c r="F993">
        <v>663</v>
      </c>
      <c r="G993" s="1" t="s">
        <v>42</v>
      </c>
      <c r="H993">
        <v>9</v>
      </c>
      <c r="I993">
        <v>4</v>
      </c>
      <c r="J993" s="1" t="s">
        <v>73</v>
      </c>
      <c r="K993">
        <v>1</v>
      </c>
      <c r="L993">
        <v>1449</v>
      </c>
      <c r="M993">
        <v>3</v>
      </c>
      <c r="N993" s="1" t="s">
        <v>44</v>
      </c>
      <c r="O993">
        <v>81</v>
      </c>
      <c r="P993">
        <v>3</v>
      </c>
      <c r="Q993">
        <v>2</v>
      </c>
      <c r="R993" s="1" t="s">
        <v>45</v>
      </c>
      <c r="S993">
        <v>3</v>
      </c>
      <c r="T993" s="1" t="s">
        <v>102</v>
      </c>
      <c r="U993">
        <v>3975</v>
      </c>
      <c r="V993" s="1" t="s">
        <v>47</v>
      </c>
      <c r="W993">
        <v>23099</v>
      </c>
      <c r="X993">
        <v>3</v>
      </c>
      <c r="Y993" s="1" t="s">
        <v>48</v>
      </c>
      <c r="Z993" s="1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8">
      <c r="A994" s="1" t="s">
        <v>1057</v>
      </c>
      <c r="B994">
        <v>40</v>
      </c>
      <c r="C994" s="1" t="s">
        <v>802</v>
      </c>
      <c r="D994" s="1" t="s">
        <v>49</v>
      </c>
      <c r="E994" s="1" t="s">
        <v>59</v>
      </c>
      <c r="F994">
        <v>218</v>
      </c>
      <c r="G994" s="1" t="s">
        <v>42</v>
      </c>
      <c r="H994">
        <v>8</v>
      </c>
      <c r="I994">
        <v>1</v>
      </c>
      <c r="J994" s="1" t="s">
        <v>52</v>
      </c>
      <c r="K994">
        <v>1</v>
      </c>
      <c r="L994">
        <v>1468</v>
      </c>
      <c r="M994">
        <v>4</v>
      </c>
      <c r="N994" s="1" t="s">
        <v>44</v>
      </c>
      <c r="O994">
        <v>55</v>
      </c>
      <c r="P994">
        <v>2</v>
      </c>
      <c r="Q994">
        <v>3</v>
      </c>
      <c r="R994" s="1" t="s">
        <v>252</v>
      </c>
      <c r="S994">
        <v>2</v>
      </c>
      <c r="T994" s="1" t="s">
        <v>102</v>
      </c>
      <c r="U994">
        <v>13757</v>
      </c>
      <c r="V994" s="1" t="s">
        <v>253</v>
      </c>
      <c r="W994">
        <v>25178</v>
      </c>
      <c r="X994">
        <v>2</v>
      </c>
      <c r="Y994" s="1" t="s">
        <v>48</v>
      </c>
      <c r="Z994" s="1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8">
      <c r="A995" s="1" t="s">
        <v>1058</v>
      </c>
      <c r="B995">
        <v>40</v>
      </c>
      <c r="C995" s="1" t="s">
        <v>802</v>
      </c>
      <c r="D995" s="1" t="s">
        <v>49</v>
      </c>
      <c r="E995" s="1" t="s">
        <v>41</v>
      </c>
      <c r="F995">
        <v>896</v>
      </c>
      <c r="G995" s="1" t="s">
        <v>42</v>
      </c>
      <c r="H995">
        <v>2</v>
      </c>
      <c r="I995">
        <v>3</v>
      </c>
      <c r="J995" s="1" t="s">
        <v>52</v>
      </c>
      <c r="K995">
        <v>1</v>
      </c>
      <c r="L995">
        <v>1474</v>
      </c>
      <c r="M995">
        <v>3</v>
      </c>
      <c r="N995" s="1" t="s">
        <v>44</v>
      </c>
      <c r="O995">
        <v>68</v>
      </c>
      <c r="P995">
        <v>3</v>
      </c>
      <c r="Q995">
        <v>1</v>
      </c>
      <c r="R995" s="1" t="s">
        <v>60</v>
      </c>
      <c r="S995">
        <v>3</v>
      </c>
      <c r="T995" s="1" t="s">
        <v>102</v>
      </c>
      <c r="U995">
        <v>2345</v>
      </c>
      <c r="V995" s="1" t="s">
        <v>47</v>
      </c>
      <c r="W995">
        <v>8045</v>
      </c>
      <c r="X995">
        <v>2</v>
      </c>
      <c r="Y995" s="1" t="s">
        <v>48</v>
      </c>
      <c r="Z995" s="1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8">
      <c r="A996" s="1" t="s">
        <v>1059</v>
      </c>
      <c r="B996">
        <v>40</v>
      </c>
      <c r="C996" s="1" t="s">
        <v>802</v>
      </c>
      <c r="D996" s="1" t="s">
        <v>40</v>
      </c>
      <c r="E996" s="1" t="s">
        <v>41</v>
      </c>
      <c r="F996">
        <v>676</v>
      </c>
      <c r="G996" s="1" t="s">
        <v>42</v>
      </c>
      <c r="H996">
        <v>9</v>
      </c>
      <c r="I996">
        <v>4</v>
      </c>
      <c r="J996" s="1" t="s">
        <v>43</v>
      </c>
      <c r="K996">
        <v>1</v>
      </c>
      <c r="L996">
        <v>1534</v>
      </c>
      <c r="M996">
        <v>4</v>
      </c>
      <c r="N996" s="1" t="s">
        <v>44</v>
      </c>
      <c r="O996">
        <v>86</v>
      </c>
      <c r="P996">
        <v>3</v>
      </c>
      <c r="Q996">
        <v>1</v>
      </c>
      <c r="R996" s="1" t="s">
        <v>45</v>
      </c>
      <c r="S996">
        <v>1</v>
      </c>
      <c r="T996" s="1" t="s">
        <v>46</v>
      </c>
      <c r="U996">
        <v>2018</v>
      </c>
      <c r="V996" s="1" t="s">
        <v>47</v>
      </c>
      <c r="W996">
        <v>21831</v>
      </c>
      <c r="X996">
        <v>3</v>
      </c>
      <c r="Y996" s="1" t="s">
        <v>48</v>
      </c>
      <c r="Z996" s="1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8">
      <c r="A997" s="1" t="s">
        <v>1060</v>
      </c>
      <c r="B997">
        <v>40</v>
      </c>
      <c r="C997" s="1" t="s">
        <v>802</v>
      </c>
      <c r="D997" s="1" t="s">
        <v>49</v>
      </c>
      <c r="E997" s="1" t="s">
        <v>41</v>
      </c>
      <c r="F997">
        <v>1342</v>
      </c>
      <c r="G997" s="1" t="s">
        <v>51</v>
      </c>
      <c r="H997">
        <v>9</v>
      </c>
      <c r="I997">
        <v>2</v>
      </c>
      <c r="J997" s="1" t="s">
        <v>52</v>
      </c>
      <c r="K997">
        <v>1</v>
      </c>
      <c r="L997">
        <v>1548</v>
      </c>
      <c r="M997">
        <v>1</v>
      </c>
      <c r="N997" s="1" t="s">
        <v>44</v>
      </c>
      <c r="O997">
        <v>47</v>
      </c>
      <c r="P997">
        <v>3</v>
      </c>
      <c r="Q997">
        <v>2</v>
      </c>
      <c r="R997" s="1" t="s">
        <v>137</v>
      </c>
      <c r="S997">
        <v>1</v>
      </c>
      <c r="T997" s="1" t="s">
        <v>105</v>
      </c>
      <c r="U997">
        <v>5473</v>
      </c>
      <c r="V997" s="1" t="s">
        <v>163</v>
      </c>
      <c r="W997">
        <v>19345</v>
      </c>
      <c r="X997">
        <v>0</v>
      </c>
      <c r="Y997" s="1" t="s">
        <v>48</v>
      </c>
      <c r="Z997" s="1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8">
      <c r="A998" s="1" t="s">
        <v>1061</v>
      </c>
      <c r="B998">
        <v>40</v>
      </c>
      <c r="C998" s="1" t="s">
        <v>802</v>
      </c>
      <c r="D998" s="1" t="s">
        <v>49</v>
      </c>
      <c r="E998" s="1" t="s">
        <v>41</v>
      </c>
      <c r="F998">
        <v>898</v>
      </c>
      <c r="G998" s="1" t="s">
        <v>71</v>
      </c>
      <c r="H998">
        <v>6</v>
      </c>
      <c r="I998">
        <v>2</v>
      </c>
      <c r="J998" s="1" t="s">
        <v>52</v>
      </c>
      <c r="K998">
        <v>1</v>
      </c>
      <c r="L998">
        <v>1550</v>
      </c>
      <c r="M998">
        <v>3</v>
      </c>
      <c r="N998" s="1" t="s">
        <v>44</v>
      </c>
      <c r="O998">
        <v>38</v>
      </c>
      <c r="P998">
        <v>3</v>
      </c>
      <c r="Q998">
        <v>4</v>
      </c>
      <c r="R998" s="1" t="s">
        <v>442</v>
      </c>
      <c r="S998">
        <v>4</v>
      </c>
      <c r="T998" s="1" t="s">
        <v>46</v>
      </c>
      <c r="U998">
        <v>16437</v>
      </c>
      <c r="V998" s="1" t="s">
        <v>368</v>
      </c>
      <c r="W998">
        <v>17381</v>
      </c>
      <c r="X998">
        <v>1</v>
      </c>
      <c r="Y998" s="1" t="s">
        <v>48</v>
      </c>
      <c r="Z998" s="1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8">
      <c r="A999" s="1" t="s">
        <v>1062</v>
      </c>
      <c r="B999">
        <v>40</v>
      </c>
      <c r="C999" s="1" t="s">
        <v>802</v>
      </c>
      <c r="D999" s="1" t="s">
        <v>49</v>
      </c>
      <c r="E999" s="1" t="s">
        <v>59</v>
      </c>
      <c r="F999">
        <v>1142</v>
      </c>
      <c r="G999" s="1" t="s">
        <v>42</v>
      </c>
      <c r="H999">
        <v>8</v>
      </c>
      <c r="I999">
        <v>2</v>
      </c>
      <c r="J999" s="1" t="s">
        <v>43</v>
      </c>
      <c r="K999">
        <v>1</v>
      </c>
      <c r="L999">
        <v>1552</v>
      </c>
      <c r="M999">
        <v>4</v>
      </c>
      <c r="N999" s="1" t="s">
        <v>44</v>
      </c>
      <c r="O999">
        <v>72</v>
      </c>
      <c r="P999">
        <v>3</v>
      </c>
      <c r="Q999">
        <v>2</v>
      </c>
      <c r="R999" s="1" t="s">
        <v>161</v>
      </c>
      <c r="S999">
        <v>4</v>
      </c>
      <c r="T999" s="1" t="s">
        <v>102</v>
      </c>
      <c r="U999">
        <v>4069</v>
      </c>
      <c r="V999" s="1" t="s">
        <v>47</v>
      </c>
      <c r="W999">
        <v>8841</v>
      </c>
      <c r="X999">
        <v>3</v>
      </c>
      <c r="Y999" s="1" t="s">
        <v>48</v>
      </c>
      <c r="Z999" s="1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8">
      <c r="A1000" s="1" t="s">
        <v>1063</v>
      </c>
      <c r="B1000">
        <v>40</v>
      </c>
      <c r="C1000" s="1" t="s">
        <v>802</v>
      </c>
      <c r="D1000" s="1" t="s">
        <v>49</v>
      </c>
      <c r="E1000" s="1" t="s">
        <v>41</v>
      </c>
      <c r="F1000">
        <v>118</v>
      </c>
      <c r="G1000" s="1" t="s">
        <v>51</v>
      </c>
      <c r="H1000">
        <v>14</v>
      </c>
      <c r="I1000">
        <v>2</v>
      </c>
      <c r="J1000" s="1" t="s">
        <v>43</v>
      </c>
      <c r="K1000">
        <v>1</v>
      </c>
      <c r="L1000">
        <v>1598</v>
      </c>
      <c r="M1000">
        <v>4</v>
      </c>
      <c r="N1000" s="1" t="s">
        <v>53</v>
      </c>
      <c r="O1000">
        <v>84</v>
      </c>
      <c r="P1000">
        <v>3</v>
      </c>
      <c r="Q1000">
        <v>2</v>
      </c>
      <c r="R1000" s="1" t="s">
        <v>137</v>
      </c>
      <c r="S1000">
        <v>1</v>
      </c>
      <c r="T1000" s="1" t="s">
        <v>105</v>
      </c>
      <c r="U1000">
        <v>4639</v>
      </c>
      <c r="V1000" s="1" t="s">
        <v>47</v>
      </c>
      <c r="W1000">
        <v>11262</v>
      </c>
      <c r="X1000">
        <v>1</v>
      </c>
      <c r="Y1000" s="1" t="s">
        <v>48</v>
      </c>
      <c r="Z1000" s="1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8">
      <c r="A1001" s="1" t="s">
        <v>1064</v>
      </c>
      <c r="B1001">
        <v>40</v>
      </c>
      <c r="C1001" s="1" t="s">
        <v>802</v>
      </c>
      <c r="D1001" s="1" t="s">
        <v>49</v>
      </c>
      <c r="E1001" s="1" t="s">
        <v>41</v>
      </c>
      <c r="F1001">
        <v>884</v>
      </c>
      <c r="G1001" s="1" t="s">
        <v>42</v>
      </c>
      <c r="H1001">
        <v>15</v>
      </c>
      <c r="I1001">
        <v>3</v>
      </c>
      <c r="J1001" s="1" t="s">
        <v>43</v>
      </c>
      <c r="K1001">
        <v>1</v>
      </c>
      <c r="L1001">
        <v>1628</v>
      </c>
      <c r="M1001">
        <v>1</v>
      </c>
      <c r="N1001" s="1" t="s">
        <v>53</v>
      </c>
      <c r="O1001">
        <v>80</v>
      </c>
      <c r="P1001">
        <v>2</v>
      </c>
      <c r="Q1001">
        <v>3</v>
      </c>
      <c r="R1001" s="1" t="s">
        <v>112</v>
      </c>
      <c r="S1001">
        <v>3</v>
      </c>
      <c r="T1001" s="1" t="s">
        <v>105</v>
      </c>
      <c r="U1001">
        <v>10435</v>
      </c>
      <c r="V1001" s="1" t="s">
        <v>253</v>
      </c>
      <c r="W1001">
        <v>25800</v>
      </c>
      <c r="X1001">
        <v>1</v>
      </c>
      <c r="Y1001" s="1" t="s">
        <v>48</v>
      </c>
      <c r="Z1001" s="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8">
      <c r="A1002" s="1" t="s">
        <v>1065</v>
      </c>
      <c r="B1002">
        <v>40</v>
      </c>
      <c r="C1002" s="1" t="s">
        <v>802</v>
      </c>
      <c r="D1002" s="1" t="s">
        <v>49</v>
      </c>
      <c r="E1002" s="1" t="s">
        <v>41</v>
      </c>
      <c r="F1002">
        <v>448</v>
      </c>
      <c r="G1002" s="1" t="s">
        <v>42</v>
      </c>
      <c r="H1002">
        <v>16</v>
      </c>
      <c r="I1002">
        <v>3</v>
      </c>
      <c r="J1002" s="1" t="s">
        <v>43</v>
      </c>
      <c r="K1002">
        <v>1</v>
      </c>
      <c r="L1002">
        <v>1641</v>
      </c>
      <c r="M1002">
        <v>3</v>
      </c>
      <c r="N1002" s="1" t="s">
        <v>53</v>
      </c>
      <c r="O1002">
        <v>84</v>
      </c>
      <c r="P1002">
        <v>3</v>
      </c>
      <c r="Q1002">
        <v>3</v>
      </c>
      <c r="R1002" s="1" t="s">
        <v>112</v>
      </c>
      <c r="S1002">
        <v>4</v>
      </c>
      <c r="T1002" s="1" t="s">
        <v>46</v>
      </c>
      <c r="U1002">
        <v>7945</v>
      </c>
      <c r="V1002" s="1" t="s">
        <v>163</v>
      </c>
      <c r="W1002">
        <v>19948</v>
      </c>
      <c r="X1002">
        <v>6</v>
      </c>
      <c r="Y1002" s="1" t="s">
        <v>48</v>
      </c>
      <c r="Z1002" s="1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8">
      <c r="A1003" s="1" t="s">
        <v>1066</v>
      </c>
      <c r="B1003">
        <v>40</v>
      </c>
      <c r="C1003" s="1" t="s">
        <v>802</v>
      </c>
      <c r="D1003" s="1" t="s">
        <v>40</v>
      </c>
      <c r="E1003" s="1" t="s">
        <v>41</v>
      </c>
      <c r="F1003">
        <v>1329</v>
      </c>
      <c r="G1003" s="1" t="s">
        <v>42</v>
      </c>
      <c r="H1003">
        <v>7</v>
      </c>
      <c r="I1003">
        <v>3</v>
      </c>
      <c r="J1003" s="1" t="s">
        <v>43</v>
      </c>
      <c r="K1003">
        <v>1</v>
      </c>
      <c r="L1003">
        <v>1649</v>
      </c>
      <c r="M1003">
        <v>1</v>
      </c>
      <c r="N1003" s="1" t="s">
        <v>44</v>
      </c>
      <c r="O1003">
        <v>73</v>
      </c>
      <c r="P1003">
        <v>3</v>
      </c>
      <c r="Q1003">
        <v>1</v>
      </c>
      <c r="R1003" s="1" t="s">
        <v>45</v>
      </c>
      <c r="S1003">
        <v>1</v>
      </c>
      <c r="T1003" s="1" t="s">
        <v>46</v>
      </c>
      <c r="U1003">
        <v>2166</v>
      </c>
      <c r="V1003" s="1" t="s">
        <v>47</v>
      </c>
      <c r="W1003">
        <v>3339</v>
      </c>
      <c r="X1003">
        <v>3</v>
      </c>
      <c r="Y1003" s="1" t="s">
        <v>48</v>
      </c>
      <c r="Z1003" s="1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8">
      <c r="A1004" s="1" t="s">
        <v>1067</v>
      </c>
      <c r="B1004">
        <v>40</v>
      </c>
      <c r="C1004" s="1" t="s">
        <v>802</v>
      </c>
      <c r="D1004" s="1" t="s">
        <v>49</v>
      </c>
      <c r="E1004" s="1" t="s">
        <v>41</v>
      </c>
      <c r="F1004">
        <v>369</v>
      </c>
      <c r="G1004" s="1" t="s">
        <v>42</v>
      </c>
      <c r="H1004">
        <v>8</v>
      </c>
      <c r="I1004">
        <v>2</v>
      </c>
      <c r="J1004" s="1" t="s">
        <v>43</v>
      </c>
      <c r="K1004">
        <v>1</v>
      </c>
      <c r="L1004">
        <v>1724</v>
      </c>
      <c r="M1004">
        <v>2</v>
      </c>
      <c r="N1004" s="1" t="s">
        <v>53</v>
      </c>
      <c r="O1004">
        <v>92</v>
      </c>
      <c r="P1004">
        <v>3</v>
      </c>
      <c r="Q1004">
        <v>2</v>
      </c>
      <c r="R1004" s="1" t="s">
        <v>112</v>
      </c>
      <c r="S1004">
        <v>1</v>
      </c>
      <c r="T1004" s="1" t="s">
        <v>105</v>
      </c>
      <c r="U1004">
        <v>6516</v>
      </c>
      <c r="V1004" s="1" t="s">
        <v>163</v>
      </c>
      <c r="W1004">
        <v>5041</v>
      </c>
      <c r="X1004">
        <v>2</v>
      </c>
      <c r="Y1004" s="1" t="s">
        <v>48</v>
      </c>
      <c r="Z1004" s="1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8">
      <c r="A1005" s="1" t="s">
        <v>1068</v>
      </c>
      <c r="B1005">
        <v>40</v>
      </c>
      <c r="C1005" s="1" t="s">
        <v>802</v>
      </c>
      <c r="D1005" s="1" t="s">
        <v>49</v>
      </c>
      <c r="E1005" s="1" t="s">
        <v>41</v>
      </c>
      <c r="F1005">
        <v>611</v>
      </c>
      <c r="G1005" s="1" t="s">
        <v>51</v>
      </c>
      <c r="H1005">
        <v>7</v>
      </c>
      <c r="I1005">
        <v>4</v>
      </c>
      <c r="J1005" s="1" t="s">
        <v>52</v>
      </c>
      <c r="K1005">
        <v>1</v>
      </c>
      <c r="L1005">
        <v>1740</v>
      </c>
      <c r="M1005">
        <v>2</v>
      </c>
      <c r="N1005" s="1" t="s">
        <v>44</v>
      </c>
      <c r="O1005">
        <v>88</v>
      </c>
      <c r="P1005">
        <v>3</v>
      </c>
      <c r="Q1005">
        <v>5</v>
      </c>
      <c r="R1005" s="1" t="s">
        <v>442</v>
      </c>
      <c r="S1005">
        <v>2</v>
      </c>
      <c r="T1005" s="1" t="s">
        <v>46</v>
      </c>
      <c r="U1005">
        <v>19833</v>
      </c>
      <c r="V1005" s="1" t="s">
        <v>368</v>
      </c>
      <c r="W1005">
        <v>4349</v>
      </c>
      <c r="X1005">
        <v>1</v>
      </c>
      <c r="Y1005" s="1" t="s">
        <v>48</v>
      </c>
      <c r="Z1005" s="1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8">
      <c r="A1006" s="1" t="s">
        <v>1069</v>
      </c>
      <c r="B1006">
        <v>40</v>
      </c>
      <c r="C1006" s="1" t="s">
        <v>802</v>
      </c>
      <c r="D1006" s="1" t="s">
        <v>49</v>
      </c>
      <c r="E1006" s="1" t="s">
        <v>41</v>
      </c>
      <c r="F1006">
        <v>616</v>
      </c>
      <c r="G1006" s="1" t="s">
        <v>42</v>
      </c>
      <c r="H1006">
        <v>2</v>
      </c>
      <c r="I1006">
        <v>2</v>
      </c>
      <c r="J1006" s="1" t="s">
        <v>43</v>
      </c>
      <c r="K1006">
        <v>1</v>
      </c>
      <c r="L1006">
        <v>1802</v>
      </c>
      <c r="M1006">
        <v>3</v>
      </c>
      <c r="N1006" s="1" t="s">
        <v>53</v>
      </c>
      <c r="O1006">
        <v>99</v>
      </c>
      <c r="P1006">
        <v>3</v>
      </c>
      <c r="Q1006">
        <v>1</v>
      </c>
      <c r="R1006" s="1" t="s">
        <v>45</v>
      </c>
      <c r="S1006">
        <v>1</v>
      </c>
      <c r="T1006" s="1" t="s">
        <v>105</v>
      </c>
      <c r="U1006">
        <v>3377</v>
      </c>
      <c r="V1006" s="1" t="s">
        <v>47</v>
      </c>
      <c r="W1006">
        <v>25605</v>
      </c>
      <c r="X1006">
        <v>4</v>
      </c>
      <c r="Y1006" s="1" t="s">
        <v>48</v>
      </c>
      <c r="Z1006" s="1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8">
      <c r="A1007" s="1" t="s">
        <v>1070</v>
      </c>
      <c r="B1007">
        <v>40</v>
      </c>
      <c r="C1007" s="1" t="s">
        <v>802</v>
      </c>
      <c r="D1007" s="1" t="s">
        <v>49</v>
      </c>
      <c r="E1007" s="1" t="s">
        <v>41</v>
      </c>
      <c r="F1007">
        <v>1194</v>
      </c>
      <c r="G1007" s="1" t="s">
        <v>42</v>
      </c>
      <c r="H1007">
        <v>1</v>
      </c>
      <c r="I1007">
        <v>3</v>
      </c>
      <c r="J1007" s="1" t="s">
        <v>43</v>
      </c>
      <c r="K1007">
        <v>1</v>
      </c>
      <c r="L1007">
        <v>1822</v>
      </c>
      <c r="M1007">
        <v>3</v>
      </c>
      <c r="N1007" s="1" t="s">
        <v>53</v>
      </c>
      <c r="O1007">
        <v>52</v>
      </c>
      <c r="P1007">
        <v>3</v>
      </c>
      <c r="Q1007">
        <v>2</v>
      </c>
      <c r="R1007" s="1" t="s">
        <v>161</v>
      </c>
      <c r="S1007">
        <v>4</v>
      </c>
      <c r="T1007" s="1" t="s">
        <v>102</v>
      </c>
      <c r="U1007">
        <v>6513</v>
      </c>
      <c r="V1007" s="1" t="s">
        <v>163</v>
      </c>
      <c r="W1007">
        <v>9060</v>
      </c>
      <c r="X1007">
        <v>4</v>
      </c>
      <c r="Y1007" s="1" t="s">
        <v>48</v>
      </c>
      <c r="Z1007" s="1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8">
      <c r="A1008" s="1" t="s">
        <v>1071</v>
      </c>
      <c r="B1008">
        <v>40</v>
      </c>
      <c r="C1008" s="1" t="s">
        <v>802</v>
      </c>
      <c r="D1008" s="1" t="s">
        <v>49</v>
      </c>
      <c r="E1008" s="1" t="s">
        <v>41</v>
      </c>
      <c r="F1008">
        <v>750</v>
      </c>
      <c r="G1008" s="1" t="s">
        <v>42</v>
      </c>
      <c r="H1008">
        <v>12</v>
      </c>
      <c r="I1008">
        <v>3</v>
      </c>
      <c r="J1008" s="1" t="s">
        <v>43</v>
      </c>
      <c r="K1008">
        <v>1</v>
      </c>
      <c r="L1008">
        <v>1829</v>
      </c>
      <c r="M1008">
        <v>2</v>
      </c>
      <c r="N1008" s="1" t="s">
        <v>53</v>
      </c>
      <c r="O1008">
        <v>47</v>
      </c>
      <c r="P1008">
        <v>3</v>
      </c>
      <c r="Q1008">
        <v>2</v>
      </c>
      <c r="R1008" s="1" t="s">
        <v>161</v>
      </c>
      <c r="S1008">
        <v>1</v>
      </c>
      <c r="T1008" s="1" t="s">
        <v>102</v>
      </c>
      <c r="U1008">
        <v>4448</v>
      </c>
      <c r="V1008" s="1" t="s">
        <v>47</v>
      </c>
      <c r="W1008">
        <v>10748</v>
      </c>
      <c r="X1008">
        <v>2</v>
      </c>
      <c r="Y1008" s="1" t="s">
        <v>48</v>
      </c>
      <c r="Z1008" s="1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8">
      <c r="A1009" s="1" t="s">
        <v>1072</v>
      </c>
      <c r="B1009">
        <v>40</v>
      </c>
      <c r="C1009" s="1" t="s">
        <v>802</v>
      </c>
      <c r="D1009" s="1" t="s">
        <v>49</v>
      </c>
      <c r="E1009" s="1" t="s">
        <v>41</v>
      </c>
      <c r="F1009">
        <v>1137</v>
      </c>
      <c r="G1009" s="1" t="s">
        <v>42</v>
      </c>
      <c r="H1009">
        <v>1</v>
      </c>
      <c r="I1009">
        <v>4</v>
      </c>
      <c r="J1009" s="1" t="s">
        <v>43</v>
      </c>
      <c r="K1009">
        <v>1</v>
      </c>
      <c r="L1009">
        <v>1892</v>
      </c>
      <c r="M1009">
        <v>1</v>
      </c>
      <c r="N1009" s="1" t="s">
        <v>44</v>
      </c>
      <c r="O1009">
        <v>98</v>
      </c>
      <c r="P1009">
        <v>3</v>
      </c>
      <c r="Q1009">
        <v>4</v>
      </c>
      <c r="R1009" s="1" t="s">
        <v>442</v>
      </c>
      <c r="S1009">
        <v>1</v>
      </c>
      <c r="T1009" s="1" t="s">
        <v>102</v>
      </c>
      <c r="U1009">
        <v>16823</v>
      </c>
      <c r="V1009" s="1" t="s">
        <v>368</v>
      </c>
      <c r="W1009">
        <v>18991</v>
      </c>
      <c r="X1009">
        <v>2</v>
      </c>
      <c r="Y1009" s="1" t="s">
        <v>48</v>
      </c>
      <c r="Z1009" s="1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8">
      <c r="A1010" s="1" t="s">
        <v>1073</v>
      </c>
      <c r="B1010">
        <v>40</v>
      </c>
      <c r="C1010" s="1" t="s">
        <v>802</v>
      </c>
      <c r="D1010" s="1" t="s">
        <v>49</v>
      </c>
      <c r="E1010" s="1" t="s">
        <v>56</v>
      </c>
      <c r="F1010">
        <v>692</v>
      </c>
      <c r="G1010" s="1" t="s">
        <v>42</v>
      </c>
      <c r="H1010">
        <v>11</v>
      </c>
      <c r="I1010">
        <v>3</v>
      </c>
      <c r="J1010" s="1" t="s">
        <v>68</v>
      </c>
      <c r="K1010">
        <v>1</v>
      </c>
      <c r="L1010">
        <v>1985</v>
      </c>
      <c r="M1010">
        <v>4</v>
      </c>
      <c r="N1010" s="1" t="s">
        <v>53</v>
      </c>
      <c r="O1010">
        <v>73</v>
      </c>
      <c r="P1010">
        <v>3</v>
      </c>
      <c r="Q1010">
        <v>2</v>
      </c>
      <c r="R1010" s="1" t="s">
        <v>45</v>
      </c>
      <c r="S1010">
        <v>3</v>
      </c>
      <c r="T1010" s="1" t="s">
        <v>105</v>
      </c>
      <c r="U1010">
        <v>6323</v>
      </c>
      <c r="V1010" s="1" t="s">
        <v>163</v>
      </c>
      <c r="W1010">
        <v>26849</v>
      </c>
      <c r="X1010">
        <v>1</v>
      </c>
      <c r="Y1010" s="1" t="s">
        <v>48</v>
      </c>
      <c r="Z1010" s="1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8">
      <c r="A1011" s="1" t="s">
        <v>1074</v>
      </c>
      <c r="B1011">
        <v>40</v>
      </c>
      <c r="C1011" s="1" t="s">
        <v>802</v>
      </c>
      <c r="D1011" s="1" t="s">
        <v>49</v>
      </c>
      <c r="E1011" s="1" t="s">
        <v>41</v>
      </c>
      <c r="F1011">
        <v>444</v>
      </c>
      <c r="G1011" s="1" t="s">
        <v>51</v>
      </c>
      <c r="H1011">
        <v>2</v>
      </c>
      <c r="I1011">
        <v>2</v>
      </c>
      <c r="J1011" s="1" t="s">
        <v>57</v>
      </c>
      <c r="K1011">
        <v>1</v>
      </c>
      <c r="L1011">
        <v>1986</v>
      </c>
      <c r="M1011">
        <v>2</v>
      </c>
      <c r="N1011" s="1" t="s">
        <v>53</v>
      </c>
      <c r="O1011">
        <v>92</v>
      </c>
      <c r="P1011">
        <v>3</v>
      </c>
      <c r="Q1011">
        <v>2</v>
      </c>
      <c r="R1011" s="1" t="s">
        <v>137</v>
      </c>
      <c r="S1011">
        <v>2</v>
      </c>
      <c r="T1011" s="1" t="s">
        <v>105</v>
      </c>
      <c r="U1011">
        <v>5677</v>
      </c>
      <c r="V1011" s="1" t="s">
        <v>163</v>
      </c>
      <c r="W1011">
        <v>4258</v>
      </c>
      <c r="X1011">
        <v>3</v>
      </c>
      <c r="Y1011" s="1" t="s">
        <v>48</v>
      </c>
      <c r="Z1011" s="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8">
      <c r="A1012" s="1" t="s">
        <v>1075</v>
      </c>
      <c r="B1012">
        <v>40</v>
      </c>
      <c r="C1012" s="1" t="s">
        <v>802</v>
      </c>
      <c r="D1012" s="1" t="s">
        <v>49</v>
      </c>
      <c r="E1012" s="1" t="s">
        <v>41</v>
      </c>
      <c r="F1012">
        <v>543</v>
      </c>
      <c r="G1012" s="1" t="s">
        <v>42</v>
      </c>
      <c r="H1012">
        <v>1</v>
      </c>
      <c r="I1012">
        <v>4</v>
      </c>
      <c r="J1012" s="1" t="s">
        <v>43</v>
      </c>
      <c r="K1012">
        <v>1</v>
      </c>
      <c r="L1012">
        <v>2012</v>
      </c>
      <c r="M1012">
        <v>1</v>
      </c>
      <c r="N1012" s="1" t="s">
        <v>44</v>
      </c>
      <c r="O1012">
        <v>83</v>
      </c>
      <c r="P1012">
        <v>3</v>
      </c>
      <c r="Q1012">
        <v>1</v>
      </c>
      <c r="R1012" s="1" t="s">
        <v>45</v>
      </c>
      <c r="S1012">
        <v>4</v>
      </c>
      <c r="T1012" s="1" t="s">
        <v>105</v>
      </c>
      <c r="U1012">
        <v>2406</v>
      </c>
      <c r="V1012" s="1" t="s">
        <v>47</v>
      </c>
      <c r="W1012">
        <v>4060</v>
      </c>
      <c r="X1012">
        <v>8</v>
      </c>
      <c r="Y1012" s="1" t="s">
        <v>48</v>
      </c>
      <c r="Z1012" s="1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8">
      <c r="A1013" s="1" t="s">
        <v>1076</v>
      </c>
      <c r="B1013">
        <v>40</v>
      </c>
      <c r="C1013" s="1" t="s">
        <v>802</v>
      </c>
      <c r="D1013" s="1" t="s">
        <v>49</v>
      </c>
      <c r="E1013" s="1" t="s">
        <v>41</v>
      </c>
      <c r="F1013">
        <v>1322</v>
      </c>
      <c r="G1013" s="1" t="s">
        <v>42</v>
      </c>
      <c r="H1013">
        <v>2</v>
      </c>
      <c r="I1013">
        <v>4</v>
      </c>
      <c r="J1013" s="1" t="s">
        <v>43</v>
      </c>
      <c r="K1013">
        <v>1</v>
      </c>
      <c r="L1013">
        <v>2048</v>
      </c>
      <c r="M1013">
        <v>3</v>
      </c>
      <c r="N1013" s="1" t="s">
        <v>44</v>
      </c>
      <c r="O1013">
        <v>52</v>
      </c>
      <c r="P1013">
        <v>2</v>
      </c>
      <c r="Q1013">
        <v>1</v>
      </c>
      <c r="R1013" s="1" t="s">
        <v>60</v>
      </c>
      <c r="S1013">
        <v>3</v>
      </c>
      <c r="T1013" s="1" t="s">
        <v>46</v>
      </c>
      <c r="U1013">
        <v>2809</v>
      </c>
      <c r="V1013" s="1" t="s">
        <v>47</v>
      </c>
      <c r="W1013">
        <v>2725</v>
      </c>
      <c r="X1013">
        <v>2</v>
      </c>
      <c r="Y1013" s="1" t="s">
        <v>48</v>
      </c>
      <c r="Z1013" s="1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8">
      <c r="A1014" s="1" t="s">
        <v>1077</v>
      </c>
      <c r="B1014">
        <v>40</v>
      </c>
      <c r="C1014" s="1" t="s">
        <v>802</v>
      </c>
      <c r="D1014" s="1" t="s">
        <v>49</v>
      </c>
      <c r="E1014" s="1" t="s">
        <v>41</v>
      </c>
      <c r="F1014">
        <v>1194</v>
      </c>
      <c r="G1014" s="1" t="s">
        <v>42</v>
      </c>
      <c r="H1014">
        <v>2</v>
      </c>
      <c r="I1014">
        <v>4</v>
      </c>
      <c r="J1014" s="1" t="s">
        <v>52</v>
      </c>
      <c r="K1014">
        <v>1</v>
      </c>
      <c r="L1014">
        <v>2051</v>
      </c>
      <c r="M1014">
        <v>3</v>
      </c>
      <c r="N1014" s="1" t="s">
        <v>53</v>
      </c>
      <c r="O1014">
        <v>98</v>
      </c>
      <c r="P1014">
        <v>3</v>
      </c>
      <c r="Q1014">
        <v>1</v>
      </c>
      <c r="R1014" s="1" t="s">
        <v>60</v>
      </c>
      <c r="S1014">
        <v>3</v>
      </c>
      <c r="T1014" s="1" t="s">
        <v>105</v>
      </c>
      <c r="U1014">
        <v>2001</v>
      </c>
      <c r="V1014" s="1" t="s">
        <v>47</v>
      </c>
      <c r="W1014">
        <v>12549</v>
      </c>
      <c r="X1014">
        <v>2</v>
      </c>
      <c r="Y1014" s="1" t="s">
        <v>48</v>
      </c>
      <c r="Z1014" s="1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8">
      <c r="A1015" s="1" t="s">
        <v>1078</v>
      </c>
      <c r="B1015">
        <v>41</v>
      </c>
      <c r="C1015" s="1" t="s">
        <v>802</v>
      </c>
      <c r="D1015" s="1" t="s">
        <v>40</v>
      </c>
      <c r="E1015" s="1" t="s">
        <v>41</v>
      </c>
      <c r="F1015">
        <v>1102</v>
      </c>
      <c r="G1015" s="1" t="s">
        <v>51</v>
      </c>
      <c r="H1015">
        <v>1</v>
      </c>
      <c r="I1015">
        <v>2</v>
      </c>
      <c r="J1015" s="1" t="s">
        <v>43</v>
      </c>
      <c r="K1015">
        <v>1</v>
      </c>
      <c r="L1015">
        <v>1</v>
      </c>
      <c r="M1015">
        <v>2</v>
      </c>
      <c r="N1015" s="1" t="s">
        <v>53</v>
      </c>
      <c r="O1015">
        <v>94</v>
      </c>
      <c r="P1015">
        <v>3</v>
      </c>
      <c r="Q1015">
        <v>2</v>
      </c>
      <c r="R1015" s="1" t="s">
        <v>137</v>
      </c>
      <c r="S1015">
        <v>4</v>
      </c>
      <c r="T1015" s="1" t="s">
        <v>46</v>
      </c>
      <c r="U1015">
        <v>5993</v>
      </c>
      <c r="V1015" s="1" t="s">
        <v>163</v>
      </c>
      <c r="W1015">
        <v>19479</v>
      </c>
      <c r="X1015">
        <v>8</v>
      </c>
      <c r="Y1015" s="1" t="s">
        <v>48</v>
      </c>
      <c r="Z1015" s="1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8">
      <c r="A1016" s="1" t="s">
        <v>1079</v>
      </c>
      <c r="B1016">
        <v>41</v>
      </c>
      <c r="C1016" s="1" t="s">
        <v>802</v>
      </c>
      <c r="D1016" s="1" t="s">
        <v>40</v>
      </c>
      <c r="E1016" s="1" t="s">
        <v>41</v>
      </c>
      <c r="F1016">
        <v>1360</v>
      </c>
      <c r="G1016" s="1" t="s">
        <v>42</v>
      </c>
      <c r="H1016">
        <v>12</v>
      </c>
      <c r="I1016">
        <v>3</v>
      </c>
      <c r="J1016" s="1" t="s">
        <v>68</v>
      </c>
      <c r="K1016">
        <v>1</v>
      </c>
      <c r="L1016">
        <v>58</v>
      </c>
      <c r="M1016">
        <v>2</v>
      </c>
      <c r="N1016" s="1" t="s">
        <v>53</v>
      </c>
      <c r="O1016">
        <v>49</v>
      </c>
      <c r="P1016">
        <v>3</v>
      </c>
      <c r="Q1016">
        <v>5</v>
      </c>
      <c r="R1016" s="1" t="s">
        <v>252</v>
      </c>
      <c r="S1016">
        <v>3</v>
      </c>
      <c r="T1016" s="1" t="s">
        <v>105</v>
      </c>
      <c r="U1016">
        <v>19545</v>
      </c>
      <c r="V1016" s="1" t="s">
        <v>368</v>
      </c>
      <c r="W1016">
        <v>16280</v>
      </c>
      <c r="X1016">
        <v>1</v>
      </c>
      <c r="Y1016" s="1" t="s">
        <v>48</v>
      </c>
      <c r="Z1016" s="1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8">
      <c r="A1017" s="1" t="s">
        <v>1080</v>
      </c>
      <c r="B1017">
        <v>41</v>
      </c>
      <c r="C1017" s="1" t="s">
        <v>802</v>
      </c>
      <c r="D1017" s="1" t="s">
        <v>49</v>
      </c>
      <c r="E1017" s="1" t="s">
        <v>41</v>
      </c>
      <c r="F1017">
        <v>802</v>
      </c>
      <c r="G1017" s="1" t="s">
        <v>51</v>
      </c>
      <c r="H1017">
        <v>9</v>
      </c>
      <c r="I1017">
        <v>1</v>
      </c>
      <c r="J1017" s="1" t="s">
        <v>43</v>
      </c>
      <c r="K1017">
        <v>1</v>
      </c>
      <c r="L1017">
        <v>176</v>
      </c>
      <c r="M1017">
        <v>3</v>
      </c>
      <c r="N1017" s="1" t="s">
        <v>44</v>
      </c>
      <c r="O1017">
        <v>96</v>
      </c>
      <c r="P1017">
        <v>3</v>
      </c>
      <c r="Q1017">
        <v>3</v>
      </c>
      <c r="R1017" s="1" t="s">
        <v>137</v>
      </c>
      <c r="S1017">
        <v>3</v>
      </c>
      <c r="T1017" s="1" t="s">
        <v>102</v>
      </c>
      <c r="U1017">
        <v>8189</v>
      </c>
      <c r="V1017" s="1" t="s">
        <v>163</v>
      </c>
      <c r="W1017">
        <v>21196</v>
      </c>
      <c r="X1017">
        <v>3</v>
      </c>
      <c r="Y1017" s="1" t="s">
        <v>48</v>
      </c>
      <c r="Z1017" s="1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8">
      <c r="A1018" s="1" t="s">
        <v>1081</v>
      </c>
      <c r="B1018">
        <v>41</v>
      </c>
      <c r="C1018" s="1" t="s">
        <v>802</v>
      </c>
      <c r="D1018" s="1" t="s">
        <v>49</v>
      </c>
      <c r="E1018" s="1" t="s">
        <v>56</v>
      </c>
      <c r="F1018">
        <v>857</v>
      </c>
      <c r="G1018" s="1" t="s">
        <v>42</v>
      </c>
      <c r="H1018">
        <v>10</v>
      </c>
      <c r="I1018">
        <v>3</v>
      </c>
      <c r="J1018" s="1" t="s">
        <v>43</v>
      </c>
      <c r="K1018">
        <v>1</v>
      </c>
      <c r="L1018">
        <v>199</v>
      </c>
      <c r="M1018">
        <v>4</v>
      </c>
      <c r="N1018" s="1" t="s">
        <v>44</v>
      </c>
      <c r="O1018">
        <v>91</v>
      </c>
      <c r="P1018">
        <v>2</v>
      </c>
      <c r="Q1018">
        <v>4</v>
      </c>
      <c r="R1018" s="1" t="s">
        <v>442</v>
      </c>
      <c r="S1018">
        <v>1</v>
      </c>
      <c r="T1018" s="1" t="s">
        <v>102</v>
      </c>
      <c r="U1018">
        <v>17181</v>
      </c>
      <c r="V1018" s="1" t="s">
        <v>368</v>
      </c>
      <c r="W1018">
        <v>12888</v>
      </c>
      <c r="X1018">
        <v>4</v>
      </c>
      <c r="Y1018" s="1" t="s">
        <v>48</v>
      </c>
      <c r="Z1018" s="1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8">
      <c r="A1019" s="1" t="s">
        <v>1082</v>
      </c>
      <c r="B1019">
        <v>41</v>
      </c>
      <c r="C1019" s="1" t="s">
        <v>802</v>
      </c>
      <c r="D1019" s="1" t="s">
        <v>49</v>
      </c>
      <c r="E1019" s="1" t="s">
        <v>41</v>
      </c>
      <c r="F1019">
        <v>933</v>
      </c>
      <c r="G1019" s="1" t="s">
        <v>42</v>
      </c>
      <c r="H1019">
        <v>9</v>
      </c>
      <c r="I1019">
        <v>4</v>
      </c>
      <c r="J1019" s="1" t="s">
        <v>43</v>
      </c>
      <c r="K1019">
        <v>1</v>
      </c>
      <c r="L1019">
        <v>200</v>
      </c>
      <c r="M1019">
        <v>3</v>
      </c>
      <c r="N1019" s="1" t="s">
        <v>44</v>
      </c>
      <c r="O1019">
        <v>94</v>
      </c>
      <c r="P1019">
        <v>3</v>
      </c>
      <c r="Q1019">
        <v>1</v>
      </c>
      <c r="R1019" s="1" t="s">
        <v>45</v>
      </c>
      <c r="S1019">
        <v>1</v>
      </c>
      <c r="T1019" s="1" t="s">
        <v>105</v>
      </c>
      <c r="U1019">
        <v>2238</v>
      </c>
      <c r="V1019" s="1" t="s">
        <v>47</v>
      </c>
      <c r="W1019">
        <v>6961</v>
      </c>
      <c r="X1019">
        <v>2</v>
      </c>
      <c r="Y1019" s="1" t="s">
        <v>48</v>
      </c>
      <c r="Z1019" s="1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8">
      <c r="A1020" s="1" t="s">
        <v>1083</v>
      </c>
      <c r="B1020">
        <v>41</v>
      </c>
      <c r="C1020" s="1" t="s">
        <v>802</v>
      </c>
      <c r="D1020" s="1" t="s">
        <v>49</v>
      </c>
      <c r="E1020" s="1" t="s">
        <v>41</v>
      </c>
      <c r="F1020">
        <v>465</v>
      </c>
      <c r="G1020" s="1" t="s">
        <v>42</v>
      </c>
      <c r="H1020">
        <v>14</v>
      </c>
      <c r="I1020">
        <v>3</v>
      </c>
      <c r="J1020" s="1" t="s">
        <v>43</v>
      </c>
      <c r="K1020">
        <v>1</v>
      </c>
      <c r="L1020">
        <v>227</v>
      </c>
      <c r="M1020">
        <v>1</v>
      </c>
      <c r="N1020" s="1" t="s">
        <v>44</v>
      </c>
      <c r="O1020">
        <v>56</v>
      </c>
      <c r="P1020">
        <v>3</v>
      </c>
      <c r="Q1020">
        <v>1</v>
      </c>
      <c r="R1020" s="1" t="s">
        <v>60</v>
      </c>
      <c r="S1020">
        <v>3</v>
      </c>
      <c r="T1020" s="1" t="s">
        <v>102</v>
      </c>
      <c r="U1020">
        <v>2451</v>
      </c>
      <c r="V1020" s="1" t="s">
        <v>47</v>
      </c>
      <c r="W1020">
        <v>4609</v>
      </c>
      <c r="X1020">
        <v>4</v>
      </c>
      <c r="Y1020" s="1" t="s">
        <v>48</v>
      </c>
      <c r="Z1020" s="1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8">
      <c r="A1021" s="1" t="s">
        <v>1084</v>
      </c>
      <c r="B1021">
        <v>41</v>
      </c>
      <c r="C1021" s="1" t="s">
        <v>802</v>
      </c>
      <c r="D1021" s="1" t="s">
        <v>40</v>
      </c>
      <c r="E1021" s="1" t="s">
        <v>41</v>
      </c>
      <c r="F1021">
        <v>1356</v>
      </c>
      <c r="G1021" s="1" t="s">
        <v>51</v>
      </c>
      <c r="H1021">
        <v>20</v>
      </c>
      <c r="I1021">
        <v>2</v>
      </c>
      <c r="J1021" s="1" t="s">
        <v>57</v>
      </c>
      <c r="K1021">
        <v>1</v>
      </c>
      <c r="L1021">
        <v>248</v>
      </c>
      <c r="M1021">
        <v>2</v>
      </c>
      <c r="N1021" s="1" t="s">
        <v>53</v>
      </c>
      <c r="O1021">
        <v>70</v>
      </c>
      <c r="P1021">
        <v>3</v>
      </c>
      <c r="Q1021">
        <v>1</v>
      </c>
      <c r="R1021" s="1" t="s">
        <v>54</v>
      </c>
      <c r="S1021">
        <v>2</v>
      </c>
      <c r="T1021" s="1" t="s">
        <v>46</v>
      </c>
      <c r="U1021">
        <v>3140</v>
      </c>
      <c r="V1021" s="1" t="s">
        <v>47</v>
      </c>
      <c r="W1021">
        <v>21728</v>
      </c>
      <c r="X1021">
        <v>1</v>
      </c>
      <c r="Y1021" s="1" t="s">
        <v>48</v>
      </c>
      <c r="Z1021" s="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8">
      <c r="A1022" s="1" t="s">
        <v>1085</v>
      </c>
      <c r="B1022">
        <v>41</v>
      </c>
      <c r="C1022" s="1" t="s">
        <v>802</v>
      </c>
      <c r="D1022" s="1" t="s">
        <v>49</v>
      </c>
      <c r="E1022" s="1" t="s">
        <v>41</v>
      </c>
      <c r="F1022">
        <v>896</v>
      </c>
      <c r="G1022" s="1" t="s">
        <v>51</v>
      </c>
      <c r="H1022">
        <v>6</v>
      </c>
      <c r="I1022">
        <v>3</v>
      </c>
      <c r="J1022" s="1" t="s">
        <v>43</v>
      </c>
      <c r="K1022">
        <v>1</v>
      </c>
      <c r="L1022">
        <v>298</v>
      </c>
      <c r="M1022">
        <v>4</v>
      </c>
      <c r="N1022" s="1" t="s">
        <v>53</v>
      </c>
      <c r="O1022">
        <v>75</v>
      </c>
      <c r="P1022">
        <v>3</v>
      </c>
      <c r="Q1022">
        <v>3</v>
      </c>
      <c r="R1022" s="1" t="s">
        <v>442</v>
      </c>
      <c r="S1022">
        <v>4</v>
      </c>
      <c r="T1022" s="1" t="s">
        <v>46</v>
      </c>
      <c r="U1022">
        <v>13591</v>
      </c>
      <c r="V1022" s="1" t="s">
        <v>253</v>
      </c>
      <c r="W1022">
        <v>14674</v>
      </c>
      <c r="X1022">
        <v>3</v>
      </c>
      <c r="Y1022" s="1" t="s">
        <v>48</v>
      </c>
      <c r="Z1022" s="1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8">
      <c r="A1023" s="1" t="s">
        <v>1086</v>
      </c>
      <c r="B1023">
        <v>41</v>
      </c>
      <c r="C1023" s="1" t="s">
        <v>802</v>
      </c>
      <c r="D1023" s="1" t="s">
        <v>49</v>
      </c>
      <c r="E1023" s="1" t="s">
        <v>41</v>
      </c>
      <c r="F1023">
        <v>1411</v>
      </c>
      <c r="G1023" s="1" t="s">
        <v>42</v>
      </c>
      <c r="H1023">
        <v>19</v>
      </c>
      <c r="I1023">
        <v>2</v>
      </c>
      <c r="J1023" s="1" t="s">
        <v>43</v>
      </c>
      <c r="K1023">
        <v>1</v>
      </c>
      <c r="L1023">
        <v>334</v>
      </c>
      <c r="M1023">
        <v>3</v>
      </c>
      <c r="N1023" s="1" t="s">
        <v>44</v>
      </c>
      <c r="O1023">
        <v>36</v>
      </c>
      <c r="P1023">
        <v>3</v>
      </c>
      <c r="Q1023">
        <v>2</v>
      </c>
      <c r="R1023" s="1" t="s">
        <v>60</v>
      </c>
      <c r="S1023">
        <v>1</v>
      </c>
      <c r="T1023" s="1" t="s">
        <v>102</v>
      </c>
      <c r="U1023">
        <v>3072</v>
      </c>
      <c r="V1023" s="1" t="s">
        <v>47</v>
      </c>
      <c r="W1023">
        <v>19877</v>
      </c>
      <c r="X1023">
        <v>2</v>
      </c>
      <c r="Y1023" s="1" t="s">
        <v>48</v>
      </c>
      <c r="Z1023" s="1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8">
      <c r="A1024" s="1" t="s">
        <v>1087</v>
      </c>
      <c r="B1024">
        <v>41</v>
      </c>
      <c r="C1024" s="1" t="s">
        <v>802</v>
      </c>
      <c r="D1024" s="1" t="s">
        <v>49</v>
      </c>
      <c r="E1024" s="1" t="s">
        <v>41</v>
      </c>
      <c r="F1024">
        <v>334</v>
      </c>
      <c r="G1024" s="1" t="s">
        <v>51</v>
      </c>
      <c r="H1024">
        <v>2</v>
      </c>
      <c r="I1024">
        <v>4</v>
      </c>
      <c r="J1024" s="1" t="s">
        <v>43</v>
      </c>
      <c r="K1024">
        <v>1</v>
      </c>
      <c r="L1024">
        <v>410</v>
      </c>
      <c r="M1024">
        <v>4</v>
      </c>
      <c r="N1024" s="1" t="s">
        <v>44</v>
      </c>
      <c r="O1024">
        <v>88</v>
      </c>
      <c r="P1024">
        <v>3</v>
      </c>
      <c r="Q1024">
        <v>4</v>
      </c>
      <c r="R1024" s="1" t="s">
        <v>442</v>
      </c>
      <c r="S1024">
        <v>2</v>
      </c>
      <c r="T1024" s="1" t="s">
        <v>46</v>
      </c>
      <c r="U1024">
        <v>16015</v>
      </c>
      <c r="V1024" s="1" t="s">
        <v>368</v>
      </c>
      <c r="W1024">
        <v>15896</v>
      </c>
      <c r="X1024">
        <v>1</v>
      </c>
      <c r="Y1024" s="1" t="s">
        <v>48</v>
      </c>
      <c r="Z1024" s="1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8">
      <c r="A1025" s="1" t="s">
        <v>1088</v>
      </c>
      <c r="B1025">
        <v>41</v>
      </c>
      <c r="C1025" s="1" t="s">
        <v>802</v>
      </c>
      <c r="D1025" s="1" t="s">
        <v>49</v>
      </c>
      <c r="E1025" s="1" t="s">
        <v>41</v>
      </c>
      <c r="F1025">
        <v>483</v>
      </c>
      <c r="G1025" s="1" t="s">
        <v>42</v>
      </c>
      <c r="H1025">
        <v>6</v>
      </c>
      <c r="I1025">
        <v>3</v>
      </c>
      <c r="J1025" s="1" t="s">
        <v>52</v>
      </c>
      <c r="K1025">
        <v>1</v>
      </c>
      <c r="L1025">
        <v>466</v>
      </c>
      <c r="M1025">
        <v>4</v>
      </c>
      <c r="N1025" s="1" t="s">
        <v>44</v>
      </c>
      <c r="O1025">
        <v>95</v>
      </c>
      <c r="P1025">
        <v>2</v>
      </c>
      <c r="Q1025">
        <v>2</v>
      </c>
      <c r="R1025" s="1" t="s">
        <v>112</v>
      </c>
      <c r="S1025">
        <v>2</v>
      </c>
      <c r="T1025" s="1" t="s">
        <v>46</v>
      </c>
      <c r="U1025">
        <v>6032</v>
      </c>
      <c r="V1025" s="1" t="s">
        <v>163</v>
      </c>
      <c r="W1025">
        <v>10110</v>
      </c>
      <c r="X1025">
        <v>6</v>
      </c>
      <c r="Y1025" s="1" t="s">
        <v>48</v>
      </c>
      <c r="Z1025" s="1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8">
      <c r="A1026" s="1" t="s">
        <v>1089</v>
      </c>
      <c r="B1026">
        <v>41</v>
      </c>
      <c r="C1026" s="1" t="s">
        <v>802</v>
      </c>
      <c r="D1026" s="1" t="s">
        <v>40</v>
      </c>
      <c r="E1026" s="1" t="s">
        <v>56</v>
      </c>
      <c r="F1026">
        <v>143</v>
      </c>
      <c r="G1026" s="1" t="s">
        <v>51</v>
      </c>
      <c r="H1026">
        <v>4</v>
      </c>
      <c r="I1026">
        <v>3</v>
      </c>
      <c r="J1026" s="1" t="s">
        <v>57</v>
      </c>
      <c r="K1026">
        <v>1</v>
      </c>
      <c r="L1026">
        <v>488</v>
      </c>
      <c r="M1026">
        <v>1</v>
      </c>
      <c r="N1026" s="1" t="s">
        <v>44</v>
      </c>
      <c r="O1026">
        <v>56</v>
      </c>
      <c r="P1026">
        <v>3</v>
      </c>
      <c r="Q1026">
        <v>2</v>
      </c>
      <c r="R1026" s="1" t="s">
        <v>137</v>
      </c>
      <c r="S1026">
        <v>2</v>
      </c>
      <c r="T1026" s="1" t="s">
        <v>46</v>
      </c>
      <c r="U1026">
        <v>9355</v>
      </c>
      <c r="V1026" s="1" t="s">
        <v>163</v>
      </c>
      <c r="W1026">
        <v>9558</v>
      </c>
      <c r="X1026">
        <v>1</v>
      </c>
      <c r="Y1026" s="1" t="s">
        <v>48</v>
      </c>
      <c r="Z1026" s="1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8">
      <c r="A1027" s="1" t="s">
        <v>1090</v>
      </c>
      <c r="B1027">
        <v>41</v>
      </c>
      <c r="C1027" s="1" t="s">
        <v>802</v>
      </c>
      <c r="D1027" s="1" t="s">
        <v>49</v>
      </c>
      <c r="E1027" s="1" t="s">
        <v>41</v>
      </c>
      <c r="F1027">
        <v>645</v>
      </c>
      <c r="G1027" s="1" t="s">
        <v>51</v>
      </c>
      <c r="H1027">
        <v>1</v>
      </c>
      <c r="I1027">
        <v>3</v>
      </c>
      <c r="J1027" s="1" t="s">
        <v>57</v>
      </c>
      <c r="K1027">
        <v>1</v>
      </c>
      <c r="L1027">
        <v>534</v>
      </c>
      <c r="M1027">
        <v>2</v>
      </c>
      <c r="N1027" s="1" t="s">
        <v>44</v>
      </c>
      <c r="O1027">
        <v>49</v>
      </c>
      <c r="P1027">
        <v>4</v>
      </c>
      <c r="Q1027">
        <v>3</v>
      </c>
      <c r="R1027" s="1" t="s">
        <v>137</v>
      </c>
      <c r="S1027">
        <v>1</v>
      </c>
      <c r="T1027" s="1" t="s">
        <v>105</v>
      </c>
      <c r="U1027">
        <v>8392</v>
      </c>
      <c r="V1027" s="1" t="s">
        <v>163</v>
      </c>
      <c r="W1027">
        <v>19566</v>
      </c>
      <c r="X1027">
        <v>1</v>
      </c>
      <c r="Y1027" s="1" t="s">
        <v>48</v>
      </c>
      <c r="Z1027" s="1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8">
      <c r="A1028" s="1" t="s">
        <v>1091</v>
      </c>
      <c r="B1028">
        <v>41</v>
      </c>
      <c r="C1028" s="1" t="s">
        <v>802</v>
      </c>
      <c r="D1028" s="1" t="s">
        <v>49</v>
      </c>
      <c r="E1028" s="1" t="s">
        <v>59</v>
      </c>
      <c r="F1028">
        <v>267</v>
      </c>
      <c r="G1028" s="1" t="s">
        <v>51</v>
      </c>
      <c r="H1028">
        <v>10</v>
      </c>
      <c r="I1028">
        <v>2</v>
      </c>
      <c r="J1028" s="1" t="s">
        <v>43</v>
      </c>
      <c r="K1028">
        <v>1</v>
      </c>
      <c r="L1028">
        <v>599</v>
      </c>
      <c r="M1028">
        <v>4</v>
      </c>
      <c r="N1028" s="1" t="s">
        <v>44</v>
      </c>
      <c r="O1028">
        <v>56</v>
      </c>
      <c r="P1028">
        <v>3</v>
      </c>
      <c r="Q1028">
        <v>2</v>
      </c>
      <c r="R1028" s="1" t="s">
        <v>137</v>
      </c>
      <c r="S1028">
        <v>4</v>
      </c>
      <c r="T1028" s="1" t="s">
        <v>46</v>
      </c>
      <c r="U1028">
        <v>6230</v>
      </c>
      <c r="V1028" s="1" t="s">
        <v>163</v>
      </c>
      <c r="W1028">
        <v>13430</v>
      </c>
      <c r="X1028">
        <v>7</v>
      </c>
      <c r="Y1028" s="1" t="s">
        <v>48</v>
      </c>
      <c r="Z1028" s="1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8">
      <c r="A1029" s="1" t="s">
        <v>1092</v>
      </c>
      <c r="B1029">
        <v>41</v>
      </c>
      <c r="C1029" s="1" t="s">
        <v>802</v>
      </c>
      <c r="D1029" s="1" t="s">
        <v>49</v>
      </c>
      <c r="E1029" s="1" t="s">
        <v>59</v>
      </c>
      <c r="F1029">
        <v>509</v>
      </c>
      <c r="G1029" s="1" t="s">
        <v>42</v>
      </c>
      <c r="H1029">
        <v>2</v>
      </c>
      <c r="I1029">
        <v>4</v>
      </c>
      <c r="J1029" s="1" t="s">
        <v>73</v>
      </c>
      <c r="K1029">
        <v>1</v>
      </c>
      <c r="L1029">
        <v>616</v>
      </c>
      <c r="M1029">
        <v>1</v>
      </c>
      <c r="N1029" s="1" t="s">
        <v>53</v>
      </c>
      <c r="O1029">
        <v>62</v>
      </c>
      <c r="P1029">
        <v>2</v>
      </c>
      <c r="Q1029">
        <v>2</v>
      </c>
      <c r="R1029" s="1" t="s">
        <v>161</v>
      </c>
      <c r="S1029">
        <v>3</v>
      </c>
      <c r="T1029" s="1" t="s">
        <v>46</v>
      </c>
      <c r="U1029">
        <v>6811</v>
      </c>
      <c r="V1029" s="1" t="s">
        <v>163</v>
      </c>
      <c r="W1029">
        <v>2112</v>
      </c>
      <c r="X1029">
        <v>2</v>
      </c>
      <c r="Y1029" s="1" t="s">
        <v>48</v>
      </c>
      <c r="Z1029" s="1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8">
      <c r="A1030" s="1" t="s">
        <v>1093</v>
      </c>
      <c r="B1030">
        <v>41</v>
      </c>
      <c r="C1030" s="1" t="s">
        <v>802</v>
      </c>
      <c r="D1030" s="1" t="s">
        <v>49</v>
      </c>
      <c r="E1030" s="1" t="s">
        <v>41</v>
      </c>
      <c r="F1030">
        <v>1276</v>
      </c>
      <c r="G1030" s="1" t="s">
        <v>51</v>
      </c>
      <c r="H1030">
        <v>2</v>
      </c>
      <c r="I1030">
        <v>5</v>
      </c>
      <c r="J1030" s="1" t="s">
        <v>43</v>
      </c>
      <c r="K1030">
        <v>1</v>
      </c>
      <c r="L1030">
        <v>625</v>
      </c>
      <c r="M1030">
        <v>2</v>
      </c>
      <c r="N1030" s="1" t="s">
        <v>53</v>
      </c>
      <c r="O1030">
        <v>91</v>
      </c>
      <c r="P1030">
        <v>3</v>
      </c>
      <c r="Q1030">
        <v>4</v>
      </c>
      <c r="R1030" s="1" t="s">
        <v>442</v>
      </c>
      <c r="S1030">
        <v>1</v>
      </c>
      <c r="T1030" s="1" t="s">
        <v>105</v>
      </c>
      <c r="U1030">
        <v>16595</v>
      </c>
      <c r="V1030" s="1" t="s">
        <v>368</v>
      </c>
      <c r="W1030">
        <v>5626</v>
      </c>
      <c r="X1030">
        <v>7</v>
      </c>
      <c r="Y1030" s="1" t="s">
        <v>48</v>
      </c>
      <c r="Z1030" s="1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8">
      <c r="A1031" s="1" t="s">
        <v>1094</v>
      </c>
      <c r="B1031">
        <v>41</v>
      </c>
      <c r="C1031" s="1" t="s">
        <v>802</v>
      </c>
      <c r="D1031" s="1" t="s">
        <v>49</v>
      </c>
      <c r="E1031" s="1" t="s">
        <v>41</v>
      </c>
      <c r="F1031">
        <v>427</v>
      </c>
      <c r="G1031" s="1" t="s">
        <v>71</v>
      </c>
      <c r="H1031">
        <v>10</v>
      </c>
      <c r="I1031">
        <v>4</v>
      </c>
      <c r="J1031" s="1" t="s">
        <v>71</v>
      </c>
      <c r="K1031">
        <v>1</v>
      </c>
      <c r="L1031">
        <v>731</v>
      </c>
      <c r="M1031">
        <v>2</v>
      </c>
      <c r="N1031" s="1" t="s">
        <v>44</v>
      </c>
      <c r="O1031">
        <v>73</v>
      </c>
      <c r="P1031">
        <v>2</v>
      </c>
      <c r="Q1031">
        <v>5</v>
      </c>
      <c r="R1031" s="1" t="s">
        <v>442</v>
      </c>
      <c r="S1031">
        <v>4</v>
      </c>
      <c r="T1031" s="1" t="s">
        <v>102</v>
      </c>
      <c r="U1031">
        <v>19141</v>
      </c>
      <c r="V1031" s="1" t="s">
        <v>368</v>
      </c>
      <c r="W1031">
        <v>8861</v>
      </c>
      <c r="X1031">
        <v>3</v>
      </c>
      <c r="Y1031" s="1" t="s">
        <v>48</v>
      </c>
      <c r="Z1031" s="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8">
      <c r="A1032" s="1" t="s">
        <v>1095</v>
      </c>
      <c r="B1032">
        <v>41</v>
      </c>
      <c r="C1032" s="1" t="s">
        <v>802</v>
      </c>
      <c r="D1032" s="1" t="s">
        <v>49</v>
      </c>
      <c r="E1032" s="1" t="s">
        <v>41</v>
      </c>
      <c r="F1032">
        <v>314</v>
      </c>
      <c r="G1032" s="1" t="s">
        <v>71</v>
      </c>
      <c r="H1032">
        <v>1</v>
      </c>
      <c r="I1032">
        <v>3</v>
      </c>
      <c r="J1032" s="1" t="s">
        <v>71</v>
      </c>
      <c r="K1032">
        <v>1</v>
      </c>
      <c r="L1032">
        <v>734</v>
      </c>
      <c r="M1032">
        <v>4</v>
      </c>
      <c r="N1032" s="1" t="s">
        <v>44</v>
      </c>
      <c r="O1032">
        <v>59</v>
      </c>
      <c r="P1032">
        <v>2</v>
      </c>
      <c r="Q1032">
        <v>5</v>
      </c>
      <c r="R1032" s="1" t="s">
        <v>442</v>
      </c>
      <c r="S1032">
        <v>3</v>
      </c>
      <c r="T1032" s="1" t="s">
        <v>105</v>
      </c>
      <c r="U1032">
        <v>19189</v>
      </c>
      <c r="V1032" s="1" t="s">
        <v>368</v>
      </c>
      <c r="W1032">
        <v>19562</v>
      </c>
      <c r="X1032">
        <v>1</v>
      </c>
      <c r="Y1032" s="1" t="s">
        <v>48</v>
      </c>
      <c r="Z1032" s="1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8">
      <c r="A1033" s="1" t="s">
        <v>1096</v>
      </c>
      <c r="B1033">
        <v>41</v>
      </c>
      <c r="C1033" s="1" t="s">
        <v>802</v>
      </c>
      <c r="D1033" s="1" t="s">
        <v>40</v>
      </c>
      <c r="E1033" s="1" t="s">
        <v>41</v>
      </c>
      <c r="F1033">
        <v>1085</v>
      </c>
      <c r="G1033" s="1" t="s">
        <v>42</v>
      </c>
      <c r="H1033">
        <v>2</v>
      </c>
      <c r="I1033">
        <v>4</v>
      </c>
      <c r="J1033" s="1" t="s">
        <v>43</v>
      </c>
      <c r="K1033">
        <v>1</v>
      </c>
      <c r="L1033">
        <v>927</v>
      </c>
      <c r="M1033">
        <v>2</v>
      </c>
      <c r="N1033" s="1" t="s">
        <v>53</v>
      </c>
      <c r="O1033">
        <v>57</v>
      </c>
      <c r="P1033">
        <v>1</v>
      </c>
      <c r="Q1033">
        <v>1</v>
      </c>
      <c r="R1033" s="1" t="s">
        <v>45</v>
      </c>
      <c r="S1033">
        <v>4</v>
      </c>
      <c r="T1033" s="1" t="s">
        <v>102</v>
      </c>
      <c r="U1033">
        <v>2778</v>
      </c>
      <c r="V1033" s="1" t="s">
        <v>47</v>
      </c>
      <c r="W1033">
        <v>17725</v>
      </c>
      <c r="X1033">
        <v>4</v>
      </c>
      <c r="Y1033" s="1" t="s">
        <v>48</v>
      </c>
      <c r="Z1033" s="1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8">
      <c r="A1034" s="1" t="s">
        <v>1097</v>
      </c>
      <c r="B1034">
        <v>41</v>
      </c>
      <c r="C1034" s="1" t="s">
        <v>802</v>
      </c>
      <c r="D1034" s="1" t="s">
        <v>49</v>
      </c>
      <c r="E1034" s="1" t="s">
        <v>41</v>
      </c>
      <c r="F1034">
        <v>263</v>
      </c>
      <c r="G1034" s="1" t="s">
        <v>42</v>
      </c>
      <c r="H1034">
        <v>6</v>
      </c>
      <c r="I1034">
        <v>3</v>
      </c>
      <c r="J1034" s="1" t="s">
        <v>52</v>
      </c>
      <c r="K1034">
        <v>1</v>
      </c>
      <c r="L1034">
        <v>957</v>
      </c>
      <c r="M1034">
        <v>4</v>
      </c>
      <c r="N1034" s="1" t="s">
        <v>44</v>
      </c>
      <c r="O1034">
        <v>59</v>
      </c>
      <c r="P1034">
        <v>3</v>
      </c>
      <c r="Q1034">
        <v>1</v>
      </c>
      <c r="R1034" s="1" t="s">
        <v>45</v>
      </c>
      <c r="S1034">
        <v>1</v>
      </c>
      <c r="T1034" s="1" t="s">
        <v>46</v>
      </c>
      <c r="U1034">
        <v>4721</v>
      </c>
      <c r="V1034" s="1" t="s">
        <v>47</v>
      </c>
      <c r="W1034">
        <v>3119</v>
      </c>
      <c r="X1034">
        <v>2</v>
      </c>
      <c r="Y1034" s="1" t="s">
        <v>48</v>
      </c>
      <c r="Z1034" s="1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8">
      <c r="A1035" s="1" t="s">
        <v>1098</v>
      </c>
      <c r="B1035">
        <v>41</v>
      </c>
      <c r="C1035" s="1" t="s">
        <v>802</v>
      </c>
      <c r="D1035" s="1" t="s">
        <v>49</v>
      </c>
      <c r="E1035" s="1" t="s">
        <v>56</v>
      </c>
      <c r="F1035">
        <v>840</v>
      </c>
      <c r="G1035" s="1" t="s">
        <v>42</v>
      </c>
      <c r="H1035">
        <v>9</v>
      </c>
      <c r="I1035">
        <v>3</v>
      </c>
      <c r="J1035" s="1" t="s">
        <v>52</v>
      </c>
      <c r="K1035">
        <v>1</v>
      </c>
      <c r="L1035">
        <v>999</v>
      </c>
      <c r="M1035">
        <v>1</v>
      </c>
      <c r="N1035" s="1" t="s">
        <v>44</v>
      </c>
      <c r="O1035">
        <v>64</v>
      </c>
      <c r="P1035">
        <v>3</v>
      </c>
      <c r="Q1035">
        <v>5</v>
      </c>
      <c r="R1035" s="1" t="s">
        <v>252</v>
      </c>
      <c r="S1035">
        <v>3</v>
      </c>
      <c r="T1035" s="1" t="s">
        <v>102</v>
      </c>
      <c r="U1035">
        <v>19419</v>
      </c>
      <c r="V1035" s="1" t="s">
        <v>368</v>
      </c>
      <c r="W1035">
        <v>3735</v>
      </c>
      <c r="X1035">
        <v>2</v>
      </c>
      <c r="Y1035" s="1" t="s">
        <v>48</v>
      </c>
      <c r="Z1035" s="1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8">
      <c r="A1036" s="1" t="s">
        <v>1099</v>
      </c>
      <c r="B1036">
        <v>41</v>
      </c>
      <c r="C1036" s="1" t="s">
        <v>802</v>
      </c>
      <c r="D1036" s="1" t="s">
        <v>49</v>
      </c>
      <c r="E1036" s="1" t="s">
        <v>41</v>
      </c>
      <c r="F1036">
        <v>549</v>
      </c>
      <c r="G1036" s="1" t="s">
        <v>42</v>
      </c>
      <c r="H1036">
        <v>7</v>
      </c>
      <c r="I1036">
        <v>2</v>
      </c>
      <c r="J1036" s="1" t="s">
        <v>52</v>
      </c>
      <c r="K1036">
        <v>1</v>
      </c>
      <c r="L1036">
        <v>1025</v>
      </c>
      <c r="M1036">
        <v>4</v>
      </c>
      <c r="N1036" s="1" t="s">
        <v>53</v>
      </c>
      <c r="O1036">
        <v>42</v>
      </c>
      <c r="P1036">
        <v>3</v>
      </c>
      <c r="Q1036">
        <v>2</v>
      </c>
      <c r="R1036" s="1" t="s">
        <v>112</v>
      </c>
      <c r="S1036">
        <v>3</v>
      </c>
      <c r="T1036" s="1" t="s">
        <v>46</v>
      </c>
      <c r="U1036">
        <v>5003</v>
      </c>
      <c r="V1036" s="1" t="s">
        <v>163</v>
      </c>
      <c r="W1036">
        <v>23371</v>
      </c>
      <c r="X1036">
        <v>6</v>
      </c>
      <c r="Y1036" s="1" t="s">
        <v>48</v>
      </c>
      <c r="Z1036" s="1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8">
      <c r="A1037" s="1" t="s">
        <v>1100</v>
      </c>
      <c r="B1037">
        <v>41</v>
      </c>
      <c r="C1037" s="1" t="s">
        <v>802</v>
      </c>
      <c r="D1037" s="1" t="s">
        <v>49</v>
      </c>
      <c r="E1037" s="1" t="s">
        <v>59</v>
      </c>
      <c r="F1037">
        <v>247</v>
      </c>
      <c r="G1037" s="1" t="s">
        <v>42</v>
      </c>
      <c r="H1037">
        <v>7</v>
      </c>
      <c r="I1037">
        <v>1</v>
      </c>
      <c r="J1037" s="1" t="s">
        <v>43</v>
      </c>
      <c r="K1037">
        <v>1</v>
      </c>
      <c r="L1037">
        <v>1035</v>
      </c>
      <c r="M1037">
        <v>2</v>
      </c>
      <c r="N1037" s="1" t="s">
        <v>53</v>
      </c>
      <c r="O1037">
        <v>55</v>
      </c>
      <c r="P1037">
        <v>1</v>
      </c>
      <c r="Q1037">
        <v>5</v>
      </c>
      <c r="R1037" s="1" t="s">
        <v>252</v>
      </c>
      <c r="S1037">
        <v>3</v>
      </c>
      <c r="T1037" s="1" t="s">
        <v>102</v>
      </c>
      <c r="U1037">
        <v>19973</v>
      </c>
      <c r="V1037" s="1" t="s">
        <v>368</v>
      </c>
      <c r="W1037">
        <v>20284</v>
      </c>
      <c r="X1037">
        <v>1</v>
      </c>
      <c r="Y1037" s="1" t="s">
        <v>48</v>
      </c>
      <c r="Z1037" s="1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8">
      <c r="A1038" s="1" t="s">
        <v>1101</v>
      </c>
      <c r="B1038">
        <v>41</v>
      </c>
      <c r="C1038" s="1" t="s">
        <v>802</v>
      </c>
      <c r="D1038" s="1" t="s">
        <v>49</v>
      </c>
      <c r="E1038" s="1" t="s">
        <v>41</v>
      </c>
      <c r="F1038">
        <v>509</v>
      </c>
      <c r="G1038" s="1" t="s">
        <v>42</v>
      </c>
      <c r="H1038">
        <v>7</v>
      </c>
      <c r="I1038">
        <v>2</v>
      </c>
      <c r="J1038" s="1" t="s">
        <v>68</v>
      </c>
      <c r="K1038">
        <v>1</v>
      </c>
      <c r="L1038">
        <v>1085</v>
      </c>
      <c r="M1038">
        <v>2</v>
      </c>
      <c r="N1038" s="1" t="s">
        <v>53</v>
      </c>
      <c r="O1038">
        <v>43</v>
      </c>
      <c r="P1038">
        <v>4</v>
      </c>
      <c r="Q1038">
        <v>1</v>
      </c>
      <c r="R1038" s="1" t="s">
        <v>60</v>
      </c>
      <c r="S1038">
        <v>3</v>
      </c>
      <c r="T1038" s="1" t="s">
        <v>105</v>
      </c>
      <c r="U1038">
        <v>3376</v>
      </c>
      <c r="V1038" s="1" t="s">
        <v>47</v>
      </c>
      <c r="W1038">
        <v>18863</v>
      </c>
      <c r="X1038">
        <v>1</v>
      </c>
      <c r="Y1038" s="1" t="s">
        <v>48</v>
      </c>
      <c r="Z1038" s="1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8">
      <c r="A1039" s="1" t="s">
        <v>1102</v>
      </c>
      <c r="B1039">
        <v>41</v>
      </c>
      <c r="C1039" s="1" t="s">
        <v>802</v>
      </c>
      <c r="D1039" s="1" t="s">
        <v>49</v>
      </c>
      <c r="E1039" s="1" t="s">
        <v>41</v>
      </c>
      <c r="F1039">
        <v>167</v>
      </c>
      <c r="G1039" s="1" t="s">
        <v>42</v>
      </c>
      <c r="H1039">
        <v>12</v>
      </c>
      <c r="I1039">
        <v>4</v>
      </c>
      <c r="J1039" s="1" t="s">
        <v>43</v>
      </c>
      <c r="K1039">
        <v>1</v>
      </c>
      <c r="L1039">
        <v>1158</v>
      </c>
      <c r="M1039">
        <v>2</v>
      </c>
      <c r="N1039" s="1" t="s">
        <v>44</v>
      </c>
      <c r="O1039">
        <v>46</v>
      </c>
      <c r="P1039">
        <v>3</v>
      </c>
      <c r="Q1039">
        <v>1</v>
      </c>
      <c r="R1039" s="1" t="s">
        <v>45</v>
      </c>
      <c r="S1039">
        <v>4</v>
      </c>
      <c r="T1039" s="1" t="s">
        <v>105</v>
      </c>
      <c r="U1039">
        <v>4766</v>
      </c>
      <c r="V1039" s="1" t="s">
        <v>47</v>
      </c>
      <c r="W1039">
        <v>9051</v>
      </c>
      <c r="X1039">
        <v>3</v>
      </c>
      <c r="Y1039" s="1" t="s">
        <v>48</v>
      </c>
      <c r="Z1039" s="1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8">
      <c r="A1040" s="1" t="s">
        <v>1103</v>
      </c>
      <c r="B1040">
        <v>41</v>
      </c>
      <c r="C1040" s="1" t="s">
        <v>802</v>
      </c>
      <c r="D1040" s="1" t="s">
        <v>40</v>
      </c>
      <c r="E1040" s="1" t="s">
        <v>59</v>
      </c>
      <c r="F1040">
        <v>906</v>
      </c>
      <c r="G1040" s="1" t="s">
        <v>42</v>
      </c>
      <c r="H1040">
        <v>5</v>
      </c>
      <c r="I1040">
        <v>2</v>
      </c>
      <c r="J1040" s="1" t="s">
        <v>43</v>
      </c>
      <c r="K1040">
        <v>1</v>
      </c>
      <c r="L1040">
        <v>1210</v>
      </c>
      <c r="M1040">
        <v>1</v>
      </c>
      <c r="N1040" s="1" t="s">
        <v>44</v>
      </c>
      <c r="O1040">
        <v>95</v>
      </c>
      <c r="P1040">
        <v>2</v>
      </c>
      <c r="Q1040">
        <v>1</v>
      </c>
      <c r="R1040" s="1" t="s">
        <v>60</v>
      </c>
      <c r="S1040">
        <v>1</v>
      </c>
      <c r="T1040" s="1" t="s">
        <v>102</v>
      </c>
      <c r="U1040">
        <v>2107</v>
      </c>
      <c r="V1040" s="1" t="s">
        <v>47</v>
      </c>
      <c r="W1040">
        <v>20293</v>
      </c>
      <c r="X1040">
        <v>6</v>
      </c>
      <c r="Y1040" s="1" t="s">
        <v>48</v>
      </c>
      <c r="Z1040" s="1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8">
      <c r="A1041" s="1" t="s">
        <v>1104</v>
      </c>
      <c r="B1041">
        <v>41</v>
      </c>
      <c r="C1041" s="1" t="s">
        <v>802</v>
      </c>
      <c r="D1041" s="1" t="s">
        <v>49</v>
      </c>
      <c r="E1041" s="1" t="s">
        <v>59</v>
      </c>
      <c r="F1041">
        <v>256</v>
      </c>
      <c r="G1041" s="1" t="s">
        <v>51</v>
      </c>
      <c r="H1041">
        <v>10</v>
      </c>
      <c r="I1041">
        <v>2</v>
      </c>
      <c r="J1041" s="1" t="s">
        <v>52</v>
      </c>
      <c r="K1041">
        <v>1</v>
      </c>
      <c r="L1041">
        <v>1329</v>
      </c>
      <c r="M1041">
        <v>3</v>
      </c>
      <c r="N1041" s="1" t="s">
        <v>44</v>
      </c>
      <c r="O1041">
        <v>40</v>
      </c>
      <c r="P1041">
        <v>1</v>
      </c>
      <c r="Q1041">
        <v>2</v>
      </c>
      <c r="R1041" s="1" t="s">
        <v>137</v>
      </c>
      <c r="S1041">
        <v>2</v>
      </c>
      <c r="T1041" s="1" t="s">
        <v>46</v>
      </c>
      <c r="U1041">
        <v>6151</v>
      </c>
      <c r="V1041" s="1" t="s">
        <v>163</v>
      </c>
      <c r="W1041">
        <v>22074</v>
      </c>
      <c r="X1041">
        <v>1</v>
      </c>
      <c r="Y1041" s="1" t="s">
        <v>48</v>
      </c>
      <c r="Z1041" s="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8">
      <c r="A1042" s="1" t="s">
        <v>1105</v>
      </c>
      <c r="B1042">
        <v>41</v>
      </c>
      <c r="C1042" s="1" t="s">
        <v>802</v>
      </c>
      <c r="D1042" s="1" t="s">
        <v>49</v>
      </c>
      <c r="E1042" s="1" t="s">
        <v>56</v>
      </c>
      <c r="F1042">
        <v>1018</v>
      </c>
      <c r="G1042" s="1" t="s">
        <v>51</v>
      </c>
      <c r="H1042">
        <v>1</v>
      </c>
      <c r="I1042">
        <v>3</v>
      </c>
      <c r="J1042" s="1" t="s">
        <v>57</v>
      </c>
      <c r="K1042">
        <v>1</v>
      </c>
      <c r="L1042">
        <v>1349</v>
      </c>
      <c r="M1042">
        <v>3</v>
      </c>
      <c r="N1042" s="1" t="s">
        <v>53</v>
      </c>
      <c r="O1042">
        <v>66</v>
      </c>
      <c r="P1042">
        <v>3</v>
      </c>
      <c r="Q1042">
        <v>2</v>
      </c>
      <c r="R1042" s="1" t="s">
        <v>137</v>
      </c>
      <c r="S1042">
        <v>1</v>
      </c>
      <c r="T1042" s="1" t="s">
        <v>102</v>
      </c>
      <c r="U1042">
        <v>4103</v>
      </c>
      <c r="V1042" s="1" t="s">
        <v>47</v>
      </c>
      <c r="W1042">
        <v>4297</v>
      </c>
      <c r="X1042">
        <v>0</v>
      </c>
      <c r="Y1042" s="1" t="s">
        <v>48</v>
      </c>
      <c r="Z1042" s="1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8">
      <c r="A1043" s="1" t="s">
        <v>1106</v>
      </c>
      <c r="B1043">
        <v>41</v>
      </c>
      <c r="C1043" s="1" t="s">
        <v>802</v>
      </c>
      <c r="D1043" s="1" t="s">
        <v>49</v>
      </c>
      <c r="E1043" s="1" t="s">
        <v>56</v>
      </c>
      <c r="F1043">
        <v>1200</v>
      </c>
      <c r="G1043" s="1" t="s">
        <v>42</v>
      </c>
      <c r="H1043">
        <v>22</v>
      </c>
      <c r="I1043">
        <v>3</v>
      </c>
      <c r="J1043" s="1" t="s">
        <v>43</v>
      </c>
      <c r="K1043">
        <v>1</v>
      </c>
      <c r="L1043">
        <v>1392</v>
      </c>
      <c r="M1043">
        <v>4</v>
      </c>
      <c r="N1043" s="1" t="s">
        <v>53</v>
      </c>
      <c r="O1043">
        <v>75</v>
      </c>
      <c r="P1043">
        <v>3</v>
      </c>
      <c r="Q1043">
        <v>2</v>
      </c>
      <c r="R1043" s="1" t="s">
        <v>60</v>
      </c>
      <c r="S1043">
        <v>4</v>
      </c>
      <c r="T1043" s="1" t="s">
        <v>102</v>
      </c>
      <c r="U1043">
        <v>5467</v>
      </c>
      <c r="V1043" s="1" t="s">
        <v>163</v>
      </c>
      <c r="W1043">
        <v>13953</v>
      </c>
      <c r="X1043">
        <v>3</v>
      </c>
      <c r="Y1043" s="1" t="s">
        <v>48</v>
      </c>
      <c r="Z1043" s="1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8">
      <c r="A1044" s="1" t="s">
        <v>1107</v>
      </c>
      <c r="B1044">
        <v>41</v>
      </c>
      <c r="C1044" s="1" t="s">
        <v>802</v>
      </c>
      <c r="D1044" s="1" t="s">
        <v>49</v>
      </c>
      <c r="E1044" s="1" t="s">
        <v>41</v>
      </c>
      <c r="F1044">
        <v>1283</v>
      </c>
      <c r="G1044" s="1" t="s">
        <v>42</v>
      </c>
      <c r="H1044">
        <v>5</v>
      </c>
      <c r="I1044">
        <v>5</v>
      </c>
      <c r="J1044" s="1" t="s">
        <v>52</v>
      </c>
      <c r="K1044">
        <v>1</v>
      </c>
      <c r="L1044">
        <v>1448</v>
      </c>
      <c r="M1044">
        <v>2</v>
      </c>
      <c r="N1044" s="1" t="s">
        <v>44</v>
      </c>
      <c r="O1044">
        <v>90</v>
      </c>
      <c r="P1044">
        <v>4</v>
      </c>
      <c r="Q1044">
        <v>1</v>
      </c>
      <c r="R1044" s="1" t="s">
        <v>60</v>
      </c>
      <c r="S1044">
        <v>3</v>
      </c>
      <c r="T1044" s="1" t="s">
        <v>105</v>
      </c>
      <c r="U1044">
        <v>2127</v>
      </c>
      <c r="V1044" s="1" t="s">
        <v>47</v>
      </c>
      <c r="W1044">
        <v>5561</v>
      </c>
      <c r="X1044">
        <v>2</v>
      </c>
      <c r="Y1044" s="1" t="s">
        <v>48</v>
      </c>
      <c r="Z1044" s="1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8">
      <c r="A1045" s="1" t="s">
        <v>1108</v>
      </c>
      <c r="B1045">
        <v>41</v>
      </c>
      <c r="C1045" s="1" t="s">
        <v>802</v>
      </c>
      <c r="D1045" s="1" t="s">
        <v>49</v>
      </c>
      <c r="E1045" s="1" t="s">
        <v>41</v>
      </c>
      <c r="F1045">
        <v>1206</v>
      </c>
      <c r="G1045" s="1" t="s">
        <v>51</v>
      </c>
      <c r="H1045">
        <v>23</v>
      </c>
      <c r="I1045">
        <v>2</v>
      </c>
      <c r="J1045" s="1" t="s">
        <v>43</v>
      </c>
      <c r="K1045">
        <v>1</v>
      </c>
      <c r="L1045">
        <v>1678</v>
      </c>
      <c r="M1045">
        <v>4</v>
      </c>
      <c r="N1045" s="1" t="s">
        <v>44</v>
      </c>
      <c r="O1045">
        <v>80</v>
      </c>
      <c r="P1045">
        <v>3</v>
      </c>
      <c r="Q1045">
        <v>3</v>
      </c>
      <c r="R1045" s="1" t="s">
        <v>137</v>
      </c>
      <c r="S1045">
        <v>3</v>
      </c>
      <c r="T1045" s="1" t="s">
        <v>46</v>
      </c>
      <c r="U1045">
        <v>7082</v>
      </c>
      <c r="V1045" s="1" t="s">
        <v>163</v>
      </c>
      <c r="W1045">
        <v>11591</v>
      </c>
      <c r="X1045">
        <v>3</v>
      </c>
      <c r="Y1045" s="1" t="s">
        <v>48</v>
      </c>
      <c r="Z1045" s="1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8">
      <c r="A1046" s="1" t="s">
        <v>1109</v>
      </c>
      <c r="B1046">
        <v>41</v>
      </c>
      <c r="C1046" s="1" t="s">
        <v>802</v>
      </c>
      <c r="D1046" s="1" t="s">
        <v>49</v>
      </c>
      <c r="E1046" s="1" t="s">
        <v>41</v>
      </c>
      <c r="F1046">
        <v>918</v>
      </c>
      <c r="G1046" s="1" t="s">
        <v>51</v>
      </c>
      <c r="H1046">
        <v>6</v>
      </c>
      <c r="I1046">
        <v>3</v>
      </c>
      <c r="J1046" s="1" t="s">
        <v>57</v>
      </c>
      <c r="K1046">
        <v>1</v>
      </c>
      <c r="L1046">
        <v>1708</v>
      </c>
      <c r="M1046">
        <v>4</v>
      </c>
      <c r="N1046" s="1" t="s">
        <v>44</v>
      </c>
      <c r="O1046">
        <v>35</v>
      </c>
      <c r="P1046">
        <v>3</v>
      </c>
      <c r="Q1046">
        <v>3</v>
      </c>
      <c r="R1046" s="1" t="s">
        <v>137</v>
      </c>
      <c r="S1046">
        <v>3</v>
      </c>
      <c r="T1046" s="1" t="s">
        <v>46</v>
      </c>
      <c r="U1046">
        <v>9241</v>
      </c>
      <c r="V1046" s="1" t="s">
        <v>163</v>
      </c>
      <c r="W1046">
        <v>15869</v>
      </c>
      <c r="X1046">
        <v>1</v>
      </c>
      <c r="Y1046" s="1" t="s">
        <v>48</v>
      </c>
      <c r="Z1046" s="1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8">
      <c r="A1047" s="1" t="s">
        <v>1110</v>
      </c>
      <c r="B1047">
        <v>41</v>
      </c>
      <c r="C1047" s="1" t="s">
        <v>802</v>
      </c>
      <c r="D1047" s="1" t="s">
        <v>49</v>
      </c>
      <c r="E1047" s="1" t="s">
        <v>59</v>
      </c>
      <c r="F1047">
        <v>552</v>
      </c>
      <c r="G1047" s="1" t="s">
        <v>71</v>
      </c>
      <c r="H1047">
        <v>4</v>
      </c>
      <c r="I1047">
        <v>3</v>
      </c>
      <c r="J1047" s="1" t="s">
        <v>71</v>
      </c>
      <c r="K1047">
        <v>1</v>
      </c>
      <c r="L1047">
        <v>1722</v>
      </c>
      <c r="M1047">
        <v>3</v>
      </c>
      <c r="N1047" s="1" t="s">
        <v>44</v>
      </c>
      <c r="O1047">
        <v>60</v>
      </c>
      <c r="P1047">
        <v>1</v>
      </c>
      <c r="Q1047">
        <v>2</v>
      </c>
      <c r="R1047" s="1" t="s">
        <v>71</v>
      </c>
      <c r="S1047">
        <v>2</v>
      </c>
      <c r="T1047" s="1" t="s">
        <v>105</v>
      </c>
      <c r="U1047">
        <v>6430</v>
      </c>
      <c r="V1047" s="1" t="s">
        <v>163</v>
      </c>
      <c r="W1047">
        <v>20794</v>
      </c>
      <c r="X1047">
        <v>6</v>
      </c>
      <c r="Y1047" s="1" t="s">
        <v>48</v>
      </c>
      <c r="Z1047" s="1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8">
      <c r="A1048" s="1" t="s">
        <v>1111</v>
      </c>
      <c r="B1048">
        <v>41</v>
      </c>
      <c r="C1048" s="1" t="s">
        <v>802</v>
      </c>
      <c r="D1048" s="1" t="s">
        <v>49</v>
      </c>
      <c r="E1048" s="1" t="s">
        <v>41</v>
      </c>
      <c r="F1048">
        <v>548</v>
      </c>
      <c r="G1048" s="1" t="s">
        <v>42</v>
      </c>
      <c r="H1048">
        <v>9</v>
      </c>
      <c r="I1048">
        <v>4</v>
      </c>
      <c r="J1048" s="1" t="s">
        <v>43</v>
      </c>
      <c r="K1048">
        <v>1</v>
      </c>
      <c r="L1048">
        <v>1772</v>
      </c>
      <c r="M1048">
        <v>3</v>
      </c>
      <c r="N1048" s="1" t="s">
        <v>44</v>
      </c>
      <c r="O1048">
        <v>94</v>
      </c>
      <c r="P1048">
        <v>3</v>
      </c>
      <c r="Q1048">
        <v>1</v>
      </c>
      <c r="R1048" s="1" t="s">
        <v>45</v>
      </c>
      <c r="S1048">
        <v>1</v>
      </c>
      <c r="T1048" s="1" t="s">
        <v>102</v>
      </c>
      <c r="U1048">
        <v>2289</v>
      </c>
      <c r="V1048" s="1" t="s">
        <v>47</v>
      </c>
      <c r="W1048">
        <v>20520</v>
      </c>
      <c r="X1048">
        <v>1</v>
      </c>
      <c r="Y1048" s="1" t="s">
        <v>48</v>
      </c>
      <c r="Z1048" s="1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8">
      <c r="A1049" s="1" t="s">
        <v>1112</v>
      </c>
      <c r="B1049">
        <v>41</v>
      </c>
      <c r="C1049" s="1" t="s">
        <v>802</v>
      </c>
      <c r="D1049" s="1" t="s">
        <v>49</v>
      </c>
      <c r="E1049" s="1" t="s">
        <v>41</v>
      </c>
      <c r="F1049">
        <v>447</v>
      </c>
      <c r="G1049" s="1" t="s">
        <v>42</v>
      </c>
      <c r="H1049">
        <v>5</v>
      </c>
      <c r="I1049">
        <v>3</v>
      </c>
      <c r="J1049" s="1" t="s">
        <v>43</v>
      </c>
      <c r="K1049">
        <v>1</v>
      </c>
      <c r="L1049">
        <v>1814</v>
      </c>
      <c r="M1049">
        <v>2</v>
      </c>
      <c r="N1049" s="1" t="s">
        <v>44</v>
      </c>
      <c r="O1049">
        <v>85</v>
      </c>
      <c r="P1049">
        <v>4</v>
      </c>
      <c r="Q1049">
        <v>2</v>
      </c>
      <c r="R1049" s="1" t="s">
        <v>161</v>
      </c>
      <c r="S1049">
        <v>2</v>
      </c>
      <c r="T1049" s="1" t="s">
        <v>46</v>
      </c>
      <c r="U1049">
        <v>6870</v>
      </c>
      <c r="V1049" s="1" t="s">
        <v>163</v>
      </c>
      <c r="W1049">
        <v>15530</v>
      </c>
      <c r="X1049">
        <v>3</v>
      </c>
      <c r="Y1049" s="1" t="s">
        <v>48</v>
      </c>
      <c r="Z1049" s="1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8">
      <c r="A1050" s="1" t="s">
        <v>1113</v>
      </c>
      <c r="B1050">
        <v>41</v>
      </c>
      <c r="C1050" s="1" t="s">
        <v>802</v>
      </c>
      <c r="D1050" s="1" t="s">
        <v>49</v>
      </c>
      <c r="E1050" s="1" t="s">
        <v>41</v>
      </c>
      <c r="F1050">
        <v>796</v>
      </c>
      <c r="G1050" s="1" t="s">
        <v>51</v>
      </c>
      <c r="H1050">
        <v>4</v>
      </c>
      <c r="I1050">
        <v>1</v>
      </c>
      <c r="J1050" s="1" t="s">
        <v>57</v>
      </c>
      <c r="K1050">
        <v>1</v>
      </c>
      <c r="L1050">
        <v>1815</v>
      </c>
      <c r="M1050">
        <v>3</v>
      </c>
      <c r="N1050" s="1" t="s">
        <v>53</v>
      </c>
      <c r="O1050">
        <v>81</v>
      </c>
      <c r="P1050">
        <v>3</v>
      </c>
      <c r="Q1050">
        <v>3</v>
      </c>
      <c r="R1050" s="1" t="s">
        <v>137</v>
      </c>
      <c r="S1050">
        <v>3</v>
      </c>
      <c r="T1050" s="1" t="s">
        <v>102</v>
      </c>
      <c r="U1050">
        <v>10447</v>
      </c>
      <c r="V1050" s="1" t="s">
        <v>253</v>
      </c>
      <c r="W1050">
        <v>26458</v>
      </c>
      <c r="X1050">
        <v>0</v>
      </c>
      <c r="Y1050" s="1" t="s">
        <v>48</v>
      </c>
      <c r="Z1050" s="1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8">
      <c r="A1051" s="1" t="s">
        <v>1114</v>
      </c>
      <c r="B1051">
        <v>41</v>
      </c>
      <c r="C1051" s="1" t="s">
        <v>802</v>
      </c>
      <c r="D1051" s="1" t="s">
        <v>49</v>
      </c>
      <c r="E1051" s="1" t="s">
        <v>41</v>
      </c>
      <c r="F1051">
        <v>337</v>
      </c>
      <c r="G1051" s="1" t="s">
        <v>51</v>
      </c>
      <c r="H1051">
        <v>8</v>
      </c>
      <c r="I1051">
        <v>3</v>
      </c>
      <c r="J1051" s="1" t="s">
        <v>57</v>
      </c>
      <c r="K1051">
        <v>1</v>
      </c>
      <c r="L1051">
        <v>1909</v>
      </c>
      <c r="M1051">
        <v>3</v>
      </c>
      <c r="N1051" s="1" t="s">
        <v>53</v>
      </c>
      <c r="O1051">
        <v>54</v>
      </c>
      <c r="P1051">
        <v>3</v>
      </c>
      <c r="Q1051">
        <v>2</v>
      </c>
      <c r="R1051" s="1" t="s">
        <v>137</v>
      </c>
      <c r="S1051">
        <v>2</v>
      </c>
      <c r="T1051" s="1" t="s">
        <v>105</v>
      </c>
      <c r="U1051">
        <v>4393</v>
      </c>
      <c r="V1051" s="1" t="s">
        <v>47</v>
      </c>
      <c r="W1051">
        <v>26841</v>
      </c>
      <c r="X1051">
        <v>5</v>
      </c>
      <c r="Y1051" s="1" t="s">
        <v>48</v>
      </c>
      <c r="Z1051" s="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8">
      <c r="A1052" s="1" t="s">
        <v>1115</v>
      </c>
      <c r="B1052">
        <v>41</v>
      </c>
      <c r="C1052" s="1" t="s">
        <v>802</v>
      </c>
      <c r="D1052" s="1" t="s">
        <v>49</v>
      </c>
      <c r="E1052" s="1" t="s">
        <v>41</v>
      </c>
      <c r="F1052">
        <v>642</v>
      </c>
      <c r="G1052" s="1" t="s">
        <v>42</v>
      </c>
      <c r="H1052">
        <v>1</v>
      </c>
      <c r="I1052">
        <v>3</v>
      </c>
      <c r="J1052" s="1" t="s">
        <v>43</v>
      </c>
      <c r="K1052">
        <v>1</v>
      </c>
      <c r="L1052">
        <v>1999</v>
      </c>
      <c r="M1052">
        <v>4</v>
      </c>
      <c r="N1052" s="1" t="s">
        <v>44</v>
      </c>
      <c r="O1052">
        <v>76</v>
      </c>
      <c r="P1052">
        <v>3</v>
      </c>
      <c r="Q1052">
        <v>1</v>
      </c>
      <c r="R1052" s="1" t="s">
        <v>60</v>
      </c>
      <c r="S1052">
        <v>4</v>
      </c>
      <c r="T1052" s="1" t="s">
        <v>105</v>
      </c>
      <c r="U1052">
        <v>2782</v>
      </c>
      <c r="V1052" s="1" t="s">
        <v>47</v>
      </c>
      <c r="W1052">
        <v>21412</v>
      </c>
      <c r="X1052">
        <v>3</v>
      </c>
      <c r="Y1052" s="1" t="s">
        <v>48</v>
      </c>
      <c r="Z1052" s="1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8">
      <c r="A1053" s="1" t="s">
        <v>1116</v>
      </c>
      <c r="B1053">
        <v>41</v>
      </c>
      <c r="C1053" s="1" t="s">
        <v>802</v>
      </c>
      <c r="D1053" s="1" t="s">
        <v>49</v>
      </c>
      <c r="E1053" s="1" t="s">
        <v>41</v>
      </c>
      <c r="F1053">
        <v>582</v>
      </c>
      <c r="G1053" s="1" t="s">
        <v>42</v>
      </c>
      <c r="H1053">
        <v>28</v>
      </c>
      <c r="I1053">
        <v>4</v>
      </c>
      <c r="J1053" s="1" t="s">
        <v>43</v>
      </c>
      <c r="K1053">
        <v>1</v>
      </c>
      <c r="L1053">
        <v>2034</v>
      </c>
      <c r="M1053">
        <v>1</v>
      </c>
      <c r="N1053" s="1" t="s">
        <v>53</v>
      </c>
      <c r="O1053">
        <v>60</v>
      </c>
      <c r="P1053">
        <v>2</v>
      </c>
      <c r="Q1053">
        <v>4</v>
      </c>
      <c r="R1053" s="1" t="s">
        <v>112</v>
      </c>
      <c r="S1053">
        <v>2</v>
      </c>
      <c r="T1053" s="1" t="s">
        <v>105</v>
      </c>
      <c r="U1053">
        <v>13570</v>
      </c>
      <c r="V1053" s="1" t="s">
        <v>253</v>
      </c>
      <c r="W1053">
        <v>5640</v>
      </c>
      <c r="X1053">
        <v>0</v>
      </c>
      <c r="Y1053" s="1" t="s">
        <v>48</v>
      </c>
      <c r="Z1053" s="1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8">
      <c r="A1054" s="1" t="s">
        <v>1117</v>
      </c>
      <c r="B1054">
        <v>41</v>
      </c>
      <c r="C1054" s="1" t="s">
        <v>802</v>
      </c>
      <c r="D1054" s="1" t="s">
        <v>49</v>
      </c>
      <c r="E1054" s="1" t="s">
        <v>41</v>
      </c>
      <c r="F1054">
        <v>930</v>
      </c>
      <c r="G1054" s="1" t="s">
        <v>51</v>
      </c>
      <c r="H1054">
        <v>3</v>
      </c>
      <c r="I1054">
        <v>3</v>
      </c>
      <c r="J1054" s="1" t="s">
        <v>43</v>
      </c>
      <c r="K1054">
        <v>1</v>
      </c>
      <c r="L1054">
        <v>2037</v>
      </c>
      <c r="M1054">
        <v>3</v>
      </c>
      <c r="N1054" s="1" t="s">
        <v>44</v>
      </c>
      <c r="O1054">
        <v>57</v>
      </c>
      <c r="P1054">
        <v>2</v>
      </c>
      <c r="Q1054">
        <v>2</v>
      </c>
      <c r="R1054" s="1" t="s">
        <v>137</v>
      </c>
      <c r="S1054">
        <v>2</v>
      </c>
      <c r="T1054" s="1" t="s">
        <v>102</v>
      </c>
      <c r="U1054">
        <v>8938</v>
      </c>
      <c r="V1054" s="1" t="s">
        <v>163</v>
      </c>
      <c r="W1054">
        <v>12227</v>
      </c>
      <c r="X1054">
        <v>2</v>
      </c>
      <c r="Y1054" s="1" t="s">
        <v>48</v>
      </c>
      <c r="Z1054" s="1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8">
      <c r="A1055" s="1" t="s">
        <v>1118</v>
      </c>
      <c r="B1055">
        <v>42</v>
      </c>
      <c r="C1055" s="1" t="s">
        <v>802</v>
      </c>
      <c r="D1055" s="1" t="s">
        <v>49</v>
      </c>
      <c r="E1055" s="1" t="s">
        <v>41</v>
      </c>
      <c r="F1055">
        <v>691</v>
      </c>
      <c r="G1055" s="1" t="s">
        <v>51</v>
      </c>
      <c r="H1055">
        <v>8</v>
      </c>
      <c r="I1055">
        <v>4</v>
      </c>
      <c r="J1055" s="1" t="s">
        <v>57</v>
      </c>
      <c r="K1055">
        <v>1</v>
      </c>
      <c r="L1055">
        <v>35</v>
      </c>
      <c r="M1055">
        <v>3</v>
      </c>
      <c r="N1055" s="1" t="s">
        <v>44</v>
      </c>
      <c r="O1055">
        <v>48</v>
      </c>
      <c r="P1055">
        <v>3</v>
      </c>
      <c r="Q1055">
        <v>2</v>
      </c>
      <c r="R1055" s="1" t="s">
        <v>137</v>
      </c>
      <c r="S1055">
        <v>2</v>
      </c>
      <c r="T1055" s="1" t="s">
        <v>105</v>
      </c>
      <c r="U1055">
        <v>6825</v>
      </c>
      <c r="V1055" s="1" t="s">
        <v>163</v>
      </c>
      <c r="W1055">
        <v>21173</v>
      </c>
      <c r="X1055">
        <v>0</v>
      </c>
      <c r="Y1055" s="1" t="s">
        <v>48</v>
      </c>
      <c r="Z1055" s="1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8">
      <c r="A1056" s="1" t="s">
        <v>1119</v>
      </c>
      <c r="B1056">
        <v>42</v>
      </c>
      <c r="C1056" s="1" t="s">
        <v>802</v>
      </c>
      <c r="D1056" s="1" t="s">
        <v>49</v>
      </c>
      <c r="E1056" s="1" t="s">
        <v>59</v>
      </c>
      <c r="F1056">
        <v>926</v>
      </c>
      <c r="G1056" s="1" t="s">
        <v>42</v>
      </c>
      <c r="H1056">
        <v>21</v>
      </c>
      <c r="I1056">
        <v>2</v>
      </c>
      <c r="J1056" s="1" t="s">
        <v>52</v>
      </c>
      <c r="K1056">
        <v>1</v>
      </c>
      <c r="L1056">
        <v>270</v>
      </c>
      <c r="M1056">
        <v>3</v>
      </c>
      <c r="N1056" s="1" t="s">
        <v>53</v>
      </c>
      <c r="O1056">
        <v>36</v>
      </c>
      <c r="P1056">
        <v>3</v>
      </c>
      <c r="Q1056">
        <v>2</v>
      </c>
      <c r="R1056" s="1" t="s">
        <v>112</v>
      </c>
      <c r="S1056">
        <v>3</v>
      </c>
      <c r="T1056" s="1" t="s">
        <v>102</v>
      </c>
      <c r="U1056">
        <v>5265</v>
      </c>
      <c r="V1056" s="1" t="s">
        <v>163</v>
      </c>
      <c r="W1056">
        <v>16439</v>
      </c>
      <c r="X1056">
        <v>2</v>
      </c>
      <c r="Y1056" s="1" t="s">
        <v>48</v>
      </c>
      <c r="Z1056" s="1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8">
      <c r="A1057" s="1" t="s">
        <v>1120</v>
      </c>
      <c r="B1057">
        <v>42</v>
      </c>
      <c r="C1057" s="1" t="s">
        <v>802</v>
      </c>
      <c r="D1057" s="1" t="s">
        <v>49</v>
      </c>
      <c r="E1057" s="1" t="s">
        <v>41</v>
      </c>
      <c r="F1057">
        <v>532</v>
      </c>
      <c r="G1057" s="1" t="s">
        <v>42</v>
      </c>
      <c r="H1057">
        <v>4</v>
      </c>
      <c r="I1057">
        <v>2</v>
      </c>
      <c r="J1057" s="1" t="s">
        <v>68</v>
      </c>
      <c r="K1057">
        <v>1</v>
      </c>
      <c r="L1057">
        <v>319</v>
      </c>
      <c r="M1057">
        <v>3</v>
      </c>
      <c r="N1057" s="1" t="s">
        <v>44</v>
      </c>
      <c r="O1057">
        <v>58</v>
      </c>
      <c r="P1057">
        <v>3</v>
      </c>
      <c r="Q1057">
        <v>5</v>
      </c>
      <c r="R1057" s="1" t="s">
        <v>442</v>
      </c>
      <c r="S1057">
        <v>4</v>
      </c>
      <c r="T1057" s="1" t="s">
        <v>105</v>
      </c>
      <c r="U1057">
        <v>19232</v>
      </c>
      <c r="V1057" s="1" t="s">
        <v>368</v>
      </c>
      <c r="W1057">
        <v>4933</v>
      </c>
      <c r="X1057">
        <v>1</v>
      </c>
      <c r="Y1057" s="1" t="s">
        <v>48</v>
      </c>
      <c r="Z1057" s="1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8">
      <c r="A1058" s="1" t="s">
        <v>1121</v>
      </c>
      <c r="B1058">
        <v>42</v>
      </c>
      <c r="C1058" s="1" t="s">
        <v>802</v>
      </c>
      <c r="D1058" s="1" t="s">
        <v>49</v>
      </c>
      <c r="E1058" s="1" t="s">
        <v>41</v>
      </c>
      <c r="F1058">
        <v>916</v>
      </c>
      <c r="G1058" s="1" t="s">
        <v>42</v>
      </c>
      <c r="H1058">
        <v>17</v>
      </c>
      <c r="I1058">
        <v>2</v>
      </c>
      <c r="J1058" s="1" t="s">
        <v>43</v>
      </c>
      <c r="K1058">
        <v>1</v>
      </c>
      <c r="L1058">
        <v>347</v>
      </c>
      <c r="M1058">
        <v>4</v>
      </c>
      <c r="N1058" s="1" t="s">
        <v>53</v>
      </c>
      <c r="O1058">
        <v>82</v>
      </c>
      <c r="P1058">
        <v>4</v>
      </c>
      <c r="Q1058">
        <v>2</v>
      </c>
      <c r="R1058" s="1" t="s">
        <v>60</v>
      </c>
      <c r="S1058">
        <v>1</v>
      </c>
      <c r="T1058" s="1" t="s">
        <v>46</v>
      </c>
      <c r="U1058">
        <v>6545</v>
      </c>
      <c r="V1058" s="1" t="s">
        <v>163</v>
      </c>
      <c r="W1058">
        <v>23016</v>
      </c>
      <c r="X1058">
        <v>3</v>
      </c>
      <c r="Y1058" s="1" t="s">
        <v>48</v>
      </c>
      <c r="Z1058" s="1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8">
      <c r="A1059" s="1" t="s">
        <v>1122</v>
      </c>
      <c r="B1059">
        <v>42</v>
      </c>
      <c r="C1059" s="1" t="s">
        <v>802</v>
      </c>
      <c r="D1059" s="1" t="s">
        <v>49</v>
      </c>
      <c r="E1059" s="1" t="s">
        <v>41</v>
      </c>
      <c r="F1059">
        <v>269</v>
      </c>
      <c r="G1059" s="1" t="s">
        <v>42</v>
      </c>
      <c r="H1059">
        <v>2</v>
      </c>
      <c r="I1059">
        <v>3</v>
      </c>
      <c r="J1059" s="1" t="s">
        <v>52</v>
      </c>
      <c r="K1059">
        <v>1</v>
      </c>
      <c r="L1059">
        <v>351</v>
      </c>
      <c r="M1059">
        <v>4</v>
      </c>
      <c r="N1059" s="1" t="s">
        <v>53</v>
      </c>
      <c r="O1059">
        <v>56</v>
      </c>
      <c r="P1059">
        <v>2</v>
      </c>
      <c r="Q1059">
        <v>1</v>
      </c>
      <c r="R1059" s="1" t="s">
        <v>45</v>
      </c>
      <c r="S1059">
        <v>1</v>
      </c>
      <c r="T1059" s="1" t="s">
        <v>102</v>
      </c>
      <c r="U1059">
        <v>2593</v>
      </c>
      <c r="V1059" s="1" t="s">
        <v>47</v>
      </c>
      <c r="W1059">
        <v>8007</v>
      </c>
      <c r="X1059">
        <v>0</v>
      </c>
      <c r="Y1059" s="1" t="s">
        <v>48</v>
      </c>
      <c r="Z1059" s="1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8">
      <c r="A1060" s="1" t="s">
        <v>1123</v>
      </c>
      <c r="B1060">
        <v>42</v>
      </c>
      <c r="C1060" s="1" t="s">
        <v>802</v>
      </c>
      <c r="D1060" s="1" t="s">
        <v>49</v>
      </c>
      <c r="E1060" s="1" t="s">
        <v>41</v>
      </c>
      <c r="F1060">
        <v>635</v>
      </c>
      <c r="G1060" s="1" t="s">
        <v>51</v>
      </c>
      <c r="H1060">
        <v>1</v>
      </c>
      <c r="I1060">
        <v>1</v>
      </c>
      <c r="J1060" s="1" t="s">
        <v>43</v>
      </c>
      <c r="K1060">
        <v>1</v>
      </c>
      <c r="L1060">
        <v>387</v>
      </c>
      <c r="M1060">
        <v>2</v>
      </c>
      <c r="N1060" s="1" t="s">
        <v>44</v>
      </c>
      <c r="O1060">
        <v>99</v>
      </c>
      <c r="P1060">
        <v>3</v>
      </c>
      <c r="Q1060">
        <v>2</v>
      </c>
      <c r="R1060" s="1" t="s">
        <v>137</v>
      </c>
      <c r="S1060">
        <v>3</v>
      </c>
      <c r="T1060" s="1" t="s">
        <v>105</v>
      </c>
      <c r="U1060">
        <v>4907</v>
      </c>
      <c r="V1060" s="1" t="s">
        <v>47</v>
      </c>
      <c r="W1060">
        <v>24532</v>
      </c>
      <c r="X1060">
        <v>1</v>
      </c>
      <c r="Y1060" s="1" t="s">
        <v>48</v>
      </c>
      <c r="Z1060" s="1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8">
      <c r="A1061" s="1" t="s">
        <v>1124</v>
      </c>
      <c r="B1061">
        <v>42</v>
      </c>
      <c r="C1061" s="1" t="s">
        <v>802</v>
      </c>
      <c r="D1061" s="1" t="s">
        <v>49</v>
      </c>
      <c r="E1061" s="1" t="s">
        <v>56</v>
      </c>
      <c r="F1061">
        <v>555</v>
      </c>
      <c r="G1061" s="1" t="s">
        <v>51</v>
      </c>
      <c r="H1061">
        <v>26</v>
      </c>
      <c r="I1061">
        <v>3</v>
      </c>
      <c r="J1061" s="1" t="s">
        <v>57</v>
      </c>
      <c r="K1061">
        <v>1</v>
      </c>
      <c r="L1061">
        <v>404</v>
      </c>
      <c r="M1061">
        <v>3</v>
      </c>
      <c r="N1061" s="1" t="s">
        <v>53</v>
      </c>
      <c r="O1061">
        <v>77</v>
      </c>
      <c r="P1061">
        <v>3</v>
      </c>
      <c r="Q1061">
        <v>4</v>
      </c>
      <c r="R1061" s="1" t="s">
        <v>137</v>
      </c>
      <c r="S1061">
        <v>2</v>
      </c>
      <c r="T1061" s="1" t="s">
        <v>105</v>
      </c>
      <c r="U1061">
        <v>13525</v>
      </c>
      <c r="V1061" s="1" t="s">
        <v>253</v>
      </c>
      <c r="W1061">
        <v>14864</v>
      </c>
      <c r="X1061">
        <v>5</v>
      </c>
      <c r="Y1061" s="1" t="s">
        <v>48</v>
      </c>
      <c r="Z1061" s="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8">
      <c r="A1062" s="1" t="s">
        <v>1125</v>
      </c>
      <c r="B1062">
        <v>42</v>
      </c>
      <c r="C1062" s="1" t="s">
        <v>802</v>
      </c>
      <c r="D1062" s="1" t="s">
        <v>49</v>
      </c>
      <c r="E1062" s="1" t="s">
        <v>41</v>
      </c>
      <c r="F1062">
        <v>810</v>
      </c>
      <c r="G1062" s="1" t="s">
        <v>42</v>
      </c>
      <c r="H1062">
        <v>23</v>
      </c>
      <c r="I1062">
        <v>5</v>
      </c>
      <c r="J1062" s="1" t="s">
        <v>43</v>
      </c>
      <c r="K1062">
        <v>1</v>
      </c>
      <c r="L1062">
        <v>468</v>
      </c>
      <c r="M1062">
        <v>1</v>
      </c>
      <c r="N1062" s="1" t="s">
        <v>53</v>
      </c>
      <c r="O1062">
        <v>44</v>
      </c>
      <c r="P1062">
        <v>3</v>
      </c>
      <c r="Q1062">
        <v>4</v>
      </c>
      <c r="R1062" s="1" t="s">
        <v>252</v>
      </c>
      <c r="S1062">
        <v>4</v>
      </c>
      <c r="T1062" s="1" t="s">
        <v>46</v>
      </c>
      <c r="U1062">
        <v>15992</v>
      </c>
      <c r="V1062" s="1" t="s">
        <v>368</v>
      </c>
      <c r="W1062">
        <v>15901</v>
      </c>
      <c r="X1062">
        <v>2</v>
      </c>
      <c r="Y1062" s="1" t="s">
        <v>48</v>
      </c>
      <c r="Z1062" s="1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8">
      <c r="A1063" s="1" t="s">
        <v>1126</v>
      </c>
      <c r="B1063">
        <v>42</v>
      </c>
      <c r="C1063" s="1" t="s">
        <v>802</v>
      </c>
      <c r="D1063" s="1" t="s">
        <v>49</v>
      </c>
      <c r="E1063" s="1" t="s">
        <v>41</v>
      </c>
      <c r="F1063">
        <v>544</v>
      </c>
      <c r="G1063" s="1" t="s">
        <v>71</v>
      </c>
      <c r="H1063">
        <v>2</v>
      </c>
      <c r="I1063">
        <v>1</v>
      </c>
      <c r="J1063" s="1" t="s">
        <v>68</v>
      </c>
      <c r="K1063">
        <v>1</v>
      </c>
      <c r="L1063">
        <v>470</v>
      </c>
      <c r="M1063">
        <v>3</v>
      </c>
      <c r="N1063" s="1" t="s">
        <v>44</v>
      </c>
      <c r="O1063">
        <v>52</v>
      </c>
      <c r="P1063">
        <v>3</v>
      </c>
      <c r="Q1063">
        <v>1</v>
      </c>
      <c r="R1063" s="1" t="s">
        <v>71</v>
      </c>
      <c r="S1063">
        <v>3</v>
      </c>
      <c r="T1063" s="1" t="s">
        <v>102</v>
      </c>
      <c r="U1063">
        <v>2696</v>
      </c>
      <c r="V1063" s="1" t="s">
        <v>47</v>
      </c>
      <c r="W1063">
        <v>24017</v>
      </c>
      <c r="X1063">
        <v>0</v>
      </c>
      <c r="Y1063" s="1" t="s">
        <v>48</v>
      </c>
      <c r="Z1063" s="1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8">
      <c r="A1064" s="1" t="s">
        <v>1127</v>
      </c>
      <c r="B1064">
        <v>42</v>
      </c>
      <c r="C1064" s="1" t="s">
        <v>802</v>
      </c>
      <c r="D1064" s="1" t="s">
        <v>49</v>
      </c>
      <c r="E1064" s="1" t="s">
        <v>41</v>
      </c>
      <c r="F1064">
        <v>1332</v>
      </c>
      <c r="G1064" s="1" t="s">
        <v>42</v>
      </c>
      <c r="H1064">
        <v>2</v>
      </c>
      <c r="I1064">
        <v>4</v>
      </c>
      <c r="J1064" s="1" t="s">
        <v>73</v>
      </c>
      <c r="K1064">
        <v>1</v>
      </c>
      <c r="L1064">
        <v>477</v>
      </c>
      <c r="M1064">
        <v>1</v>
      </c>
      <c r="N1064" s="1" t="s">
        <v>44</v>
      </c>
      <c r="O1064">
        <v>98</v>
      </c>
      <c r="P1064">
        <v>2</v>
      </c>
      <c r="Q1064">
        <v>2</v>
      </c>
      <c r="R1064" s="1" t="s">
        <v>161</v>
      </c>
      <c r="S1064">
        <v>4</v>
      </c>
      <c r="T1064" s="1" t="s">
        <v>46</v>
      </c>
      <c r="U1064">
        <v>6781</v>
      </c>
      <c r="V1064" s="1" t="s">
        <v>163</v>
      </c>
      <c r="W1064">
        <v>17078</v>
      </c>
      <c r="X1064">
        <v>3</v>
      </c>
      <c r="Y1064" s="1" t="s">
        <v>48</v>
      </c>
      <c r="Z1064" s="1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8">
      <c r="A1065" s="1" t="s">
        <v>1128</v>
      </c>
      <c r="B1065">
        <v>42</v>
      </c>
      <c r="C1065" s="1" t="s">
        <v>802</v>
      </c>
      <c r="D1065" s="1" t="s">
        <v>49</v>
      </c>
      <c r="E1065" s="1" t="s">
        <v>41</v>
      </c>
      <c r="F1065">
        <v>201</v>
      </c>
      <c r="G1065" s="1" t="s">
        <v>42</v>
      </c>
      <c r="H1065">
        <v>1</v>
      </c>
      <c r="I1065">
        <v>4</v>
      </c>
      <c r="J1065" s="1" t="s">
        <v>43</v>
      </c>
      <c r="K1065">
        <v>1</v>
      </c>
      <c r="L1065">
        <v>517</v>
      </c>
      <c r="M1065">
        <v>2</v>
      </c>
      <c r="N1065" s="1" t="s">
        <v>53</v>
      </c>
      <c r="O1065">
        <v>95</v>
      </c>
      <c r="P1065">
        <v>3</v>
      </c>
      <c r="Q1065">
        <v>1</v>
      </c>
      <c r="R1065" s="1" t="s">
        <v>45</v>
      </c>
      <c r="S1065">
        <v>1</v>
      </c>
      <c r="T1065" s="1" t="s">
        <v>102</v>
      </c>
      <c r="U1065">
        <v>2576</v>
      </c>
      <c r="V1065" s="1" t="s">
        <v>47</v>
      </c>
      <c r="W1065">
        <v>20490</v>
      </c>
      <c r="X1065">
        <v>3</v>
      </c>
      <c r="Y1065" s="1" t="s">
        <v>48</v>
      </c>
      <c r="Z1065" s="1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8">
      <c r="A1066" s="1" t="s">
        <v>1129</v>
      </c>
      <c r="B1066">
        <v>42</v>
      </c>
      <c r="C1066" s="1" t="s">
        <v>802</v>
      </c>
      <c r="D1066" s="1" t="s">
        <v>49</v>
      </c>
      <c r="E1066" s="1" t="s">
        <v>56</v>
      </c>
      <c r="F1066">
        <v>532</v>
      </c>
      <c r="G1066" s="1" t="s">
        <v>42</v>
      </c>
      <c r="H1066">
        <v>29</v>
      </c>
      <c r="I1066">
        <v>2</v>
      </c>
      <c r="J1066" s="1" t="s">
        <v>43</v>
      </c>
      <c r="K1066">
        <v>1</v>
      </c>
      <c r="L1066">
        <v>547</v>
      </c>
      <c r="M1066">
        <v>1</v>
      </c>
      <c r="N1066" s="1" t="s">
        <v>53</v>
      </c>
      <c r="O1066">
        <v>92</v>
      </c>
      <c r="P1066">
        <v>3</v>
      </c>
      <c r="Q1066">
        <v>2</v>
      </c>
      <c r="R1066" s="1" t="s">
        <v>60</v>
      </c>
      <c r="S1066">
        <v>3</v>
      </c>
      <c r="T1066" s="1" t="s">
        <v>102</v>
      </c>
      <c r="U1066">
        <v>4556</v>
      </c>
      <c r="V1066" s="1" t="s">
        <v>47</v>
      </c>
      <c r="W1066">
        <v>12932</v>
      </c>
      <c r="X1066">
        <v>2</v>
      </c>
      <c r="Y1066" s="1" t="s">
        <v>48</v>
      </c>
      <c r="Z1066" s="1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8">
      <c r="A1067" s="1" t="s">
        <v>1130</v>
      </c>
      <c r="B1067">
        <v>42</v>
      </c>
      <c r="C1067" s="1" t="s">
        <v>802</v>
      </c>
      <c r="D1067" s="1" t="s">
        <v>49</v>
      </c>
      <c r="E1067" s="1" t="s">
        <v>56</v>
      </c>
      <c r="F1067">
        <v>1368</v>
      </c>
      <c r="G1067" s="1" t="s">
        <v>42</v>
      </c>
      <c r="H1067">
        <v>28</v>
      </c>
      <c r="I1067">
        <v>4</v>
      </c>
      <c r="J1067" s="1" t="s">
        <v>68</v>
      </c>
      <c r="K1067">
        <v>1</v>
      </c>
      <c r="L1067">
        <v>551</v>
      </c>
      <c r="M1067">
        <v>4</v>
      </c>
      <c r="N1067" s="1" t="s">
        <v>53</v>
      </c>
      <c r="O1067">
        <v>88</v>
      </c>
      <c r="P1067">
        <v>2</v>
      </c>
      <c r="Q1067">
        <v>2</v>
      </c>
      <c r="R1067" s="1" t="s">
        <v>161</v>
      </c>
      <c r="S1067">
        <v>4</v>
      </c>
      <c r="T1067" s="1" t="s">
        <v>105</v>
      </c>
      <c r="U1067">
        <v>4523</v>
      </c>
      <c r="V1067" s="1" t="s">
        <v>47</v>
      </c>
      <c r="W1067">
        <v>4386</v>
      </c>
      <c r="X1067">
        <v>0</v>
      </c>
      <c r="Y1067" s="1" t="s">
        <v>48</v>
      </c>
      <c r="Z1067" s="1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8">
      <c r="A1068" s="1" t="s">
        <v>1131</v>
      </c>
      <c r="B1068">
        <v>42</v>
      </c>
      <c r="C1068" s="1" t="s">
        <v>802</v>
      </c>
      <c r="D1068" s="1" t="s">
        <v>49</v>
      </c>
      <c r="E1068" s="1" t="s">
        <v>56</v>
      </c>
      <c r="F1068">
        <v>1474</v>
      </c>
      <c r="G1068" s="1" t="s">
        <v>42</v>
      </c>
      <c r="H1068">
        <v>5</v>
      </c>
      <c r="I1068">
        <v>2</v>
      </c>
      <c r="J1068" s="1" t="s">
        <v>73</v>
      </c>
      <c r="K1068">
        <v>1</v>
      </c>
      <c r="L1068">
        <v>591</v>
      </c>
      <c r="M1068">
        <v>2</v>
      </c>
      <c r="N1068" s="1" t="s">
        <v>44</v>
      </c>
      <c r="O1068">
        <v>97</v>
      </c>
      <c r="P1068">
        <v>3</v>
      </c>
      <c r="Q1068">
        <v>1</v>
      </c>
      <c r="R1068" s="1" t="s">
        <v>45</v>
      </c>
      <c r="S1068">
        <v>3</v>
      </c>
      <c r="T1068" s="1" t="s">
        <v>105</v>
      </c>
      <c r="U1068">
        <v>2093</v>
      </c>
      <c r="V1068" s="1" t="s">
        <v>47</v>
      </c>
      <c r="W1068">
        <v>9260</v>
      </c>
      <c r="X1068">
        <v>4</v>
      </c>
      <c r="Y1068" s="1" t="s">
        <v>48</v>
      </c>
      <c r="Z1068" s="1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8">
      <c r="A1069" s="1" t="s">
        <v>1132</v>
      </c>
      <c r="B1069">
        <v>42</v>
      </c>
      <c r="C1069" s="1" t="s">
        <v>802</v>
      </c>
      <c r="D1069" s="1" t="s">
        <v>49</v>
      </c>
      <c r="E1069" s="1" t="s">
        <v>41</v>
      </c>
      <c r="F1069">
        <v>319</v>
      </c>
      <c r="G1069" s="1" t="s">
        <v>42</v>
      </c>
      <c r="H1069">
        <v>24</v>
      </c>
      <c r="I1069">
        <v>3</v>
      </c>
      <c r="J1069" s="1" t="s">
        <v>52</v>
      </c>
      <c r="K1069">
        <v>1</v>
      </c>
      <c r="L1069">
        <v>605</v>
      </c>
      <c r="M1069">
        <v>4</v>
      </c>
      <c r="N1069" s="1" t="s">
        <v>44</v>
      </c>
      <c r="O1069">
        <v>56</v>
      </c>
      <c r="P1069">
        <v>3</v>
      </c>
      <c r="Q1069">
        <v>3</v>
      </c>
      <c r="R1069" s="1" t="s">
        <v>112</v>
      </c>
      <c r="S1069">
        <v>1</v>
      </c>
      <c r="T1069" s="1" t="s">
        <v>105</v>
      </c>
      <c r="U1069">
        <v>7406</v>
      </c>
      <c r="V1069" s="1" t="s">
        <v>163</v>
      </c>
      <c r="W1069">
        <v>6950</v>
      </c>
      <c r="X1069">
        <v>1</v>
      </c>
      <c r="Y1069" s="1" t="s">
        <v>48</v>
      </c>
      <c r="Z1069" s="1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8">
      <c r="A1070" s="1" t="s">
        <v>1133</v>
      </c>
      <c r="B1070">
        <v>42</v>
      </c>
      <c r="C1070" s="1" t="s">
        <v>802</v>
      </c>
      <c r="D1070" s="1" t="s">
        <v>49</v>
      </c>
      <c r="E1070" s="1" t="s">
        <v>41</v>
      </c>
      <c r="F1070">
        <v>622</v>
      </c>
      <c r="G1070" s="1" t="s">
        <v>42</v>
      </c>
      <c r="H1070">
        <v>2</v>
      </c>
      <c r="I1070">
        <v>4</v>
      </c>
      <c r="J1070" s="1" t="s">
        <v>43</v>
      </c>
      <c r="K1070">
        <v>1</v>
      </c>
      <c r="L1070">
        <v>659</v>
      </c>
      <c r="M1070">
        <v>3</v>
      </c>
      <c r="N1070" s="1" t="s">
        <v>53</v>
      </c>
      <c r="O1070">
        <v>81</v>
      </c>
      <c r="P1070">
        <v>3</v>
      </c>
      <c r="Q1070">
        <v>2</v>
      </c>
      <c r="R1070" s="1" t="s">
        <v>161</v>
      </c>
      <c r="S1070">
        <v>4</v>
      </c>
      <c r="T1070" s="1" t="s">
        <v>105</v>
      </c>
      <c r="U1070">
        <v>4089</v>
      </c>
      <c r="V1070" s="1" t="s">
        <v>47</v>
      </c>
      <c r="W1070">
        <v>5718</v>
      </c>
      <c r="X1070">
        <v>1</v>
      </c>
      <c r="Y1070" s="1" t="s">
        <v>48</v>
      </c>
      <c r="Z1070" s="1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8">
      <c r="A1071" s="1" t="s">
        <v>1134</v>
      </c>
      <c r="B1071">
        <v>42</v>
      </c>
      <c r="C1071" s="1" t="s">
        <v>802</v>
      </c>
      <c r="D1071" s="1" t="s">
        <v>40</v>
      </c>
      <c r="E1071" s="1" t="s">
        <v>56</v>
      </c>
      <c r="F1071">
        <v>933</v>
      </c>
      <c r="G1071" s="1" t="s">
        <v>42</v>
      </c>
      <c r="H1071">
        <v>19</v>
      </c>
      <c r="I1071">
        <v>3</v>
      </c>
      <c r="J1071" s="1" t="s">
        <v>52</v>
      </c>
      <c r="K1071">
        <v>1</v>
      </c>
      <c r="L1071">
        <v>752</v>
      </c>
      <c r="M1071">
        <v>3</v>
      </c>
      <c r="N1071" s="1" t="s">
        <v>44</v>
      </c>
      <c r="O1071">
        <v>57</v>
      </c>
      <c r="P1071">
        <v>4</v>
      </c>
      <c r="Q1071">
        <v>1</v>
      </c>
      <c r="R1071" s="1" t="s">
        <v>60</v>
      </c>
      <c r="S1071">
        <v>3</v>
      </c>
      <c r="T1071" s="1" t="s">
        <v>102</v>
      </c>
      <c r="U1071">
        <v>2759</v>
      </c>
      <c r="V1071" s="1" t="s">
        <v>47</v>
      </c>
      <c r="W1071">
        <v>20366</v>
      </c>
      <c r="X1071">
        <v>6</v>
      </c>
      <c r="Y1071" s="1" t="s">
        <v>48</v>
      </c>
      <c r="Z1071" s="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8">
      <c r="A1072" s="1" t="s">
        <v>1135</v>
      </c>
      <c r="B1072">
        <v>42</v>
      </c>
      <c r="C1072" s="1" t="s">
        <v>802</v>
      </c>
      <c r="D1072" s="1" t="s">
        <v>49</v>
      </c>
      <c r="E1072" s="1" t="s">
        <v>56</v>
      </c>
      <c r="F1072">
        <v>570</v>
      </c>
      <c r="G1072" s="1" t="s">
        <v>42</v>
      </c>
      <c r="H1072">
        <v>8</v>
      </c>
      <c r="I1072">
        <v>3</v>
      </c>
      <c r="J1072" s="1" t="s">
        <v>43</v>
      </c>
      <c r="K1072">
        <v>1</v>
      </c>
      <c r="L1072">
        <v>809</v>
      </c>
      <c r="M1072">
        <v>2</v>
      </c>
      <c r="N1072" s="1" t="s">
        <v>44</v>
      </c>
      <c r="O1072">
        <v>66</v>
      </c>
      <c r="P1072">
        <v>3</v>
      </c>
      <c r="Q1072">
        <v>5</v>
      </c>
      <c r="R1072" s="1" t="s">
        <v>442</v>
      </c>
      <c r="S1072">
        <v>4</v>
      </c>
      <c r="T1072" s="1" t="s">
        <v>102</v>
      </c>
      <c r="U1072">
        <v>18430</v>
      </c>
      <c r="V1072" s="1" t="s">
        <v>368</v>
      </c>
      <c r="W1072">
        <v>16225</v>
      </c>
      <c r="X1072">
        <v>1</v>
      </c>
      <c r="Y1072" s="1" t="s">
        <v>48</v>
      </c>
      <c r="Z1072" s="1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8">
      <c r="A1073" s="1" t="s">
        <v>1136</v>
      </c>
      <c r="B1073">
        <v>42</v>
      </c>
      <c r="C1073" s="1" t="s">
        <v>802</v>
      </c>
      <c r="D1073" s="1" t="s">
        <v>49</v>
      </c>
      <c r="E1073" s="1" t="s">
        <v>41</v>
      </c>
      <c r="F1073">
        <v>932</v>
      </c>
      <c r="G1073" s="1" t="s">
        <v>42</v>
      </c>
      <c r="H1073">
        <v>1</v>
      </c>
      <c r="I1073">
        <v>2</v>
      </c>
      <c r="J1073" s="1" t="s">
        <v>43</v>
      </c>
      <c r="K1073">
        <v>1</v>
      </c>
      <c r="L1073">
        <v>827</v>
      </c>
      <c r="M1073">
        <v>4</v>
      </c>
      <c r="N1073" s="1" t="s">
        <v>53</v>
      </c>
      <c r="O1073">
        <v>43</v>
      </c>
      <c r="P1073">
        <v>2</v>
      </c>
      <c r="Q1073">
        <v>2</v>
      </c>
      <c r="R1073" s="1" t="s">
        <v>112</v>
      </c>
      <c r="S1073">
        <v>4</v>
      </c>
      <c r="T1073" s="1" t="s">
        <v>105</v>
      </c>
      <c r="U1073">
        <v>6062</v>
      </c>
      <c r="V1073" s="1" t="s">
        <v>163</v>
      </c>
      <c r="W1073">
        <v>4051</v>
      </c>
      <c r="X1073">
        <v>9</v>
      </c>
      <c r="Y1073" s="1" t="s">
        <v>48</v>
      </c>
      <c r="Z1073" s="1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8">
      <c r="A1074" s="1" t="s">
        <v>1137</v>
      </c>
      <c r="B1074">
        <v>42</v>
      </c>
      <c r="C1074" s="1" t="s">
        <v>802</v>
      </c>
      <c r="D1074" s="1" t="s">
        <v>49</v>
      </c>
      <c r="E1074" s="1" t="s">
        <v>41</v>
      </c>
      <c r="F1074">
        <v>933</v>
      </c>
      <c r="G1074" s="1" t="s">
        <v>42</v>
      </c>
      <c r="H1074">
        <v>29</v>
      </c>
      <c r="I1074">
        <v>3</v>
      </c>
      <c r="J1074" s="1" t="s">
        <v>43</v>
      </c>
      <c r="K1074">
        <v>1</v>
      </c>
      <c r="L1074">
        <v>836</v>
      </c>
      <c r="M1074">
        <v>2</v>
      </c>
      <c r="N1074" s="1" t="s">
        <v>44</v>
      </c>
      <c r="O1074">
        <v>98</v>
      </c>
      <c r="P1074">
        <v>3</v>
      </c>
      <c r="Q1074">
        <v>2</v>
      </c>
      <c r="R1074" s="1" t="s">
        <v>112</v>
      </c>
      <c r="S1074">
        <v>2</v>
      </c>
      <c r="T1074" s="1" t="s">
        <v>105</v>
      </c>
      <c r="U1074">
        <v>4434</v>
      </c>
      <c r="V1074" s="1" t="s">
        <v>47</v>
      </c>
      <c r="W1074">
        <v>11806</v>
      </c>
      <c r="X1074">
        <v>1</v>
      </c>
      <c r="Y1074" s="1" t="s">
        <v>48</v>
      </c>
      <c r="Z1074" s="1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8">
      <c r="A1075" s="1" t="s">
        <v>1138</v>
      </c>
      <c r="B1075">
        <v>42</v>
      </c>
      <c r="C1075" s="1" t="s">
        <v>802</v>
      </c>
      <c r="D1075" s="1" t="s">
        <v>49</v>
      </c>
      <c r="E1075" s="1" t="s">
        <v>56</v>
      </c>
      <c r="F1075">
        <v>1271</v>
      </c>
      <c r="G1075" s="1" t="s">
        <v>42</v>
      </c>
      <c r="H1075">
        <v>2</v>
      </c>
      <c r="I1075">
        <v>1</v>
      </c>
      <c r="J1075" s="1" t="s">
        <v>52</v>
      </c>
      <c r="K1075">
        <v>1</v>
      </c>
      <c r="L1075">
        <v>875</v>
      </c>
      <c r="M1075">
        <v>2</v>
      </c>
      <c r="N1075" s="1" t="s">
        <v>44</v>
      </c>
      <c r="O1075">
        <v>35</v>
      </c>
      <c r="P1075">
        <v>3</v>
      </c>
      <c r="Q1075">
        <v>1</v>
      </c>
      <c r="R1075" s="1" t="s">
        <v>60</v>
      </c>
      <c r="S1075">
        <v>4</v>
      </c>
      <c r="T1075" s="1" t="s">
        <v>46</v>
      </c>
      <c r="U1075">
        <v>2515</v>
      </c>
      <c r="V1075" s="1" t="s">
        <v>47</v>
      </c>
      <c r="W1075">
        <v>9068</v>
      </c>
      <c r="X1075">
        <v>5</v>
      </c>
      <c r="Y1075" s="1" t="s">
        <v>48</v>
      </c>
      <c r="Z1075" s="1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8">
      <c r="A1076" s="1" t="s">
        <v>1139</v>
      </c>
      <c r="B1076">
        <v>42</v>
      </c>
      <c r="C1076" s="1" t="s">
        <v>802</v>
      </c>
      <c r="D1076" s="1" t="s">
        <v>49</v>
      </c>
      <c r="E1076" s="1" t="s">
        <v>41</v>
      </c>
      <c r="F1076">
        <v>1265</v>
      </c>
      <c r="G1076" s="1" t="s">
        <v>42</v>
      </c>
      <c r="H1076">
        <v>3</v>
      </c>
      <c r="I1076">
        <v>3</v>
      </c>
      <c r="J1076" s="1" t="s">
        <v>43</v>
      </c>
      <c r="K1076">
        <v>1</v>
      </c>
      <c r="L1076">
        <v>894</v>
      </c>
      <c r="M1076">
        <v>3</v>
      </c>
      <c r="N1076" s="1" t="s">
        <v>53</v>
      </c>
      <c r="O1076">
        <v>95</v>
      </c>
      <c r="P1076">
        <v>4</v>
      </c>
      <c r="Q1076">
        <v>2</v>
      </c>
      <c r="R1076" s="1" t="s">
        <v>45</v>
      </c>
      <c r="S1076">
        <v>4</v>
      </c>
      <c r="T1076" s="1" t="s">
        <v>105</v>
      </c>
      <c r="U1076">
        <v>5231</v>
      </c>
      <c r="V1076" s="1" t="s">
        <v>163</v>
      </c>
      <c r="W1076">
        <v>23726</v>
      </c>
      <c r="X1076">
        <v>2</v>
      </c>
      <c r="Y1076" s="1" t="s">
        <v>48</v>
      </c>
      <c r="Z1076" s="1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8">
      <c r="A1077" s="1" t="s">
        <v>1140</v>
      </c>
      <c r="B1077">
        <v>42</v>
      </c>
      <c r="C1077" s="1" t="s">
        <v>802</v>
      </c>
      <c r="D1077" s="1" t="s">
        <v>49</v>
      </c>
      <c r="E1077" s="1" t="s">
        <v>41</v>
      </c>
      <c r="F1077">
        <v>462</v>
      </c>
      <c r="G1077" s="1" t="s">
        <v>51</v>
      </c>
      <c r="H1077">
        <v>14</v>
      </c>
      <c r="I1077">
        <v>2</v>
      </c>
      <c r="J1077" s="1" t="s">
        <v>52</v>
      </c>
      <c r="K1077">
        <v>1</v>
      </c>
      <c r="L1077">
        <v>936</v>
      </c>
      <c r="M1077">
        <v>3</v>
      </c>
      <c r="N1077" s="1" t="s">
        <v>53</v>
      </c>
      <c r="O1077">
        <v>68</v>
      </c>
      <c r="P1077">
        <v>2</v>
      </c>
      <c r="Q1077">
        <v>2</v>
      </c>
      <c r="R1077" s="1" t="s">
        <v>137</v>
      </c>
      <c r="S1077">
        <v>3</v>
      </c>
      <c r="T1077" s="1" t="s">
        <v>46</v>
      </c>
      <c r="U1077">
        <v>6244</v>
      </c>
      <c r="V1077" s="1" t="s">
        <v>163</v>
      </c>
      <c r="W1077">
        <v>7824</v>
      </c>
      <c r="X1077">
        <v>7</v>
      </c>
      <c r="Y1077" s="1" t="s">
        <v>48</v>
      </c>
      <c r="Z1077" s="1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8">
      <c r="A1078" s="1" t="s">
        <v>1141</v>
      </c>
      <c r="B1078">
        <v>42</v>
      </c>
      <c r="C1078" s="1" t="s">
        <v>802</v>
      </c>
      <c r="D1078" s="1" t="s">
        <v>49</v>
      </c>
      <c r="E1078" s="1" t="s">
        <v>41</v>
      </c>
      <c r="F1078">
        <v>265</v>
      </c>
      <c r="G1078" s="1" t="s">
        <v>51</v>
      </c>
      <c r="H1078">
        <v>5</v>
      </c>
      <c r="I1078">
        <v>2</v>
      </c>
      <c r="J1078" s="1" t="s">
        <v>57</v>
      </c>
      <c r="K1078">
        <v>1</v>
      </c>
      <c r="L1078">
        <v>1029</v>
      </c>
      <c r="M1078">
        <v>4</v>
      </c>
      <c r="N1078" s="1" t="s">
        <v>44</v>
      </c>
      <c r="O1078">
        <v>90</v>
      </c>
      <c r="P1078">
        <v>3</v>
      </c>
      <c r="Q1078">
        <v>5</v>
      </c>
      <c r="R1078" s="1" t="s">
        <v>442</v>
      </c>
      <c r="S1078">
        <v>3</v>
      </c>
      <c r="T1078" s="1" t="s">
        <v>105</v>
      </c>
      <c r="U1078">
        <v>18303</v>
      </c>
      <c r="V1078" s="1" t="s">
        <v>368</v>
      </c>
      <c r="W1078">
        <v>7770</v>
      </c>
      <c r="X1078">
        <v>6</v>
      </c>
      <c r="Y1078" s="1" t="s">
        <v>48</v>
      </c>
      <c r="Z1078" s="1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8">
      <c r="A1079" s="1" t="s">
        <v>1142</v>
      </c>
      <c r="B1079">
        <v>42</v>
      </c>
      <c r="C1079" s="1" t="s">
        <v>802</v>
      </c>
      <c r="D1079" s="1" t="s">
        <v>49</v>
      </c>
      <c r="E1079" s="1" t="s">
        <v>41</v>
      </c>
      <c r="F1079">
        <v>469</v>
      </c>
      <c r="G1079" s="1" t="s">
        <v>42</v>
      </c>
      <c r="H1079">
        <v>2</v>
      </c>
      <c r="I1079">
        <v>2</v>
      </c>
      <c r="J1079" s="1" t="s">
        <v>52</v>
      </c>
      <c r="K1079">
        <v>1</v>
      </c>
      <c r="L1079">
        <v>1109</v>
      </c>
      <c r="M1079">
        <v>4</v>
      </c>
      <c r="N1079" s="1" t="s">
        <v>44</v>
      </c>
      <c r="O1079">
        <v>35</v>
      </c>
      <c r="P1079">
        <v>3</v>
      </c>
      <c r="Q1079">
        <v>4</v>
      </c>
      <c r="R1079" s="1" t="s">
        <v>442</v>
      </c>
      <c r="S1079">
        <v>1</v>
      </c>
      <c r="T1079" s="1" t="s">
        <v>105</v>
      </c>
      <c r="U1079">
        <v>17665</v>
      </c>
      <c r="V1079" s="1" t="s">
        <v>368</v>
      </c>
      <c r="W1079">
        <v>14399</v>
      </c>
      <c r="X1079">
        <v>0</v>
      </c>
      <c r="Y1079" s="1" t="s">
        <v>48</v>
      </c>
      <c r="Z1079" s="1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8">
      <c r="A1080" s="1" t="s">
        <v>1143</v>
      </c>
      <c r="B1080">
        <v>42</v>
      </c>
      <c r="C1080" s="1" t="s">
        <v>802</v>
      </c>
      <c r="D1080" s="1" t="s">
        <v>49</v>
      </c>
      <c r="E1080" s="1" t="s">
        <v>41</v>
      </c>
      <c r="F1080">
        <v>188</v>
      </c>
      <c r="G1080" s="1" t="s">
        <v>42</v>
      </c>
      <c r="H1080">
        <v>29</v>
      </c>
      <c r="I1080">
        <v>3</v>
      </c>
      <c r="J1080" s="1" t="s">
        <v>52</v>
      </c>
      <c r="K1080">
        <v>1</v>
      </c>
      <c r="L1080">
        <v>1148</v>
      </c>
      <c r="M1080">
        <v>2</v>
      </c>
      <c r="N1080" s="1" t="s">
        <v>44</v>
      </c>
      <c r="O1080">
        <v>56</v>
      </c>
      <c r="P1080">
        <v>1</v>
      </c>
      <c r="Q1080">
        <v>2</v>
      </c>
      <c r="R1080" s="1" t="s">
        <v>45</v>
      </c>
      <c r="S1080">
        <v>4</v>
      </c>
      <c r="T1080" s="1" t="s">
        <v>46</v>
      </c>
      <c r="U1080">
        <v>4272</v>
      </c>
      <c r="V1080" s="1" t="s">
        <v>47</v>
      </c>
      <c r="W1080">
        <v>9558</v>
      </c>
      <c r="X1080">
        <v>4</v>
      </c>
      <c r="Y1080" s="1" t="s">
        <v>48</v>
      </c>
      <c r="Z1080" s="1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8">
      <c r="A1081" s="1" t="s">
        <v>1144</v>
      </c>
      <c r="B1081">
        <v>42</v>
      </c>
      <c r="C1081" s="1" t="s">
        <v>802</v>
      </c>
      <c r="D1081" s="1" t="s">
        <v>40</v>
      </c>
      <c r="E1081" s="1" t="s">
        <v>56</v>
      </c>
      <c r="F1081">
        <v>481</v>
      </c>
      <c r="G1081" s="1" t="s">
        <v>51</v>
      </c>
      <c r="H1081">
        <v>12</v>
      </c>
      <c r="I1081">
        <v>3</v>
      </c>
      <c r="J1081" s="1" t="s">
        <v>43</v>
      </c>
      <c r="K1081">
        <v>1</v>
      </c>
      <c r="L1081">
        <v>1167</v>
      </c>
      <c r="M1081">
        <v>3</v>
      </c>
      <c r="N1081" s="1" t="s">
        <v>44</v>
      </c>
      <c r="O1081">
        <v>44</v>
      </c>
      <c r="P1081">
        <v>3</v>
      </c>
      <c r="Q1081">
        <v>4</v>
      </c>
      <c r="R1081" s="1" t="s">
        <v>137</v>
      </c>
      <c r="S1081">
        <v>1</v>
      </c>
      <c r="T1081" s="1" t="s">
        <v>46</v>
      </c>
      <c r="U1081">
        <v>13758</v>
      </c>
      <c r="V1081" s="1" t="s">
        <v>253</v>
      </c>
      <c r="W1081">
        <v>2447</v>
      </c>
      <c r="X1081">
        <v>0</v>
      </c>
      <c r="Y1081" s="1" t="s">
        <v>48</v>
      </c>
      <c r="Z1081" s="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8">
      <c r="A1082" s="1" t="s">
        <v>1145</v>
      </c>
      <c r="B1082">
        <v>42</v>
      </c>
      <c r="C1082" s="1" t="s">
        <v>802</v>
      </c>
      <c r="D1082" s="1" t="s">
        <v>49</v>
      </c>
      <c r="E1082" s="1" t="s">
        <v>41</v>
      </c>
      <c r="F1082">
        <v>647</v>
      </c>
      <c r="G1082" s="1" t="s">
        <v>51</v>
      </c>
      <c r="H1082">
        <v>4</v>
      </c>
      <c r="I1082">
        <v>4</v>
      </c>
      <c r="J1082" s="1" t="s">
        <v>57</v>
      </c>
      <c r="K1082">
        <v>1</v>
      </c>
      <c r="L1082">
        <v>1171</v>
      </c>
      <c r="M1082">
        <v>2</v>
      </c>
      <c r="N1082" s="1" t="s">
        <v>44</v>
      </c>
      <c r="O1082">
        <v>45</v>
      </c>
      <c r="P1082">
        <v>3</v>
      </c>
      <c r="Q1082">
        <v>2</v>
      </c>
      <c r="R1082" s="1" t="s">
        <v>137</v>
      </c>
      <c r="S1082">
        <v>1</v>
      </c>
      <c r="T1082" s="1" t="s">
        <v>46</v>
      </c>
      <c r="U1082">
        <v>5155</v>
      </c>
      <c r="V1082" s="1" t="s">
        <v>163</v>
      </c>
      <c r="W1082">
        <v>2253</v>
      </c>
      <c r="X1082">
        <v>7</v>
      </c>
      <c r="Y1082" s="1" t="s">
        <v>48</v>
      </c>
      <c r="Z1082" s="1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8">
      <c r="A1083" s="1" t="s">
        <v>1146</v>
      </c>
      <c r="B1083">
        <v>42</v>
      </c>
      <c r="C1083" s="1" t="s">
        <v>802</v>
      </c>
      <c r="D1083" s="1" t="s">
        <v>49</v>
      </c>
      <c r="E1083" s="1" t="s">
        <v>59</v>
      </c>
      <c r="F1083">
        <v>179</v>
      </c>
      <c r="G1083" s="1" t="s">
        <v>71</v>
      </c>
      <c r="H1083">
        <v>2</v>
      </c>
      <c r="I1083">
        <v>5</v>
      </c>
      <c r="J1083" s="1" t="s">
        <v>52</v>
      </c>
      <c r="K1083">
        <v>1</v>
      </c>
      <c r="L1083">
        <v>1231</v>
      </c>
      <c r="M1083">
        <v>4</v>
      </c>
      <c r="N1083" s="1" t="s">
        <v>44</v>
      </c>
      <c r="O1083">
        <v>79</v>
      </c>
      <c r="P1083">
        <v>4</v>
      </c>
      <c r="Q1083">
        <v>2</v>
      </c>
      <c r="R1083" s="1" t="s">
        <v>71</v>
      </c>
      <c r="S1083">
        <v>1</v>
      </c>
      <c r="T1083" s="1" t="s">
        <v>105</v>
      </c>
      <c r="U1083">
        <v>6272</v>
      </c>
      <c r="V1083" s="1" t="s">
        <v>163</v>
      </c>
      <c r="W1083">
        <v>12858</v>
      </c>
      <c r="X1083">
        <v>7</v>
      </c>
      <c r="Y1083" s="1" t="s">
        <v>48</v>
      </c>
      <c r="Z1083" s="1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8">
      <c r="A1084" s="1" t="s">
        <v>1147</v>
      </c>
      <c r="B1084">
        <v>42</v>
      </c>
      <c r="C1084" s="1" t="s">
        <v>802</v>
      </c>
      <c r="D1084" s="1" t="s">
        <v>49</v>
      </c>
      <c r="E1084" s="1" t="s">
        <v>56</v>
      </c>
      <c r="F1084">
        <v>458</v>
      </c>
      <c r="G1084" s="1" t="s">
        <v>42</v>
      </c>
      <c r="H1084">
        <v>26</v>
      </c>
      <c r="I1084">
        <v>5</v>
      </c>
      <c r="J1084" s="1" t="s">
        <v>52</v>
      </c>
      <c r="K1084">
        <v>1</v>
      </c>
      <c r="L1084">
        <v>1242</v>
      </c>
      <c r="M1084">
        <v>1</v>
      </c>
      <c r="N1084" s="1" t="s">
        <v>53</v>
      </c>
      <c r="O1084">
        <v>60</v>
      </c>
      <c r="P1084">
        <v>3</v>
      </c>
      <c r="Q1084">
        <v>3</v>
      </c>
      <c r="R1084" s="1" t="s">
        <v>252</v>
      </c>
      <c r="S1084">
        <v>1</v>
      </c>
      <c r="T1084" s="1" t="s">
        <v>105</v>
      </c>
      <c r="U1084">
        <v>13191</v>
      </c>
      <c r="V1084" s="1" t="s">
        <v>253</v>
      </c>
      <c r="W1084">
        <v>23281</v>
      </c>
      <c r="X1084">
        <v>3</v>
      </c>
      <c r="Y1084" s="1" t="s">
        <v>48</v>
      </c>
      <c r="Z1084" s="1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8">
      <c r="A1085" s="1" t="s">
        <v>1148</v>
      </c>
      <c r="B1085">
        <v>42</v>
      </c>
      <c r="C1085" s="1" t="s">
        <v>802</v>
      </c>
      <c r="D1085" s="1" t="s">
        <v>49</v>
      </c>
      <c r="E1085" s="1" t="s">
        <v>41</v>
      </c>
      <c r="F1085">
        <v>603</v>
      </c>
      <c r="G1085" s="1" t="s">
        <v>42</v>
      </c>
      <c r="H1085">
        <v>7</v>
      </c>
      <c r="I1085">
        <v>4</v>
      </c>
      <c r="J1085" s="1" t="s">
        <v>52</v>
      </c>
      <c r="K1085">
        <v>1</v>
      </c>
      <c r="L1085">
        <v>1292</v>
      </c>
      <c r="M1085">
        <v>2</v>
      </c>
      <c r="N1085" s="1" t="s">
        <v>53</v>
      </c>
      <c r="O1085">
        <v>78</v>
      </c>
      <c r="P1085">
        <v>4</v>
      </c>
      <c r="Q1085">
        <v>2</v>
      </c>
      <c r="R1085" s="1" t="s">
        <v>60</v>
      </c>
      <c r="S1085">
        <v>2</v>
      </c>
      <c r="T1085" s="1" t="s">
        <v>105</v>
      </c>
      <c r="U1085">
        <v>2372</v>
      </c>
      <c r="V1085" s="1" t="s">
        <v>47</v>
      </c>
      <c r="W1085">
        <v>5628</v>
      </c>
      <c r="X1085">
        <v>6</v>
      </c>
      <c r="Y1085" s="1" t="s">
        <v>48</v>
      </c>
      <c r="Z1085" s="1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8">
      <c r="A1086" s="1" t="s">
        <v>1149</v>
      </c>
      <c r="B1086">
        <v>42</v>
      </c>
      <c r="C1086" s="1" t="s">
        <v>802</v>
      </c>
      <c r="D1086" s="1" t="s">
        <v>49</v>
      </c>
      <c r="E1086" s="1" t="s">
        <v>59</v>
      </c>
      <c r="F1086">
        <v>495</v>
      </c>
      <c r="G1086" s="1" t="s">
        <v>42</v>
      </c>
      <c r="H1086">
        <v>2</v>
      </c>
      <c r="I1086">
        <v>1</v>
      </c>
      <c r="J1086" s="1" t="s">
        <v>43</v>
      </c>
      <c r="K1086">
        <v>1</v>
      </c>
      <c r="L1086">
        <v>1334</v>
      </c>
      <c r="M1086">
        <v>3</v>
      </c>
      <c r="N1086" s="1" t="s">
        <v>44</v>
      </c>
      <c r="O1086">
        <v>37</v>
      </c>
      <c r="P1086">
        <v>3</v>
      </c>
      <c r="Q1086">
        <v>4</v>
      </c>
      <c r="R1086" s="1" t="s">
        <v>442</v>
      </c>
      <c r="S1086">
        <v>3</v>
      </c>
      <c r="T1086" s="1" t="s">
        <v>105</v>
      </c>
      <c r="U1086">
        <v>17861</v>
      </c>
      <c r="V1086" s="1" t="s">
        <v>368</v>
      </c>
      <c r="W1086">
        <v>26582</v>
      </c>
      <c r="X1086">
        <v>0</v>
      </c>
      <c r="Y1086" s="1" t="s">
        <v>48</v>
      </c>
      <c r="Z1086" s="1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8">
      <c r="A1087" s="1" t="s">
        <v>1150</v>
      </c>
      <c r="B1087">
        <v>42</v>
      </c>
      <c r="C1087" s="1" t="s">
        <v>802</v>
      </c>
      <c r="D1087" s="1" t="s">
        <v>49</v>
      </c>
      <c r="E1087" s="1" t="s">
        <v>41</v>
      </c>
      <c r="F1087">
        <v>1147</v>
      </c>
      <c r="G1087" s="1" t="s">
        <v>71</v>
      </c>
      <c r="H1087">
        <v>10</v>
      </c>
      <c r="I1087">
        <v>3</v>
      </c>
      <c r="J1087" s="1" t="s">
        <v>71</v>
      </c>
      <c r="K1087">
        <v>1</v>
      </c>
      <c r="L1087">
        <v>1408</v>
      </c>
      <c r="M1087">
        <v>3</v>
      </c>
      <c r="N1087" s="1" t="s">
        <v>53</v>
      </c>
      <c r="O1087">
        <v>31</v>
      </c>
      <c r="P1087">
        <v>3</v>
      </c>
      <c r="Q1087">
        <v>4</v>
      </c>
      <c r="R1087" s="1" t="s">
        <v>442</v>
      </c>
      <c r="S1087">
        <v>1</v>
      </c>
      <c r="T1087" s="1" t="s">
        <v>105</v>
      </c>
      <c r="U1087">
        <v>16799</v>
      </c>
      <c r="V1087" s="1" t="s">
        <v>368</v>
      </c>
      <c r="W1087">
        <v>16616</v>
      </c>
      <c r="X1087">
        <v>0</v>
      </c>
      <c r="Y1087" s="1" t="s">
        <v>48</v>
      </c>
      <c r="Z1087" s="1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8">
      <c r="A1088" s="1" t="s">
        <v>1151</v>
      </c>
      <c r="B1088">
        <v>42</v>
      </c>
      <c r="C1088" s="1" t="s">
        <v>802</v>
      </c>
      <c r="D1088" s="1" t="s">
        <v>49</v>
      </c>
      <c r="E1088" s="1" t="s">
        <v>56</v>
      </c>
      <c r="F1088">
        <v>748</v>
      </c>
      <c r="G1088" s="1" t="s">
        <v>42</v>
      </c>
      <c r="H1088">
        <v>9</v>
      </c>
      <c r="I1088">
        <v>2</v>
      </c>
      <c r="J1088" s="1" t="s">
        <v>52</v>
      </c>
      <c r="K1088">
        <v>1</v>
      </c>
      <c r="L1088">
        <v>1480</v>
      </c>
      <c r="M1088">
        <v>1</v>
      </c>
      <c r="N1088" s="1" t="s">
        <v>53</v>
      </c>
      <c r="O1088">
        <v>74</v>
      </c>
      <c r="P1088">
        <v>3</v>
      </c>
      <c r="Q1088">
        <v>1</v>
      </c>
      <c r="R1088" s="1" t="s">
        <v>45</v>
      </c>
      <c r="S1088">
        <v>4</v>
      </c>
      <c r="T1088" s="1" t="s">
        <v>46</v>
      </c>
      <c r="U1088">
        <v>3673</v>
      </c>
      <c r="V1088" s="1" t="s">
        <v>47</v>
      </c>
      <c r="W1088">
        <v>16458</v>
      </c>
      <c r="X1088">
        <v>1</v>
      </c>
      <c r="Y1088" s="1" t="s">
        <v>48</v>
      </c>
      <c r="Z1088" s="1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8">
      <c r="A1089" s="1" t="s">
        <v>1152</v>
      </c>
      <c r="B1089">
        <v>42</v>
      </c>
      <c r="C1089" s="1" t="s">
        <v>802</v>
      </c>
      <c r="D1089" s="1" t="s">
        <v>49</v>
      </c>
      <c r="E1089" s="1" t="s">
        <v>41</v>
      </c>
      <c r="F1089">
        <v>1210</v>
      </c>
      <c r="G1089" s="1" t="s">
        <v>42</v>
      </c>
      <c r="H1089">
        <v>2</v>
      </c>
      <c r="I1089">
        <v>3</v>
      </c>
      <c r="J1089" s="1" t="s">
        <v>52</v>
      </c>
      <c r="K1089">
        <v>1</v>
      </c>
      <c r="L1089">
        <v>1542</v>
      </c>
      <c r="M1089">
        <v>3</v>
      </c>
      <c r="N1089" s="1" t="s">
        <v>44</v>
      </c>
      <c r="O1089">
        <v>68</v>
      </c>
      <c r="P1089">
        <v>2</v>
      </c>
      <c r="Q1089">
        <v>1</v>
      </c>
      <c r="R1089" s="1" t="s">
        <v>45</v>
      </c>
      <c r="S1089">
        <v>2</v>
      </c>
      <c r="T1089" s="1" t="s">
        <v>105</v>
      </c>
      <c r="U1089">
        <v>4841</v>
      </c>
      <c r="V1089" s="1" t="s">
        <v>47</v>
      </c>
      <c r="W1089">
        <v>24052</v>
      </c>
      <c r="X1089">
        <v>4</v>
      </c>
      <c r="Y1089" s="1" t="s">
        <v>48</v>
      </c>
      <c r="Z1089" s="1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8">
      <c r="A1090" s="1" t="s">
        <v>1153</v>
      </c>
      <c r="B1090">
        <v>42</v>
      </c>
      <c r="C1090" s="1" t="s">
        <v>802</v>
      </c>
      <c r="D1090" s="1" t="s">
        <v>49</v>
      </c>
      <c r="E1090" s="1" t="s">
        <v>56</v>
      </c>
      <c r="F1090">
        <v>288</v>
      </c>
      <c r="G1090" s="1" t="s">
        <v>42</v>
      </c>
      <c r="H1090">
        <v>2</v>
      </c>
      <c r="I1090">
        <v>3</v>
      </c>
      <c r="J1090" s="1" t="s">
        <v>43</v>
      </c>
      <c r="K1090">
        <v>1</v>
      </c>
      <c r="L1090">
        <v>1547</v>
      </c>
      <c r="M1090">
        <v>4</v>
      </c>
      <c r="N1090" s="1" t="s">
        <v>44</v>
      </c>
      <c r="O1090">
        <v>40</v>
      </c>
      <c r="P1090">
        <v>3</v>
      </c>
      <c r="Q1090">
        <v>3</v>
      </c>
      <c r="R1090" s="1" t="s">
        <v>161</v>
      </c>
      <c r="S1090">
        <v>4</v>
      </c>
      <c r="T1090" s="1" t="s">
        <v>105</v>
      </c>
      <c r="U1090">
        <v>10124</v>
      </c>
      <c r="V1090" s="1" t="s">
        <v>253</v>
      </c>
      <c r="W1090">
        <v>18611</v>
      </c>
      <c r="X1090">
        <v>2</v>
      </c>
      <c r="Y1090" s="1" t="s">
        <v>48</v>
      </c>
      <c r="Z1090" s="1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8">
      <c r="A1091" s="1" t="s">
        <v>1154</v>
      </c>
      <c r="B1091">
        <v>42</v>
      </c>
      <c r="C1091" s="1" t="s">
        <v>802</v>
      </c>
      <c r="D1091" s="1" t="s">
        <v>49</v>
      </c>
      <c r="E1091" s="1" t="s">
        <v>41</v>
      </c>
      <c r="F1091">
        <v>1059</v>
      </c>
      <c r="G1091" s="1" t="s">
        <v>42</v>
      </c>
      <c r="H1091">
        <v>9</v>
      </c>
      <c r="I1091">
        <v>2</v>
      </c>
      <c r="J1091" s="1" t="s">
        <v>73</v>
      </c>
      <c r="K1091">
        <v>1</v>
      </c>
      <c r="L1091">
        <v>1595</v>
      </c>
      <c r="M1091">
        <v>4</v>
      </c>
      <c r="N1091" s="1" t="s">
        <v>44</v>
      </c>
      <c r="O1091">
        <v>93</v>
      </c>
      <c r="P1091">
        <v>2</v>
      </c>
      <c r="Q1091">
        <v>5</v>
      </c>
      <c r="R1091" s="1" t="s">
        <v>442</v>
      </c>
      <c r="S1091">
        <v>4</v>
      </c>
      <c r="T1091" s="1" t="s">
        <v>46</v>
      </c>
      <c r="U1091">
        <v>19613</v>
      </c>
      <c r="V1091" s="1" t="s">
        <v>368</v>
      </c>
      <c r="W1091">
        <v>26362</v>
      </c>
      <c r="X1091">
        <v>8</v>
      </c>
      <c r="Y1091" s="1" t="s">
        <v>48</v>
      </c>
      <c r="Z1091" s="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8">
      <c r="A1092" s="1" t="s">
        <v>1155</v>
      </c>
      <c r="B1092">
        <v>42</v>
      </c>
      <c r="C1092" s="1" t="s">
        <v>802</v>
      </c>
      <c r="D1092" s="1" t="s">
        <v>49</v>
      </c>
      <c r="E1092" s="1" t="s">
        <v>41</v>
      </c>
      <c r="F1092">
        <v>855</v>
      </c>
      <c r="G1092" s="1" t="s">
        <v>42</v>
      </c>
      <c r="H1092">
        <v>12</v>
      </c>
      <c r="I1092">
        <v>3</v>
      </c>
      <c r="J1092" s="1" t="s">
        <v>52</v>
      </c>
      <c r="K1092">
        <v>1</v>
      </c>
      <c r="L1092">
        <v>1768</v>
      </c>
      <c r="M1092">
        <v>2</v>
      </c>
      <c r="N1092" s="1" t="s">
        <v>44</v>
      </c>
      <c r="O1092">
        <v>57</v>
      </c>
      <c r="P1092">
        <v>3</v>
      </c>
      <c r="Q1092">
        <v>1</v>
      </c>
      <c r="R1092" s="1" t="s">
        <v>45</v>
      </c>
      <c r="S1092">
        <v>2</v>
      </c>
      <c r="T1092" s="1" t="s">
        <v>102</v>
      </c>
      <c r="U1092">
        <v>2766</v>
      </c>
      <c r="V1092" s="1" t="s">
        <v>47</v>
      </c>
      <c r="W1092">
        <v>8952</v>
      </c>
      <c r="X1092">
        <v>8</v>
      </c>
      <c r="Y1092" s="1" t="s">
        <v>48</v>
      </c>
      <c r="Z1092" s="1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8">
      <c r="A1093" s="1" t="s">
        <v>1156</v>
      </c>
      <c r="B1093">
        <v>42</v>
      </c>
      <c r="C1093" s="1" t="s">
        <v>802</v>
      </c>
      <c r="D1093" s="1" t="s">
        <v>49</v>
      </c>
      <c r="E1093" s="1" t="s">
        <v>41</v>
      </c>
      <c r="F1093">
        <v>1128</v>
      </c>
      <c r="G1093" s="1" t="s">
        <v>42</v>
      </c>
      <c r="H1093">
        <v>13</v>
      </c>
      <c r="I1093">
        <v>3</v>
      </c>
      <c r="J1093" s="1" t="s">
        <v>52</v>
      </c>
      <c r="K1093">
        <v>1</v>
      </c>
      <c r="L1093">
        <v>1803</v>
      </c>
      <c r="M1093">
        <v>2</v>
      </c>
      <c r="N1093" s="1" t="s">
        <v>44</v>
      </c>
      <c r="O1093">
        <v>95</v>
      </c>
      <c r="P1093">
        <v>4</v>
      </c>
      <c r="Q1093">
        <v>2</v>
      </c>
      <c r="R1093" s="1" t="s">
        <v>161</v>
      </c>
      <c r="S1093">
        <v>1</v>
      </c>
      <c r="T1093" s="1" t="s">
        <v>105</v>
      </c>
      <c r="U1093">
        <v>5538</v>
      </c>
      <c r="V1093" s="1" t="s">
        <v>163</v>
      </c>
      <c r="W1093">
        <v>5696</v>
      </c>
      <c r="X1093">
        <v>5</v>
      </c>
      <c r="Y1093" s="1" t="s">
        <v>48</v>
      </c>
      <c r="Z1093" s="1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8">
      <c r="A1094" s="1" t="s">
        <v>1157</v>
      </c>
      <c r="B1094">
        <v>42</v>
      </c>
      <c r="C1094" s="1" t="s">
        <v>802</v>
      </c>
      <c r="D1094" s="1" t="s">
        <v>49</v>
      </c>
      <c r="E1094" s="1" t="s">
        <v>59</v>
      </c>
      <c r="F1094">
        <v>355</v>
      </c>
      <c r="G1094" s="1" t="s">
        <v>42</v>
      </c>
      <c r="H1094">
        <v>10</v>
      </c>
      <c r="I1094">
        <v>4</v>
      </c>
      <c r="J1094" s="1" t="s">
        <v>68</v>
      </c>
      <c r="K1094">
        <v>1</v>
      </c>
      <c r="L1094">
        <v>1854</v>
      </c>
      <c r="M1094">
        <v>3</v>
      </c>
      <c r="N1094" s="1" t="s">
        <v>44</v>
      </c>
      <c r="O1094">
        <v>38</v>
      </c>
      <c r="P1094">
        <v>3</v>
      </c>
      <c r="Q1094">
        <v>1</v>
      </c>
      <c r="R1094" s="1" t="s">
        <v>60</v>
      </c>
      <c r="S1094">
        <v>3</v>
      </c>
      <c r="T1094" s="1" t="s">
        <v>105</v>
      </c>
      <c r="U1094">
        <v>2936</v>
      </c>
      <c r="V1094" s="1" t="s">
        <v>47</v>
      </c>
      <c r="W1094">
        <v>6161</v>
      </c>
      <c r="X1094">
        <v>3</v>
      </c>
      <c r="Y1094" s="1" t="s">
        <v>48</v>
      </c>
      <c r="Z1094" s="1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8">
      <c r="A1095" s="1" t="s">
        <v>1158</v>
      </c>
      <c r="B1095">
        <v>42</v>
      </c>
      <c r="C1095" s="1" t="s">
        <v>802</v>
      </c>
      <c r="D1095" s="1" t="s">
        <v>49</v>
      </c>
      <c r="E1095" s="1" t="s">
        <v>41</v>
      </c>
      <c r="F1095">
        <v>1142</v>
      </c>
      <c r="G1095" s="1" t="s">
        <v>42</v>
      </c>
      <c r="H1095">
        <v>8</v>
      </c>
      <c r="I1095">
        <v>3</v>
      </c>
      <c r="J1095" s="1" t="s">
        <v>43</v>
      </c>
      <c r="K1095">
        <v>1</v>
      </c>
      <c r="L1095">
        <v>1860</v>
      </c>
      <c r="M1095">
        <v>4</v>
      </c>
      <c r="N1095" s="1" t="s">
        <v>44</v>
      </c>
      <c r="O1095">
        <v>81</v>
      </c>
      <c r="P1095">
        <v>3</v>
      </c>
      <c r="Q1095">
        <v>1</v>
      </c>
      <c r="R1095" s="1" t="s">
        <v>45</v>
      </c>
      <c r="S1095">
        <v>3</v>
      </c>
      <c r="T1095" s="1" t="s">
        <v>46</v>
      </c>
      <c r="U1095">
        <v>3968</v>
      </c>
      <c r="V1095" s="1" t="s">
        <v>47</v>
      </c>
      <c r="W1095">
        <v>13624</v>
      </c>
      <c r="X1095">
        <v>4</v>
      </c>
      <c r="Y1095" s="1" t="s">
        <v>48</v>
      </c>
      <c r="Z1095" s="1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8">
      <c r="A1096" s="1" t="s">
        <v>1159</v>
      </c>
      <c r="B1096">
        <v>42</v>
      </c>
      <c r="C1096" s="1" t="s">
        <v>802</v>
      </c>
      <c r="D1096" s="1" t="s">
        <v>49</v>
      </c>
      <c r="E1096" s="1" t="s">
        <v>41</v>
      </c>
      <c r="F1096">
        <v>1396</v>
      </c>
      <c r="G1096" s="1" t="s">
        <v>42</v>
      </c>
      <c r="H1096">
        <v>6</v>
      </c>
      <c r="I1096">
        <v>3</v>
      </c>
      <c r="J1096" s="1" t="s">
        <v>52</v>
      </c>
      <c r="K1096">
        <v>1</v>
      </c>
      <c r="L1096">
        <v>1911</v>
      </c>
      <c r="M1096">
        <v>3</v>
      </c>
      <c r="N1096" s="1" t="s">
        <v>44</v>
      </c>
      <c r="O1096">
        <v>83</v>
      </c>
      <c r="P1096">
        <v>3</v>
      </c>
      <c r="Q1096">
        <v>3</v>
      </c>
      <c r="R1096" s="1" t="s">
        <v>252</v>
      </c>
      <c r="S1096">
        <v>1</v>
      </c>
      <c r="T1096" s="1" t="s">
        <v>105</v>
      </c>
      <c r="U1096">
        <v>13348</v>
      </c>
      <c r="V1096" s="1" t="s">
        <v>253</v>
      </c>
      <c r="W1096">
        <v>14842</v>
      </c>
      <c r="X1096">
        <v>9</v>
      </c>
      <c r="Y1096" s="1" t="s">
        <v>48</v>
      </c>
      <c r="Z1096" s="1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8">
      <c r="A1097" s="1" t="s">
        <v>1160</v>
      </c>
      <c r="B1097">
        <v>42</v>
      </c>
      <c r="C1097" s="1" t="s">
        <v>802</v>
      </c>
      <c r="D1097" s="1" t="s">
        <v>49</v>
      </c>
      <c r="E1097" s="1" t="s">
        <v>41</v>
      </c>
      <c r="F1097">
        <v>419</v>
      </c>
      <c r="G1097" s="1" t="s">
        <v>51</v>
      </c>
      <c r="H1097">
        <v>12</v>
      </c>
      <c r="I1097">
        <v>4</v>
      </c>
      <c r="J1097" s="1" t="s">
        <v>57</v>
      </c>
      <c r="K1097">
        <v>1</v>
      </c>
      <c r="L1097">
        <v>1943</v>
      </c>
      <c r="M1097">
        <v>2</v>
      </c>
      <c r="N1097" s="1" t="s">
        <v>44</v>
      </c>
      <c r="O1097">
        <v>77</v>
      </c>
      <c r="P1097">
        <v>3</v>
      </c>
      <c r="Q1097">
        <v>2</v>
      </c>
      <c r="R1097" s="1" t="s">
        <v>137</v>
      </c>
      <c r="S1097">
        <v>4</v>
      </c>
      <c r="T1097" s="1" t="s">
        <v>102</v>
      </c>
      <c r="U1097">
        <v>5087</v>
      </c>
      <c r="V1097" s="1" t="s">
        <v>163</v>
      </c>
      <c r="W1097">
        <v>2900</v>
      </c>
      <c r="X1097">
        <v>3</v>
      </c>
      <c r="Y1097" s="1" t="s">
        <v>48</v>
      </c>
      <c r="Z1097" s="1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8">
      <c r="A1098" s="1" t="s">
        <v>1161</v>
      </c>
      <c r="B1098">
        <v>42</v>
      </c>
      <c r="C1098" s="1" t="s">
        <v>802</v>
      </c>
      <c r="D1098" s="1" t="s">
        <v>49</v>
      </c>
      <c r="E1098" s="1" t="s">
        <v>59</v>
      </c>
      <c r="F1098">
        <v>335</v>
      </c>
      <c r="G1098" s="1" t="s">
        <v>42</v>
      </c>
      <c r="H1098">
        <v>23</v>
      </c>
      <c r="I1098">
        <v>2</v>
      </c>
      <c r="J1098" s="1" t="s">
        <v>43</v>
      </c>
      <c r="K1098">
        <v>1</v>
      </c>
      <c r="L1098">
        <v>1976</v>
      </c>
      <c r="M1098">
        <v>4</v>
      </c>
      <c r="N1098" s="1" t="s">
        <v>44</v>
      </c>
      <c r="O1098">
        <v>37</v>
      </c>
      <c r="P1098">
        <v>2</v>
      </c>
      <c r="Q1098">
        <v>2</v>
      </c>
      <c r="R1098" s="1" t="s">
        <v>60</v>
      </c>
      <c r="S1098">
        <v>3</v>
      </c>
      <c r="T1098" s="1" t="s">
        <v>46</v>
      </c>
      <c r="U1098">
        <v>4332</v>
      </c>
      <c r="V1098" s="1" t="s">
        <v>47</v>
      </c>
      <c r="W1098">
        <v>14811</v>
      </c>
      <c r="X1098">
        <v>1</v>
      </c>
      <c r="Y1098" s="1" t="s">
        <v>48</v>
      </c>
      <c r="Z1098" s="1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8">
      <c r="A1099" s="1" t="s">
        <v>1162</v>
      </c>
      <c r="B1099">
        <v>42</v>
      </c>
      <c r="C1099" s="1" t="s">
        <v>802</v>
      </c>
      <c r="D1099" s="1" t="s">
        <v>49</v>
      </c>
      <c r="E1099" s="1" t="s">
        <v>41</v>
      </c>
      <c r="F1099">
        <v>557</v>
      </c>
      <c r="G1099" s="1" t="s">
        <v>42</v>
      </c>
      <c r="H1099">
        <v>18</v>
      </c>
      <c r="I1099">
        <v>4</v>
      </c>
      <c r="J1099" s="1" t="s">
        <v>43</v>
      </c>
      <c r="K1099">
        <v>1</v>
      </c>
      <c r="L1099">
        <v>1998</v>
      </c>
      <c r="M1099">
        <v>4</v>
      </c>
      <c r="N1099" s="1" t="s">
        <v>44</v>
      </c>
      <c r="O1099">
        <v>35</v>
      </c>
      <c r="P1099">
        <v>3</v>
      </c>
      <c r="Q1099">
        <v>2</v>
      </c>
      <c r="R1099" s="1" t="s">
        <v>60</v>
      </c>
      <c r="S1099">
        <v>1</v>
      </c>
      <c r="T1099" s="1" t="s">
        <v>102</v>
      </c>
      <c r="U1099">
        <v>5410</v>
      </c>
      <c r="V1099" s="1" t="s">
        <v>163</v>
      </c>
      <c r="W1099">
        <v>11189</v>
      </c>
      <c r="X1099">
        <v>6</v>
      </c>
      <c r="Y1099" s="1" t="s">
        <v>48</v>
      </c>
      <c r="Z1099" s="1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8">
      <c r="A1100" s="1" t="s">
        <v>1163</v>
      </c>
      <c r="B1100">
        <v>42</v>
      </c>
      <c r="C1100" s="1" t="s">
        <v>802</v>
      </c>
      <c r="D1100" s="1" t="s">
        <v>49</v>
      </c>
      <c r="E1100" s="1" t="s">
        <v>41</v>
      </c>
      <c r="F1100">
        <v>300</v>
      </c>
      <c r="G1100" s="1" t="s">
        <v>42</v>
      </c>
      <c r="H1100">
        <v>2</v>
      </c>
      <c r="I1100">
        <v>3</v>
      </c>
      <c r="J1100" s="1" t="s">
        <v>43</v>
      </c>
      <c r="K1100">
        <v>1</v>
      </c>
      <c r="L1100">
        <v>2031</v>
      </c>
      <c r="M1100">
        <v>1</v>
      </c>
      <c r="N1100" s="1" t="s">
        <v>44</v>
      </c>
      <c r="O1100">
        <v>56</v>
      </c>
      <c r="P1100">
        <v>3</v>
      </c>
      <c r="Q1100">
        <v>5</v>
      </c>
      <c r="R1100" s="1" t="s">
        <v>442</v>
      </c>
      <c r="S1100">
        <v>3</v>
      </c>
      <c r="T1100" s="1" t="s">
        <v>105</v>
      </c>
      <c r="U1100">
        <v>18880</v>
      </c>
      <c r="V1100" s="1" t="s">
        <v>368</v>
      </c>
      <c r="W1100">
        <v>17312</v>
      </c>
      <c r="X1100">
        <v>5</v>
      </c>
      <c r="Y1100" s="1" t="s">
        <v>48</v>
      </c>
      <c r="Z1100" s="1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8">
      <c r="A1101" s="1" t="s">
        <v>1164</v>
      </c>
      <c r="B1101">
        <v>43</v>
      </c>
      <c r="C1101" s="1" t="s">
        <v>802</v>
      </c>
      <c r="D1101" s="1" t="s">
        <v>49</v>
      </c>
      <c r="E1101" s="1" t="s">
        <v>41</v>
      </c>
      <c r="F1101">
        <v>1273</v>
      </c>
      <c r="G1101" s="1" t="s">
        <v>42</v>
      </c>
      <c r="H1101">
        <v>2</v>
      </c>
      <c r="I1101">
        <v>2</v>
      </c>
      <c r="J1101" s="1" t="s">
        <v>52</v>
      </c>
      <c r="K1101">
        <v>1</v>
      </c>
      <c r="L1101">
        <v>46</v>
      </c>
      <c r="M1101">
        <v>4</v>
      </c>
      <c r="N1101" s="1" t="s">
        <v>53</v>
      </c>
      <c r="O1101">
        <v>72</v>
      </c>
      <c r="P1101">
        <v>4</v>
      </c>
      <c r="Q1101">
        <v>1</v>
      </c>
      <c r="R1101" s="1" t="s">
        <v>60</v>
      </c>
      <c r="S1101">
        <v>3</v>
      </c>
      <c r="T1101" s="1" t="s">
        <v>102</v>
      </c>
      <c r="U1101">
        <v>2645</v>
      </c>
      <c r="V1101" s="1" t="s">
        <v>47</v>
      </c>
      <c r="W1101">
        <v>21923</v>
      </c>
      <c r="X1101">
        <v>1</v>
      </c>
      <c r="Y1101" s="1" t="s">
        <v>48</v>
      </c>
      <c r="Z1101" s="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8">
      <c r="A1102" s="1" t="s">
        <v>1165</v>
      </c>
      <c r="B1102">
        <v>43</v>
      </c>
      <c r="C1102" s="1" t="s">
        <v>802</v>
      </c>
      <c r="D1102" s="1" t="s">
        <v>49</v>
      </c>
      <c r="E1102" s="1" t="s">
        <v>56</v>
      </c>
      <c r="F1102">
        <v>394</v>
      </c>
      <c r="G1102" s="1" t="s">
        <v>51</v>
      </c>
      <c r="H1102">
        <v>26</v>
      </c>
      <c r="I1102">
        <v>2</v>
      </c>
      <c r="J1102" s="1" t="s">
        <v>43</v>
      </c>
      <c r="K1102">
        <v>1</v>
      </c>
      <c r="L1102">
        <v>158</v>
      </c>
      <c r="M1102">
        <v>3</v>
      </c>
      <c r="N1102" s="1" t="s">
        <v>44</v>
      </c>
      <c r="O1102">
        <v>92</v>
      </c>
      <c r="P1102">
        <v>3</v>
      </c>
      <c r="Q1102">
        <v>4</v>
      </c>
      <c r="R1102" s="1" t="s">
        <v>442</v>
      </c>
      <c r="S1102">
        <v>4</v>
      </c>
      <c r="T1102" s="1" t="s">
        <v>105</v>
      </c>
      <c r="U1102">
        <v>16959</v>
      </c>
      <c r="V1102" s="1" t="s">
        <v>368</v>
      </c>
      <c r="W1102">
        <v>19494</v>
      </c>
      <c r="X1102">
        <v>1</v>
      </c>
      <c r="Y1102" s="1" t="s">
        <v>48</v>
      </c>
      <c r="Z1102" s="1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8">
      <c r="A1103" s="1" t="s">
        <v>1166</v>
      </c>
      <c r="B1103">
        <v>43</v>
      </c>
      <c r="C1103" s="1" t="s">
        <v>802</v>
      </c>
      <c r="D1103" s="1" t="s">
        <v>49</v>
      </c>
      <c r="E1103" s="1" t="s">
        <v>56</v>
      </c>
      <c r="F1103">
        <v>957</v>
      </c>
      <c r="G1103" s="1" t="s">
        <v>42</v>
      </c>
      <c r="H1103">
        <v>28</v>
      </c>
      <c r="I1103">
        <v>3</v>
      </c>
      <c r="J1103" s="1" t="s">
        <v>52</v>
      </c>
      <c r="K1103">
        <v>1</v>
      </c>
      <c r="L1103">
        <v>171</v>
      </c>
      <c r="M1103">
        <v>2</v>
      </c>
      <c r="N1103" s="1" t="s">
        <v>53</v>
      </c>
      <c r="O1103">
        <v>72</v>
      </c>
      <c r="P1103">
        <v>4</v>
      </c>
      <c r="Q1103">
        <v>1</v>
      </c>
      <c r="R1103" s="1" t="s">
        <v>60</v>
      </c>
      <c r="S1103">
        <v>3</v>
      </c>
      <c r="T1103" s="1" t="s">
        <v>46</v>
      </c>
      <c r="U1103">
        <v>4739</v>
      </c>
      <c r="V1103" s="1" t="s">
        <v>47</v>
      </c>
      <c r="W1103">
        <v>16090</v>
      </c>
      <c r="X1103">
        <v>4</v>
      </c>
      <c r="Y1103" s="1" t="s">
        <v>48</v>
      </c>
      <c r="Z1103" s="1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8">
      <c r="A1104" s="1" t="s">
        <v>1167</v>
      </c>
      <c r="B1104">
        <v>43</v>
      </c>
      <c r="C1104" s="1" t="s">
        <v>802</v>
      </c>
      <c r="D1104" s="1" t="s">
        <v>49</v>
      </c>
      <c r="E1104" s="1" t="s">
        <v>59</v>
      </c>
      <c r="F1104">
        <v>1344</v>
      </c>
      <c r="G1104" s="1" t="s">
        <v>42</v>
      </c>
      <c r="H1104">
        <v>7</v>
      </c>
      <c r="I1104">
        <v>3</v>
      </c>
      <c r="J1104" s="1" t="s">
        <v>52</v>
      </c>
      <c r="K1104">
        <v>1</v>
      </c>
      <c r="L1104">
        <v>262</v>
      </c>
      <c r="M1104">
        <v>4</v>
      </c>
      <c r="N1104" s="1" t="s">
        <v>44</v>
      </c>
      <c r="O1104">
        <v>37</v>
      </c>
      <c r="P1104">
        <v>4</v>
      </c>
      <c r="Q1104">
        <v>1</v>
      </c>
      <c r="R1104" s="1" t="s">
        <v>60</v>
      </c>
      <c r="S1104">
        <v>4</v>
      </c>
      <c r="T1104" s="1" t="s">
        <v>102</v>
      </c>
      <c r="U1104">
        <v>2089</v>
      </c>
      <c r="V1104" s="1" t="s">
        <v>47</v>
      </c>
      <c r="W1104">
        <v>5228</v>
      </c>
      <c r="X1104">
        <v>4</v>
      </c>
      <c r="Y1104" s="1" t="s">
        <v>48</v>
      </c>
      <c r="Z1104" s="1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8">
      <c r="A1105" s="1" t="s">
        <v>1168</v>
      </c>
      <c r="B1105">
        <v>43</v>
      </c>
      <c r="C1105" s="1" t="s">
        <v>802</v>
      </c>
      <c r="D1105" s="1" t="s">
        <v>49</v>
      </c>
      <c r="E1105" s="1" t="s">
        <v>41</v>
      </c>
      <c r="F1105">
        <v>1034</v>
      </c>
      <c r="G1105" s="1" t="s">
        <v>51</v>
      </c>
      <c r="H1105">
        <v>16</v>
      </c>
      <c r="I1105">
        <v>3</v>
      </c>
      <c r="J1105" s="1" t="s">
        <v>57</v>
      </c>
      <c r="K1105">
        <v>1</v>
      </c>
      <c r="L1105">
        <v>327</v>
      </c>
      <c r="M1105">
        <v>4</v>
      </c>
      <c r="N1105" s="1" t="s">
        <v>53</v>
      </c>
      <c r="O1105">
        <v>80</v>
      </c>
      <c r="P1105">
        <v>3</v>
      </c>
      <c r="Q1105">
        <v>4</v>
      </c>
      <c r="R1105" s="1" t="s">
        <v>442</v>
      </c>
      <c r="S1105">
        <v>4</v>
      </c>
      <c r="T1105" s="1" t="s">
        <v>105</v>
      </c>
      <c r="U1105">
        <v>16064</v>
      </c>
      <c r="V1105" s="1" t="s">
        <v>368</v>
      </c>
      <c r="W1105">
        <v>7744</v>
      </c>
      <c r="X1105">
        <v>5</v>
      </c>
      <c r="Y1105" s="1" t="s">
        <v>48</v>
      </c>
      <c r="Z1105" s="1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8">
      <c r="A1106" s="1" t="s">
        <v>1169</v>
      </c>
      <c r="B1106">
        <v>43</v>
      </c>
      <c r="C1106" s="1" t="s">
        <v>802</v>
      </c>
      <c r="D1106" s="1" t="s">
        <v>49</v>
      </c>
      <c r="E1106" s="1" t="s">
        <v>56</v>
      </c>
      <c r="F1106">
        <v>185</v>
      </c>
      <c r="G1106" s="1" t="s">
        <v>42</v>
      </c>
      <c r="H1106">
        <v>10</v>
      </c>
      <c r="I1106">
        <v>4</v>
      </c>
      <c r="J1106" s="1" t="s">
        <v>43</v>
      </c>
      <c r="K1106">
        <v>1</v>
      </c>
      <c r="L1106">
        <v>430</v>
      </c>
      <c r="M1106">
        <v>3</v>
      </c>
      <c r="N1106" s="1" t="s">
        <v>53</v>
      </c>
      <c r="O1106">
        <v>33</v>
      </c>
      <c r="P1106">
        <v>3</v>
      </c>
      <c r="Q1106">
        <v>1</v>
      </c>
      <c r="R1106" s="1" t="s">
        <v>45</v>
      </c>
      <c r="S1106">
        <v>4</v>
      </c>
      <c r="T1106" s="1" t="s">
        <v>46</v>
      </c>
      <c r="U1106">
        <v>2455</v>
      </c>
      <c r="V1106" s="1" t="s">
        <v>47</v>
      </c>
      <c r="W1106">
        <v>10675</v>
      </c>
      <c r="X1106">
        <v>0</v>
      </c>
      <c r="Y1106" s="1" t="s">
        <v>48</v>
      </c>
      <c r="Z1106" s="1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8">
      <c r="A1107" s="1" t="s">
        <v>1170</v>
      </c>
      <c r="B1107">
        <v>43</v>
      </c>
      <c r="C1107" s="1" t="s">
        <v>802</v>
      </c>
      <c r="D1107" s="1" t="s">
        <v>49</v>
      </c>
      <c r="E1107" s="1" t="s">
        <v>56</v>
      </c>
      <c r="F1107">
        <v>559</v>
      </c>
      <c r="G1107" s="1" t="s">
        <v>42</v>
      </c>
      <c r="H1107">
        <v>10</v>
      </c>
      <c r="I1107">
        <v>4</v>
      </c>
      <c r="J1107" s="1" t="s">
        <v>43</v>
      </c>
      <c r="K1107">
        <v>1</v>
      </c>
      <c r="L1107">
        <v>448</v>
      </c>
      <c r="M1107">
        <v>3</v>
      </c>
      <c r="N1107" s="1" t="s">
        <v>53</v>
      </c>
      <c r="O1107">
        <v>82</v>
      </c>
      <c r="P1107">
        <v>2</v>
      </c>
      <c r="Q1107">
        <v>2</v>
      </c>
      <c r="R1107" s="1" t="s">
        <v>45</v>
      </c>
      <c r="S1107">
        <v>3</v>
      </c>
      <c r="T1107" s="1" t="s">
        <v>102</v>
      </c>
      <c r="U1107">
        <v>5257</v>
      </c>
      <c r="V1107" s="1" t="s">
        <v>163</v>
      </c>
      <c r="W1107">
        <v>6227</v>
      </c>
      <c r="X1107">
        <v>1</v>
      </c>
      <c r="Y1107" s="1" t="s">
        <v>48</v>
      </c>
      <c r="Z1107" s="1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8">
      <c r="A1108" s="1" t="s">
        <v>1171</v>
      </c>
      <c r="B1108">
        <v>43</v>
      </c>
      <c r="C1108" s="1" t="s">
        <v>802</v>
      </c>
      <c r="D1108" s="1" t="s">
        <v>49</v>
      </c>
      <c r="E1108" s="1" t="s">
        <v>41</v>
      </c>
      <c r="F1108">
        <v>1001</v>
      </c>
      <c r="G1108" s="1" t="s">
        <v>42</v>
      </c>
      <c r="H1108">
        <v>7</v>
      </c>
      <c r="I1108">
        <v>3</v>
      </c>
      <c r="J1108" s="1" t="s">
        <v>43</v>
      </c>
      <c r="K1108">
        <v>1</v>
      </c>
      <c r="L1108">
        <v>451</v>
      </c>
      <c r="M1108">
        <v>3</v>
      </c>
      <c r="N1108" s="1" t="s">
        <v>53</v>
      </c>
      <c r="O1108">
        <v>43</v>
      </c>
      <c r="P1108">
        <v>3</v>
      </c>
      <c r="Q1108">
        <v>3</v>
      </c>
      <c r="R1108" s="1" t="s">
        <v>161</v>
      </c>
      <c r="S1108">
        <v>1</v>
      </c>
      <c r="T1108" s="1" t="s">
        <v>105</v>
      </c>
      <c r="U1108">
        <v>9985</v>
      </c>
      <c r="V1108" s="1" t="s">
        <v>163</v>
      </c>
      <c r="W1108">
        <v>9262</v>
      </c>
      <c r="X1108">
        <v>8</v>
      </c>
      <c r="Y1108" s="1" t="s">
        <v>48</v>
      </c>
      <c r="Z1108" s="1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8">
      <c r="A1109" s="1" t="s">
        <v>1172</v>
      </c>
      <c r="B1109">
        <v>43</v>
      </c>
      <c r="C1109" s="1" t="s">
        <v>802</v>
      </c>
      <c r="D1109" s="1" t="s">
        <v>49</v>
      </c>
      <c r="E1109" s="1" t="s">
        <v>41</v>
      </c>
      <c r="F1109">
        <v>982</v>
      </c>
      <c r="G1109" s="1" t="s">
        <v>42</v>
      </c>
      <c r="H1109">
        <v>12</v>
      </c>
      <c r="I1109">
        <v>3</v>
      </c>
      <c r="J1109" s="1" t="s">
        <v>43</v>
      </c>
      <c r="K1109">
        <v>1</v>
      </c>
      <c r="L1109">
        <v>520</v>
      </c>
      <c r="M1109">
        <v>1</v>
      </c>
      <c r="N1109" s="1" t="s">
        <v>44</v>
      </c>
      <c r="O1109">
        <v>59</v>
      </c>
      <c r="P1109">
        <v>2</v>
      </c>
      <c r="Q1109">
        <v>4</v>
      </c>
      <c r="R1109" s="1" t="s">
        <v>252</v>
      </c>
      <c r="S1109">
        <v>2</v>
      </c>
      <c r="T1109" s="1" t="s">
        <v>102</v>
      </c>
      <c r="U1109">
        <v>14336</v>
      </c>
      <c r="V1109" s="1" t="s">
        <v>253</v>
      </c>
      <c r="W1109">
        <v>4345</v>
      </c>
      <c r="X1109">
        <v>1</v>
      </c>
      <c r="Y1109" s="1" t="s">
        <v>48</v>
      </c>
      <c r="Z1109" s="1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8">
      <c r="A1110" s="1" t="s">
        <v>1173</v>
      </c>
      <c r="B1110">
        <v>43</v>
      </c>
      <c r="C1110" s="1" t="s">
        <v>802</v>
      </c>
      <c r="D1110" s="1" t="s">
        <v>49</v>
      </c>
      <c r="E1110" s="1" t="s">
        <v>56</v>
      </c>
      <c r="F1110">
        <v>313</v>
      </c>
      <c r="G1110" s="1" t="s">
        <v>42</v>
      </c>
      <c r="H1110">
        <v>21</v>
      </c>
      <c r="I1110">
        <v>3</v>
      </c>
      <c r="J1110" s="1" t="s">
        <v>52</v>
      </c>
      <c r="K1110">
        <v>1</v>
      </c>
      <c r="L1110">
        <v>525</v>
      </c>
      <c r="M1110">
        <v>4</v>
      </c>
      <c r="N1110" s="1" t="s">
        <v>44</v>
      </c>
      <c r="O1110">
        <v>61</v>
      </c>
      <c r="P1110">
        <v>3</v>
      </c>
      <c r="Q1110">
        <v>1</v>
      </c>
      <c r="R1110" s="1" t="s">
        <v>45</v>
      </c>
      <c r="S1110">
        <v>4</v>
      </c>
      <c r="T1110" s="1" t="s">
        <v>105</v>
      </c>
      <c r="U1110">
        <v>2258</v>
      </c>
      <c r="V1110" s="1" t="s">
        <v>47</v>
      </c>
      <c r="W1110">
        <v>15238</v>
      </c>
      <c r="X1110">
        <v>7</v>
      </c>
      <c r="Y1110" s="1" t="s">
        <v>48</v>
      </c>
      <c r="Z1110" s="1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8">
      <c r="A1111" s="1" t="s">
        <v>1174</v>
      </c>
      <c r="B1111">
        <v>43</v>
      </c>
      <c r="C1111" s="1" t="s">
        <v>802</v>
      </c>
      <c r="D1111" s="1" t="s">
        <v>49</v>
      </c>
      <c r="E1111" s="1" t="s">
        <v>41</v>
      </c>
      <c r="F1111">
        <v>1473</v>
      </c>
      <c r="G1111" s="1" t="s">
        <v>42</v>
      </c>
      <c r="H1111">
        <v>8</v>
      </c>
      <c r="I1111">
        <v>4</v>
      </c>
      <c r="J1111" s="1" t="s">
        <v>73</v>
      </c>
      <c r="K1111">
        <v>1</v>
      </c>
      <c r="L1111">
        <v>526</v>
      </c>
      <c r="M1111">
        <v>3</v>
      </c>
      <c r="N1111" s="1" t="s">
        <v>53</v>
      </c>
      <c r="O1111">
        <v>74</v>
      </c>
      <c r="P1111">
        <v>3</v>
      </c>
      <c r="Q1111">
        <v>2</v>
      </c>
      <c r="R1111" s="1" t="s">
        <v>161</v>
      </c>
      <c r="S1111">
        <v>3</v>
      </c>
      <c r="T1111" s="1" t="s">
        <v>102</v>
      </c>
      <c r="U1111">
        <v>4522</v>
      </c>
      <c r="V1111" s="1" t="s">
        <v>47</v>
      </c>
      <c r="W1111">
        <v>2227</v>
      </c>
      <c r="X1111">
        <v>4</v>
      </c>
      <c r="Y1111" s="1" t="s">
        <v>48</v>
      </c>
      <c r="Z1111" s="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8">
      <c r="A1112" s="1" t="s">
        <v>1175</v>
      </c>
      <c r="B1112">
        <v>43</v>
      </c>
      <c r="C1112" s="1" t="s">
        <v>802</v>
      </c>
      <c r="D1112" s="1" t="s">
        <v>49</v>
      </c>
      <c r="E1112" s="1" t="s">
        <v>41</v>
      </c>
      <c r="F1112">
        <v>782</v>
      </c>
      <c r="G1112" s="1" t="s">
        <v>42</v>
      </c>
      <c r="H1112">
        <v>6</v>
      </c>
      <c r="I1112">
        <v>4</v>
      </c>
      <c r="J1112" s="1" t="s">
        <v>73</v>
      </c>
      <c r="K1112">
        <v>1</v>
      </c>
      <c r="L1112">
        <v>661</v>
      </c>
      <c r="M1112">
        <v>2</v>
      </c>
      <c r="N1112" s="1" t="s">
        <v>44</v>
      </c>
      <c r="O1112">
        <v>50</v>
      </c>
      <c r="P1112">
        <v>2</v>
      </c>
      <c r="Q1112">
        <v>4</v>
      </c>
      <c r="R1112" s="1" t="s">
        <v>252</v>
      </c>
      <c r="S1112">
        <v>4</v>
      </c>
      <c r="T1112" s="1" t="s">
        <v>102</v>
      </c>
      <c r="U1112">
        <v>16627</v>
      </c>
      <c r="V1112" s="1" t="s">
        <v>368</v>
      </c>
      <c r="W1112">
        <v>2671</v>
      </c>
      <c r="X1112">
        <v>4</v>
      </c>
      <c r="Y1112" s="1" t="s">
        <v>48</v>
      </c>
      <c r="Z1112" s="1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8">
      <c r="A1113" s="1" t="s">
        <v>1176</v>
      </c>
      <c r="B1113">
        <v>43</v>
      </c>
      <c r="C1113" s="1" t="s">
        <v>802</v>
      </c>
      <c r="D1113" s="1" t="s">
        <v>49</v>
      </c>
      <c r="E1113" s="1" t="s">
        <v>56</v>
      </c>
      <c r="F1113">
        <v>1001</v>
      </c>
      <c r="G1113" s="1" t="s">
        <v>42</v>
      </c>
      <c r="H1113">
        <v>9</v>
      </c>
      <c r="I1113">
        <v>5</v>
      </c>
      <c r="J1113" s="1" t="s">
        <v>52</v>
      </c>
      <c r="K1113">
        <v>1</v>
      </c>
      <c r="L1113">
        <v>663</v>
      </c>
      <c r="M1113">
        <v>4</v>
      </c>
      <c r="N1113" s="1" t="s">
        <v>44</v>
      </c>
      <c r="O1113">
        <v>72</v>
      </c>
      <c r="P1113">
        <v>3</v>
      </c>
      <c r="Q1113">
        <v>2</v>
      </c>
      <c r="R1113" s="1" t="s">
        <v>45</v>
      </c>
      <c r="S1113">
        <v>3</v>
      </c>
      <c r="T1113" s="1" t="s">
        <v>102</v>
      </c>
      <c r="U1113">
        <v>5679</v>
      </c>
      <c r="V1113" s="1" t="s">
        <v>163</v>
      </c>
      <c r="W1113">
        <v>19627</v>
      </c>
      <c r="X1113">
        <v>3</v>
      </c>
      <c r="Y1113" s="1" t="s">
        <v>48</v>
      </c>
      <c r="Z1113" s="1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8">
      <c r="A1114" s="1" t="s">
        <v>1177</v>
      </c>
      <c r="B1114">
        <v>43</v>
      </c>
      <c r="C1114" s="1" t="s">
        <v>802</v>
      </c>
      <c r="D1114" s="1" t="s">
        <v>49</v>
      </c>
      <c r="E1114" s="1" t="s">
        <v>56</v>
      </c>
      <c r="F1114">
        <v>775</v>
      </c>
      <c r="G1114" s="1" t="s">
        <v>51</v>
      </c>
      <c r="H1114">
        <v>15</v>
      </c>
      <c r="I1114">
        <v>3</v>
      </c>
      <c r="J1114" s="1" t="s">
        <v>43</v>
      </c>
      <c r="K1114">
        <v>1</v>
      </c>
      <c r="L1114">
        <v>754</v>
      </c>
      <c r="M1114">
        <v>4</v>
      </c>
      <c r="N1114" s="1" t="s">
        <v>44</v>
      </c>
      <c r="O1114">
        <v>47</v>
      </c>
      <c r="P1114">
        <v>2</v>
      </c>
      <c r="Q1114">
        <v>2</v>
      </c>
      <c r="R1114" s="1" t="s">
        <v>137</v>
      </c>
      <c r="S1114">
        <v>4</v>
      </c>
      <c r="T1114" s="1" t="s">
        <v>105</v>
      </c>
      <c r="U1114">
        <v>6804</v>
      </c>
      <c r="V1114" s="1" t="s">
        <v>163</v>
      </c>
      <c r="W1114">
        <v>23683</v>
      </c>
      <c r="X1114">
        <v>3</v>
      </c>
      <c r="Y1114" s="1" t="s">
        <v>48</v>
      </c>
      <c r="Z1114" s="1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8">
      <c r="A1115" s="1" t="s">
        <v>1178</v>
      </c>
      <c r="B1115">
        <v>43</v>
      </c>
      <c r="C1115" s="1" t="s">
        <v>802</v>
      </c>
      <c r="D1115" s="1" t="s">
        <v>49</v>
      </c>
      <c r="E1115" s="1" t="s">
        <v>41</v>
      </c>
      <c r="F1115">
        <v>589</v>
      </c>
      <c r="G1115" s="1" t="s">
        <v>42</v>
      </c>
      <c r="H1115">
        <v>14</v>
      </c>
      <c r="I1115">
        <v>2</v>
      </c>
      <c r="J1115" s="1" t="s">
        <v>43</v>
      </c>
      <c r="K1115">
        <v>1</v>
      </c>
      <c r="L1115">
        <v>843</v>
      </c>
      <c r="M1115">
        <v>2</v>
      </c>
      <c r="N1115" s="1" t="s">
        <v>44</v>
      </c>
      <c r="O1115">
        <v>94</v>
      </c>
      <c r="P1115">
        <v>3</v>
      </c>
      <c r="Q1115">
        <v>4</v>
      </c>
      <c r="R1115" s="1" t="s">
        <v>252</v>
      </c>
      <c r="S1115">
        <v>1</v>
      </c>
      <c r="T1115" s="1" t="s">
        <v>105</v>
      </c>
      <c r="U1115">
        <v>17159</v>
      </c>
      <c r="V1115" s="1" t="s">
        <v>368</v>
      </c>
      <c r="W1115">
        <v>5200</v>
      </c>
      <c r="X1115">
        <v>6</v>
      </c>
      <c r="Y1115" s="1" t="s">
        <v>48</v>
      </c>
      <c r="Z1115" s="1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8">
      <c r="A1116" s="1" t="s">
        <v>1179</v>
      </c>
      <c r="B1116">
        <v>43</v>
      </c>
      <c r="C1116" s="1" t="s">
        <v>802</v>
      </c>
      <c r="D1116" s="1" t="s">
        <v>49</v>
      </c>
      <c r="E1116" s="1" t="s">
        <v>56</v>
      </c>
      <c r="F1116">
        <v>422</v>
      </c>
      <c r="G1116" s="1" t="s">
        <v>42</v>
      </c>
      <c r="H1116">
        <v>1</v>
      </c>
      <c r="I1116">
        <v>3</v>
      </c>
      <c r="J1116" s="1" t="s">
        <v>43</v>
      </c>
      <c r="K1116">
        <v>1</v>
      </c>
      <c r="L1116">
        <v>902</v>
      </c>
      <c r="M1116">
        <v>4</v>
      </c>
      <c r="N1116" s="1" t="s">
        <v>53</v>
      </c>
      <c r="O1116">
        <v>33</v>
      </c>
      <c r="P1116">
        <v>3</v>
      </c>
      <c r="Q1116">
        <v>2</v>
      </c>
      <c r="R1116" s="1" t="s">
        <v>161</v>
      </c>
      <c r="S1116">
        <v>4</v>
      </c>
      <c r="T1116" s="1" t="s">
        <v>105</v>
      </c>
      <c r="U1116">
        <v>5562</v>
      </c>
      <c r="V1116" s="1" t="s">
        <v>163</v>
      </c>
      <c r="W1116">
        <v>21782</v>
      </c>
      <c r="X1116">
        <v>4</v>
      </c>
      <c r="Y1116" s="1" t="s">
        <v>48</v>
      </c>
      <c r="Z1116" s="1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8">
      <c r="A1117" s="1" t="s">
        <v>1180</v>
      </c>
      <c r="B1117">
        <v>43</v>
      </c>
      <c r="C1117" s="1" t="s">
        <v>802</v>
      </c>
      <c r="D1117" s="1" t="s">
        <v>49</v>
      </c>
      <c r="E1117" s="1" t="s">
        <v>41</v>
      </c>
      <c r="F1117">
        <v>177</v>
      </c>
      <c r="G1117" s="1" t="s">
        <v>42</v>
      </c>
      <c r="H1117">
        <v>8</v>
      </c>
      <c r="I1117">
        <v>3</v>
      </c>
      <c r="J1117" s="1" t="s">
        <v>43</v>
      </c>
      <c r="K1117">
        <v>1</v>
      </c>
      <c r="L1117">
        <v>920</v>
      </c>
      <c r="M1117">
        <v>1</v>
      </c>
      <c r="N1117" s="1" t="s">
        <v>53</v>
      </c>
      <c r="O1117">
        <v>55</v>
      </c>
      <c r="P1117">
        <v>3</v>
      </c>
      <c r="Q1117">
        <v>2</v>
      </c>
      <c r="R1117" s="1" t="s">
        <v>112</v>
      </c>
      <c r="S1117">
        <v>2</v>
      </c>
      <c r="T1117" s="1" t="s">
        <v>102</v>
      </c>
      <c r="U1117">
        <v>4765</v>
      </c>
      <c r="V1117" s="1" t="s">
        <v>47</v>
      </c>
      <c r="W1117">
        <v>23814</v>
      </c>
      <c r="X1117">
        <v>4</v>
      </c>
      <c r="Y1117" s="1" t="s">
        <v>48</v>
      </c>
      <c r="Z1117" s="1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8">
      <c r="A1118" s="1" t="s">
        <v>1181</v>
      </c>
      <c r="B1118">
        <v>43</v>
      </c>
      <c r="C1118" s="1" t="s">
        <v>802</v>
      </c>
      <c r="D1118" s="1" t="s">
        <v>49</v>
      </c>
      <c r="E1118" s="1" t="s">
        <v>41</v>
      </c>
      <c r="F1118">
        <v>415</v>
      </c>
      <c r="G1118" s="1" t="s">
        <v>51</v>
      </c>
      <c r="H1118">
        <v>25</v>
      </c>
      <c r="I1118">
        <v>3</v>
      </c>
      <c r="J1118" s="1" t="s">
        <v>52</v>
      </c>
      <c r="K1118">
        <v>1</v>
      </c>
      <c r="L1118">
        <v>1076</v>
      </c>
      <c r="M1118">
        <v>3</v>
      </c>
      <c r="N1118" s="1" t="s">
        <v>44</v>
      </c>
      <c r="O1118">
        <v>79</v>
      </c>
      <c r="P1118">
        <v>2</v>
      </c>
      <c r="Q1118">
        <v>3</v>
      </c>
      <c r="R1118" s="1" t="s">
        <v>137</v>
      </c>
      <c r="S1118">
        <v>4</v>
      </c>
      <c r="T1118" s="1" t="s">
        <v>102</v>
      </c>
      <c r="U1118">
        <v>10798</v>
      </c>
      <c r="V1118" s="1" t="s">
        <v>253</v>
      </c>
      <c r="W1118">
        <v>5268</v>
      </c>
      <c r="X1118">
        <v>5</v>
      </c>
      <c r="Y1118" s="1" t="s">
        <v>48</v>
      </c>
      <c r="Z1118" s="1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8">
      <c r="A1119" s="1" t="s">
        <v>1182</v>
      </c>
      <c r="B1119">
        <v>43</v>
      </c>
      <c r="C1119" s="1" t="s">
        <v>802</v>
      </c>
      <c r="D1119" s="1" t="s">
        <v>49</v>
      </c>
      <c r="E1119" s="1" t="s">
        <v>56</v>
      </c>
      <c r="F1119">
        <v>1082</v>
      </c>
      <c r="G1119" s="1" t="s">
        <v>42</v>
      </c>
      <c r="H1119">
        <v>27</v>
      </c>
      <c r="I1119">
        <v>3</v>
      </c>
      <c r="J1119" s="1" t="s">
        <v>43</v>
      </c>
      <c r="K1119">
        <v>1</v>
      </c>
      <c r="L1119">
        <v>1126</v>
      </c>
      <c r="M1119">
        <v>3</v>
      </c>
      <c r="N1119" s="1" t="s">
        <v>53</v>
      </c>
      <c r="O1119">
        <v>83</v>
      </c>
      <c r="P1119">
        <v>3</v>
      </c>
      <c r="Q1119">
        <v>3</v>
      </c>
      <c r="R1119" s="1" t="s">
        <v>112</v>
      </c>
      <c r="S1119">
        <v>1</v>
      </c>
      <c r="T1119" s="1" t="s">
        <v>105</v>
      </c>
      <c r="U1119">
        <v>10820</v>
      </c>
      <c r="V1119" s="1" t="s">
        <v>253</v>
      </c>
      <c r="W1119">
        <v>11535</v>
      </c>
      <c r="X1119">
        <v>8</v>
      </c>
      <c r="Y1119" s="1" t="s">
        <v>48</v>
      </c>
      <c r="Z1119" s="1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8">
      <c r="A1120" s="1" t="s">
        <v>1183</v>
      </c>
      <c r="B1120">
        <v>43</v>
      </c>
      <c r="C1120" s="1" t="s">
        <v>802</v>
      </c>
      <c r="D1120" s="1" t="s">
        <v>40</v>
      </c>
      <c r="E1120" s="1" t="s">
        <v>41</v>
      </c>
      <c r="F1120">
        <v>1372</v>
      </c>
      <c r="G1120" s="1" t="s">
        <v>51</v>
      </c>
      <c r="H1120">
        <v>9</v>
      </c>
      <c r="I1120">
        <v>3</v>
      </c>
      <c r="J1120" s="1" t="s">
        <v>57</v>
      </c>
      <c r="K1120">
        <v>1</v>
      </c>
      <c r="L1120">
        <v>1188</v>
      </c>
      <c r="M1120">
        <v>1</v>
      </c>
      <c r="N1120" s="1" t="s">
        <v>53</v>
      </c>
      <c r="O1120">
        <v>85</v>
      </c>
      <c r="P1120">
        <v>1</v>
      </c>
      <c r="Q1120">
        <v>2</v>
      </c>
      <c r="R1120" s="1" t="s">
        <v>137</v>
      </c>
      <c r="S1120">
        <v>3</v>
      </c>
      <c r="T1120" s="1" t="s">
        <v>46</v>
      </c>
      <c r="U1120">
        <v>5346</v>
      </c>
      <c r="V1120" s="1" t="s">
        <v>163</v>
      </c>
      <c r="W1120">
        <v>9489</v>
      </c>
      <c r="X1120">
        <v>8</v>
      </c>
      <c r="Y1120" s="1" t="s">
        <v>48</v>
      </c>
      <c r="Z1120" s="1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8">
      <c r="A1121" s="1" t="s">
        <v>1184</v>
      </c>
      <c r="B1121">
        <v>43</v>
      </c>
      <c r="C1121" s="1" t="s">
        <v>802</v>
      </c>
      <c r="D1121" s="1" t="s">
        <v>49</v>
      </c>
      <c r="E1121" s="1" t="s">
        <v>41</v>
      </c>
      <c r="F1121">
        <v>920</v>
      </c>
      <c r="G1121" s="1" t="s">
        <v>42</v>
      </c>
      <c r="H1121">
        <v>3</v>
      </c>
      <c r="I1121">
        <v>3</v>
      </c>
      <c r="J1121" s="1" t="s">
        <v>43</v>
      </c>
      <c r="K1121">
        <v>1</v>
      </c>
      <c r="L1121">
        <v>1255</v>
      </c>
      <c r="M1121">
        <v>3</v>
      </c>
      <c r="N1121" s="1" t="s">
        <v>44</v>
      </c>
      <c r="O1121">
        <v>96</v>
      </c>
      <c r="P1121">
        <v>1</v>
      </c>
      <c r="Q1121">
        <v>5</v>
      </c>
      <c r="R1121" s="1" t="s">
        <v>252</v>
      </c>
      <c r="S1121">
        <v>4</v>
      </c>
      <c r="T1121" s="1" t="s">
        <v>105</v>
      </c>
      <c r="U1121">
        <v>19740</v>
      </c>
      <c r="V1121" s="1" t="s">
        <v>368</v>
      </c>
      <c r="W1121">
        <v>18625</v>
      </c>
      <c r="X1121">
        <v>3</v>
      </c>
      <c r="Y1121" s="1" t="s">
        <v>48</v>
      </c>
      <c r="Z1121" s="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8">
      <c r="A1122" s="1" t="s">
        <v>1185</v>
      </c>
      <c r="B1122">
        <v>43</v>
      </c>
      <c r="C1122" s="1" t="s">
        <v>802</v>
      </c>
      <c r="D1122" s="1" t="s">
        <v>49</v>
      </c>
      <c r="E1122" s="1" t="s">
        <v>41</v>
      </c>
      <c r="F1122">
        <v>531</v>
      </c>
      <c r="G1122" s="1" t="s">
        <v>51</v>
      </c>
      <c r="H1122">
        <v>4</v>
      </c>
      <c r="I1122">
        <v>4</v>
      </c>
      <c r="J1122" s="1" t="s">
        <v>57</v>
      </c>
      <c r="K1122">
        <v>1</v>
      </c>
      <c r="L1122">
        <v>1293</v>
      </c>
      <c r="M1122">
        <v>4</v>
      </c>
      <c r="N1122" s="1" t="s">
        <v>53</v>
      </c>
      <c r="O1122">
        <v>56</v>
      </c>
      <c r="P1122">
        <v>2</v>
      </c>
      <c r="Q1122">
        <v>3</v>
      </c>
      <c r="R1122" s="1" t="s">
        <v>137</v>
      </c>
      <c r="S1122">
        <v>4</v>
      </c>
      <c r="T1122" s="1" t="s">
        <v>46</v>
      </c>
      <c r="U1122">
        <v>10231</v>
      </c>
      <c r="V1122" s="1" t="s">
        <v>253</v>
      </c>
      <c r="W1122">
        <v>20364</v>
      </c>
      <c r="X1122">
        <v>3</v>
      </c>
      <c r="Y1122" s="1" t="s">
        <v>48</v>
      </c>
      <c r="Z1122" s="1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8">
      <c r="A1123" s="1" t="s">
        <v>1186</v>
      </c>
      <c r="B1123">
        <v>43</v>
      </c>
      <c r="C1123" s="1" t="s">
        <v>802</v>
      </c>
      <c r="D1123" s="1" t="s">
        <v>49</v>
      </c>
      <c r="E1123" s="1" t="s">
        <v>41</v>
      </c>
      <c r="F1123">
        <v>930</v>
      </c>
      <c r="G1123" s="1" t="s">
        <v>42</v>
      </c>
      <c r="H1123">
        <v>6</v>
      </c>
      <c r="I1123">
        <v>3</v>
      </c>
      <c r="J1123" s="1" t="s">
        <v>52</v>
      </c>
      <c r="K1123">
        <v>1</v>
      </c>
      <c r="L1123">
        <v>1402</v>
      </c>
      <c r="M1123">
        <v>1</v>
      </c>
      <c r="N1123" s="1" t="s">
        <v>53</v>
      </c>
      <c r="O1123">
        <v>73</v>
      </c>
      <c r="P1123">
        <v>2</v>
      </c>
      <c r="Q1123">
        <v>2</v>
      </c>
      <c r="R1123" s="1" t="s">
        <v>60</v>
      </c>
      <c r="S1123">
        <v>3</v>
      </c>
      <c r="T1123" s="1" t="s">
        <v>46</v>
      </c>
      <c r="U1123">
        <v>4081</v>
      </c>
      <c r="V1123" s="1" t="s">
        <v>47</v>
      </c>
      <c r="W1123">
        <v>20003</v>
      </c>
      <c r="X1123">
        <v>1</v>
      </c>
      <c r="Y1123" s="1" t="s">
        <v>48</v>
      </c>
      <c r="Z1123" s="1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8">
      <c r="A1124" s="1" t="s">
        <v>1187</v>
      </c>
      <c r="B1124">
        <v>43</v>
      </c>
      <c r="C1124" s="1" t="s">
        <v>802</v>
      </c>
      <c r="D1124" s="1" t="s">
        <v>49</v>
      </c>
      <c r="E1124" s="1" t="s">
        <v>41</v>
      </c>
      <c r="F1124">
        <v>990</v>
      </c>
      <c r="G1124" s="1" t="s">
        <v>42</v>
      </c>
      <c r="H1124">
        <v>27</v>
      </c>
      <c r="I1124">
        <v>3</v>
      </c>
      <c r="J1124" s="1" t="s">
        <v>68</v>
      </c>
      <c r="K1124">
        <v>1</v>
      </c>
      <c r="L1124">
        <v>1599</v>
      </c>
      <c r="M1124">
        <v>4</v>
      </c>
      <c r="N1124" s="1" t="s">
        <v>44</v>
      </c>
      <c r="O1124">
        <v>87</v>
      </c>
      <c r="P1124">
        <v>4</v>
      </c>
      <c r="Q1124">
        <v>1</v>
      </c>
      <c r="R1124" s="1" t="s">
        <v>45</v>
      </c>
      <c r="S1124">
        <v>2</v>
      </c>
      <c r="T1124" s="1" t="s">
        <v>102</v>
      </c>
      <c r="U1124">
        <v>4876</v>
      </c>
      <c r="V1124" s="1" t="s">
        <v>47</v>
      </c>
      <c r="W1124">
        <v>5855</v>
      </c>
      <c r="X1124">
        <v>5</v>
      </c>
      <c r="Y1124" s="1" t="s">
        <v>48</v>
      </c>
      <c r="Z1124" s="1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8">
      <c r="A1125" s="1" t="s">
        <v>1188</v>
      </c>
      <c r="B1125">
        <v>43</v>
      </c>
      <c r="C1125" s="1" t="s">
        <v>802</v>
      </c>
      <c r="D1125" s="1" t="s">
        <v>49</v>
      </c>
      <c r="E1125" s="1" t="s">
        <v>41</v>
      </c>
      <c r="F1125">
        <v>1291</v>
      </c>
      <c r="G1125" s="1" t="s">
        <v>42</v>
      </c>
      <c r="H1125">
        <v>15</v>
      </c>
      <c r="I1125">
        <v>2</v>
      </c>
      <c r="J1125" s="1" t="s">
        <v>43</v>
      </c>
      <c r="K1125">
        <v>1</v>
      </c>
      <c r="L1125">
        <v>1666</v>
      </c>
      <c r="M1125">
        <v>3</v>
      </c>
      <c r="N1125" s="1" t="s">
        <v>44</v>
      </c>
      <c r="O1125">
        <v>65</v>
      </c>
      <c r="P1125">
        <v>2</v>
      </c>
      <c r="Q1125">
        <v>4</v>
      </c>
      <c r="R1125" s="1" t="s">
        <v>252</v>
      </c>
      <c r="S1125">
        <v>3</v>
      </c>
      <c r="T1125" s="1" t="s">
        <v>105</v>
      </c>
      <c r="U1125">
        <v>17603</v>
      </c>
      <c r="V1125" s="1" t="s">
        <v>368</v>
      </c>
      <c r="W1125">
        <v>3525</v>
      </c>
      <c r="X1125">
        <v>1</v>
      </c>
      <c r="Y1125" s="1" t="s">
        <v>48</v>
      </c>
      <c r="Z1125" s="1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8">
      <c r="A1126" s="1" t="s">
        <v>1189</v>
      </c>
      <c r="B1126">
        <v>43</v>
      </c>
      <c r="C1126" s="1" t="s">
        <v>802</v>
      </c>
      <c r="D1126" s="1" t="s">
        <v>49</v>
      </c>
      <c r="E1126" s="1" t="s">
        <v>41</v>
      </c>
      <c r="F1126">
        <v>1179</v>
      </c>
      <c r="G1126" s="1" t="s">
        <v>51</v>
      </c>
      <c r="H1126">
        <v>2</v>
      </c>
      <c r="I1126">
        <v>3</v>
      </c>
      <c r="J1126" s="1" t="s">
        <v>52</v>
      </c>
      <c r="K1126">
        <v>1</v>
      </c>
      <c r="L1126">
        <v>1706</v>
      </c>
      <c r="M1126">
        <v>4</v>
      </c>
      <c r="N1126" s="1" t="s">
        <v>44</v>
      </c>
      <c r="O1126">
        <v>73</v>
      </c>
      <c r="P1126">
        <v>3</v>
      </c>
      <c r="Q1126">
        <v>2</v>
      </c>
      <c r="R1126" s="1" t="s">
        <v>137</v>
      </c>
      <c r="S1126">
        <v>4</v>
      </c>
      <c r="T1126" s="1" t="s">
        <v>105</v>
      </c>
      <c r="U1126">
        <v>7847</v>
      </c>
      <c r="V1126" s="1" t="s">
        <v>163</v>
      </c>
      <c r="W1126">
        <v>6069</v>
      </c>
      <c r="X1126">
        <v>1</v>
      </c>
      <c r="Y1126" s="1" t="s">
        <v>48</v>
      </c>
      <c r="Z1126" s="1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8">
      <c r="A1127" s="1" t="s">
        <v>1190</v>
      </c>
      <c r="B1127">
        <v>43</v>
      </c>
      <c r="C1127" s="1" t="s">
        <v>802</v>
      </c>
      <c r="D1127" s="1" t="s">
        <v>40</v>
      </c>
      <c r="E1127" s="1" t="s">
        <v>56</v>
      </c>
      <c r="F1127">
        <v>807</v>
      </c>
      <c r="G1127" s="1" t="s">
        <v>42</v>
      </c>
      <c r="H1127">
        <v>17</v>
      </c>
      <c r="I1127">
        <v>3</v>
      </c>
      <c r="J1127" s="1" t="s">
        <v>68</v>
      </c>
      <c r="K1127">
        <v>1</v>
      </c>
      <c r="L1127">
        <v>1767</v>
      </c>
      <c r="M1127">
        <v>3</v>
      </c>
      <c r="N1127" s="1" t="s">
        <v>44</v>
      </c>
      <c r="O1127">
        <v>38</v>
      </c>
      <c r="P1127">
        <v>2</v>
      </c>
      <c r="Q1127">
        <v>1</v>
      </c>
      <c r="R1127" s="1" t="s">
        <v>60</v>
      </c>
      <c r="S1127">
        <v>3</v>
      </c>
      <c r="T1127" s="1" t="s">
        <v>105</v>
      </c>
      <c r="U1127">
        <v>2437</v>
      </c>
      <c r="V1127" s="1" t="s">
        <v>47</v>
      </c>
      <c r="W1127">
        <v>15587</v>
      </c>
      <c r="X1127">
        <v>9</v>
      </c>
      <c r="Y1127" s="1" t="s">
        <v>48</v>
      </c>
      <c r="Z1127" s="1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8">
      <c r="A1128" s="1" t="s">
        <v>1191</v>
      </c>
      <c r="B1128">
        <v>43</v>
      </c>
      <c r="C1128" s="1" t="s">
        <v>802</v>
      </c>
      <c r="D1128" s="1" t="s">
        <v>49</v>
      </c>
      <c r="E1128" s="1" t="s">
        <v>41</v>
      </c>
      <c r="F1128">
        <v>244</v>
      </c>
      <c r="G1128" s="1" t="s">
        <v>71</v>
      </c>
      <c r="H1128">
        <v>2</v>
      </c>
      <c r="I1128">
        <v>3</v>
      </c>
      <c r="J1128" s="1" t="s">
        <v>43</v>
      </c>
      <c r="K1128">
        <v>1</v>
      </c>
      <c r="L1128">
        <v>1778</v>
      </c>
      <c r="M1128">
        <v>2</v>
      </c>
      <c r="N1128" s="1" t="s">
        <v>44</v>
      </c>
      <c r="O1128">
        <v>97</v>
      </c>
      <c r="P1128">
        <v>3</v>
      </c>
      <c r="Q1128">
        <v>1</v>
      </c>
      <c r="R1128" s="1" t="s">
        <v>71</v>
      </c>
      <c r="S1128">
        <v>4</v>
      </c>
      <c r="T1128" s="1" t="s">
        <v>46</v>
      </c>
      <c r="U1128">
        <v>3539</v>
      </c>
      <c r="V1128" s="1" t="s">
        <v>47</v>
      </c>
      <c r="W1128">
        <v>5033</v>
      </c>
      <c r="X1128">
        <v>0</v>
      </c>
      <c r="Y1128" s="1" t="s">
        <v>48</v>
      </c>
      <c r="Z1128" s="1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8">
      <c r="A1129" s="1" t="s">
        <v>1192</v>
      </c>
      <c r="B1129">
        <v>43</v>
      </c>
      <c r="C1129" s="1" t="s">
        <v>802</v>
      </c>
      <c r="D1129" s="1" t="s">
        <v>49</v>
      </c>
      <c r="E1129" s="1" t="s">
        <v>59</v>
      </c>
      <c r="F1129">
        <v>343</v>
      </c>
      <c r="G1129" s="1" t="s">
        <v>42</v>
      </c>
      <c r="H1129">
        <v>9</v>
      </c>
      <c r="I1129">
        <v>3</v>
      </c>
      <c r="J1129" s="1" t="s">
        <v>43</v>
      </c>
      <c r="K1129">
        <v>1</v>
      </c>
      <c r="L1129">
        <v>1813</v>
      </c>
      <c r="M1129">
        <v>1</v>
      </c>
      <c r="N1129" s="1" t="s">
        <v>44</v>
      </c>
      <c r="O1129">
        <v>52</v>
      </c>
      <c r="P1129">
        <v>3</v>
      </c>
      <c r="Q1129">
        <v>1</v>
      </c>
      <c r="R1129" s="1" t="s">
        <v>60</v>
      </c>
      <c r="S1129">
        <v>3</v>
      </c>
      <c r="T1129" s="1" t="s">
        <v>46</v>
      </c>
      <c r="U1129">
        <v>2438</v>
      </c>
      <c r="V1129" s="1" t="s">
        <v>47</v>
      </c>
      <c r="W1129">
        <v>24978</v>
      </c>
      <c r="X1129">
        <v>4</v>
      </c>
      <c r="Y1129" s="1" t="s">
        <v>48</v>
      </c>
      <c r="Z1129" s="1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8">
      <c r="A1130" s="1" t="s">
        <v>1193</v>
      </c>
      <c r="B1130">
        <v>43</v>
      </c>
      <c r="C1130" s="1" t="s">
        <v>802</v>
      </c>
      <c r="D1130" s="1" t="s">
        <v>49</v>
      </c>
      <c r="E1130" s="1" t="s">
        <v>56</v>
      </c>
      <c r="F1130">
        <v>1422</v>
      </c>
      <c r="G1130" s="1" t="s">
        <v>51</v>
      </c>
      <c r="H1130">
        <v>2</v>
      </c>
      <c r="I1130">
        <v>4</v>
      </c>
      <c r="J1130" s="1" t="s">
        <v>43</v>
      </c>
      <c r="K1130">
        <v>1</v>
      </c>
      <c r="L1130">
        <v>1849</v>
      </c>
      <c r="M1130">
        <v>1</v>
      </c>
      <c r="N1130" s="1" t="s">
        <v>44</v>
      </c>
      <c r="O1130">
        <v>92</v>
      </c>
      <c r="P1130">
        <v>3</v>
      </c>
      <c r="Q1130">
        <v>2</v>
      </c>
      <c r="R1130" s="1" t="s">
        <v>137</v>
      </c>
      <c r="S1130">
        <v>4</v>
      </c>
      <c r="T1130" s="1" t="s">
        <v>105</v>
      </c>
      <c r="U1130">
        <v>5675</v>
      </c>
      <c r="V1130" s="1" t="s">
        <v>163</v>
      </c>
      <c r="W1130">
        <v>19246</v>
      </c>
      <c r="X1130">
        <v>1</v>
      </c>
      <c r="Y1130" s="1" t="s">
        <v>48</v>
      </c>
      <c r="Z1130" s="1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8">
      <c r="A1131" s="1" t="s">
        <v>1194</v>
      </c>
      <c r="B1131">
        <v>43</v>
      </c>
      <c r="C1131" s="1" t="s">
        <v>802</v>
      </c>
      <c r="D1131" s="1" t="s">
        <v>49</v>
      </c>
      <c r="E1131" s="1" t="s">
        <v>41</v>
      </c>
      <c r="F1131">
        <v>823</v>
      </c>
      <c r="G1131" s="1" t="s">
        <v>42</v>
      </c>
      <c r="H1131">
        <v>6</v>
      </c>
      <c r="I1131">
        <v>3</v>
      </c>
      <c r="J1131" s="1" t="s">
        <v>52</v>
      </c>
      <c r="K1131">
        <v>1</v>
      </c>
      <c r="L1131">
        <v>1866</v>
      </c>
      <c r="M1131">
        <v>1</v>
      </c>
      <c r="N1131" s="1" t="s">
        <v>53</v>
      </c>
      <c r="O1131">
        <v>81</v>
      </c>
      <c r="P1131">
        <v>2</v>
      </c>
      <c r="Q1131">
        <v>5</v>
      </c>
      <c r="R1131" s="1" t="s">
        <v>442</v>
      </c>
      <c r="S1131">
        <v>3</v>
      </c>
      <c r="T1131" s="1" t="s">
        <v>105</v>
      </c>
      <c r="U1131">
        <v>19392</v>
      </c>
      <c r="V1131" s="1" t="s">
        <v>368</v>
      </c>
      <c r="W1131">
        <v>22539</v>
      </c>
      <c r="X1131">
        <v>7</v>
      </c>
      <c r="Y1131" s="1" t="s">
        <v>48</v>
      </c>
      <c r="Z1131" s="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8">
      <c r="A1132" s="1" t="s">
        <v>1195</v>
      </c>
      <c r="B1132">
        <v>43</v>
      </c>
      <c r="C1132" s="1" t="s">
        <v>802</v>
      </c>
      <c r="D1132" s="1" t="s">
        <v>49</v>
      </c>
      <c r="E1132" s="1" t="s">
        <v>41</v>
      </c>
      <c r="F1132">
        <v>574</v>
      </c>
      <c r="G1132" s="1" t="s">
        <v>42</v>
      </c>
      <c r="H1132">
        <v>11</v>
      </c>
      <c r="I1132">
        <v>3</v>
      </c>
      <c r="J1132" s="1" t="s">
        <v>43</v>
      </c>
      <c r="K1132">
        <v>1</v>
      </c>
      <c r="L1132">
        <v>1971</v>
      </c>
      <c r="M1132">
        <v>1</v>
      </c>
      <c r="N1132" s="1" t="s">
        <v>44</v>
      </c>
      <c r="O1132">
        <v>30</v>
      </c>
      <c r="P1132">
        <v>3</v>
      </c>
      <c r="Q1132">
        <v>3</v>
      </c>
      <c r="R1132" s="1" t="s">
        <v>161</v>
      </c>
      <c r="S1132">
        <v>3</v>
      </c>
      <c r="T1132" s="1" t="s">
        <v>105</v>
      </c>
      <c r="U1132">
        <v>7510</v>
      </c>
      <c r="V1132" s="1" t="s">
        <v>163</v>
      </c>
      <c r="W1132">
        <v>16873</v>
      </c>
      <c r="X1132">
        <v>1</v>
      </c>
      <c r="Y1132" s="1" t="s">
        <v>48</v>
      </c>
      <c r="Z1132" s="1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8">
      <c r="A1133" s="1" t="s">
        <v>1196</v>
      </c>
      <c r="B1133">
        <v>44</v>
      </c>
      <c r="C1133" s="1" t="s">
        <v>802</v>
      </c>
      <c r="D1133" s="1" t="s">
        <v>49</v>
      </c>
      <c r="E1133" s="1" t="s">
        <v>41</v>
      </c>
      <c r="F1133">
        <v>477</v>
      </c>
      <c r="G1133" s="1" t="s">
        <v>42</v>
      </c>
      <c r="H1133">
        <v>7</v>
      </c>
      <c r="I1133">
        <v>4</v>
      </c>
      <c r="J1133" s="1" t="s">
        <v>52</v>
      </c>
      <c r="K1133">
        <v>1</v>
      </c>
      <c r="L1133">
        <v>36</v>
      </c>
      <c r="M1133">
        <v>1</v>
      </c>
      <c r="N1133" s="1" t="s">
        <v>53</v>
      </c>
      <c r="O1133">
        <v>42</v>
      </c>
      <c r="P1133">
        <v>2</v>
      </c>
      <c r="Q1133">
        <v>3</v>
      </c>
      <c r="R1133" s="1" t="s">
        <v>161</v>
      </c>
      <c r="S1133">
        <v>4</v>
      </c>
      <c r="T1133" s="1" t="s">
        <v>105</v>
      </c>
      <c r="U1133">
        <v>10248</v>
      </c>
      <c r="V1133" s="1" t="s">
        <v>253</v>
      </c>
      <c r="W1133">
        <v>2094</v>
      </c>
      <c r="X1133">
        <v>3</v>
      </c>
      <c r="Y1133" s="1" t="s">
        <v>48</v>
      </c>
      <c r="Z1133" s="1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8">
      <c r="A1134" s="1" t="s">
        <v>1197</v>
      </c>
      <c r="B1134">
        <v>44</v>
      </c>
      <c r="C1134" s="1" t="s">
        <v>802</v>
      </c>
      <c r="D1134" s="1" t="s">
        <v>49</v>
      </c>
      <c r="E1134" s="1" t="s">
        <v>41</v>
      </c>
      <c r="F1134">
        <v>1459</v>
      </c>
      <c r="G1134" s="1" t="s">
        <v>42</v>
      </c>
      <c r="H1134">
        <v>10</v>
      </c>
      <c r="I1134">
        <v>4</v>
      </c>
      <c r="J1134" s="1" t="s">
        <v>73</v>
      </c>
      <c r="K1134">
        <v>1</v>
      </c>
      <c r="L1134">
        <v>40</v>
      </c>
      <c r="M1134">
        <v>4</v>
      </c>
      <c r="N1134" s="1" t="s">
        <v>44</v>
      </c>
      <c r="O1134">
        <v>41</v>
      </c>
      <c r="P1134">
        <v>3</v>
      </c>
      <c r="Q1134">
        <v>2</v>
      </c>
      <c r="R1134" s="1" t="s">
        <v>161</v>
      </c>
      <c r="S1134">
        <v>4</v>
      </c>
      <c r="T1134" s="1" t="s">
        <v>105</v>
      </c>
      <c r="U1134">
        <v>6465</v>
      </c>
      <c r="V1134" s="1" t="s">
        <v>163</v>
      </c>
      <c r="W1134">
        <v>19121</v>
      </c>
      <c r="X1134">
        <v>2</v>
      </c>
      <c r="Y1134" s="1" t="s">
        <v>48</v>
      </c>
      <c r="Z1134" s="1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8">
      <c r="A1135" s="1" t="s">
        <v>1198</v>
      </c>
      <c r="B1135">
        <v>44</v>
      </c>
      <c r="C1135" s="1" t="s">
        <v>802</v>
      </c>
      <c r="D1135" s="1" t="s">
        <v>49</v>
      </c>
      <c r="E1135" s="1" t="s">
        <v>41</v>
      </c>
      <c r="F1135">
        <v>1488</v>
      </c>
      <c r="G1135" s="1" t="s">
        <v>51</v>
      </c>
      <c r="H1135">
        <v>1</v>
      </c>
      <c r="I1135">
        <v>5</v>
      </c>
      <c r="J1135" s="1" t="s">
        <v>57</v>
      </c>
      <c r="K1135">
        <v>1</v>
      </c>
      <c r="L1135">
        <v>68</v>
      </c>
      <c r="M1135">
        <v>2</v>
      </c>
      <c r="N1135" s="1" t="s">
        <v>53</v>
      </c>
      <c r="O1135">
        <v>75</v>
      </c>
      <c r="P1135">
        <v>3</v>
      </c>
      <c r="Q1135">
        <v>2</v>
      </c>
      <c r="R1135" s="1" t="s">
        <v>137</v>
      </c>
      <c r="S1135">
        <v>1</v>
      </c>
      <c r="T1135" s="1" t="s">
        <v>102</v>
      </c>
      <c r="U1135">
        <v>5454</v>
      </c>
      <c r="V1135" s="1" t="s">
        <v>163</v>
      </c>
      <c r="W1135">
        <v>4009</v>
      </c>
      <c r="X1135">
        <v>5</v>
      </c>
      <c r="Y1135" s="1" t="s">
        <v>48</v>
      </c>
      <c r="Z1135" s="1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8">
      <c r="A1136" s="1" t="s">
        <v>1199</v>
      </c>
      <c r="B1136">
        <v>44</v>
      </c>
      <c r="C1136" s="1" t="s">
        <v>802</v>
      </c>
      <c r="D1136" s="1" t="s">
        <v>49</v>
      </c>
      <c r="E1136" s="1" t="s">
        <v>59</v>
      </c>
      <c r="F1136">
        <v>489</v>
      </c>
      <c r="G1136" s="1" t="s">
        <v>42</v>
      </c>
      <c r="H1136">
        <v>23</v>
      </c>
      <c r="I1136">
        <v>3</v>
      </c>
      <c r="J1136" s="1" t="s">
        <v>52</v>
      </c>
      <c r="K1136">
        <v>1</v>
      </c>
      <c r="L1136">
        <v>132</v>
      </c>
      <c r="M1136">
        <v>2</v>
      </c>
      <c r="N1136" s="1" t="s">
        <v>44</v>
      </c>
      <c r="O1136">
        <v>67</v>
      </c>
      <c r="P1136">
        <v>3</v>
      </c>
      <c r="Q1136">
        <v>2</v>
      </c>
      <c r="R1136" s="1" t="s">
        <v>45</v>
      </c>
      <c r="S1136">
        <v>2</v>
      </c>
      <c r="T1136" s="1" t="s">
        <v>105</v>
      </c>
      <c r="U1136">
        <v>2042</v>
      </c>
      <c r="V1136" s="1" t="s">
        <v>47</v>
      </c>
      <c r="W1136">
        <v>25043</v>
      </c>
      <c r="X1136">
        <v>4</v>
      </c>
      <c r="Y1136" s="1" t="s">
        <v>48</v>
      </c>
      <c r="Z1136" s="1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8">
      <c r="A1137" s="1" t="s">
        <v>1200</v>
      </c>
      <c r="B1137">
        <v>44</v>
      </c>
      <c r="C1137" s="1" t="s">
        <v>802</v>
      </c>
      <c r="D1137" s="1" t="s">
        <v>40</v>
      </c>
      <c r="E1137" s="1" t="s">
        <v>56</v>
      </c>
      <c r="F1137">
        <v>920</v>
      </c>
      <c r="G1137" s="1" t="s">
        <v>42</v>
      </c>
      <c r="H1137">
        <v>24</v>
      </c>
      <c r="I1137">
        <v>3</v>
      </c>
      <c r="J1137" s="1" t="s">
        <v>43</v>
      </c>
      <c r="K1137">
        <v>1</v>
      </c>
      <c r="L1137">
        <v>392</v>
      </c>
      <c r="M1137">
        <v>4</v>
      </c>
      <c r="N1137" s="1" t="s">
        <v>44</v>
      </c>
      <c r="O1137">
        <v>43</v>
      </c>
      <c r="P1137">
        <v>3</v>
      </c>
      <c r="Q1137">
        <v>1</v>
      </c>
      <c r="R1137" s="1" t="s">
        <v>45</v>
      </c>
      <c r="S1137">
        <v>3</v>
      </c>
      <c r="T1137" s="1" t="s">
        <v>102</v>
      </c>
      <c r="U1137">
        <v>3161</v>
      </c>
      <c r="V1137" s="1" t="s">
        <v>47</v>
      </c>
      <c r="W1137">
        <v>19920</v>
      </c>
      <c r="X1137">
        <v>3</v>
      </c>
      <c r="Y1137" s="1" t="s">
        <v>48</v>
      </c>
      <c r="Z1137" s="1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8">
      <c r="A1138" s="1" t="s">
        <v>1201</v>
      </c>
      <c r="B1138">
        <v>44</v>
      </c>
      <c r="C1138" s="1" t="s">
        <v>802</v>
      </c>
      <c r="D1138" s="1" t="s">
        <v>49</v>
      </c>
      <c r="E1138" s="1" t="s">
        <v>41</v>
      </c>
      <c r="F1138">
        <v>1112</v>
      </c>
      <c r="G1138" s="1" t="s">
        <v>71</v>
      </c>
      <c r="H1138">
        <v>1</v>
      </c>
      <c r="I1138">
        <v>4</v>
      </c>
      <c r="J1138" s="1" t="s">
        <v>43</v>
      </c>
      <c r="K1138">
        <v>1</v>
      </c>
      <c r="L1138">
        <v>665</v>
      </c>
      <c r="M1138">
        <v>1</v>
      </c>
      <c r="N1138" s="1" t="s">
        <v>53</v>
      </c>
      <c r="O1138">
        <v>50</v>
      </c>
      <c r="P1138">
        <v>2</v>
      </c>
      <c r="Q1138">
        <v>2</v>
      </c>
      <c r="R1138" s="1" t="s">
        <v>71</v>
      </c>
      <c r="S1138">
        <v>3</v>
      </c>
      <c r="T1138" s="1" t="s">
        <v>46</v>
      </c>
      <c r="U1138">
        <v>5985</v>
      </c>
      <c r="V1138" s="1" t="s">
        <v>163</v>
      </c>
      <c r="W1138">
        <v>26894</v>
      </c>
      <c r="X1138">
        <v>4</v>
      </c>
      <c r="Y1138" s="1" t="s">
        <v>48</v>
      </c>
      <c r="Z1138" s="1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8">
      <c r="A1139" s="1" t="s">
        <v>1202</v>
      </c>
      <c r="B1139">
        <v>44</v>
      </c>
      <c r="C1139" s="1" t="s">
        <v>802</v>
      </c>
      <c r="D1139" s="1" t="s">
        <v>49</v>
      </c>
      <c r="E1139" s="1" t="s">
        <v>41</v>
      </c>
      <c r="F1139">
        <v>1315</v>
      </c>
      <c r="G1139" s="1" t="s">
        <v>42</v>
      </c>
      <c r="H1139">
        <v>3</v>
      </c>
      <c r="I1139">
        <v>4</v>
      </c>
      <c r="J1139" s="1" t="s">
        <v>73</v>
      </c>
      <c r="K1139">
        <v>1</v>
      </c>
      <c r="L1139">
        <v>671</v>
      </c>
      <c r="M1139">
        <v>4</v>
      </c>
      <c r="N1139" s="1" t="s">
        <v>44</v>
      </c>
      <c r="O1139">
        <v>35</v>
      </c>
      <c r="P1139">
        <v>3</v>
      </c>
      <c r="Q1139">
        <v>5</v>
      </c>
      <c r="R1139" s="1" t="s">
        <v>442</v>
      </c>
      <c r="S1139">
        <v>4</v>
      </c>
      <c r="T1139" s="1" t="s">
        <v>105</v>
      </c>
      <c r="U1139">
        <v>19513</v>
      </c>
      <c r="V1139" s="1" t="s">
        <v>368</v>
      </c>
      <c r="W1139">
        <v>9358</v>
      </c>
      <c r="X1139">
        <v>4</v>
      </c>
      <c r="Y1139" s="1" t="s">
        <v>48</v>
      </c>
      <c r="Z1139" s="1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8">
      <c r="A1140" s="1" t="s">
        <v>1203</v>
      </c>
      <c r="B1140">
        <v>44</v>
      </c>
      <c r="C1140" s="1" t="s">
        <v>802</v>
      </c>
      <c r="D1140" s="1" t="s">
        <v>49</v>
      </c>
      <c r="E1140" s="1" t="s">
        <v>59</v>
      </c>
      <c r="F1140">
        <v>381</v>
      </c>
      <c r="G1140" s="1" t="s">
        <v>42</v>
      </c>
      <c r="H1140">
        <v>24</v>
      </c>
      <c r="I1140">
        <v>3</v>
      </c>
      <c r="J1140" s="1" t="s">
        <v>52</v>
      </c>
      <c r="K1140">
        <v>1</v>
      </c>
      <c r="L1140">
        <v>744</v>
      </c>
      <c r="M1140">
        <v>1</v>
      </c>
      <c r="N1140" s="1" t="s">
        <v>44</v>
      </c>
      <c r="O1140">
        <v>49</v>
      </c>
      <c r="P1140">
        <v>1</v>
      </c>
      <c r="Q1140">
        <v>1</v>
      </c>
      <c r="R1140" s="1" t="s">
        <v>45</v>
      </c>
      <c r="S1140">
        <v>3</v>
      </c>
      <c r="T1140" s="1" t="s">
        <v>46</v>
      </c>
      <c r="U1140">
        <v>3708</v>
      </c>
      <c r="V1140" s="1" t="s">
        <v>47</v>
      </c>
      <c r="W1140">
        <v>2104</v>
      </c>
      <c r="X1140">
        <v>2</v>
      </c>
      <c r="Y1140" s="1" t="s">
        <v>48</v>
      </c>
      <c r="Z1140" s="1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8">
      <c r="A1141" s="1" t="s">
        <v>1204</v>
      </c>
      <c r="B1141">
        <v>44</v>
      </c>
      <c r="C1141" s="1" t="s">
        <v>802</v>
      </c>
      <c r="D1141" s="1" t="s">
        <v>49</v>
      </c>
      <c r="E1141" s="1" t="s">
        <v>41</v>
      </c>
      <c r="F1141">
        <v>625</v>
      </c>
      <c r="G1141" s="1" t="s">
        <v>42</v>
      </c>
      <c r="H1141">
        <v>4</v>
      </c>
      <c r="I1141">
        <v>3</v>
      </c>
      <c r="J1141" s="1" t="s">
        <v>52</v>
      </c>
      <c r="K1141">
        <v>1</v>
      </c>
      <c r="L1141">
        <v>852</v>
      </c>
      <c r="M1141">
        <v>4</v>
      </c>
      <c r="N1141" s="1" t="s">
        <v>44</v>
      </c>
      <c r="O1141">
        <v>50</v>
      </c>
      <c r="P1141">
        <v>3</v>
      </c>
      <c r="Q1141">
        <v>2</v>
      </c>
      <c r="R1141" s="1" t="s">
        <v>161</v>
      </c>
      <c r="S1141">
        <v>2</v>
      </c>
      <c r="T1141" s="1" t="s">
        <v>46</v>
      </c>
      <c r="U1141">
        <v>5933</v>
      </c>
      <c r="V1141" s="1" t="s">
        <v>163</v>
      </c>
      <c r="W1141">
        <v>5197</v>
      </c>
      <c r="X1141">
        <v>9</v>
      </c>
      <c r="Y1141" s="1" t="s">
        <v>48</v>
      </c>
      <c r="Z1141" s="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8">
      <c r="A1142" s="1" t="s">
        <v>1205</v>
      </c>
      <c r="B1142">
        <v>44</v>
      </c>
      <c r="C1142" s="1" t="s">
        <v>802</v>
      </c>
      <c r="D1142" s="1" t="s">
        <v>49</v>
      </c>
      <c r="E1142" s="1" t="s">
        <v>41</v>
      </c>
      <c r="F1142">
        <v>986</v>
      </c>
      <c r="G1142" s="1" t="s">
        <v>42</v>
      </c>
      <c r="H1142">
        <v>8</v>
      </c>
      <c r="I1142">
        <v>4</v>
      </c>
      <c r="J1142" s="1" t="s">
        <v>43</v>
      </c>
      <c r="K1142">
        <v>1</v>
      </c>
      <c r="L1142">
        <v>874</v>
      </c>
      <c r="M1142">
        <v>1</v>
      </c>
      <c r="N1142" s="1" t="s">
        <v>44</v>
      </c>
      <c r="O1142">
        <v>62</v>
      </c>
      <c r="P1142">
        <v>4</v>
      </c>
      <c r="Q1142">
        <v>1</v>
      </c>
      <c r="R1142" s="1" t="s">
        <v>45</v>
      </c>
      <c r="S1142">
        <v>4</v>
      </c>
      <c r="T1142" s="1" t="s">
        <v>105</v>
      </c>
      <c r="U1142">
        <v>2818</v>
      </c>
      <c r="V1142" s="1" t="s">
        <v>47</v>
      </c>
      <c r="W1142">
        <v>5044</v>
      </c>
      <c r="X1142">
        <v>2</v>
      </c>
      <c r="Y1142" s="1" t="s">
        <v>48</v>
      </c>
      <c r="Z1142" s="1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8">
      <c r="A1143" s="1" t="s">
        <v>1206</v>
      </c>
      <c r="B1143">
        <v>44</v>
      </c>
      <c r="C1143" s="1" t="s">
        <v>802</v>
      </c>
      <c r="D1143" s="1" t="s">
        <v>49</v>
      </c>
      <c r="E1143" s="1" t="s">
        <v>41</v>
      </c>
      <c r="F1143">
        <v>661</v>
      </c>
      <c r="G1143" s="1" t="s">
        <v>42</v>
      </c>
      <c r="H1143">
        <v>9</v>
      </c>
      <c r="I1143">
        <v>2</v>
      </c>
      <c r="J1143" s="1" t="s">
        <v>43</v>
      </c>
      <c r="K1143">
        <v>1</v>
      </c>
      <c r="L1143">
        <v>913</v>
      </c>
      <c r="M1143">
        <v>2</v>
      </c>
      <c r="N1143" s="1" t="s">
        <v>44</v>
      </c>
      <c r="O1143">
        <v>61</v>
      </c>
      <c r="P1143">
        <v>3</v>
      </c>
      <c r="Q1143">
        <v>1</v>
      </c>
      <c r="R1143" s="1" t="s">
        <v>60</v>
      </c>
      <c r="S1143">
        <v>1</v>
      </c>
      <c r="T1143" s="1" t="s">
        <v>105</v>
      </c>
      <c r="U1143">
        <v>2559</v>
      </c>
      <c r="V1143" s="1" t="s">
        <v>47</v>
      </c>
      <c r="W1143">
        <v>7508</v>
      </c>
      <c r="X1143">
        <v>1</v>
      </c>
      <c r="Y1143" s="1" t="s">
        <v>48</v>
      </c>
      <c r="Z1143" s="1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8">
      <c r="A1144" s="1" t="s">
        <v>1207</v>
      </c>
      <c r="B1144">
        <v>44</v>
      </c>
      <c r="C1144" s="1" t="s">
        <v>802</v>
      </c>
      <c r="D1144" s="1" t="s">
        <v>49</v>
      </c>
      <c r="E1144" s="1" t="s">
        <v>41</v>
      </c>
      <c r="F1144">
        <v>1448</v>
      </c>
      <c r="G1144" s="1" t="s">
        <v>51</v>
      </c>
      <c r="H1144">
        <v>28</v>
      </c>
      <c r="I1144">
        <v>3</v>
      </c>
      <c r="J1144" s="1" t="s">
        <v>52</v>
      </c>
      <c r="K1144">
        <v>1</v>
      </c>
      <c r="L1144">
        <v>1039</v>
      </c>
      <c r="M1144">
        <v>4</v>
      </c>
      <c r="N1144" s="1" t="s">
        <v>53</v>
      </c>
      <c r="O1144">
        <v>53</v>
      </c>
      <c r="P1144">
        <v>4</v>
      </c>
      <c r="Q1144">
        <v>4</v>
      </c>
      <c r="R1144" s="1" t="s">
        <v>137</v>
      </c>
      <c r="S1144">
        <v>4</v>
      </c>
      <c r="T1144" s="1" t="s">
        <v>105</v>
      </c>
      <c r="U1144">
        <v>13320</v>
      </c>
      <c r="V1144" s="1" t="s">
        <v>253</v>
      </c>
      <c r="W1144">
        <v>11737</v>
      </c>
      <c r="X1144">
        <v>3</v>
      </c>
      <c r="Y1144" s="1" t="s">
        <v>48</v>
      </c>
      <c r="Z1144" s="1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8">
      <c r="A1145" s="1" t="s">
        <v>1208</v>
      </c>
      <c r="B1145">
        <v>44</v>
      </c>
      <c r="C1145" s="1" t="s">
        <v>802</v>
      </c>
      <c r="D1145" s="1" t="s">
        <v>40</v>
      </c>
      <c r="E1145" s="1" t="s">
        <v>41</v>
      </c>
      <c r="F1145">
        <v>1376</v>
      </c>
      <c r="G1145" s="1" t="s">
        <v>71</v>
      </c>
      <c r="H1145">
        <v>1</v>
      </c>
      <c r="I1145">
        <v>2</v>
      </c>
      <c r="J1145" s="1" t="s">
        <v>52</v>
      </c>
      <c r="K1145">
        <v>1</v>
      </c>
      <c r="L1145">
        <v>1098</v>
      </c>
      <c r="M1145">
        <v>2</v>
      </c>
      <c r="N1145" s="1" t="s">
        <v>44</v>
      </c>
      <c r="O1145">
        <v>91</v>
      </c>
      <c r="P1145">
        <v>2</v>
      </c>
      <c r="Q1145">
        <v>3</v>
      </c>
      <c r="R1145" s="1" t="s">
        <v>71</v>
      </c>
      <c r="S1145">
        <v>1</v>
      </c>
      <c r="T1145" s="1" t="s">
        <v>105</v>
      </c>
      <c r="U1145">
        <v>10482</v>
      </c>
      <c r="V1145" s="1" t="s">
        <v>253</v>
      </c>
      <c r="W1145">
        <v>2326</v>
      </c>
      <c r="X1145">
        <v>9</v>
      </c>
      <c r="Y1145" s="1" t="s">
        <v>48</v>
      </c>
      <c r="Z1145" s="1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8">
      <c r="A1146" s="1" t="s">
        <v>1209</v>
      </c>
      <c r="B1146">
        <v>44</v>
      </c>
      <c r="C1146" s="1" t="s">
        <v>802</v>
      </c>
      <c r="D1146" s="1" t="s">
        <v>40</v>
      </c>
      <c r="E1146" s="1" t="s">
        <v>41</v>
      </c>
      <c r="F1146">
        <v>1097</v>
      </c>
      <c r="G1146" s="1" t="s">
        <v>42</v>
      </c>
      <c r="H1146">
        <v>10</v>
      </c>
      <c r="I1146">
        <v>4</v>
      </c>
      <c r="J1146" s="1" t="s">
        <v>43</v>
      </c>
      <c r="K1146">
        <v>1</v>
      </c>
      <c r="L1146">
        <v>1200</v>
      </c>
      <c r="M1146">
        <v>3</v>
      </c>
      <c r="N1146" s="1" t="s">
        <v>44</v>
      </c>
      <c r="O1146">
        <v>96</v>
      </c>
      <c r="P1146">
        <v>3</v>
      </c>
      <c r="Q1146">
        <v>1</v>
      </c>
      <c r="R1146" s="1" t="s">
        <v>60</v>
      </c>
      <c r="S1146">
        <v>3</v>
      </c>
      <c r="T1146" s="1" t="s">
        <v>46</v>
      </c>
      <c r="U1146">
        <v>2936</v>
      </c>
      <c r="V1146" s="1" t="s">
        <v>47</v>
      </c>
      <c r="W1146">
        <v>10826</v>
      </c>
      <c r="X1146">
        <v>1</v>
      </c>
      <c r="Y1146" s="1" t="s">
        <v>48</v>
      </c>
      <c r="Z1146" s="1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8">
      <c r="A1147" s="1" t="s">
        <v>1210</v>
      </c>
      <c r="B1147">
        <v>44</v>
      </c>
      <c r="C1147" s="1" t="s">
        <v>802</v>
      </c>
      <c r="D1147" s="1" t="s">
        <v>49</v>
      </c>
      <c r="E1147" s="1" t="s">
        <v>59</v>
      </c>
      <c r="F1147">
        <v>111</v>
      </c>
      <c r="G1147" s="1" t="s">
        <v>42</v>
      </c>
      <c r="H1147">
        <v>17</v>
      </c>
      <c r="I1147">
        <v>3</v>
      </c>
      <c r="J1147" s="1" t="s">
        <v>43</v>
      </c>
      <c r="K1147">
        <v>1</v>
      </c>
      <c r="L1147">
        <v>1206</v>
      </c>
      <c r="M1147">
        <v>4</v>
      </c>
      <c r="N1147" s="1" t="s">
        <v>44</v>
      </c>
      <c r="O1147">
        <v>74</v>
      </c>
      <c r="P1147">
        <v>1</v>
      </c>
      <c r="Q1147">
        <v>1</v>
      </c>
      <c r="R1147" s="1" t="s">
        <v>60</v>
      </c>
      <c r="S1147">
        <v>3</v>
      </c>
      <c r="T1147" s="1" t="s">
        <v>46</v>
      </c>
      <c r="U1147">
        <v>2290</v>
      </c>
      <c r="V1147" s="1" t="s">
        <v>47</v>
      </c>
      <c r="W1147">
        <v>4279</v>
      </c>
      <c r="X1147">
        <v>2</v>
      </c>
      <c r="Y1147" s="1" t="s">
        <v>48</v>
      </c>
      <c r="Z1147" s="1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8">
      <c r="A1148" s="1" t="s">
        <v>1211</v>
      </c>
      <c r="B1148">
        <v>44</v>
      </c>
      <c r="C1148" s="1" t="s">
        <v>802</v>
      </c>
      <c r="D1148" s="1" t="s">
        <v>49</v>
      </c>
      <c r="E1148" s="1" t="s">
        <v>41</v>
      </c>
      <c r="F1148">
        <v>200</v>
      </c>
      <c r="G1148" s="1" t="s">
        <v>42</v>
      </c>
      <c r="H1148">
        <v>29</v>
      </c>
      <c r="I1148">
        <v>4</v>
      </c>
      <c r="J1148" s="1" t="s">
        <v>73</v>
      </c>
      <c r="K1148">
        <v>1</v>
      </c>
      <c r="L1148">
        <v>1225</v>
      </c>
      <c r="M1148">
        <v>4</v>
      </c>
      <c r="N1148" s="1" t="s">
        <v>44</v>
      </c>
      <c r="O1148">
        <v>32</v>
      </c>
      <c r="P1148">
        <v>3</v>
      </c>
      <c r="Q1148">
        <v>2</v>
      </c>
      <c r="R1148" s="1" t="s">
        <v>60</v>
      </c>
      <c r="S1148">
        <v>4</v>
      </c>
      <c r="T1148" s="1" t="s">
        <v>46</v>
      </c>
      <c r="U1148">
        <v>4541</v>
      </c>
      <c r="V1148" s="1" t="s">
        <v>47</v>
      </c>
      <c r="W1148">
        <v>7744</v>
      </c>
      <c r="X1148">
        <v>1</v>
      </c>
      <c r="Y1148" s="1" t="s">
        <v>48</v>
      </c>
      <c r="Z1148" s="1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8">
      <c r="A1149" s="1" t="s">
        <v>1212</v>
      </c>
      <c r="B1149">
        <v>44</v>
      </c>
      <c r="C1149" s="1" t="s">
        <v>802</v>
      </c>
      <c r="D1149" s="1" t="s">
        <v>49</v>
      </c>
      <c r="E1149" s="1" t="s">
        <v>41</v>
      </c>
      <c r="F1149">
        <v>1117</v>
      </c>
      <c r="G1149" s="1" t="s">
        <v>42</v>
      </c>
      <c r="H1149">
        <v>2</v>
      </c>
      <c r="I1149">
        <v>1</v>
      </c>
      <c r="J1149" s="1" t="s">
        <v>43</v>
      </c>
      <c r="K1149">
        <v>1</v>
      </c>
      <c r="L1149">
        <v>1246</v>
      </c>
      <c r="M1149">
        <v>1</v>
      </c>
      <c r="N1149" s="1" t="s">
        <v>53</v>
      </c>
      <c r="O1149">
        <v>72</v>
      </c>
      <c r="P1149">
        <v>4</v>
      </c>
      <c r="Q1149">
        <v>1</v>
      </c>
      <c r="R1149" s="1" t="s">
        <v>60</v>
      </c>
      <c r="S1149">
        <v>4</v>
      </c>
      <c r="T1149" s="1" t="s">
        <v>105</v>
      </c>
      <c r="U1149">
        <v>2011</v>
      </c>
      <c r="V1149" s="1" t="s">
        <v>47</v>
      </c>
      <c r="W1149">
        <v>19982</v>
      </c>
      <c r="X1149">
        <v>1</v>
      </c>
      <c r="Y1149" s="1" t="s">
        <v>48</v>
      </c>
      <c r="Z1149" s="1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8">
      <c r="A1150" s="1" t="s">
        <v>1213</v>
      </c>
      <c r="B1150">
        <v>44</v>
      </c>
      <c r="C1150" s="1" t="s">
        <v>802</v>
      </c>
      <c r="D1150" s="1" t="s">
        <v>49</v>
      </c>
      <c r="E1150" s="1" t="s">
        <v>41</v>
      </c>
      <c r="F1150">
        <v>1099</v>
      </c>
      <c r="G1150" s="1" t="s">
        <v>51</v>
      </c>
      <c r="H1150">
        <v>5</v>
      </c>
      <c r="I1150">
        <v>3</v>
      </c>
      <c r="J1150" s="1" t="s">
        <v>57</v>
      </c>
      <c r="K1150">
        <v>1</v>
      </c>
      <c r="L1150">
        <v>1267</v>
      </c>
      <c r="M1150">
        <v>2</v>
      </c>
      <c r="N1150" s="1" t="s">
        <v>44</v>
      </c>
      <c r="O1150">
        <v>88</v>
      </c>
      <c r="P1150">
        <v>3</v>
      </c>
      <c r="Q1150">
        <v>5</v>
      </c>
      <c r="R1150" s="1" t="s">
        <v>442</v>
      </c>
      <c r="S1150">
        <v>2</v>
      </c>
      <c r="T1150" s="1" t="s">
        <v>105</v>
      </c>
      <c r="U1150">
        <v>18213</v>
      </c>
      <c r="V1150" s="1" t="s">
        <v>368</v>
      </c>
      <c r="W1150">
        <v>8751</v>
      </c>
      <c r="X1150">
        <v>7</v>
      </c>
      <c r="Y1150" s="1" t="s">
        <v>48</v>
      </c>
      <c r="Z1150" s="1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8">
      <c r="A1151" s="1" t="s">
        <v>1214</v>
      </c>
      <c r="B1151">
        <v>44</v>
      </c>
      <c r="C1151" s="1" t="s">
        <v>802</v>
      </c>
      <c r="D1151" s="1" t="s">
        <v>49</v>
      </c>
      <c r="E1151" s="1" t="s">
        <v>41</v>
      </c>
      <c r="F1151">
        <v>1199</v>
      </c>
      <c r="G1151" s="1" t="s">
        <v>42</v>
      </c>
      <c r="H1151">
        <v>4</v>
      </c>
      <c r="I1151">
        <v>2</v>
      </c>
      <c r="J1151" s="1" t="s">
        <v>43</v>
      </c>
      <c r="K1151">
        <v>1</v>
      </c>
      <c r="L1151">
        <v>1288</v>
      </c>
      <c r="M1151">
        <v>3</v>
      </c>
      <c r="N1151" s="1" t="s">
        <v>44</v>
      </c>
      <c r="O1151">
        <v>92</v>
      </c>
      <c r="P1151">
        <v>4</v>
      </c>
      <c r="Q1151">
        <v>5</v>
      </c>
      <c r="R1151" s="1" t="s">
        <v>442</v>
      </c>
      <c r="S1151">
        <v>1</v>
      </c>
      <c r="T1151" s="1" t="s">
        <v>102</v>
      </c>
      <c r="U1151">
        <v>19190</v>
      </c>
      <c r="V1151" s="1" t="s">
        <v>368</v>
      </c>
      <c r="W1151">
        <v>17477</v>
      </c>
      <c r="X1151">
        <v>1</v>
      </c>
      <c r="Y1151" s="1" t="s">
        <v>48</v>
      </c>
      <c r="Z1151" s="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8">
      <c r="A1152" s="1" t="s">
        <v>1215</v>
      </c>
      <c r="B1152">
        <v>44</v>
      </c>
      <c r="C1152" s="1" t="s">
        <v>802</v>
      </c>
      <c r="D1152" s="1" t="s">
        <v>40</v>
      </c>
      <c r="E1152" s="1" t="s">
        <v>41</v>
      </c>
      <c r="F1152">
        <v>621</v>
      </c>
      <c r="G1152" s="1" t="s">
        <v>42</v>
      </c>
      <c r="H1152">
        <v>15</v>
      </c>
      <c r="I1152">
        <v>3</v>
      </c>
      <c r="J1152" s="1" t="s">
        <v>52</v>
      </c>
      <c r="K1152">
        <v>1</v>
      </c>
      <c r="L1152">
        <v>1295</v>
      </c>
      <c r="M1152">
        <v>1</v>
      </c>
      <c r="N1152" s="1" t="s">
        <v>53</v>
      </c>
      <c r="O1152">
        <v>73</v>
      </c>
      <c r="P1152">
        <v>3</v>
      </c>
      <c r="Q1152">
        <v>3</v>
      </c>
      <c r="R1152" s="1" t="s">
        <v>161</v>
      </c>
      <c r="S1152">
        <v>4</v>
      </c>
      <c r="T1152" s="1" t="s">
        <v>105</v>
      </c>
      <c r="U1152">
        <v>7978</v>
      </c>
      <c r="V1152" s="1" t="s">
        <v>163</v>
      </c>
      <c r="W1152">
        <v>14075</v>
      </c>
      <c r="X1152">
        <v>1</v>
      </c>
      <c r="Y1152" s="1" t="s">
        <v>48</v>
      </c>
      <c r="Z1152" s="1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8">
      <c r="A1153" s="1" t="s">
        <v>1216</v>
      </c>
      <c r="B1153">
        <v>44</v>
      </c>
      <c r="C1153" s="1" t="s">
        <v>802</v>
      </c>
      <c r="D1153" s="1" t="s">
        <v>40</v>
      </c>
      <c r="E1153" s="1" t="s">
        <v>41</v>
      </c>
      <c r="F1153">
        <v>935</v>
      </c>
      <c r="G1153" s="1" t="s">
        <v>42</v>
      </c>
      <c r="H1153">
        <v>3</v>
      </c>
      <c r="I1153">
        <v>3</v>
      </c>
      <c r="J1153" s="1" t="s">
        <v>43</v>
      </c>
      <c r="K1153">
        <v>1</v>
      </c>
      <c r="L1153">
        <v>1333</v>
      </c>
      <c r="M1153">
        <v>1</v>
      </c>
      <c r="N1153" s="1" t="s">
        <v>44</v>
      </c>
      <c r="O1153">
        <v>89</v>
      </c>
      <c r="P1153">
        <v>3</v>
      </c>
      <c r="Q1153">
        <v>1</v>
      </c>
      <c r="R1153" s="1" t="s">
        <v>45</v>
      </c>
      <c r="S1153">
        <v>1</v>
      </c>
      <c r="T1153" s="1" t="s">
        <v>105</v>
      </c>
      <c r="U1153">
        <v>2362</v>
      </c>
      <c r="V1153" s="1" t="s">
        <v>47</v>
      </c>
      <c r="W1153">
        <v>14669</v>
      </c>
      <c r="X1153">
        <v>4</v>
      </c>
      <c r="Y1153" s="1" t="s">
        <v>48</v>
      </c>
      <c r="Z1153" s="1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8">
      <c r="A1154" s="1" t="s">
        <v>1217</v>
      </c>
      <c r="B1154">
        <v>44</v>
      </c>
      <c r="C1154" s="1" t="s">
        <v>802</v>
      </c>
      <c r="D1154" s="1" t="s">
        <v>49</v>
      </c>
      <c r="E1154" s="1" t="s">
        <v>59</v>
      </c>
      <c r="F1154">
        <v>981</v>
      </c>
      <c r="G1154" s="1" t="s">
        <v>42</v>
      </c>
      <c r="H1154">
        <v>5</v>
      </c>
      <c r="I1154">
        <v>3</v>
      </c>
      <c r="J1154" s="1" t="s">
        <v>43</v>
      </c>
      <c r="K1154">
        <v>1</v>
      </c>
      <c r="L1154">
        <v>1471</v>
      </c>
      <c r="M1154">
        <v>3</v>
      </c>
      <c r="N1154" s="1" t="s">
        <v>44</v>
      </c>
      <c r="O1154">
        <v>90</v>
      </c>
      <c r="P1154">
        <v>2</v>
      </c>
      <c r="Q1154">
        <v>1</v>
      </c>
      <c r="R1154" s="1" t="s">
        <v>45</v>
      </c>
      <c r="S1154">
        <v>3</v>
      </c>
      <c r="T1154" s="1" t="s">
        <v>46</v>
      </c>
      <c r="U1154">
        <v>3162</v>
      </c>
      <c r="V1154" s="1" t="s">
        <v>47</v>
      </c>
      <c r="W1154">
        <v>7973</v>
      </c>
      <c r="X1154">
        <v>3</v>
      </c>
      <c r="Y1154" s="1" t="s">
        <v>48</v>
      </c>
      <c r="Z1154" s="1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8">
      <c r="A1155" s="1" t="s">
        <v>1218</v>
      </c>
      <c r="B1155">
        <v>44</v>
      </c>
      <c r="C1155" s="1" t="s">
        <v>802</v>
      </c>
      <c r="D1155" s="1" t="s">
        <v>49</v>
      </c>
      <c r="E1155" s="1" t="s">
        <v>41</v>
      </c>
      <c r="F1155">
        <v>1467</v>
      </c>
      <c r="G1155" s="1" t="s">
        <v>42</v>
      </c>
      <c r="H1155">
        <v>20</v>
      </c>
      <c r="I1155">
        <v>3</v>
      </c>
      <c r="J1155" s="1" t="s">
        <v>43</v>
      </c>
      <c r="K1155">
        <v>1</v>
      </c>
      <c r="L1155">
        <v>1475</v>
      </c>
      <c r="M1155">
        <v>4</v>
      </c>
      <c r="N1155" s="1" t="s">
        <v>44</v>
      </c>
      <c r="O1155">
        <v>49</v>
      </c>
      <c r="P1155">
        <v>3</v>
      </c>
      <c r="Q1155">
        <v>1</v>
      </c>
      <c r="R1155" s="1" t="s">
        <v>60</v>
      </c>
      <c r="S1155">
        <v>2</v>
      </c>
      <c r="T1155" s="1" t="s">
        <v>46</v>
      </c>
      <c r="U1155">
        <v>3420</v>
      </c>
      <c r="V1155" s="1" t="s">
        <v>47</v>
      </c>
      <c r="W1155">
        <v>21158</v>
      </c>
      <c r="X1155">
        <v>1</v>
      </c>
      <c r="Y1155" s="1" t="s">
        <v>48</v>
      </c>
      <c r="Z1155" s="1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8">
      <c r="A1156" s="1" t="s">
        <v>1219</v>
      </c>
      <c r="B1156">
        <v>44</v>
      </c>
      <c r="C1156" s="1" t="s">
        <v>802</v>
      </c>
      <c r="D1156" s="1" t="s">
        <v>49</v>
      </c>
      <c r="E1156" s="1" t="s">
        <v>56</v>
      </c>
      <c r="F1156">
        <v>383</v>
      </c>
      <c r="G1156" s="1" t="s">
        <v>51</v>
      </c>
      <c r="H1156">
        <v>1</v>
      </c>
      <c r="I1156">
        <v>5</v>
      </c>
      <c r="J1156" s="1" t="s">
        <v>57</v>
      </c>
      <c r="K1156">
        <v>1</v>
      </c>
      <c r="L1156">
        <v>1481</v>
      </c>
      <c r="M1156">
        <v>1</v>
      </c>
      <c r="N1156" s="1" t="s">
        <v>53</v>
      </c>
      <c r="O1156">
        <v>79</v>
      </c>
      <c r="P1156">
        <v>3</v>
      </c>
      <c r="Q1156">
        <v>2</v>
      </c>
      <c r="R1156" s="1" t="s">
        <v>137</v>
      </c>
      <c r="S1156">
        <v>3</v>
      </c>
      <c r="T1156" s="1" t="s">
        <v>105</v>
      </c>
      <c r="U1156">
        <v>4768</v>
      </c>
      <c r="V1156" s="1" t="s">
        <v>47</v>
      </c>
      <c r="W1156">
        <v>9282</v>
      </c>
      <c r="X1156">
        <v>7</v>
      </c>
      <c r="Y1156" s="1" t="s">
        <v>48</v>
      </c>
      <c r="Z1156" s="1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8">
      <c r="A1157" s="1" t="s">
        <v>1220</v>
      </c>
      <c r="B1157">
        <v>44</v>
      </c>
      <c r="C1157" s="1" t="s">
        <v>802</v>
      </c>
      <c r="D1157" s="1" t="s">
        <v>49</v>
      </c>
      <c r="E1157" s="1" t="s">
        <v>56</v>
      </c>
      <c r="F1157">
        <v>1193</v>
      </c>
      <c r="G1157" s="1" t="s">
        <v>42</v>
      </c>
      <c r="H1157">
        <v>2</v>
      </c>
      <c r="I1157">
        <v>1</v>
      </c>
      <c r="J1157" s="1" t="s">
        <v>52</v>
      </c>
      <c r="K1157">
        <v>1</v>
      </c>
      <c r="L1157">
        <v>1496</v>
      </c>
      <c r="M1157">
        <v>2</v>
      </c>
      <c r="N1157" s="1" t="s">
        <v>44</v>
      </c>
      <c r="O1157">
        <v>86</v>
      </c>
      <c r="P1157">
        <v>3</v>
      </c>
      <c r="Q1157">
        <v>3</v>
      </c>
      <c r="R1157" s="1" t="s">
        <v>112</v>
      </c>
      <c r="S1157">
        <v>3</v>
      </c>
      <c r="T1157" s="1" t="s">
        <v>46</v>
      </c>
      <c r="U1157">
        <v>10209</v>
      </c>
      <c r="V1157" s="1" t="s">
        <v>253</v>
      </c>
      <c r="W1157">
        <v>19719</v>
      </c>
      <c r="X1157">
        <v>5</v>
      </c>
      <c r="Y1157" s="1" t="s">
        <v>48</v>
      </c>
      <c r="Z1157" s="1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8">
      <c r="A1158" s="1" t="s">
        <v>1221</v>
      </c>
      <c r="B1158">
        <v>44</v>
      </c>
      <c r="C1158" s="1" t="s">
        <v>802</v>
      </c>
      <c r="D1158" s="1" t="s">
        <v>49</v>
      </c>
      <c r="E1158" s="1" t="s">
        <v>41</v>
      </c>
      <c r="F1158">
        <v>136</v>
      </c>
      <c r="G1158" s="1" t="s">
        <v>42</v>
      </c>
      <c r="H1158">
        <v>28</v>
      </c>
      <c r="I1158">
        <v>3</v>
      </c>
      <c r="J1158" s="1" t="s">
        <v>43</v>
      </c>
      <c r="K1158">
        <v>1</v>
      </c>
      <c r="L1158">
        <v>1523</v>
      </c>
      <c r="M1158">
        <v>4</v>
      </c>
      <c r="N1158" s="1" t="s">
        <v>44</v>
      </c>
      <c r="O1158">
        <v>32</v>
      </c>
      <c r="P1158">
        <v>3</v>
      </c>
      <c r="Q1158">
        <v>4</v>
      </c>
      <c r="R1158" s="1" t="s">
        <v>252</v>
      </c>
      <c r="S1158">
        <v>1</v>
      </c>
      <c r="T1158" s="1" t="s">
        <v>105</v>
      </c>
      <c r="U1158">
        <v>16328</v>
      </c>
      <c r="V1158" s="1" t="s">
        <v>368</v>
      </c>
      <c r="W1158">
        <v>22074</v>
      </c>
      <c r="X1158">
        <v>3</v>
      </c>
      <c r="Y1158" s="1" t="s">
        <v>48</v>
      </c>
      <c r="Z1158" s="1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8">
      <c r="A1159" s="1" t="s">
        <v>1222</v>
      </c>
      <c r="B1159">
        <v>44</v>
      </c>
      <c r="C1159" s="1" t="s">
        <v>802</v>
      </c>
      <c r="D1159" s="1" t="s">
        <v>49</v>
      </c>
      <c r="E1159" s="1" t="s">
        <v>41</v>
      </c>
      <c r="F1159">
        <v>1313</v>
      </c>
      <c r="G1159" s="1" t="s">
        <v>42</v>
      </c>
      <c r="H1159">
        <v>7</v>
      </c>
      <c r="I1159">
        <v>3</v>
      </c>
      <c r="J1159" s="1" t="s">
        <v>52</v>
      </c>
      <c r="K1159">
        <v>1</v>
      </c>
      <c r="L1159">
        <v>1608</v>
      </c>
      <c r="M1159">
        <v>2</v>
      </c>
      <c r="N1159" s="1" t="s">
        <v>53</v>
      </c>
      <c r="O1159">
        <v>31</v>
      </c>
      <c r="P1159">
        <v>3</v>
      </c>
      <c r="Q1159">
        <v>5</v>
      </c>
      <c r="R1159" s="1" t="s">
        <v>252</v>
      </c>
      <c r="S1159">
        <v>4</v>
      </c>
      <c r="T1159" s="1" t="s">
        <v>102</v>
      </c>
      <c r="U1159">
        <v>19049</v>
      </c>
      <c r="V1159" s="1" t="s">
        <v>368</v>
      </c>
      <c r="W1159">
        <v>3549</v>
      </c>
      <c r="X1159">
        <v>0</v>
      </c>
      <c r="Y1159" s="1" t="s">
        <v>48</v>
      </c>
      <c r="Z1159" s="1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8">
      <c r="A1160" s="1" t="s">
        <v>1223</v>
      </c>
      <c r="B1160">
        <v>44</v>
      </c>
      <c r="C1160" s="1" t="s">
        <v>802</v>
      </c>
      <c r="D1160" s="1" t="s">
        <v>49</v>
      </c>
      <c r="E1160" s="1" t="s">
        <v>56</v>
      </c>
      <c r="F1160">
        <v>602</v>
      </c>
      <c r="G1160" s="1" t="s">
        <v>71</v>
      </c>
      <c r="H1160">
        <v>1</v>
      </c>
      <c r="I1160">
        <v>5</v>
      </c>
      <c r="J1160" s="1" t="s">
        <v>71</v>
      </c>
      <c r="K1160">
        <v>1</v>
      </c>
      <c r="L1160">
        <v>1642</v>
      </c>
      <c r="M1160">
        <v>1</v>
      </c>
      <c r="N1160" s="1" t="s">
        <v>44</v>
      </c>
      <c r="O1160">
        <v>37</v>
      </c>
      <c r="P1160">
        <v>3</v>
      </c>
      <c r="Q1160">
        <v>2</v>
      </c>
      <c r="R1160" s="1" t="s">
        <v>71</v>
      </c>
      <c r="S1160">
        <v>4</v>
      </c>
      <c r="T1160" s="1" t="s">
        <v>105</v>
      </c>
      <c r="U1160">
        <v>5743</v>
      </c>
      <c r="V1160" s="1" t="s">
        <v>163</v>
      </c>
      <c r="W1160">
        <v>10503</v>
      </c>
      <c r="X1160">
        <v>4</v>
      </c>
      <c r="Y1160" s="1" t="s">
        <v>48</v>
      </c>
      <c r="Z1160" s="1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8">
      <c r="A1161" s="1" t="s">
        <v>1224</v>
      </c>
      <c r="B1161">
        <v>44</v>
      </c>
      <c r="C1161" s="1" t="s">
        <v>802</v>
      </c>
      <c r="D1161" s="1" t="s">
        <v>49</v>
      </c>
      <c r="E1161" s="1" t="s">
        <v>41</v>
      </c>
      <c r="F1161">
        <v>528</v>
      </c>
      <c r="G1161" s="1" t="s">
        <v>71</v>
      </c>
      <c r="H1161">
        <v>1</v>
      </c>
      <c r="I1161">
        <v>3</v>
      </c>
      <c r="J1161" s="1" t="s">
        <v>43</v>
      </c>
      <c r="K1161">
        <v>1</v>
      </c>
      <c r="L1161">
        <v>1683</v>
      </c>
      <c r="M1161">
        <v>3</v>
      </c>
      <c r="N1161" s="1" t="s">
        <v>53</v>
      </c>
      <c r="O1161">
        <v>44</v>
      </c>
      <c r="P1161">
        <v>3</v>
      </c>
      <c r="Q1161">
        <v>1</v>
      </c>
      <c r="R1161" s="1" t="s">
        <v>71</v>
      </c>
      <c r="S1161">
        <v>4</v>
      </c>
      <c r="T1161" s="1" t="s">
        <v>102</v>
      </c>
      <c r="U1161">
        <v>3195</v>
      </c>
      <c r="V1161" s="1" t="s">
        <v>47</v>
      </c>
      <c r="W1161">
        <v>4167</v>
      </c>
      <c r="X1161">
        <v>4</v>
      </c>
      <c r="Y1161" s="1" t="s">
        <v>48</v>
      </c>
      <c r="Z1161" s="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8">
      <c r="A1162" s="1" t="s">
        <v>1225</v>
      </c>
      <c r="B1162">
        <v>44</v>
      </c>
      <c r="C1162" s="1" t="s">
        <v>802</v>
      </c>
      <c r="D1162" s="1" t="s">
        <v>49</v>
      </c>
      <c r="E1162" s="1" t="s">
        <v>41</v>
      </c>
      <c r="F1162">
        <v>921</v>
      </c>
      <c r="G1162" s="1" t="s">
        <v>42</v>
      </c>
      <c r="H1162">
        <v>2</v>
      </c>
      <c r="I1162">
        <v>3</v>
      </c>
      <c r="J1162" s="1" t="s">
        <v>43</v>
      </c>
      <c r="K1162">
        <v>1</v>
      </c>
      <c r="L1162">
        <v>1703</v>
      </c>
      <c r="M1162">
        <v>3</v>
      </c>
      <c r="N1162" s="1" t="s">
        <v>53</v>
      </c>
      <c r="O1162">
        <v>96</v>
      </c>
      <c r="P1162">
        <v>4</v>
      </c>
      <c r="Q1162">
        <v>3</v>
      </c>
      <c r="R1162" s="1" t="s">
        <v>161</v>
      </c>
      <c r="S1162">
        <v>4</v>
      </c>
      <c r="T1162" s="1" t="s">
        <v>105</v>
      </c>
      <c r="U1162">
        <v>7879</v>
      </c>
      <c r="V1162" s="1" t="s">
        <v>163</v>
      </c>
      <c r="W1162">
        <v>14810</v>
      </c>
      <c r="X1162">
        <v>1</v>
      </c>
      <c r="Y1162" s="1" t="s">
        <v>48</v>
      </c>
      <c r="Z1162" s="1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8">
      <c r="A1163" s="1" t="s">
        <v>1226</v>
      </c>
      <c r="B1163">
        <v>44</v>
      </c>
      <c r="C1163" s="1" t="s">
        <v>802</v>
      </c>
      <c r="D1163" s="1" t="s">
        <v>40</v>
      </c>
      <c r="E1163" s="1" t="s">
        <v>56</v>
      </c>
      <c r="F1163">
        <v>429</v>
      </c>
      <c r="G1163" s="1" t="s">
        <v>42</v>
      </c>
      <c r="H1163">
        <v>1</v>
      </c>
      <c r="I1163">
        <v>2</v>
      </c>
      <c r="J1163" s="1" t="s">
        <v>52</v>
      </c>
      <c r="K1163">
        <v>1</v>
      </c>
      <c r="L1163">
        <v>1792</v>
      </c>
      <c r="M1163">
        <v>3</v>
      </c>
      <c r="N1163" s="1" t="s">
        <v>44</v>
      </c>
      <c r="O1163">
        <v>99</v>
      </c>
      <c r="P1163">
        <v>3</v>
      </c>
      <c r="Q1163">
        <v>1</v>
      </c>
      <c r="R1163" s="1" t="s">
        <v>60</v>
      </c>
      <c r="S1163">
        <v>2</v>
      </c>
      <c r="T1163" s="1" t="s">
        <v>102</v>
      </c>
      <c r="U1163">
        <v>2342</v>
      </c>
      <c r="V1163" s="1" t="s">
        <v>47</v>
      </c>
      <c r="W1163">
        <v>11092</v>
      </c>
      <c r="X1163">
        <v>1</v>
      </c>
      <c r="Y1163" s="1" t="s">
        <v>48</v>
      </c>
      <c r="Z1163" s="1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8">
      <c r="A1164" s="1" t="s">
        <v>1227</v>
      </c>
      <c r="B1164">
        <v>44</v>
      </c>
      <c r="C1164" s="1" t="s">
        <v>802</v>
      </c>
      <c r="D1164" s="1" t="s">
        <v>49</v>
      </c>
      <c r="E1164" s="1" t="s">
        <v>41</v>
      </c>
      <c r="F1164">
        <v>170</v>
      </c>
      <c r="G1164" s="1" t="s">
        <v>42</v>
      </c>
      <c r="H1164">
        <v>1</v>
      </c>
      <c r="I1164">
        <v>4</v>
      </c>
      <c r="J1164" s="1" t="s">
        <v>43</v>
      </c>
      <c r="K1164">
        <v>1</v>
      </c>
      <c r="L1164">
        <v>1903</v>
      </c>
      <c r="M1164">
        <v>2</v>
      </c>
      <c r="N1164" s="1" t="s">
        <v>44</v>
      </c>
      <c r="O1164">
        <v>78</v>
      </c>
      <c r="P1164">
        <v>4</v>
      </c>
      <c r="Q1164">
        <v>2</v>
      </c>
      <c r="R1164" s="1" t="s">
        <v>161</v>
      </c>
      <c r="S1164">
        <v>1</v>
      </c>
      <c r="T1164" s="1" t="s">
        <v>105</v>
      </c>
      <c r="U1164">
        <v>5033</v>
      </c>
      <c r="V1164" s="1" t="s">
        <v>163</v>
      </c>
      <c r="W1164">
        <v>9364</v>
      </c>
      <c r="X1164">
        <v>2</v>
      </c>
      <c r="Y1164" s="1" t="s">
        <v>48</v>
      </c>
      <c r="Z1164" s="1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8">
      <c r="A1165" s="1" t="s">
        <v>1228</v>
      </c>
      <c r="B1165">
        <v>44</v>
      </c>
      <c r="C1165" s="1" t="s">
        <v>802</v>
      </c>
      <c r="D1165" s="1" t="s">
        <v>49</v>
      </c>
      <c r="E1165" s="1" t="s">
        <v>41</v>
      </c>
      <c r="F1165">
        <v>1037</v>
      </c>
      <c r="G1165" s="1" t="s">
        <v>42</v>
      </c>
      <c r="H1165">
        <v>1</v>
      </c>
      <c r="I1165">
        <v>3</v>
      </c>
      <c r="J1165" s="1" t="s">
        <v>52</v>
      </c>
      <c r="K1165">
        <v>1</v>
      </c>
      <c r="L1165">
        <v>2020</v>
      </c>
      <c r="M1165">
        <v>2</v>
      </c>
      <c r="N1165" s="1" t="s">
        <v>44</v>
      </c>
      <c r="O1165">
        <v>42</v>
      </c>
      <c r="P1165">
        <v>3</v>
      </c>
      <c r="Q1165">
        <v>1</v>
      </c>
      <c r="R1165" s="1" t="s">
        <v>60</v>
      </c>
      <c r="S1165">
        <v>4</v>
      </c>
      <c r="T1165" s="1" t="s">
        <v>46</v>
      </c>
      <c r="U1165">
        <v>2436</v>
      </c>
      <c r="V1165" s="1" t="s">
        <v>47</v>
      </c>
      <c r="W1165">
        <v>13422</v>
      </c>
      <c r="X1165">
        <v>6</v>
      </c>
      <c r="Y1165" s="1" t="s">
        <v>48</v>
      </c>
      <c r="Z1165" s="1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8">
      <c r="A1166" s="1" t="s">
        <v>1229</v>
      </c>
      <c r="B1166">
        <v>45</v>
      </c>
      <c r="C1166" s="1" t="s">
        <v>802</v>
      </c>
      <c r="D1166" s="1" t="s">
        <v>49</v>
      </c>
      <c r="E1166" s="1" t="s">
        <v>41</v>
      </c>
      <c r="F1166">
        <v>1339</v>
      </c>
      <c r="G1166" s="1" t="s">
        <v>42</v>
      </c>
      <c r="H1166">
        <v>7</v>
      </c>
      <c r="I1166">
        <v>3</v>
      </c>
      <c r="J1166" s="1" t="s">
        <v>43</v>
      </c>
      <c r="K1166">
        <v>1</v>
      </c>
      <c r="L1166">
        <v>86</v>
      </c>
      <c r="M1166">
        <v>2</v>
      </c>
      <c r="N1166" s="1" t="s">
        <v>44</v>
      </c>
      <c r="O1166">
        <v>59</v>
      </c>
      <c r="P1166">
        <v>3</v>
      </c>
      <c r="Q1166">
        <v>3</v>
      </c>
      <c r="R1166" s="1" t="s">
        <v>60</v>
      </c>
      <c r="S1166">
        <v>1</v>
      </c>
      <c r="T1166" s="1" t="s">
        <v>102</v>
      </c>
      <c r="U1166">
        <v>9724</v>
      </c>
      <c r="V1166" s="1" t="s">
        <v>163</v>
      </c>
      <c r="W1166">
        <v>18787</v>
      </c>
      <c r="X1166">
        <v>2</v>
      </c>
      <c r="Y1166" s="1" t="s">
        <v>48</v>
      </c>
      <c r="Z1166" s="1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8">
      <c r="A1167" s="1" t="s">
        <v>1230</v>
      </c>
      <c r="B1167">
        <v>45</v>
      </c>
      <c r="C1167" s="1" t="s">
        <v>802</v>
      </c>
      <c r="D1167" s="1" t="s">
        <v>49</v>
      </c>
      <c r="E1167" s="1" t="s">
        <v>41</v>
      </c>
      <c r="F1167">
        <v>193</v>
      </c>
      <c r="G1167" s="1" t="s">
        <v>42</v>
      </c>
      <c r="H1167">
        <v>6</v>
      </c>
      <c r="I1167">
        <v>4</v>
      </c>
      <c r="J1167" s="1" t="s">
        <v>73</v>
      </c>
      <c r="K1167">
        <v>1</v>
      </c>
      <c r="L1167">
        <v>101</v>
      </c>
      <c r="M1167">
        <v>4</v>
      </c>
      <c r="N1167" s="1" t="s">
        <v>44</v>
      </c>
      <c r="O1167">
        <v>52</v>
      </c>
      <c r="P1167">
        <v>3</v>
      </c>
      <c r="Q1167">
        <v>3</v>
      </c>
      <c r="R1167" s="1" t="s">
        <v>252</v>
      </c>
      <c r="S1167">
        <v>1</v>
      </c>
      <c r="T1167" s="1" t="s">
        <v>105</v>
      </c>
      <c r="U1167">
        <v>13245</v>
      </c>
      <c r="V1167" s="1" t="s">
        <v>253</v>
      </c>
      <c r="W1167">
        <v>15067</v>
      </c>
      <c r="X1167">
        <v>4</v>
      </c>
      <c r="Y1167" s="1" t="s">
        <v>48</v>
      </c>
      <c r="Z1167" s="1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8">
      <c r="A1168" s="1" t="s">
        <v>1231</v>
      </c>
      <c r="B1168">
        <v>45</v>
      </c>
      <c r="C1168" s="1" t="s">
        <v>802</v>
      </c>
      <c r="D1168" s="1" t="s">
        <v>49</v>
      </c>
      <c r="E1168" s="1" t="s">
        <v>41</v>
      </c>
      <c r="F1168">
        <v>1316</v>
      </c>
      <c r="G1168" s="1" t="s">
        <v>42</v>
      </c>
      <c r="H1168">
        <v>29</v>
      </c>
      <c r="I1168">
        <v>3</v>
      </c>
      <c r="J1168" s="1" t="s">
        <v>52</v>
      </c>
      <c r="K1168">
        <v>1</v>
      </c>
      <c r="L1168">
        <v>192</v>
      </c>
      <c r="M1168">
        <v>3</v>
      </c>
      <c r="N1168" s="1" t="s">
        <v>44</v>
      </c>
      <c r="O1168">
        <v>83</v>
      </c>
      <c r="P1168">
        <v>3</v>
      </c>
      <c r="Q1168">
        <v>1</v>
      </c>
      <c r="R1168" s="1" t="s">
        <v>60</v>
      </c>
      <c r="S1168">
        <v>4</v>
      </c>
      <c r="T1168" s="1" t="s">
        <v>46</v>
      </c>
      <c r="U1168">
        <v>3452</v>
      </c>
      <c r="V1168" s="1" t="s">
        <v>47</v>
      </c>
      <c r="W1168">
        <v>9752</v>
      </c>
      <c r="X1168">
        <v>5</v>
      </c>
      <c r="Y1168" s="1" t="s">
        <v>48</v>
      </c>
      <c r="Z1168" s="1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8">
      <c r="A1169" s="1" t="s">
        <v>1232</v>
      </c>
      <c r="B1169">
        <v>45</v>
      </c>
      <c r="C1169" s="1" t="s">
        <v>802</v>
      </c>
      <c r="D1169" s="1" t="s">
        <v>49</v>
      </c>
      <c r="E1169" s="1" t="s">
        <v>41</v>
      </c>
      <c r="F1169">
        <v>194</v>
      </c>
      <c r="G1169" s="1" t="s">
        <v>42</v>
      </c>
      <c r="H1169">
        <v>9</v>
      </c>
      <c r="I1169">
        <v>3</v>
      </c>
      <c r="J1169" s="1" t="s">
        <v>43</v>
      </c>
      <c r="K1169">
        <v>1</v>
      </c>
      <c r="L1169">
        <v>206</v>
      </c>
      <c r="M1169">
        <v>2</v>
      </c>
      <c r="N1169" s="1" t="s">
        <v>44</v>
      </c>
      <c r="O1169">
        <v>60</v>
      </c>
      <c r="P1169">
        <v>3</v>
      </c>
      <c r="Q1169">
        <v>2</v>
      </c>
      <c r="R1169" s="1" t="s">
        <v>45</v>
      </c>
      <c r="S1169">
        <v>2</v>
      </c>
      <c r="T1169" s="1" t="s">
        <v>102</v>
      </c>
      <c r="U1169">
        <v>2348</v>
      </c>
      <c r="V1169" s="1" t="s">
        <v>47</v>
      </c>
      <c r="W1169">
        <v>10901</v>
      </c>
      <c r="X1169">
        <v>8</v>
      </c>
      <c r="Y1169" s="1" t="s">
        <v>48</v>
      </c>
      <c r="Z1169" s="1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8">
      <c r="A1170" s="1" t="s">
        <v>1233</v>
      </c>
      <c r="B1170">
        <v>45</v>
      </c>
      <c r="C1170" s="1" t="s">
        <v>802</v>
      </c>
      <c r="D1170" s="1" t="s">
        <v>49</v>
      </c>
      <c r="E1170" s="1" t="s">
        <v>41</v>
      </c>
      <c r="F1170">
        <v>1268</v>
      </c>
      <c r="G1170" s="1" t="s">
        <v>51</v>
      </c>
      <c r="H1170">
        <v>4</v>
      </c>
      <c r="I1170">
        <v>2</v>
      </c>
      <c r="J1170" s="1" t="s">
        <v>43</v>
      </c>
      <c r="K1170">
        <v>1</v>
      </c>
      <c r="L1170">
        <v>240</v>
      </c>
      <c r="M1170">
        <v>3</v>
      </c>
      <c r="N1170" s="1" t="s">
        <v>53</v>
      </c>
      <c r="O1170">
        <v>30</v>
      </c>
      <c r="P1170">
        <v>3</v>
      </c>
      <c r="Q1170">
        <v>2</v>
      </c>
      <c r="R1170" s="1" t="s">
        <v>137</v>
      </c>
      <c r="S1170">
        <v>1</v>
      </c>
      <c r="T1170" s="1" t="s">
        <v>102</v>
      </c>
      <c r="U1170">
        <v>5006</v>
      </c>
      <c r="V1170" s="1" t="s">
        <v>163</v>
      </c>
      <c r="W1170">
        <v>6319</v>
      </c>
      <c r="X1170">
        <v>4</v>
      </c>
      <c r="Y1170" s="1" t="s">
        <v>48</v>
      </c>
      <c r="Z1170" s="1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8">
      <c r="A1171" s="1" t="s">
        <v>1234</v>
      </c>
      <c r="B1171">
        <v>45</v>
      </c>
      <c r="C1171" s="1" t="s">
        <v>802</v>
      </c>
      <c r="D1171" s="1" t="s">
        <v>49</v>
      </c>
      <c r="E1171" s="1" t="s">
        <v>59</v>
      </c>
      <c r="F1171">
        <v>1195</v>
      </c>
      <c r="G1171" s="1" t="s">
        <v>42</v>
      </c>
      <c r="H1171">
        <v>2</v>
      </c>
      <c r="I1171">
        <v>2</v>
      </c>
      <c r="J1171" s="1" t="s">
        <v>52</v>
      </c>
      <c r="K1171">
        <v>1</v>
      </c>
      <c r="L1171">
        <v>264</v>
      </c>
      <c r="M1171">
        <v>1</v>
      </c>
      <c r="N1171" s="1" t="s">
        <v>44</v>
      </c>
      <c r="O1171">
        <v>65</v>
      </c>
      <c r="P1171">
        <v>2</v>
      </c>
      <c r="Q1171">
        <v>4</v>
      </c>
      <c r="R1171" s="1" t="s">
        <v>442</v>
      </c>
      <c r="S1171">
        <v>4</v>
      </c>
      <c r="T1171" s="1" t="s">
        <v>105</v>
      </c>
      <c r="U1171">
        <v>16792</v>
      </c>
      <c r="V1171" s="1" t="s">
        <v>368</v>
      </c>
      <c r="W1171">
        <v>20462</v>
      </c>
      <c r="X1171">
        <v>9</v>
      </c>
      <c r="Y1171" s="1" t="s">
        <v>48</v>
      </c>
      <c r="Z1171" s="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8">
      <c r="A1172" s="1" t="s">
        <v>1235</v>
      </c>
      <c r="B1172">
        <v>45</v>
      </c>
      <c r="C1172" s="1" t="s">
        <v>802</v>
      </c>
      <c r="D1172" s="1" t="s">
        <v>49</v>
      </c>
      <c r="E1172" s="1" t="s">
        <v>59</v>
      </c>
      <c r="F1172">
        <v>1052</v>
      </c>
      <c r="G1172" s="1" t="s">
        <v>51</v>
      </c>
      <c r="H1172">
        <v>6</v>
      </c>
      <c r="I1172">
        <v>3</v>
      </c>
      <c r="J1172" s="1" t="s">
        <v>52</v>
      </c>
      <c r="K1172">
        <v>1</v>
      </c>
      <c r="L1172">
        <v>302</v>
      </c>
      <c r="M1172">
        <v>4</v>
      </c>
      <c r="N1172" s="1" t="s">
        <v>53</v>
      </c>
      <c r="O1172">
        <v>57</v>
      </c>
      <c r="P1172">
        <v>2</v>
      </c>
      <c r="Q1172">
        <v>3</v>
      </c>
      <c r="R1172" s="1" t="s">
        <v>137</v>
      </c>
      <c r="S1172">
        <v>4</v>
      </c>
      <c r="T1172" s="1" t="s">
        <v>46</v>
      </c>
      <c r="U1172">
        <v>8865</v>
      </c>
      <c r="V1172" s="1" t="s">
        <v>163</v>
      </c>
      <c r="W1172">
        <v>16840</v>
      </c>
      <c r="X1172">
        <v>6</v>
      </c>
      <c r="Y1172" s="1" t="s">
        <v>48</v>
      </c>
      <c r="Z1172" s="1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8">
      <c r="A1173" s="1" t="s">
        <v>1236</v>
      </c>
      <c r="B1173">
        <v>45</v>
      </c>
      <c r="C1173" s="1" t="s">
        <v>802</v>
      </c>
      <c r="D1173" s="1" t="s">
        <v>49</v>
      </c>
      <c r="E1173" s="1" t="s">
        <v>41</v>
      </c>
      <c r="F1173">
        <v>252</v>
      </c>
      <c r="G1173" s="1" t="s">
        <v>42</v>
      </c>
      <c r="H1173">
        <v>1</v>
      </c>
      <c r="I1173">
        <v>3</v>
      </c>
      <c r="J1173" s="1" t="s">
        <v>73</v>
      </c>
      <c r="K1173">
        <v>1</v>
      </c>
      <c r="L1173">
        <v>336</v>
      </c>
      <c r="M1173">
        <v>3</v>
      </c>
      <c r="N1173" s="1" t="s">
        <v>44</v>
      </c>
      <c r="O1173">
        <v>70</v>
      </c>
      <c r="P1173">
        <v>4</v>
      </c>
      <c r="Q1173">
        <v>5</v>
      </c>
      <c r="R1173" s="1" t="s">
        <v>442</v>
      </c>
      <c r="S1173">
        <v>4</v>
      </c>
      <c r="T1173" s="1" t="s">
        <v>105</v>
      </c>
      <c r="U1173">
        <v>19202</v>
      </c>
      <c r="V1173" s="1" t="s">
        <v>368</v>
      </c>
      <c r="W1173">
        <v>15970</v>
      </c>
      <c r="X1173">
        <v>0</v>
      </c>
      <c r="Y1173" s="1" t="s">
        <v>48</v>
      </c>
      <c r="Z1173" s="1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8">
      <c r="A1174" s="1" t="s">
        <v>1237</v>
      </c>
      <c r="B1174">
        <v>45</v>
      </c>
      <c r="C1174" s="1" t="s">
        <v>802</v>
      </c>
      <c r="D1174" s="1" t="s">
        <v>49</v>
      </c>
      <c r="E1174" s="1" t="s">
        <v>56</v>
      </c>
      <c r="F1174">
        <v>1199</v>
      </c>
      <c r="G1174" s="1" t="s">
        <v>42</v>
      </c>
      <c r="H1174">
        <v>7</v>
      </c>
      <c r="I1174">
        <v>4</v>
      </c>
      <c r="J1174" s="1" t="s">
        <v>43</v>
      </c>
      <c r="K1174">
        <v>1</v>
      </c>
      <c r="L1174">
        <v>341</v>
      </c>
      <c r="M1174">
        <v>1</v>
      </c>
      <c r="N1174" s="1" t="s">
        <v>44</v>
      </c>
      <c r="O1174">
        <v>77</v>
      </c>
      <c r="P1174">
        <v>4</v>
      </c>
      <c r="Q1174">
        <v>2</v>
      </c>
      <c r="R1174" s="1" t="s">
        <v>112</v>
      </c>
      <c r="S1174">
        <v>3</v>
      </c>
      <c r="T1174" s="1" t="s">
        <v>105</v>
      </c>
      <c r="U1174">
        <v>6434</v>
      </c>
      <c r="V1174" s="1" t="s">
        <v>163</v>
      </c>
      <c r="W1174">
        <v>5118</v>
      </c>
      <c r="X1174">
        <v>4</v>
      </c>
      <c r="Y1174" s="1" t="s">
        <v>48</v>
      </c>
      <c r="Z1174" s="1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8">
      <c r="A1175" s="1" t="s">
        <v>1238</v>
      </c>
      <c r="B1175">
        <v>45</v>
      </c>
      <c r="C1175" s="1" t="s">
        <v>802</v>
      </c>
      <c r="D1175" s="1" t="s">
        <v>49</v>
      </c>
      <c r="E1175" s="1" t="s">
        <v>41</v>
      </c>
      <c r="F1175">
        <v>1385</v>
      </c>
      <c r="G1175" s="1" t="s">
        <v>42</v>
      </c>
      <c r="H1175">
        <v>20</v>
      </c>
      <c r="I1175">
        <v>2</v>
      </c>
      <c r="J1175" s="1" t="s">
        <v>52</v>
      </c>
      <c r="K1175">
        <v>1</v>
      </c>
      <c r="L1175">
        <v>372</v>
      </c>
      <c r="M1175">
        <v>3</v>
      </c>
      <c r="N1175" s="1" t="s">
        <v>44</v>
      </c>
      <c r="O1175">
        <v>79</v>
      </c>
      <c r="P1175">
        <v>3</v>
      </c>
      <c r="Q1175">
        <v>4</v>
      </c>
      <c r="R1175" s="1" t="s">
        <v>161</v>
      </c>
      <c r="S1175">
        <v>4</v>
      </c>
      <c r="T1175" s="1" t="s">
        <v>105</v>
      </c>
      <c r="U1175">
        <v>13496</v>
      </c>
      <c r="V1175" s="1" t="s">
        <v>253</v>
      </c>
      <c r="W1175">
        <v>7501</v>
      </c>
      <c r="X1175">
        <v>0</v>
      </c>
      <c r="Y1175" s="1" t="s">
        <v>48</v>
      </c>
      <c r="Z1175" s="1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8">
      <c r="A1176" s="1" t="s">
        <v>1239</v>
      </c>
      <c r="B1176">
        <v>45</v>
      </c>
      <c r="C1176" s="1" t="s">
        <v>802</v>
      </c>
      <c r="D1176" s="1" t="s">
        <v>49</v>
      </c>
      <c r="E1176" s="1" t="s">
        <v>56</v>
      </c>
      <c r="F1176">
        <v>1249</v>
      </c>
      <c r="G1176" s="1" t="s">
        <v>42</v>
      </c>
      <c r="H1176">
        <v>7</v>
      </c>
      <c r="I1176">
        <v>3</v>
      </c>
      <c r="J1176" s="1" t="s">
        <v>43</v>
      </c>
      <c r="K1176">
        <v>1</v>
      </c>
      <c r="L1176">
        <v>425</v>
      </c>
      <c r="M1176">
        <v>1</v>
      </c>
      <c r="N1176" s="1" t="s">
        <v>44</v>
      </c>
      <c r="O1176">
        <v>97</v>
      </c>
      <c r="P1176">
        <v>3</v>
      </c>
      <c r="Q1176">
        <v>3</v>
      </c>
      <c r="R1176" s="1" t="s">
        <v>45</v>
      </c>
      <c r="S1176">
        <v>1</v>
      </c>
      <c r="T1176" s="1" t="s">
        <v>102</v>
      </c>
      <c r="U1176">
        <v>5210</v>
      </c>
      <c r="V1176" s="1" t="s">
        <v>163</v>
      </c>
      <c r="W1176">
        <v>20308</v>
      </c>
      <c r="X1176">
        <v>1</v>
      </c>
      <c r="Y1176" s="1" t="s">
        <v>48</v>
      </c>
      <c r="Z1176" s="1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8">
      <c r="A1177" s="1" t="s">
        <v>1240</v>
      </c>
      <c r="B1177">
        <v>45</v>
      </c>
      <c r="C1177" s="1" t="s">
        <v>802</v>
      </c>
      <c r="D1177" s="1" t="s">
        <v>49</v>
      </c>
      <c r="E1177" s="1" t="s">
        <v>41</v>
      </c>
      <c r="F1177">
        <v>549</v>
      </c>
      <c r="G1177" s="1" t="s">
        <v>42</v>
      </c>
      <c r="H1177">
        <v>8</v>
      </c>
      <c r="I1177">
        <v>4</v>
      </c>
      <c r="J1177" s="1" t="s">
        <v>73</v>
      </c>
      <c r="K1177">
        <v>1</v>
      </c>
      <c r="L1177">
        <v>452</v>
      </c>
      <c r="M1177">
        <v>4</v>
      </c>
      <c r="N1177" s="1" t="s">
        <v>44</v>
      </c>
      <c r="O1177">
        <v>75</v>
      </c>
      <c r="P1177">
        <v>3</v>
      </c>
      <c r="Q1177">
        <v>2</v>
      </c>
      <c r="R1177" s="1" t="s">
        <v>60</v>
      </c>
      <c r="S1177">
        <v>4</v>
      </c>
      <c r="T1177" s="1" t="s">
        <v>105</v>
      </c>
      <c r="U1177">
        <v>3697</v>
      </c>
      <c r="V1177" s="1" t="s">
        <v>47</v>
      </c>
      <c r="W1177">
        <v>9278</v>
      </c>
      <c r="X1177">
        <v>9</v>
      </c>
      <c r="Y1177" s="1" t="s">
        <v>48</v>
      </c>
      <c r="Z1177" s="1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8">
      <c r="A1178" s="1" t="s">
        <v>1241</v>
      </c>
      <c r="B1178">
        <v>45</v>
      </c>
      <c r="C1178" s="1" t="s">
        <v>802</v>
      </c>
      <c r="D1178" s="1" t="s">
        <v>49</v>
      </c>
      <c r="E1178" s="1" t="s">
        <v>41</v>
      </c>
      <c r="F1178">
        <v>192</v>
      </c>
      <c r="G1178" s="1" t="s">
        <v>42</v>
      </c>
      <c r="H1178">
        <v>10</v>
      </c>
      <c r="I1178">
        <v>2</v>
      </c>
      <c r="J1178" s="1" t="s">
        <v>43</v>
      </c>
      <c r="K1178">
        <v>1</v>
      </c>
      <c r="L1178">
        <v>544</v>
      </c>
      <c r="M1178">
        <v>1</v>
      </c>
      <c r="N1178" s="1" t="s">
        <v>44</v>
      </c>
      <c r="O1178">
        <v>69</v>
      </c>
      <c r="P1178">
        <v>3</v>
      </c>
      <c r="Q1178">
        <v>1</v>
      </c>
      <c r="R1178" s="1" t="s">
        <v>60</v>
      </c>
      <c r="S1178">
        <v>4</v>
      </c>
      <c r="T1178" s="1" t="s">
        <v>105</v>
      </c>
      <c r="U1178">
        <v>2654</v>
      </c>
      <c r="V1178" s="1" t="s">
        <v>47</v>
      </c>
      <c r="W1178">
        <v>9655</v>
      </c>
      <c r="X1178">
        <v>3</v>
      </c>
      <c r="Y1178" s="1" t="s">
        <v>48</v>
      </c>
      <c r="Z1178" s="1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8">
      <c r="A1179" s="1" t="s">
        <v>1242</v>
      </c>
      <c r="B1179">
        <v>45</v>
      </c>
      <c r="C1179" s="1" t="s">
        <v>802</v>
      </c>
      <c r="D1179" s="1" t="s">
        <v>49</v>
      </c>
      <c r="E1179" s="1" t="s">
        <v>41</v>
      </c>
      <c r="F1179">
        <v>561</v>
      </c>
      <c r="G1179" s="1" t="s">
        <v>51</v>
      </c>
      <c r="H1179">
        <v>2</v>
      </c>
      <c r="I1179">
        <v>3</v>
      </c>
      <c r="J1179" s="1" t="s">
        <v>73</v>
      </c>
      <c r="K1179">
        <v>1</v>
      </c>
      <c r="L1179">
        <v>606</v>
      </c>
      <c r="M1179">
        <v>4</v>
      </c>
      <c r="N1179" s="1" t="s">
        <v>44</v>
      </c>
      <c r="O1179">
        <v>61</v>
      </c>
      <c r="P1179">
        <v>3</v>
      </c>
      <c r="Q1179">
        <v>2</v>
      </c>
      <c r="R1179" s="1" t="s">
        <v>137</v>
      </c>
      <c r="S1179">
        <v>2</v>
      </c>
      <c r="T1179" s="1" t="s">
        <v>105</v>
      </c>
      <c r="U1179">
        <v>4805</v>
      </c>
      <c r="V1179" s="1" t="s">
        <v>47</v>
      </c>
      <c r="W1179">
        <v>16177</v>
      </c>
      <c r="X1179">
        <v>0</v>
      </c>
      <c r="Y1179" s="1" t="s">
        <v>48</v>
      </c>
      <c r="Z1179" s="1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8">
      <c r="A1180" s="1" t="s">
        <v>1243</v>
      </c>
      <c r="B1180">
        <v>45</v>
      </c>
      <c r="C1180" s="1" t="s">
        <v>802</v>
      </c>
      <c r="D1180" s="1" t="s">
        <v>40</v>
      </c>
      <c r="E1180" s="1" t="s">
        <v>56</v>
      </c>
      <c r="F1180">
        <v>306</v>
      </c>
      <c r="G1180" s="1" t="s">
        <v>51</v>
      </c>
      <c r="H1180">
        <v>26</v>
      </c>
      <c r="I1180">
        <v>4</v>
      </c>
      <c r="J1180" s="1" t="s">
        <v>43</v>
      </c>
      <c r="K1180">
        <v>1</v>
      </c>
      <c r="L1180">
        <v>684</v>
      </c>
      <c r="M1180">
        <v>1</v>
      </c>
      <c r="N1180" s="1" t="s">
        <v>53</v>
      </c>
      <c r="O1180">
        <v>100</v>
      </c>
      <c r="P1180">
        <v>3</v>
      </c>
      <c r="Q1180">
        <v>2</v>
      </c>
      <c r="R1180" s="1" t="s">
        <v>137</v>
      </c>
      <c r="S1180">
        <v>1</v>
      </c>
      <c r="T1180" s="1" t="s">
        <v>105</v>
      </c>
      <c r="U1180">
        <v>4286</v>
      </c>
      <c r="V1180" s="1" t="s">
        <v>47</v>
      </c>
      <c r="W1180">
        <v>5630</v>
      </c>
      <c r="X1180">
        <v>2</v>
      </c>
      <c r="Y1180" s="1" t="s">
        <v>48</v>
      </c>
      <c r="Z1180" s="1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8">
      <c r="A1181" s="1" t="s">
        <v>1244</v>
      </c>
      <c r="B1181">
        <v>45</v>
      </c>
      <c r="C1181" s="1" t="s">
        <v>802</v>
      </c>
      <c r="D1181" s="1" t="s">
        <v>49</v>
      </c>
      <c r="E1181" s="1" t="s">
        <v>41</v>
      </c>
      <c r="F1181">
        <v>954</v>
      </c>
      <c r="G1181" s="1" t="s">
        <v>51</v>
      </c>
      <c r="H1181">
        <v>2</v>
      </c>
      <c r="I1181">
        <v>2</v>
      </c>
      <c r="J1181" s="1" t="s">
        <v>68</v>
      </c>
      <c r="K1181">
        <v>1</v>
      </c>
      <c r="L1181">
        <v>783</v>
      </c>
      <c r="M1181">
        <v>2</v>
      </c>
      <c r="N1181" s="1" t="s">
        <v>44</v>
      </c>
      <c r="O1181">
        <v>46</v>
      </c>
      <c r="P1181">
        <v>1</v>
      </c>
      <c r="Q1181">
        <v>2</v>
      </c>
      <c r="R1181" s="1" t="s">
        <v>54</v>
      </c>
      <c r="S1181">
        <v>3</v>
      </c>
      <c r="T1181" s="1" t="s">
        <v>46</v>
      </c>
      <c r="U1181">
        <v>6632</v>
      </c>
      <c r="V1181" s="1" t="s">
        <v>163</v>
      </c>
      <c r="W1181">
        <v>12388</v>
      </c>
      <c r="X1181">
        <v>0</v>
      </c>
      <c r="Y1181" s="1" t="s">
        <v>48</v>
      </c>
      <c r="Z1181" s="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8">
      <c r="A1182" s="1" t="s">
        <v>1245</v>
      </c>
      <c r="B1182">
        <v>45</v>
      </c>
      <c r="C1182" s="1" t="s">
        <v>802</v>
      </c>
      <c r="D1182" s="1" t="s">
        <v>49</v>
      </c>
      <c r="E1182" s="1" t="s">
        <v>41</v>
      </c>
      <c r="F1182">
        <v>252</v>
      </c>
      <c r="G1182" s="1" t="s">
        <v>42</v>
      </c>
      <c r="H1182">
        <v>2</v>
      </c>
      <c r="I1182">
        <v>3</v>
      </c>
      <c r="J1182" s="1" t="s">
        <v>43</v>
      </c>
      <c r="K1182">
        <v>1</v>
      </c>
      <c r="L1182">
        <v>834</v>
      </c>
      <c r="M1182">
        <v>2</v>
      </c>
      <c r="N1182" s="1" t="s">
        <v>53</v>
      </c>
      <c r="O1182">
        <v>95</v>
      </c>
      <c r="P1182">
        <v>2</v>
      </c>
      <c r="Q1182">
        <v>1</v>
      </c>
      <c r="R1182" s="1" t="s">
        <v>60</v>
      </c>
      <c r="S1182">
        <v>3</v>
      </c>
      <c r="T1182" s="1" t="s">
        <v>46</v>
      </c>
      <c r="U1182">
        <v>2274</v>
      </c>
      <c r="V1182" s="1" t="s">
        <v>47</v>
      </c>
      <c r="W1182">
        <v>6153</v>
      </c>
      <c r="X1182">
        <v>1</v>
      </c>
      <c r="Y1182" s="1" t="s">
        <v>48</v>
      </c>
      <c r="Z1182" s="1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8">
      <c r="A1183" s="1" t="s">
        <v>1246</v>
      </c>
      <c r="B1183">
        <v>45</v>
      </c>
      <c r="C1183" s="1" t="s">
        <v>802</v>
      </c>
      <c r="D1183" s="1" t="s">
        <v>49</v>
      </c>
      <c r="E1183" s="1" t="s">
        <v>41</v>
      </c>
      <c r="F1183">
        <v>930</v>
      </c>
      <c r="G1183" s="1" t="s">
        <v>51</v>
      </c>
      <c r="H1183">
        <v>9</v>
      </c>
      <c r="I1183">
        <v>3</v>
      </c>
      <c r="J1183" s="1" t="s">
        <v>57</v>
      </c>
      <c r="K1183">
        <v>1</v>
      </c>
      <c r="L1183">
        <v>864</v>
      </c>
      <c r="M1183">
        <v>4</v>
      </c>
      <c r="N1183" s="1" t="s">
        <v>44</v>
      </c>
      <c r="O1183">
        <v>74</v>
      </c>
      <c r="P1183">
        <v>3</v>
      </c>
      <c r="Q1183">
        <v>3</v>
      </c>
      <c r="R1183" s="1" t="s">
        <v>137</v>
      </c>
      <c r="S1183">
        <v>1</v>
      </c>
      <c r="T1183" s="1" t="s">
        <v>102</v>
      </c>
      <c r="U1183">
        <v>10761</v>
      </c>
      <c r="V1183" s="1" t="s">
        <v>253</v>
      </c>
      <c r="W1183">
        <v>19239</v>
      </c>
      <c r="X1183">
        <v>4</v>
      </c>
      <c r="Y1183" s="1" t="s">
        <v>48</v>
      </c>
      <c r="Z1183" s="1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8">
      <c r="A1184" s="1" t="s">
        <v>1247</v>
      </c>
      <c r="B1184">
        <v>45</v>
      </c>
      <c r="C1184" s="1" t="s">
        <v>802</v>
      </c>
      <c r="D1184" s="1" t="s">
        <v>49</v>
      </c>
      <c r="E1184" s="1" t="s">
        <v>59</v>
      </c>
      <c r="F1184">
        <v>805</v>
      </c>
      <c r="G1184" s="1" t="s">
        <v>42</v>
      </c>
      <c r="H1184">
        <v>4</v>
      </c>
      <c r="I1184">
        <v>2</v>
      </c>
      <c r="J1184" s="1" t="s">
        <v>43</v>
      </c>
      <c r="K1184">
        <v>1</v>
      </c>
      <c r="L1184">
        <v>972</v>
      </c>
      <c r="M1184">
        <v>3</v>
      </c>
      <c r="N1184" s="1" t="s">
        <v>44</v>
      </c>
      <c r="O1184">
        <v>57</v>
      </c>
      <c r="P1184">
        <v>3</v>
      </c>
      <c r="Q1184">
        <v>2</v>
      </c>
      <c r="R1184" s="1" t="s">
        <v>45</v>
      </c>
      <c r="S1184">
        <v>2</v>
      </c>
      <c r="T1184" s="1" t="s">
        <v>105</v>
      </c>
      <c r="U1184">
        <v>4447</v>
      </c>
      <c r="V1184" s="1" t="s">
        <v>47</v>
      </c>
      <c r="W1184">
        <v>23163</v>
      </c>
      <c r="X1184">
        <v>1</v>
      </c>
      <c r="Y1184" s="1" t="s">
        <v>48</v>
      </c>
      <c r="Z1184" s="1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8">
      <c r="A1185" s="1" t="s">
        <v>1248</v>
      </c>
      <c r="B1185">
        <v>45</v>
      </c>
      <c r="C1185" s="1" t="s">
        <v>802</v>
      </c>
      <c r="D1185" s="1" t="s">
        <v>49</v>
      </c>
      <c r="E1185" s="1" t="s">
        <v>41</v>
      </c>
      <c r="F1185">
        <v>974</v>
      </c>
      <c r="G1185" s="1" t="s">
        <v>42</v>
      </c>
      <c r="H1185">
        <v>1</v>
      </c>
      <c r="I1185">
        <v>4</v>
      </c>
      <c r="J1185" s="1" t="s">
        <v>52</v>
      </c>
      <c r="K1185">
        <v>1</v>
      </c>
      <c r="L1185">
        <v>996</v>
      </c>
      <c r="M1185">
        <v>4</v>
      </c>
      <c r="N1185" s="1" t="s">
        <v>53</v>
      </c>
      <c r="O1185">
        <v>91</v>
      </c>
      <c r="P1185">
        <v>3</v>
      </c>
      <c r="Q1185">
        <v>1</v>
      </c>
      <c r="R1185" s="1" t="s">
        <v>45</v>
      </c>
      <c r="S1185">
        <v>4</v>
      </c>
      <c r="T1185" s="1" t="s">
        <v>102</v>
      </c>
      <c r="U1185">
        <v>2270</v>
      </c>
      <c r="V1185" s="1" t="s">
        <v>47</v>
      </c>
      <c r="W1185">
        <v>11005</v>
      </c>
      <c r="X1185">
        <v>3</v>
      </c>
      <c r="Y1185" s="1" t="s">
        <v>48</v>
      </c>
      <c r="Z1185" s="1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8">
      <c r="A1186" s="1" t="s">
        <v>1249</v>
      </c>
      <c r="B1186">
        <v>45</v>
      </c>
      <c r="C1186" s="1" t="s">
        <v>802</v>
      </c>
      <c r="D1186" s="1" t="s">
        <v>49</v>
      </c>
      <c r="E1186" s="1" t="s">
        <v>59</v>
      </c>
      <c r="F1186">
        <v>248</v>
      </c>
      <c r="G1186" s="1" t="s">
        <v>42</v>
      </c>
      <c r="H1186">
        <v>23</v>
      </c>
      <c r="I1186">
        <v>2</v>
      </c>
      <c r="J1186" s="1" t="s">
        <v>43</v>
      </c>
      <c r="K1186">
        <v>1</v>
      </c>
      <c r="L1186">
        <v>1002</v>
      </c>
      <c r="M1186">
        <v>4</v>
      </c>
      <c r="N1186" s="1" t="s">
        <v>44</v>
      </c>
      <c r="O1186">
        <v>42</v>
      </c>
      <c r="P1186">
        <v>3</v>
      </c>
      <c r="Q1186">
        <v>2</v>
      </c>
      <c r="R1186" s="1" t="s">
        <v>45</v>
      </c>
      <c r="S1186">
        <v>1</v>
      </c>
      <c r="T1186" s="1" t="s">
        <v>105</v>
      </c>
      <c r="U1186">
        <v>3633</v>
      </c>
      <c r="V1186" s="1" t="s">
        <v>47</v>
      </c>
      <c r="W1186">
        <v>14039</v>
      </c>
      <c r="X1186">
        <v>1</v>
      </c>
      <c r="Y1186" s="1" t="s">
        <v>48</v>
      </c>
      <c r="Z1186" s="1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8">
      <c r="A1187" s="1" t="s">
        <v>1250</v>
      </c>
      <c r="B1187">
        <v>45</v>
      </c>
      <c r="C1187" s="1" t="s">
        <v>802</v>
      </c>
      <c r="D1187" s="1" t="s">
        <v>49</v>
      </c>
      <c r="E1187" s="1" t="s">
        <v>41</v>
      </c>
      <c r="F1187">
        <v>1234</v>
      </c>
      <c r="G1187" s="1" t="s">
        <v>51</v>
      </c>
      <c r="H1187">
        <v>11</v>
      </c>
      <c r="I1187">
        <v>2</v>
      </c>
      <c r="J1187" s="1" t="s">
        <v>43</v>
      </c>
      <c r="K1187">
        <v>1</v>
      </c>
      <c r="L1187">
        <v>1045</v>
      </c>
      <c r="M1187">
        <v>4</v>
      </c>
      <c r="N1187" s="1" t="s">
        <v>53</v>
      </c>
      <c r="O1187">
        <v>90</v>
      </c>
      <c r="P1187">
        <v>3</v>
      </c>
      <c r="Q1187">
        <v>4</v>
      </c>
      <c r="R1187" s="1" t="s">
        <v>442</v>
      </c>
      <c r="S1187">
        <v>4</v>
      </c>
      <c r="T1187" s="1" t="s">
        <v>105</v>
      </c>
      <c r="U1187">
        <v>17650</v>
      </c>
      <c r="V1187" s="1" t="s">
        <v>368</v>
      </c>
      <c r="W1187">
        <v>5404</v>
      </c>
      <c r="X1187">
        <v>3</v>
      </c>
      <c r="Y1187" s="1" t="s">
        <v>48</v>
      </c>
      <c r="Z1187" s="1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8">
      <c r="A1188" s="1" t="s">
        <v>1251</v>
      </c>
      <c r="B1188">
        <v>45</v>
      </c>
      <c r="C1188" s="1" t="s">
        <v>802</v>
      </c>
      <c r="D1188" s="1" t="s">
        <v>49</v>
      </c>
      <c r="E1188" s="1" t="s">
        <v>41</v>
      </c>
      <c r="F1188">
        <v>788</v>
      </c>
      <c r="G1188" s="1" t="s">
        <v>71</v>
      </c>
      <c r="H1188">
        <v>24</v>
      </c>
      <c r="I1188">
        <v>4</v>
      </c>
      <c r="J1188" s="1" t="s">
        <v>52</v>
      </c>
      <c r="K1188">
        <v>1</v>
      </c>
      <c r="L1188">
        <v>1049</v>
      </c>
      <c r="M1188">
        <v>2</v>
      </c>
      <c r="N1188" s="1" t="s">
        <v>44</v>
      </c>
      <c r="O1188">
        <v>36</v>
      </c>
      <c r="P1188">
        <v>3</v>
      </c>
      <c r="Q1188">
        <v>1</v>
      </c>
      <c r="R1188" s="1" t="s">
        <v>71</v>
      </c>
      <c r="S1188">
        <v>2</v>
      </c>
      <c r="T1188" s="1" t="s">
        <v>46</v>
      </c>
      <c r="U1188">
        <v>2177</v>
      </c>
      <c r="V1188" s="1" t="s">
        <v>47</v>
      </c>
      <c r="W1188">
        <v>8318</v>
      </c>
      <c r="X1188">
        <v>1</v>
      </c>
      <c r="Y1188" s="1" t="s">
        <v>48</v>
      </c>
      <c r="Z1188" s="1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8">
      <c r="A1189" s="1" t="s">
        <v>1252</v>
      </c>
      <c r="B1189">
        <v>45</v>
      </c>
      <c r="C1189" s="1" t="s">
        <v>802</v>
      </c>
      <c r="D1189" s="1" t="s">
        <v>49</v>
      </c>
      <c r="E1189" s="1" t="s">
        <v>59</v>
      </c>
      <c r="F1189">
        <v>1050</v>
      </c>
      <c r="G1189" s="1" t="s">
        <v>51</v>
      </c>
      <c r="H1189">
        <v>9</v>
      </c>
      <c r="I1189">
        <v>4</v>
      </c>
      <c r="J1189" s="1" t="s">
        <v>43</v>
      </c>
      <c r="K1189">
        <v>1</v>
      </c>
      <c r="L1189">
        <v>1117</v>
      </c>
      <c r="M1189">
        <v>2</v>
      </c>
      <c r="N1189" s="1" t="s">
        <v>53</v>
      </c>
      <c r="O1189">
        <v>65</v>
      </c>
      <c r="P1189">
        <v>2</v>
      </c>
      <c r="Q1189">
        <v>2</v>
      </c>
      <c r="R1189" s="1" t="s">
        <v>137</v>
      </c>
      <c r="S1189">
        <v>3</v>
      </c>
      <c r="T1189" s="1" t="s">
        <v>105</v>
      </c>
      <c r="U1189">
        <v>5593</v>
      </c>
      <c r="V1189" s="1" t="s">
        <v>163</v>
      </c>
      <c r="W1189">
        <v>17970</v>
      </c>
      <c r="X1189">
        <v>1</v>
      </c>
      <c r="Y1189" s="1" t="s">
        <v>48</v>
      </c>
      <c r="Z1189" s="1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8">
      <c r="A1190" s="1" t="s">
        <v>1253</v>
      </c>
      <c r="B1190">
        <v>45</v>
      </c>
      <c r="C1190" s="1" t="s">
        <v>802</v>
      </c>
      <c r="D1190" s="1" t="s">
        <v>49</v>
      </c>
      <c r="E1190" s="1" t="s">
        <v>41</v>
      </c>
      <c r="F1190">
        <v>1457</v>
      </c>
      <c r="G1190" s="1" t="s">
        <v>42</v>
      </c>
      <c r="H1190">
        <v>7</v>
      </c>
      <c r="I1190">
        <v>3</v>
      </c>
      <c r="J1190" s="1" t="s">
        <v>52</v>
      </c>
      <c r="K1190">
        <v>1</v>
      </c>
      <c r="L1190">
        <v>1195</v>
      </c>
      <c r="M1190">
        <v>1</v>
      </c>
      <c r="N1190" s="1" t="s">
        <v>53</v>
      </c>
      <c r="O1190">
        <v>83</v>
      </c>
      <c r="P1190">
        <v>3</v>
      </c>
      <c r="Q1190">
        <v>1</v>
      </c>
      <c r="R1190" s="1" t="s">
        <v>60</v>
      </c>
      <c r="S1190">
        <v>3</v>
      </c>
      <c r="T1190" s="1" t="s">
        <v>105</v>
      </c>
      <c r="U1190">
        <v>4477</v>
      </c>
      <c r="V1190" s="1" t="s">
        <v>47</v>
      </c>
      <c r="W1190">
        <v>20100</v>
      </c>
      <c r="X1190">
        <v>4</v>
      </c>
      <c r="Y1190" s="1" t="s">
        <v>48</v>
      </c>
      <c r="Z1190" s="1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8">
      <c r="A1191" s="1" t="s">
        <v>1254</v>
      </c>
      <c r="B1191">
        <v>45</v>
      </c>
      <c r="C1191" s="1" t="s">
        <v>802</v>
      </c>
      <c r="D1191" s="1" t="s">
        <v>40</v>
      </c>
      <c r="E1191" s="1" t="s">
        <v>41</v>
      </c>
      <c r="F1191">
        <v>1449</v>
      </c>
      <c r="G1191" s="1" t="s">
        <v>51</v>
      </c>
      <c r="H1191">
        <v>2</v>
      </c>
      <c r="I1191">
        <v>3</v>
      </c>
      <c r="J1191" s="1" t="s">
        <v>57</v>
      </c>
      <c r="K1191">
        <v>1</v>
      </c>
      <c r="L1191">
        <v>1277</v>
      </c>
      <c r="M1191">
        <v>1</v>
      </c>
      <c r="N1191" s="1" t="s">
        <v>53</v>
      </c>
      <c r="O1191">
        <v>94</v>
      </c>
      <c r="P1191">
        <v>1</v>
      </c>
      <c r="Q1191">
        <v>5</v>
      </c>
      <c r="R1191" s="1" t="s">
        <v>442</v>
      </c>
      <c r="S1191">
        <v>2</v>
      </c>
      <c r="T1191" s="1" t="s">
        <v>46</v>
      </c>
      <c r="U1191">
        <v>18824</v>
      </c>
      <c r="V1191" s="1" t="s">
        <v>368</v>
      </c>
      <c r="W1191">
        <v>2493</v>
      </c>
      <c r="X1191">
        <v>2</v>
      </c>
      <c r="Y1191" s="1" t="s">
        <v>48</v>
      </c>
      <c r="Z1191" s="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8">
      <c r="A1192" s="1" t="s">
        <v>1255</v>
      </c>
      <c r="B1192">
        <v>45</v>
      </c>
      <c r="C1192" s="1" t="s">
        <v>802</v>
      </c>
      <c r="D1192" s="1" t="s">
        <v>49</v>
      </c>
      <c r="E1192" s="1" t="s">
        <v>56</v>
      </c>
      <c r="F1192">
        <v>364</v>
      </c>
      <c r="G1192" s="1" t="s">
        <v>42</v>
      </c>
      <c r="H1192">
        <v>25</v>
      </c>
      <c r="I1192">
        <v>3</v>
      </c>
      <c r="J1192" s="1" t="s">
        <v>52</v>
      </c>
      <c r="K1192">
        <v>1</v>
      </c>
      <c r="L1192">
        <v>1306</v>
      </c>
      <c r="M1192">
        <v>2</v>
      </c>
      <c r="N1192" s="1" t="s">
        <v>53</v>
      </c>
      <c r="O1192">
        <v>83</v>
      </c>
      <c r="P1192">
        <v>3</v>
      </c>
      <c r="Q1192">
        <v>5</v>
      </c>
      <c r="R1192" s="1" t="s">
        <v>442</v>
      </c>
      <c r="S1192">
        <v>2</v>
      </c>
      <c r="T1192" s="1" t="s">
        <v>46</v>
      </c>
      <c r="U1192">
        <v>18061</v>
      </c>
      <c r="V1192" s="1" t="s">
        <v>368</v>
      </c>
      <c r="W1192">
        <v>13035</v>
      </c>
      <c r="X1192">
        <v>3</v>
      </c>
      <c r="Y1192" s="1" t="s">
        <v>48</v>
      </c>
      <c r="Z1192" s="1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8">
      <c r="A1193" s="1" t="s">
        <v>1256</v>
      </c>
      <c r="B1193">
        <v>45</v>
      </c>
      <c r="C1193" s="1" t="s">
        <v>802</v>
      </c>
      <c r="D1193" s="1" t="s">
        <v>49</v>
      </c>
      <c r="E1193" s="1" t="s">
        <v>41</v>
      </c>
      <c r="F1193">
        <v>1038</v>
      </c>
      <c r="G1193" s="1" t="s">
        <v>42</v>
      </c>
      <c r="H1193">
        <v>20</v>
      </c>
      <c r="I1193">
        <v>3</v>
      </c>
      <c r="J1193" s="1" t="s">
        <v>52</v>
      </c>
      <c r="K1193">
        <v>1</v>
      </c>
      <c r="L1193">
        <v>1460</v>
      </c>
      <c r="M1193">
        <v>2</v>
      </c>
      <c r="N1193" s="1" t="s">
        <v>44</v>
      </c>
      <c r="O1193">
        <v>95</v>
      </c>
      <c r="P1193">
        <v>1</v>
      </c>
      <c r="Q1193">
        <v>3</v>
      </c>
      <c r="R1193" s="1" t="s">
        <v>161</v>
      </c>
      <c r="S1193">
        <v>1</v>
      </c>
      <c r="T1193" s="1" t="s">
        <v>102</v>
      </c>
      <c r="U1193">
        <v>10851</v>
      </c>
      <c r="V1193" s="1" t="s">
        <v>253</v>
      </c>
      <c r="W1193">
        <v>19863</v>
      </c>
      <c r="X1193">
        <v>2</v>
      </c>
      <c r="Y1193" s="1" t="s">
        <v>48</v>
      </c>
      <c r="Z1193" s="1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8">
      <c r="A1194" s="1" t="s">
        <v>1257</v>
      </c>
      <c r="B1194">
        <v>45</v>
      </c>
      <c r="C1194" s="1" t="s">
        <v>802</v>
      </c>
      <c r="D1194" s="1" t="s">
        <v>49</v>
      </c>
      <c r="E1194" s="1" t="s">
        <v>41</v>
      </c>
      <c r="F1194">
        <v>1448</v>
      </c>
      <c r="G1194" s="1" t="s">
        <v>42</v>
      </c>
      <c r="H1194">
        <v>29</v>
      </c>
      <c r="I1194">
        <v>3</v>
      </c>
      <c r="J1194" s="1" t="s">
        <v>68</v>
      </c>
      <c r="K1194">
        <v>1</v>
      </c>
      <c r="L1194">
        <v>1465</v>
      </c>
      <c r="M1194">
        <v>2</v>
      </c>
      <c r="N1194" s="1" t="s">
        <v>44</v>
      </c>
      <c r="O1194">
        <v>55</v>
      </c>
      <c r="P1194">
        <v>3</v>
      </c>
      <c r="Q1194">
        <v>3</v>
      </c>
      <c r="R1194" s="1" t="s">
        <v>112</v>
      </c>
      <c r="S1194">
        <v>4</v>
      </c>
      <c r="T1194" s="1" t="s">
        <v>105</v>
      </c>
      <c r="U1194">
        <v>9380</v>
      </c>
      <c r="V1194" s="1" t="s">
        <v>163</v>
      </c>
      <c r="W1194">
        <v>14720</v>
      </c>
      <c r="X1194">
        <v>4</v>
      </c>
      <c r="Y1194" s="1" t="s">
        <v>48</v>
      </c>
      <c r="Z1194" s="1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8">
      <c r="A1195" s="1" t="s">
        <v>1258</v>
      </c>
      <c r="B1195">
        <v>45</v>
      </c>
      <c r="C1195" s="1" t="s">
        <v>802</v>
      </c>
      <c r="D1195" s="1" t="s">
        <v>49</v>
      </c>
      <c r="E1195" s="1" t="s">
        <v>41</v>
      </c>
      <c r="F1195">
        <v>950</v>
      </c>
      <c r="G1195" s="1" t="s">
        <v>42</v>
      </c>
      <c r="H1195">
        <v>28</v>
      </c>
      <c r="I1195">
        <v>3</v>
      </c>
      <c r="J1195" s="1" t="s">
        <v>68</v>
      </c>
      <c r="K1195">
        <v>1</v>
      </c>
      <c r="L1195">
        <v>1546</v>
      </c>
      <c r="M1195">
        <v>4</v>
      </c>
      <c r="N1195" s="1" t="s">
        <v>44</v>
      </c>
      <c r="O1195">
        <v>97</v>
      </c>
      <c r="P1195">
        <v>3</v>
      </c>
      <c r="Q1195">
        <v>1</v>
      </c>
      <c r="R1195" s="1" t="s">
        <v>60</v>
      </c>
      <c r="S1195">
        <v>4</v>
      </c>
      <c r="T1195" s="1" t="s">
        <v>105</v>
      </c>
      <c r="U1195">
        <v>2132</v>
      </c>
      <c r="V1195" s="1" t="s">
        <v>47</v>
      </c>
      <c r="W1195">
        <v>4585</v>
      </c>
      <c r="X1195">
        <v>4</v>
      </c>
      <c r="Y1195" s="1" t="s">
        <v>48</v>
      </c>
      <c r="Z1195" s="1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8">
      <c r="A1196" s="1" t="s">
        <v>1259</v>
      </c>
      <c r="B1196">
        <v>45</v>
      </c>
      <c r="C1196" s="1" t="s">
        <v>802</v>
      </c>
      <c r="D1196" s="1" t="s">
        <v>49</v>
      </c>
      <c r="E1196" s="1" t="s">
        <v>41</v>
      </c>
      <c r="F1196">
        <v>538</v>
      </c>
      <c r="G1196" s="1" t="s">
        <v>42</v>
      </c>
      <c r="H1196">
        <v>1</v>
      </c>
      <c r="I1196">
        <v>4</v>
      </c>
      <c r="J1196" s="1" t="s">
        <v>68</v>
      </c>
      <c r="K1196">
        <v>1</v>
      </c>
      <c r="L1196">
        <v>1553</v>
      </c>
      <c r="M1196">
        <v>1</v>
      </c>
      <c r="N1196" s="1" t="s">
        <v>44</v>
      </c>
      <c r="O1196">
        <v>66</v>
      </c>
      <c r="P1196">
        <v>3</v>
      </c>
      <c r="Q1196">
        <v>3</v>
      </c>
      <c r="R1196" s="1" t="s">
        <v>161</v>
      </c>
      <c r="S1196">
        <v>2</v>
      </c>
      <c r="T1196" s="1" t="s">
        <v>102</v>
      </c>
      <c r="U1196">
        <v>7441</v>
      </c>
      <c r="V1196" s="1" t="s">
        <v>163</v>
      </c>
      <c r="W1196">
        <v>20933</v>
      </c>
      <c r="X1196">
        <v>1</v>
      </c>
      <c r="Y1196" s="1" t="s">
        <v>48</v>
      </c>
      <c r="Z1196" s="1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8">
      <c r="A1197" s="1" t="s">
        <v>1260</v>
      </c>
      <c r="B1197">
        <v>45</v>
      </c>
      <c r="C1197" s="1" t="s">
        <v>802</v>
      </c>
      <c r="D1197" s="1" t="s">
        <v>49</v>
      </c>
      <c r="E1197" s="1" t="s">
        <v>41</v>
      </c>
      <c r="F1197">
        <v>1015</v>
      </c>
      <c r="G1197" s="1" t="s">
        <v>42</v>
      </c>
      <c r="H1197">
        <v>5</v>
      </c>
      <c r="I1197">
        <v>5</v>
      </c>
      <c r="J1197" s="1" t="s">
        <v>52</v>
      </c>
      <c r="K1197">
        <v>1</v>
      </c>
      <c r="L1197">
        <v>1611</v>
      </c>
      <c r="M1197">
        <v>3</v>
      </c>
      <c r="N1197" s="1" t="s">
        <v>53</v>
      </c>
      <c r="O1197">
        <v>50</v>
      </c>
      <c r="P1197">
        <v>1</v>
      </c>
      <c r="Q1197">
        <v>2</v>
      </c>
      <c r="R1197" s="1" t="s">
        <v>45</v>
      </c>
      <c r="S1197">
        <v>1</v>
      </c>
      <c r="T1197" s="1" t="s">
        <v>46</v>
      </c>
      <c r="U1197">
        <v>5769</v>
      </c>
      <c r="V1197" s="1" t="s">
        <v>163</v>
      </c>
      <c r="W1197">
        <v>23447</v>
      </c>
      <c r="X1197">
        <v>1</v>
      </c>
      <c r="Y1197" s="1" t="s">
        <v>48</v>
      </c>
      <c r="Z1197" s="1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8">
      <c r="A1198" s="1" t="s">
        <v>1261</v>
      </c>
      <c r="B1198">
        <v>45</v>
      </c>
      <c r="C1198" s="1" t="s">
        <v>802</v>
      </c>
      <c r="D1198" s="1" t="s">
        <v>49</v>
      </c>
      <c r="E1198" s="1" t="s">
        <v>59</v>
      </c>
      <c r="F1198">
        <v>336</v>
      </c>
      <c r="G1198" s="1" t="s">
        <v>51</v>
      </c>
      <c r="H1198">
        <v>26</v>
      </c>
      <c r="I1198">
        <v>3</v>
      </c>
      <c r="J1198" s="1" t="s">
        <v>57</v>
      </c>
      <c r="K1198">
        <v>1</v>
      </c>
      <c r="L1198">
        <v>1612</v>
      </c>
      <c r="M1198">
        <v>1</v>
      </c>
      <c r="N1198" s="1" t="s">
        <v>44</v>
      </c>
      <c r="O1198">
        <v>52</v>
      </c>
      <c r="P1198">
        <v>2</v>
      </c>
      <c r="Q1198">
        <v>2</v>
      </c>
      <c r="R1198" s="1" t="s">
        <v>137</v>
      </c>
      <c r="S1198">
        <v>1</v>
      </c>
      <c r="T1198" s="1" t="s">
        <v>105</v>
      </c>
      <c r="U1198">
        <v>4385</v>
      </c>
      <c r="V1198" s="1" t="s">
        <v>47</v>
      </c>
      <c r="W1198">
        <v>24162</v>
      </c>
      <c r="X1198">
        <v>1</v>
      </c>
      <c r="Y1198" s="1" t="s">
        <v>48</v>
      </c>
      <c r="Z1198" s="1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8">
      <c r="A1199" s="1" t="s">
        <v>1262</v>
      </c>
      <c r="B1199">
        <v>45</v>
      </c>
      <c r="C1199" s="1" t="s">
        <v>802</v>
      </c>
      <c r="D1199" s="1" t="s">
        <v>49</v>
      </c>
      <c r="E1199" s="1" t="s">
        <v>41</v>
      </c>
      <c r="F1199">
        <v>1329</v>
      </c>
      <c r="G1199" s="1" t="s">
        <v>42</v>
      </c>
      <c r="H1199">
        <v>2</v>
      </c>
      <c r="I1199">
        <v>2</v>
      </c>
      <c r="J1199" s="1" t="s">
        <v>73</v>
      </c>
      <c r="K1199">
        <v>1</v>
      </c>
      <c r="L1199">
        <v>1635</v>
      </c>
      <c r="M1199">
        <v>4</v>
      </c>
      <c r="N1199" s="1" t="s">
        <v>53</v>
      </c>
      <c r="O1199">
        <v>59</v>
      </c>
      <c r="P1199">
        <v>2</v>
      </c>
      <c r="Q1199">
        <v>2</v>
      </c>
      <c r="R1199" s="1" t="s">
        <v>112</v>
      </c>
      <c r="S1199">
        <v>4</v>
      </c>
      <c r="T1199" s="1" t="s">
        <v>102</v>
      </c>
      <c r="U1199">
        <v>5770</v>
      </c>
      <c r="V1199" s="1" t="s">
        <v>163</v>
      </c>
      <c r="W1199">
        <v>5388</v>
      </c>
      <c r="X1199">
        <v>1</v>
      </c>
      <c r="Y1199" s="1" t="s">
        <v>48</v>
      </c>
      <c r="Z1199" s="1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8">
      <c r="A1200" s="1" t="s">
        <v>1263</v>
      </c>
      <c r="B1200">
        <v>45</v>
      </c>
      <c r="C1200" s="1" t="s">
        <v>802</v>
      </c>
      <c r="D1200" s="1" t="s">
        <v>49</v>
      </c>
      <c r="E1200" s="1" t="s">
        <v>59</v>
      </c>
      <c r="F1200">
        <v>1238</v>
      </c>
      <c r="G1200" s="1" t="s">
        <v>42</v>
      </c>
      <c r="H1200">
        <v>1</v>
      </c>
      <c r="I1200">
        <v>1</v>
      </c>
      <c r="J1200" s="1" t="s">
        <v>43</v>
      </c>
      <c r="K1200">
        <v>1</v>
      </c>
      <c r="L1200">
        <v>1712</v>
      </c>
      <c r="M1200">
        <v>3</v>
      </c>
      <c r="N1200" s="1" t="s">
        <v>44</v>
      </c>
      <c r="O1200">
        <v>74</v>
      </c>
      <c r="P1200">
        <v>2</v>
      </c>
      <c r="Q1200">
        <v>3</v>
      </c>
      <c r="R1200" s="1" t="s">
        <v>161</v>
      </c>
      <c r="S1200">
        <v>3</v>
      </c>
      <c r="T1200" s="1" t="s">
        <v>105</v>
      </c>
      <c r="U1200">
        <v>10748</v>
      </c>
      <c r="V1200" s="1" t="s">
        <v>253</v>
      </c>
      <c r="W1200">
        <v>3395</v>
      </c>
      <c r="X1200">
        <v>3</v>
      </c>
      <c r="Y1200" s="1" t="s">
        <v>48</v>
      </c>
      <c r="Z1200" s="1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8">
      <c r="A1201" s="1" t="s">
        <v>1264</v>
      </c>
      <c r="B1201">
        <v>45</v>
      </c>
      <c r="C1201" s="1" t="s">
        <v>802</v>
      </c>
      <c r="D1201" s="1" t="s">
        <v>49</v>
      </c>
      <c r="E1201" s="1" t="s">
        <v>41</v>
      </c>
      <c r="F1201">
        <v>1005</v>
      </c>
      <c r="G1201" s="1" t="s">
        <v>42</v>
      </c>
      <c r="H1201">
        <v>28</v>
      </c>
      <c r="I1201">
        <v>2</v>
      </c>
      <c r="J1201" s="1" t="s">
        <v>68</v>
      </c>
      <c r="K1201">
        <v>1</v>
      </c>
      <c r="L1201">
        <v>1719</v>
      </c>
      <c r="M1201">
        <v>4</v>
      </c>
      <c r="N1201" s="1" t="s">
        <v>53</v>
      </c>
      <c r="O1201">
        <v>48</v>
      </c>
      <c r="P1201">
        <v>2</v>
      </c>
      <c r="Q1201">
        <v>4</v>
      </c>
      <c r="R1201" s="1" t="s">
        <v>252</v>
      </c>
      <c r="S1201">
        <v>2</v>
      </c>
      <c r="T1201" s="1" t="s">
        <v>46</v>
      </c>
      <c r="U1201">
        <v>16704</v>
      </c>
      <c r="V1201" s="1" t="s">
        <v>368</v>
      </c>
      <c r="W1201">
        <v>17119</v>
      </c>
      <c r="X1201">
        <v>1</v>
      </c>
      <c r="Y1201" s="1" t="s">
        <v>48</v>
      </c>
      <c r="Z1201" s="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8">
      <c r="A1202" s="1" t="s">
        <v>1265</v>
      </c>
      <c r="B1202">
        <v>45</v>
      </c>
      <c r="C1202" s="1" t="s">
        <v>802</v>
      </c>
      <c r="D1202" s="1" t="s">
        <v>49</v>
      </c>
      <c r="E1202" s="1" t="s">
        <v>41</v>
      </c>
      <c r="F1202">
        <v>176</v>
      </c>
      <c r="G1202" s="1" t="s">
        <v>71</v>
      </c>
      <c r="H1202">
        <v>4</v>
      </c>
      <c r="I1202">
        <v>3</v>
      </c>
      <c r="J1202" s="1" t="s">
        <v>43</v>
      </c>
      <c r="K1202">
        <v>1</v>
      </c>
      <c r="L1202">
        <v>1744</v>
      </c>
      <c r="M1202">
        <v>3</v>
      </c>
      <c r="N1202" s="1" t="s">
        <v>53</v>
      </c>
      <c r="O1202">
        <v>56</v>
      </c>
      <c r="P1202">
        <v>1</v>
      </c>
      <c r="Q1202">
        <v>3</v>
      </c>
      <c r="R1202" s="1" t="s">
        <v>71</v>
      </c>
      <c r="S1202">
        <v>3</v>
      </c>
      <c r="T1202" s="1" t="s">
        <v>105</v>
      </c>
      <c r="U1202">
        <v>9756</v>
      </c>
      <c r="V1202" s="1" t="s">
        <v>163</v>
      </c>
      <c r="W1202">
        <v>6595</v>
      </c>
      <c r="X1202">
        <v>4</v>
      </c>
      <c r="Y1202" s="1" t="s">
        <v>48</v>
      </c>
      <c r="Z1202" s="1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8">
      <c r="A1203" s="1" t="s">
        <v>1266</v>
      </c>
      <c r="B1203">
        <v>45</v>
      </c>
      <c r="C1203" s="1" t="s">
        <v>802</v>
      </c>
      <c r="D1203" s="1" t="s">
        <v>49</v>
      </c>
      <c r="E1203" s="1" t="s">
        <v>59</v>
      </c>
      <c r="F1203">
        <v>589</v>
      </c>
      <c r="G1203" s="1" t="s">
        <v>51</v>
      </c>
      <c r="H1203">
        <v>2</v>
      </c>
      <c r="I1203">
        <v>4</v>
      </c>
      <c r="J1203" s="1" t="s">
        <v>43</v>
      </c>
      <c r="K1203">
        <v>1</v>
      </c>
      <c r="L1203">
        <v>1845</v>
      </c>
      <c r="M1203">
        <v>3</v>
      </c>
      <c r="N1203" s="1" t="s">
        <v>53</v>
      </c>
      <c r="O1203">
        <v>67</v>
      </c>
      <c r="P1203">
        <v>3</v>
      </c>
      <c r="Q1203">
        <v>2</v>
      </c>
      <c r="R1203" s="1" t="s">
        <v>137</v>
      </c>
      <c r="S1203">
        <v>3</v>
      </c>
      <c r="T1203" s="1" t="s">
        <v>105</v>
      </c>
      <c r="U1203">
        <v>5154</v>
      </c>
      <c r="V1203" s="1" t="s">
        <v>163</v>
      </c>
      <c r="W1203">
        <v>19665</v>
      </c>
      <c r="X1203">
        <v>4</v>
      </c>
      <c r="Y1203" s="1" t="s">
        <v>48</v>
      </c>
      <c r="Z1203" s="1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8">
      <c r="A1204" s="1" t="s">
        <v>1267</v>
      </c>
      <c r="B1204">
        <v>45</v>
      </c>
      <c r="C1204" s="1" t="s">
        <v>802</v>
      </c>
      <c r="D1204" s="1" t="s">
        <v>49</v>
      </c>
      <c r="E1204" s="1" t="s">
        <v>41</v>
      </c>
      <c r="F1204">
        <v>556</v>
      </c>
      <c r="G1204" s="1" t="s">
        <v>42</v>
      </c>
      <c r="H1204">
        <v>25</v>
      </c>
      <c r="I1204">
        <v>2</v>
      </c>
      <c r="J1204" s="1" t="s">
        <v>43</v>
      </c>
      <c r="K1204">
        <v>1</v>
      </c>
      <c r="L1204">
        <v>1888</v>
      </c>
      <c r="M1204">
        <v>2</v>
      </c>
      <c r="N1204" s="1" t="s">
        <v>53</v>
      </c>
      <c r="O1204">
        <v>93</v>
      </c>
      <c r="P1204">
        <v>2</v>
      </c>
      <c r="Q1204">
        <v>2</v>
      </c>
      <c r="R1204" s="1" t="s">
        <v>112</v>
      </c>
      <c r="S1204">
        <v>4</v>
      </c>
      <c r="T1204" s="1" t="s">
        <v>105</v>
      </c>
      <c r="U1204">
        <v>5906</v>
      </c>
      <c r="V1204" s="1" t="s">
        <v>163</v>
      </c>
      <c r="W1204">
        <v>23888</v>
      </c>
      <c r="X1204">
        <v>0</v>
      </c>
      <c r="Y1204" s="1" t="s">
        <v>48</v>
      </c>
      <c r="Z1204" s="1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8">
      <c r="A1205" s="1" t="s">
        <v>1268</v>
      </c>
      <c r="B1205">
        <v>45</v>
      </c>
      <c r="C1205" s="1" t="s">
        <v>802</v>
      </c>
      <c r="D1205" s="1" t="s">
        <v>49</v>
      </c>
      <c r="E1205" s="1" t="s">
        <v>56</v>
      </c>
      <c r="F1205">
        <v>1297</v>
      </c>
      <c r="G1205" s="1" t="s">
        <v>42</v>
      </c>
      <c r="H1205">
        <v>1</v>
      </c>
      <c r="I1205">
        <v>4</v>
      </c>
      <c r="J1205" s="1" t="s">
        <v>52</v>
      </c>
      <c r="K1205">
        <v>1</v>
      </c>
      <c r="L1205">
        <v>1922</v>
      </c>
      <c r="M1205">
        <v>2</v>
      </c>
      <c r="N1205" s="1" t="s">
        <v>44</v>
      </c>
      <c r="O1205">
        <v>44</v>
      </c>
      <c r="P1205">
        <v>3</v>
      </c>
      <c r="Q1205">
        <v>2</v>
      </c>
      <c r="R1205" s="1" t="s">
        <v>161</v>
      </c>
      <c r="S1205">
        <v>3</v>
      </c>
      <c r="T1205" s="1" t="s">
        <v>46</v>
      </c>
      <c r="U1205">
        <v>5399</v>
      </c>
      <c r="V1205" s="1" t="s">
        <v>163</v>
      </c>
      <c r="W1205">
        <v>14511</v>
      </c>
      <c r="X1205">
        <v>4</v>
      </c>
      <c r="Y1205" s="1" t="s">
        <v>48</v>
      </c>
      <c r="Z1205" s="1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8">
      <c r="A1206" s="1" t="s">
        <v>1269</v>
      </c>
      <c r="B1206">
        <v>45</v>
      </c>
      <c r="C1206" s="1" t="s">
        <v>802</v>
      </c>
      <c r="D1206" s="1" t="s">
        <v>49</v>
      </c>
      <c r="E1206" s="1" t="s">
        <v>41</v>
      </c>
      <c r="F1206">
        <v>374</v>
      </c>
      <c r="G1206" s="1" t="s">
        <v>51</v>
      </c>
      <c r="H1206">
        <v>20</v>
      </c>
      <c r="I1206">
        <v>3</v>
      </c>
      <c r="J1206" s="1" t="s">
        <v>43</v>
      </c>
      <c r="K1206">
        <v>1</v>
      </c>
      <c r="L1206">
        <v>2046</v>
      </c>
      <c r="M1206">
        <v>4</v>
      </c>
      <c r="N1206" s="1" t="s">
        <v>53</v>
      </c>
      <c r="O1206">
        <v>50</v>
      </c>
      <c r="P1206">
        <v>3</v>
      </c>
      <c r="Q1206">
        <v>2</v>
      </c>
      <c r="R1206" s="1" t="s">
        <v>137</v>
      </c>
      <c r="S1206">
        <v>3</v>
      </c>
      <c r="T1206" s="1" t="s">
        <v>46</v>
      </c>
      <c r="U1206">
        <v>4850</v>
      </c>
      <c r="V1206" s="1" t="s">
        <v>47</v>
      </c>
      <c r="W1206">
        <v>23333</v>
      </c>
      <c r="X1206">
        <v>8</v>
      </c>
      <c r="Y1206" s="1" t="s">
        <v>48</v>
      </c>
      <c r="Z1206" s="1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8">
      <c r="A1207" s="1" t="s">
        <v>1270</v>
      </c>
      <c r="B1207">
        <v>46</v>
      </c>
      <c r="C1207" s="1" t="s">
        <v>1271</v>
      </c>
      <c r="D1207" s="1" t="s">
        <v>49</v>
      </c>
      <c r="E1207" s="1" t="s">
        <v>41</v>
      </c>
      <c r="F1207">
        <v>705</v>
      </c>
      <c r="G1207" s="1" t="s">
        <v>51</v>
      </c>
      <c r="H1207">
        <v>2</v>
      </c>
      <c r="I1207">
        <v>4</v>
      </c>
      <c r="J1207" s="1" t="s">
        <v>57</v>
      </c>
      <c r="K1207">
        <v>1</v>
      </c>
      <c r="L1207">
        <v>38</v>
      </c>
      <c r="M1207">
        <v>2</v>
      </c>
      <c r="N1207" s="1" t="s">
        <v>53</v>
      </c>
      <c r="O1207">
        <v>83</v>
      </c>
      <c r="P1207">
        <v>3</v>
      </c>
      <c r="Q1207">
        <v>5</v>
      </c>
      <c r="R1207" s="1" t="s">
        <v>442</v>
      </c>
      <c r="S1207">
        <v>1</v>
      </c>
      <c r="T1207" s="1" t="s">
        <v>46</v>
      </c>
      <c r="U1207">
        <v>18947</v>
      </c>
      <c r="V1207" s="1" t="s">
        <v>368</v>
      </c>
      <c r="W1207">
        <v>22822</v>
      </c>
      <c r="X1207">
        <v>3</v>
      </c>
      <c r="Y1207" s="1" t="s">
        <v>48</v>
      </c>
      <c r="Z1207" s="1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8">
      <c r="A1208" s="1" t="s">
        <v>1272</v>
      </c>
      <c r="B1208">
        <v>46</v>
      </c>
      <c r="C1208" s="1" t="s">
        <v>1271</v>
      </c>
      <c r="D1208" s="1" t="s">
        <v>49</v>
      </c>
      <c r="E1208" s="1" t="s">
        <v>56</v>
      </c>
      <c r="F1208">
        <v>1211</v>
      </c>
      <c r="G1208" s="1" t="s">
        <v>51</v>
      </c>
      <c r="H1208">
        <v>5</v>
      </c>
      <c r="I1208">
        <v>4</v>
      </c>
      <c r="J1208" s="1" t="s">
        <v>57</v>
      </c>
      <c r="K1208">
        <v>1</v>
      </c>
      <c r="L1208">
        <v>62</v>
      </c>
      <c r="M1208">
        <v>1</v>
      </c>
      <c r="N1208" s="1" t="s">
        <v>44</v>
      </c>
      <c r="O1208">
        <v>98</v>
      </c>
      <c r="P1208">
        <v>3</v>
      </c>
      <c r="Q1208">
        <v>2</v>
      </c>
      <c r="R1208" s="1" t="s">
        <v>137</v>
      </c>
      <c r="S1208">
        <v>4</v>
      </c>
      <c r="T1208" s="1" t="s">
        <v>46</v>
      </c>
      <c r="U1208">
        <v>5772</v>
      </c>
      <c r="V1208" s="1" t="s">
        <v>163</v>
      </c>
      <c r="W1208">
        <v>20445</v>
      </c>
      <c r="X1208">
        <v>4</v>
      </c>
      <c r="Y1208" s="1" t="s">
        <v>48</v>
      </c>
      <c r="Z1208" s="1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8">
      <c r="A1209" s="1" t="s">
        <v>1273</v>
      </c>
      <c r="B1209">
        <v>46</v>
      </c>
      <c r="C1209" s="1" t="s">
        <v>1271</v>
      </c>
      <c r="D1209" s="1" t="s">
        <v>49</v>
      </c>
      <c r="E1209" s="1" t="s">
        <v>41</v>
      </c>
      <c r="F1209">
        <v>945</v>
      </c>
      <c r="G1209" s="1" t="s">
        <v>71</v>
      </c>
      <c r="H1209">
        <v>5</v>
      </c>
      <c r="I1209">
        <v>2</v>
      </c>
      <c r="J1209" s="1" t="s">
        <v>52</v>
      </c>
      <c r="K1209">
        <v>1</v>
      </c>
      <c r="L1209">
        <v>103</v>
      </c>
      <c r="M1209">
        <v>2</v>
      </c>
      <c r="N1209" s="1" t="s">
        <v>44</v>
      </c>
      <c r="O1209">
        <v>80</v>
      </c>
      <c r="P1209">
        <v>3</v>
      </c>
      <c r="Q1209">
        <v>2</v>
      </c>
      <c r="R1209" s="1" t="s">
        <v>71</v>
      </c>
      <c r="S1209">
        <v>2</v>
      </c>
      <c r="T1209" s="1" t="s">
        <v>102</v>
      </c>
      <c r="U1209">
        <v>5021</v>
      </c>
      <c r="V1209" s="1" t="s">
        <v>163</v>
      </c>
      <c r="W1209">
        <v>10425</v>
      </c>
      <c r="X1209">
        <v>8</v>
      </c>
      <c r="Y1209" s="1" t="s">
        <v>48</v>
      </c>
      <c r="Z1209" s="1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8">
      <c r="A1210" s="1" t="s">
        <v>1274</v>
      </c>
      <c r="B1210">
        <v>46</v>
      </c>
      <c r="C1210" s="1" t="s">
        <v>1271</v>
      </c>
      <c r="D1210" s="1" t="s">
        <v>40</v>
      </c>
      <c r="E1210" s="1" t="s">
        <v>41</v>
      </c>
      <c r="F1210">
        <v>669</v>
      </c>
      <c r="G1210" s="1" t="s">
        <v>51</v>
      </c>
      <c r="H1210">
        <v>9</v>
      </c>
      <c r="I1210">
        <v>2</v>
      </c>
      <c r="J1210" s="1" t="s">
        <v>52</v>
      </c>
      <c r="K1210">
        <v>1</v>
      </c>
      <c r="L1210">
        <v>118</v>
      </c>
      <c r="M1210">
        <v>3</v>
      </c>
      <c r="N1210" s="1" t="s">
        <v>44</v>
      </c>
      <c r="O1210">
        <v>64</v>
      </c>
      <c r="P1210">
        <v>2</v>
      </c>
      <c r="Q1210">
        <v>3</v>
      </c>
      <c r="R1210" s="1" t="s">
        <v>137</v>
      </c>
      <c r="S1210">
        <v>4</v>
      </c>
      <c r="T1210" s="1" t="s">
        <v>46</v>
      </c>
      <c r="U1210">
        <v>9619</v>
      </c>
      <c r="V1210" s="1" t="s">
        <v>163</v>
      </c>
      <c r="W1210">
        <v>13596</v>
      </c>
      <c r="X1210">
        <v>1</v>
      </c>
      <c r="Y1210" s="1" t="s">
        <v>48</v>
      </c>
      <c r="Z1210" s="1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8">
      <c r="A1211" s="1" t="s">
        <v>1275</v>
      </c>
      <c r="B1211">
        <v>46</v>
      </c>
      <c r="C1211" s="1" t="s">
        <v>1271</v>
      </c>
      <c r="D1211" s="1" t="s">
        <v>49</v>
      </c>
      <c r="E1211" s="1" t="s">
        <v>56</v>
      </c>
      <c r="F1211">
        <v>638</v>
      </c>
      <c r="G1211" s="1" t="s">
        <v>42</v>
      </c>
      <c r="H1211">
        <v>1</v>
      </c>
      <c r="I1211">
        <v>3</v>
      </c>
      <c r="J1211" s="1" t="s">
        <v>52</v>
      </c>
      <c r="K1211">
        <v>1</v>
      </c>
      <c r="L1211">
        <v>124</v>
      </c>
      <c r="M1211">
        <v>3</v>
      </c>
      <c r="N1211" s="1" t="s">
        <v>44</v>
      </c>
      <c r="O1211">
        <v>40</v>
      </c>
      <c r="P1211">
        <v>2</v>
      </c>
      <c r="Q1211">
        <v>3</v>
      </c>
      <c r="R1211" s="1" t="s">
        <v>161</v>
      </c>
      <c r="S1211">
        <v>1</v>
      </c>
      <c r="T1211" s="1" t="s">
        <v>105</v>
      </c>
      <c r="U1211">
        <v>10673</v>
      </c>
      <c r="V1211" s="1" t="s">
        <v>253</v>
      </c>
      <c r="W1211">
        <v>3142</v>
      </c>
      <c r="X1211">
        <v>2</v>
      </c>
      <c r="Y1211" s="1" t="s">
        <v>48</v>
      </c>
      <c r="Z1211" s="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8">
      <c r="A1212" s="1" t="s">
        <v>1276</v>
      </c>
      <c r="B1212">
        <v>46</v>
      </c>
      <c r="C1212" s="1" t="s">
        <v>1271</v>
      </c>
      <c r="D1212" s="1" t="s">
        <v>49</v>
      </c>
      <c r="E1212" s="1" t="s">
        <v>41</v>
      </c>
      <c r="F1212">
        <v>526</v>
      </c>
      <c r="G1212" s="1" t="s">
        <v>51</v>
      </c>
      <c r="H1212">
        <v>1</v>
      </c>
      <c r="I1212">
        <v>2</v>
      </c>
      <c r="J1212" s="1" t="s">
        <v>57</v>
      </c>
      <c r="K1212">
        <v>1</v>
      </c>
      <c r="L1212">
        <v>244</v>
      </c>
      <c r="M1212">
        <v>2</v>
      </c>
      <c r="N1212" s="1" t="s">
        <v>53</v>
      </c>
      <c r="O1212">
        <v>92</v>
      </c>
      <c r="P1212">
        <v>3</v>
      </c>
      <c r="Q1212">
        <v>3</v>
      </c>
      <c r="R1212" s="1" t="s">
        <v>137</v>
      </c>
      <c r="S1212">
        <v>1</v>
      </c>
      <c r="T1212" s="1" t="s">
        <v>102</v>
      </c>
      <c r="U1212">
        <v>10453</v>
      </c>
      <c r="V1212" s="1" t="s">
        <v>253</v>
      </c>
      <c r="W1212">
        <v>2137</v>
      </c>
      <c r="X1212">
        <v>1</v>
      </c>
      <c r="Y1212" s="1" t="s">
        <v>48</v>
      </c>
      <c r="Z1212" s="1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8">
      <c r="A1213" s="1" t="s">
        <v>1277</v>
      </c>
      <c r="B1213">
        <v>46</v>
      </c>
      <c r="C1213" s="1" t="s">
        <v>1271</v>
      </c>
      <c r="D1213" s="1" t="s">
        <v>49</v>
      </c>
      <c r="E1213" s="1" t="s">
        <v>41</v>
      </c>
      <c r="F1213">
        <v>644</v>
      </c>
      <c r="G1213" s="1" t="s">
        <v>42</v>
      </c>
      <c r="H1213">
        <v>1</v>
      </c>
      <c r="I1213">
        <v>4</v>
      </c>
      <c r="J1213" s="1" t="s">
        <v>52</v>
      </c>
      <c r="K1213">
        <v>1</v>
      </c>
      <c r="L1213">
        <v>288</v>
      </c>
      <c r="M1213">
        <v>4</v>
      </c>
      <c r="N1213" s="1" t="s">
        <v>44</v>
      </c>
      <c r="O1213">
        <v>97</v>
      </c>
      <c r="P1213">
        <v>3</v>
      </c>
      <c r="Q1213">
        <v>3</v>
      </c>
      <c r="R1213" s="1" t="s">
        <v>161</v>
      </c>
      <c r="S1213">
        <v>1</v>
      </c>
      <c r="T1213" s="1" t="s">
        <v>102</v>
      </c>
      <c r="U1213">
        <v>9396</v>
      </c>
      <c r="V1213" s="1" t="s">
        <v>163</v>
      </c>
      <c r="W1213">
        <v>12368</v>
      </c>
      <c r="X1213">
        <v>7</v>
      </c>
      <c r="Y1213" s="1" t="s">
        <v>48</v>
      </c>
      <c r="Z1213" s="1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8">
      <c r="A1214" s="1" t="s">
        <v>1278</v>
      </c>
      <c r="B1214">
        <v>46</v>
      </c>
      <c r="C1214" s="1" t="s">
        <v>1271</v>
      </c>
      <c r="D1214" s="1" t="s">
        <v>49</v>
      </c>
      <c r="E1214" s="1" t="s">
        <v>41</v>
      </c>
      <c r="F1214">
        <v>488</v>
      </c>
      <c r="G1214" s="1" t="s">
        <v>51</v>
      </c>
      <c r="H1214">
        <v>2</v>
      </c>
      <c r="I1214">
        <v>3</v>
      </c>
      <c r="J1214" s="1" t="s">
        <v>68</v>
      </c>
      <c r="K1214">
        <v>1</v>
      </c>
      <c r="L1214">
        <v>363</v>
      </c>
      <c r="M1214">
        <v>3</v>
      </c>
      <c r="N1214" s="1" t="s">
        <v>53</v>
      </c>
      <c r="O1214">
        <v>75</v>
      </c>
      <c r="P1214">
        <v>1</v>
      </c>
      <c r="Q1214">
        <v>4</v>
      </c>
      <c r="R1214" s="1" t="s">
        <v>442</v>
      </c>
      <c r="S1214">
        <v>2</v>
      </c>
      <c r="T1214" s="1" t="s">
        <v>105</v>
      </c>
      <c r="U1214">
        <v>16872</v>
      </c>
      <c r="V1214" s="1" t="s">
        <v>368</v>
      </c>
      <c r="W1214">
        <v>14977</v>
      </c>
      <c r="X1214">
        <v>3</v>
      </c>
      <c r="Y1214" s="1" t="s">
        <v>48</v>
      </c>
      <c r="Z1214" s="1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8">
      <c r="A1215" s="1" t="s">
        <v>1279</v>
      </c>
      <c r="B1215">
        <v>46</v>
      </c>
      <c r="C1215" s="1" t="s">
        <v>1271</v>
      </c>
      <c r="D1215" s="1" t="s">
        <v>49</v>
      </c>
      <c r="E1215" s="1" t="s">
        <v>59</v>
      </c>
      <c r="F1215">
        <v>1144</v>
      </c>
      <c r="G1215" s="1" t="s">
        <v>42</v>
      </c>
      <c r="H1215">
        <v>7</v>
      </c>
      <c r="I1215">
        <v>4</v>
      </c>
      <c r="J1215" s="1" t="s">
        <v>52</v>
      </c>
      <c r="K1215">
        <v>1</v>
      </c>
      <c r="L1215">
        <v>487</v>
      </c>
      <c r="M1215">
        <v>3</v>
      </c>
      <c r="N1215" s="1" t="s">
        <v>53</v>
      </c>
      <c r="O1215">
        <v>30</v>
      </c>
      <c r="P1215">
        <v>3</v>
      </c>
      <c r="Q1215">
        <v>2</v>
      </c>
      <c r="R1215" s="1" t="s">
        <v>112</v>
      </c>
      <c r="S1215">
        <v>3</v>
      </c>
      <c r="T1215" s="1" t="s">
        <v>105</v>
      </c>
      <c r="U1215">
        <v>5258</v>
      </c>
      <c r="V1215" s="1" t="s">
        <v>163</v>
      </c>
      <c r="W1215">
        <v>16044</v>
      </c>
      <c r="X1215">
        <v>2</v>
      </c>
      <c r="Y1215" s="1" t="s">
        <v>48</v>
      </c>
      <c r="Z1215" s="1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8">
      <c r="A1216" s="1" t="s">
        <v>1280</v>
      </c>
      <c r="B1216">
        <v>46</v>
      </c>
      <c r="C1216" s="1" t="s">
        <v>1271</v>
      </c>
      <c r="D1216" s="1" t="s">
        <v>49</v>
      </c>
      <c r="E1216" s="1" t="s">
        <v>41</v>
      </c>
      <c r="F1216">
        <v>1485</v>
      </c>
      <c r="G1216" s="1" t="s">
        <v>42</v>
      </c>
      <c r="H1216">
        <v>18</v>
      </c>
      <c r="I1216">
        <v>3</v>
      </c>
      <c r="J1216" s="1" t="s">
        <v>52</v>
      </c>
      <c r="K1216">
        <v>1</v>
      </c>
      <c r="L1216">
        <v>550</v>
      </c>
      <c r="M1216">
        <v>3</v>
      </c>
      <c r="N1216" s="1" t="s">
        <v>53</v>
      </c>
      <c r="O1216">
        <v>87</v>
      </c>
      <c r="P1216">
        <v>3</v>
      </c>
      <c r="Q1216">
        <v>2</v>
      </c>
      <c r="R1216" s="1" t="s">
        <v>112</v>
      </c>
      <c r="S1216">
        <v>3</v>
      </c>
      <c r="T1216" s="1" t="s">
        <v>102</v>
      </c>
      <c r="U1216">
        <v>4810</v>
      </c>
      <c r="V1216" s="1" t="s">
        <v>47</v>
      </c>
      <c r="W1216">
        <v>26314</v>
      </c>
      <c r="X1216">
        <v>2</v>
      </c>
      <c r="Y1216" s="1" t="s">
        <v>48</v>
      </c>
      <c r="Z1216" s="1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8">
      <c r="A1217" s="1" t="s">
        <v>1281</v>
      </c>
      <c r="B1217">
        <v>46</v>
      </c>
      <c r="C1217" s="1" t="s">
        <v>1271</v>
      </c>
      <c r="D1217" s="1" t="s">
        <v>49</v>
      </c>
      <c r="E1217" s="1" t="s">
        <v>41</v>
      </c>
      <c r="F1217">
        <v>1009</v>
      </c>
      <c r="G1217" s="1" t="s">
        <v>42</v>
      </c>
      <c r="H1217">
        <v>2</v>
      </c>
      <c r="I1217">
        <v>3</v>
      </c>
      <c r="J1217" s="1" t="s">
        <v>43</v>
      </c>
      <c r="K1217">
        <v>1</v>
      </c>
      <c r="L1217">
        <v>575</v>
      </c>
      <c r="M1217">
        <v>1</v>
      </c>
      <c r="N1217" s="1" t="s">
        <v>44</v>
      </c>
      <c r="O1217">
        <v>51</v>
      </c>
      <c r="P1217">
        <v>3</v>
      </c>
      <c r="Q1217">
        <v>4</v>
      </c>
      <c r="R1217" s="1" t="s">
        <v>252</v>
      </c>
      <c r="S1217">
        <v>3</v>
      </c>
      <c r="T1217" s="1" t="s">
        <v>105</v>
      </c>
      <c r="U1217">
        <v>17861</v>
      </c>
      <c r="V1217" s="1" t="s">
        <v>368</v>
      </c>
      <c r="W1217">
        <v>2288</v>
      </c>
      <c r="X1217">
        <v>6</v>
      </c>
      <c r="Y1217" s="1" t="s">
        <v>48</v>
      </c>
      <c r="Z1217" s="1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8">
      <c r="A1218" s="1" t="s">
        <v>1282</v>
      </c>
      <c r="B1218">
        <v>46</v>
      </c>
      <c r="C1218" s="1" t="s">
        <v>1271</v>
      </c>
      <c r="D1218" s="1" t="s">
        <v>49</v>
      </c>
      <c r="E1218" s="1" t="s">
        <v>41</v>
      </c>
      <c r="F1218">
        <v>1125</v>
      </c>
      <c r="G1218" s="1" t="s">
        <v>51</v>
      </c>
      <c r="H1218">
        <v>10</v>
      </c>
      <c r="I1218">
        <v>3</v>
      </c>
      <c r="J1218" s="1" t="s">
        <v>57</v>
      </c>
      <c r="K1218">
        <v>1</v>
      </c>
      <c r="L1218">
        <v>580</v>
      </c>
      <c r="M1218">
        <v>3</v>
      </c>
      <c r="N1218" s="1" t="s">
        <v>53</v>
      </c>
      <c r="O1218">
        <v>94</v>
      </c>
      <c r="P1218">
        <v>2</v>
      </c>
      <c r="Q1218">
        <v>3</v>
      </c>
      <c r="R1218" s="1" t="s">
        <v>137</v>
      </c>
      <c r="S1218">
        <v>4</v>
      </c>
      <c r="T1218" s="1" t="s">
        <v>105</v>
      </c>
      <c r="U1218">
        <v>9071</v>
      </c>
      <c r="V1218" s="1" t="s">
        <v>163</v>
      </c>
      <c r="W1218">
        <v>11563</v>
      </c>
      <c r="X1218">
        <v>2</v>
      </c>
      <c r="Y1218" s="1" t="s">
        <v>48</v>
      </c>
      <c r="Z1218" s="1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8">
      <c r="A1219" s="1" t="s">
        <v>1283</v>
      </c>
      <c r="B1219">
        <v>46</v>
      </c>
      <c r="C1219" s="1" t="s">
        <v>1271</v>
      </c>
      <c r="D1219" s="1" t="s">
        <v>49</v>
      </c>
      <c r="E1219" s="1" t="s">
        <v>56</v>
      </c>
      <c r="F1219">
        <v>1034</v>
      </c>
      <c r="G1219" s="1" t="s">
        <v>42</v>
      </c>
      <c r="H1219">
        <v>18</v>
      </c>
      <c r="I1219">
        <v>1</v>
      </c>
      <c r="J1219" s="1" t="s">
        <v>52</v>
      </c>
      <c r="K1219">
        <v>1</v>
      </c>
      <c r="L1219">
        <v>624</v>
      </c>
      <c r="M1219">
        <v>1</v>
      </c>
      <c r="N1219" s="1" t="s">
        <v>53</v>
      </c>
      <c r="O1219">
        <v>86</v>
      </c>
      <c r="P1219">
        <v>3</v>
      </c>
      <c r="Q1219">
        <v>3</v>
      </c>
      <c r="R1219" s="1" t="s">
        <v>161</v>
      </c>
      <c r="S1219">
        <v>3</v>
      </c>
      <c r="T1219" s="1" t="s">
        <v>105</v>
      </c>
      <c r="U1219">
        <v>10527</v>
      </c>
      <c r="V1219" s="1" t="s">
        <v>253</v>
      </c>
      <c r="W1219">
        <v>8984</v>
      </c>
      <c r="X1219">
        <v>5</v>
      </c>
      <c r="Y1219" s="1" t="s">
        <v>48</v>
      </c>
      <c r="Z1219" s="1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8">
      <c r="A1220" s="1" t="s">
        <v>1284</v>
      </c>
      <c r="B1220">
        <v>46</v>
      </c>
      <c r="C1220" s="1" t="s">
        <v>1271</v>
      </c>
      <c r="D1220" s="1" t="s">
        <v>49</v>
      </c>
      <c r="E1220" s="1" t="s">
        <v>41</v>
      </c>
      <c r="F1220">
        <v>566</v>
      </c>
      <c r="G1220" s="1" t="s">
        <v>42</v>
      </c>
      <c r="H1220">
        <v>7</v>
      </c>
      <c r="I1220">
        <v>2</v>
      </c>
      <c r="J1220" s="1" t="s">
        <v>52</v>
      </c>
      <c r="K1220">
        <v>1</v>
      </c>
      <c r="L1220">
        <v>1007</v>
      </c>
      <c r="M1220">
        <v>4</v>
      </c>
      <c r="N1220" s="1" t="s">
        <v>44</v>
      </c>
      <c r="O1220">
        <v>75</v>
      </c>
      <c r="P1220">
        <v>3</v>
      </c>
      <c r="Q1220">
        <v>3</v>
      </c>
      <c r="R1220" s="1" t="s">
        <v>112</v>
      </c>
      <c r="S1220">
        <v>3</v>
      </c>
      <c r="T1220" s="1" t="s">
        <v>102</v>
      </c>
      <c r="U1220">
        <v>10845</v>
      </c>
      <c r="V1220" s="1" t="s">
        <v>253</v>
      </c>
      <c r="W1220">
        <v>24208</v>
      </c>
      <c r="X1220">
        <v>6</v>
      </c>
      <c r="Y1220" s="1" t="s">
        <v>48</v>
      </c>
      <c r="Z1220" s="1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8">
      <c r="A1221" s="1" t="s">
        <v>1285</v>
      </c>
      <c r="B1221">
        <v>46</v>
      </c>
      <c r="C1221" s="1" t="s">
        <v>1271</v>
      </c>
      <c r="D1221" s="1" t="s">
        <v>49</v>
      </c>
      <c r="E1221" s="1" t="s">
        <v>41</v>
      </c>
      <c r="F1221">
        <v>430</v>
      </c>
      <c r="G1221" s="1" t="s">
        <v>42</v>
      </c>
      <c r="H1221">
        <v>1</v>
      </c>
      <c r="I1221">
        <v>4</v>
      </c>
      <c r="J1221" s="1" t="s">
        <v>52</v>
      </c>
      <c r="K1221">
        <v>1</v>
      </c>
      <c r="L1221">
        <v>1069</v>
      </c>
      <c r="M1221">
        <v>4</v>
      </c>
      <c r="N1221" s="1" t="s">
        <v>44</v>
      </c>
      <c r="O1221">
        <v>40</v>
      </c>
      <c r="P1221">
        <v>3</v>
      </c>
      <c r="Q1221">
        <v>5</v>
      </c>
      <c r="R1221" s="1" t="s">
        <v>252</v>
      </c>
      <c r="S1221">
        <v>4</v>
      </c>
      <c r="T1221" s="1" t="s">
        <v>102</v>
      </c>
      <c r="U1221">
        <v>19627</v>
      </c>
      <c r="V1221" s="1" t="s">
        <v>368</v>
      </c>
      <c r="W1221">
        <v>21445</v>
      </c>
      <c r="X1221">
        <v>9</v>
      </c>
      <c r="Y1221" s="1" t="s">
        <v>48</v>
      </c>
      <c r="Z1221" s="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8">
      <c r="A1222" s="1" t="s">
        <v>1286</v>
      </c>
      <c r="B1222">
        <v>46</v>
      </c>
      <c r="C1222" s="1" t="s">
        <v>1271</v>
      </c>
      <c r="D1222" s="1" t="s">
        <v>49</v>
      </c>
      <c r="E1222" s="1" t="s">
        <v>41</v>
      </c>
      <c r="F1222">
        <v>1003</v>
      </c>
      <c r="G1222" s="1" t="s">
        <v>42</v>
      </c>
      <c r="H1222">
        <v>8</v>
      </c>
      <c r="I1222">
        <v>4</v>
      </c>
      <c r="J1222" s="1" t="s">
        <v>43</v>
      </c>
      <c r="K1222">
        <v>1</v>
      </c>
      <c r="L1222">
        <v>1080</v>
      </c>
      <c r="M1222">
        <v>4</v>
      </c>
      <c r="N1222" s="1" t="s">
        <v>53</v>
      </c>
      <c r="O1222">
        <v>74</v>
      </c>
      <c r="P1222">
        <v>2</v>
      </c>
      <c r="Q1222">
        <v>2</v>
      </c>
      <c r="R1222" s="1" t="s">
        <v>60</v>
      </c>
      <c r="S1222">
        <v>1</v>
      </c>
      <c r="T1222" s="1" t="s">
        <v>102</v>
      </c>
      <c r="U1222">
        <v>4615</v>
      </c>
      <c r="V1222" s="1" t="s">
        <v>47</v>
      </c>
      <c r="W1222">
        <v>21029</v>
      </c>
      <c r="X1222">
        <v>8</v>
      </c>
      <c r="Y1222" s="1" t="s">
        <v>48</v>
      </c>
      <c r="Z1222" s="1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8">
      <c r="A1223" s="1" t="s">
        <v>1287</v>
      </c>
      <c r="B1223">
        <v>46</v>
      </c>
      <c r="C1223" s="1" t="s">
        <v>1271</v>
      </c>
      <c r="D1223" s="1" t="s">
        <v>49</v>
      </c>
      <c r="E1223" s="1" t="s">
        <v>41</v>
      </c>
      <c r="F1223">
        <v>406</v>
      </c>
      <c r="G1223" s="1" t="s">
        <v>51</v>
      </c>
      <c r="H1223">
        <v>3</v>
      </c>
      <c r="I1223">
        <v>1</v>
      </c>
      <c r="J1223" s="1" t="s">
        <v>57</v>
      </c>
      <c r="K1223">
        <v>1</v>
      </c>
      <c r="L1223">
        <v>1124</v>
      </c>
      <c r="M1223">
        <v>1</v>
      </c>
      <c r="N1223" s="1" t="s">
        <v>44</v>
      </c>
      <c r="O1223">
        <v>52</v>
      </c>
      <c r="P1223">
        <v>3</v>
      </c>
      <c r="Q1223">
        <v>4</v>
      </c>
      <c r="R1223" s="1" t="s">
        <v>442</v>
      </c>
      <c r="S1223">
        <v>3</v>
      </c>
      <c r="T1223" s="1" t="s">
        <v>105</v>
      </c>
      <c r="U1223">
        <v>17465</v>
      </c>
      <c r="V1223" s="1" t="s">
        <v>368</v>
      </c>
      <c r="W1223">
        <v>15596</v>
      </c>
      <c r="X1223">
        <v>3</v>
      </c>
      <c r="Y1223" s="1" t="s">
        <v>48</v>
      </c>
      <c r="Z1223" s="1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8">
      <c r="A1224" s="1" t="s">
        <v>1288</v>
      </c>
      <c r="B1224">
        <v>46</v>
      </c>
      <c r="C1224" s="1" t="s">
        <v>1271</v>
      </c>
      <c r="D1224" s="1" t="s">
        <v>49</v>
      </c>
      <c r="E1224" s="1" t="s">
        <v>41</v>
      </c>
      <c r="F1224">
        <v>1402</v>
      </c>
      <c r="G1224" s="1" t="s">
        <v>51</v>
      </c>
      <c r="H1224">
        <v>2</v>
      </c>
      <c r="I1224">
        <v>3</v>
      </c>
      <c r="J1224" s="1" t="s">
        <v>57</v>
      </c>
      <c r="K1224">
        <v>1</v>
      </c>
      <c r="L1224">
        <v>1204</v>
      </c>
      <c r="M1224">
        <v>3</v>
      </c>
      <c r="N1224" s="1" t="s">
        <v>53</v>
      </c>
      <c r="O1224">
        <v>69</v>
      </c>
      <c r="P1224">
        <v>3</v>
      </c>
      <c r="Q1224">
        <v>4</v>
      </c>
      <c r="R1224" s="1" t="s">
        <v>442</v>
      </c>
      <c r="S1224">
        <v>1</v>
      </c>
      <c r="T1224" s="1" t="s">
        <v>105</v>
      </c>
      <c r="U1224">
        <v>17048</v>
      </c>
      <c r="V1224" s="1" t="s">
        <v>368</v>
      </c>
      <c r="W1224">
        <v>24097</v>
      </c>
      <c r="X1224">
        <v>8</v>
      </c>
      <c r="Y1224" s="1" t="s">
        <v>48</v>
      </c>
      <c r="Z1224" s="1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8">
      <c r="A1225" s="1" t="s">
        <v>1289</v>
      </c>
      <c r="B1225">
        <v>46</v>
      </c>
      <c r="C1225" s="1" t="s">
        <v>1271</v>
      </c>
      <c r="D1225" s="1" t="s">
        <v>49</v>
      </c>
      <c r="E1225" s="1" t="s">
        <v>41</v>
      </c>
      <c r="F1225">
        <v>1450</v>
      </c>
      <c r="G1225" s="1" t="s">
        <v>42</v>
      </c>
      <c r="H1225">
        <v>15</v>
      </c>
      <c r="I1225">
        <v>2</v>
      </c>
      <c r="J1225" s="1" t="s">
        <v>43</v>
      </c>
      <c r="K1225">
        <v>1</v>
      </c>
      <c r="L1225">
        <v>1217</v>
      </c>
      <c r="M1225">
        <v>4</v>
      </c>
      <c r="N1225" s="1" t="s">
        <v>44</v>
      </c>
      <c r="O1225">
        <v>52</v>
      </c>
      <c r="P1225">
        <v>3</v>
      </c>
      <c r="Q1225">
        <v>5</v>
      </c>
      <c r="R1225" s="1" t="s">
        <v>252</v>
      </c>
      <c r="S1225">
        <v>2</v>
      </c>
      <c r="T1225" s="1" t="s">
        <v>105</v>
      </c>
      <c r="U1225">
        <v>19081</v>
      </c>
      <c r="V1225" s="1" t="s">
        <v>368</v>
      </c>
      <c r="W1225">
        <v>10849</v>
      </c>
      <c r="X1225">
        <v>5</v>
      </c>
      <c r="Y1225" s="1" t="s">
        <v>48</v>
      </c>
      <c r="Z1225" s="1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8">
      <c r="A1226" s="1" t="s">
        <v>1290</v>
      </c>
      <c r="B1226">
        <v>46</v>
      </c>
      <c r="C1226" s="1" t="s">
        <v>1271</v>
      </c>
      <c r="D1226" s="1" t="s">
        <v>49</v>
      </c>
      <c r="E1226" s="1" t="s">
        <v>41</v>
      </c>
      <c r="F1226">
        <v>150</v>
      </c>
      <c r="G1226" s="1" t="s">
        <v>42</v>
      </c>
      <c r="H1226">
        <v>2</v>
      </c>
      <c r="I1226">
        <v>4</v>
      </c>
      <c r="J1226" s="1" t="s">
        <v>68</v>
      </c>
      <c r="K1226">
        <v>1</v>
      </c>
      <c r="L1226">
        <v>1228</v>
      </c>
      <c r="M1226">
        <v>4</v>
      </c>
      <c r="N1226" s="1" t="s">
        <v>44</v>
      </c>
      <c r="O1226">
        <v>60</v>
      </c>
      <c r="P1226">
        <v>3</v>
      </c>
      <c r="Q1226">
        <v>2</v>
      </c>
      <c r="R1226" s="1" t="s">
        <v>112</v>
      </c>
      <c r="S1226">
        <v>4</v>
      </c>
      <c r="T1226" s="1" t="s">
        <v>102</v>
      </c>
      <c r="U1226">
        <v>7379</v>
      </c>
      <c r="V1226" s="1" t="s">
        <v>163</v>
      </c>
      <c r="W1226">
        <v>17433</v>
      </c>
      <c r="X1226">
        <v>2</v>
      </c>
      <c r="Y1226" s="1" t="s">
        <v>48</v>
      </c>
      <c r="Z1226" s="1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8">
      <c r="A1227" s="1" t="s">
        <v>1291</v>
      </c>
      <c r="B1227">
        <v>46</v>
      </c>
      <c r="C1227" s="1" t="s">
        <v>1271</v>
      </c>
      <c r="D1227" s="1" t="s">
        <v>49</v>
      </c>
      <c r="E1227" s="1" t="s">
        <v>41</v>
      </c>
      <c r="F1227">
        <v>168</v>
      </c>
      <c r="G1227" s="1" t="s">
        <v>51</v>
      </c>
      <c r="H1227">
        <v>4</v>
      </c>
      <c r="I1227">
        <v>2</v>
      </c>
      <c r="J1227" s="1" t="s">
        <v>57</v>
      </c>
      <c r="K1227">
        <v>1</v>
      </c>
      <c r="L1227">
        <v>1280</v>
      </c>
      <c r="M1227">
        <v>4</v>
      </c>
      <c r="N1227" s="1" t="s">
        <v>53</v>
      </c>
      <c r="O1227">
        <v>33</v>
      </c>
      <c r="P1227">
        <v>2</v>
      </c>
      <c r="Q1227">
        <v>5</v>
      </c>
      <c r="R1227" s="1" t="s">
        <v>442</v>
      </c>
      <c r="S1227">
        <v>2</v>
      </c>
      <c r="T1227" s="1" t="s">
        <v>105</v>
      </c>
      <c r="U1227">
        <v>18789</v>
      </c>
      <c r="V1227" s="1" t="s">
        <v>368</v>
      </c>
      <c r="W1227">
        <v>9946</v>
      </c>
      <c r="X1227">
        <v>2</v>
      </c>
      <c r="Y1227" s="1" t="s">
        <v>48</v>
      </c>
      <c r="Z1227" s="1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8">
      <c r="A1228" s="1" t="s">
        <v>1292</v>
      </c>
      <c r="B1228">
        <v>46</v>
      </c>
      <c r="C1228" s="1" t="s">
        <v>1271</v>
      </c>
      <c r="D1228" s="1" t="s">
        <v>49</v>
      </c>
      <c r="E1228" s="1" t="s">
        <v>41</v>
      </c>
      <c r="F1228">
        <v>991</v>
      </c>
      <c r="G1228" s="1" t="s">
        <v>71</v>
      </c>
      <c r="H1228">
        <v>1</v>
      </c>
      <c r="I1228">
        <v>2</v>
      </c>
      <c r="J1228" s="1" t="s">
        <v>43</v>
      </c>
      <c r="K1228">
        <v>1</v>
      </c>
      <c r="L1228">
        <v>1314</v>
      </c>
      <c r="M1228">
        <v>4</v>
      </c>
      <c r="N1228" s="1" t="s">
        <v>53</v>
      </c>
      <c r="O1228">
        <v>44</v>
      </c>
      <c r="P1228">
        <v>3</v>
      </c>
      <c r="Q1228">
        <v>1</v>
      </c>
      <c r="R1228" s="1" t="s">
        <v>71</v>
      </c>
      <c r="S1228">
        <v>1</v>
      </c>
      <c r="T1228" s="1" t="s">
        <v>46</v>
      </c>
      <c r="U1228">
        <v>3423</v>
      </c>
      <c r="V1228" s="1" t="s">
        <v>47</v>
      </c>
      <c r="W1228">
        <v>22957</v>
      </c>
      <c r="X1228">
        <v>6</v>
      </c>
      <c r="Y1228" s="1" t="s">
        <v>48</v>
      </c>
      <c r="Z1228" s="1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8">
      <c r="A1229" s="1" t="s">
        <v>1293</v>
      </c>
      <c r="B1229">
        <v>46</v>
      </c>
      <c r="C1229" s="1" t="s">
        <v>1271</v>
      </c>
      <c r="D1229" s="1" t="s">
        <v>40</v>
      </c>
      <c r="E1229" s="1" t="s">
        <v>41</v>
      </c>
      <c r="F1229">
        <v>377</v>
      </c>
      <c r="G1229" s="1" t="s">
        <v>51</v>
      </c>
      <c r="H1229">
        <v>9</v>
      </c>
      <c r="I1229">
        <v>3</v>
      </c>
      <c r="J1229" s="1" t="s">
        <v>57</v>
      </c>
      <c r="K1229">
        <v>1</v>
      </c>
      <c r="L1229">
        <v>1457</v>
      </c>
      <c r="M1229">
        <v>1</v>
      </c>
      <c r="N1229" s="1" t="s">
        <v>44</v>
      </c>
      <c r="O1229">
        <v>52</v>
      </c>
      <c r="P1229">
        <v>3</v>
      </c>
      <c r="Q1229">
        <v>3</v>
      </c>
      <c r="R1229" s="1" t="s">
        <v>137</v>
      </c>
      <c r="S1229">
        <v>4</v>
      </c>
      <c r="T1229" s="1" t="s">
        <v>102</v>
      </c>
      <c r="U1229">
        <v>10096</v>
      </c>
      <c r="V1229" s="1" t="s">
        <v>253</v>
      </c>
      <c r="W1229">
        <v>15986</v>
      </c>
      <c r="X1229">
        <v>4</v>
      </c>
      <c r="Y1229" s="1" t="s">
        <v>48</v>
      </c>
      <c r="Z1229" s="1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8">
      <c r="A1230" s="1" t="s">
        <v>1294</v>
      </c>
      <c r="B1230">
        <v>46</v>
      </c>
      <c r="C1230" s="1" t="s">
        <v>1271</v>
      </c>
      <c r="D1230" s="1" t="s">
        <v>49</v>
      </c>
      <c r="E1230" s="1" t="s">
        <v>41</v>
      </c>
      <c r="F1230">
        <v>228</v>
      </c>
      <c r="G1230" s="1" t="s">
        <v>51</v>
      </c>
      <c r="H1230">
        <v>3</v>
      </c>
      <c r="I1230">
        <v>3</v>
      </c>
      <c r="J1230" s="1" t="s">
        <v>43</v>
      </c>
      <c r="K1230">
        <v>1</v>
      </c>
      <c r="L1230">
        <v>1527</v>
      </c>
      <c r="M1230">
        <v>3</v>
      </c>
      <c r="N1230" s="1" t="s">
        <v>53</v>
      </c>
      <c r="O1230">
        <v>51</v>
      </c>
      <c r="P1230">
        <v>3</v>
      </c>
      <c r="Q1230">
        <v>4</v>
      </c>
      <c r="R1230" s="1" t="s">
        <v>442</v>
      </c>
      <c r="S1230">
        <v>2</v>
      </c>
      <c r="T1230" s="1" t="s">
        <v>105</v>
      </c>
      <c r="U1230">
        <v>16606</v>
      </c>
      <c r="V1230" s="1" t="s">
        <v>368</v>
      </c>
      <c r="W1230">
        <v>11380</v>
      </c>
      <c r="X1230">
        <v>8</v>
      </c>
      <c r="Y1230" s="1" t="s">
        <v>48</v>
      </c>
      <c r="Z1230" s="1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8">
      <c r="A1231" s="1" t="s">
        <v>1295</v>
      </c>
      <c r="B1231">
        <v>46</v>
      </c>
      <c r="C1231" s="1" t="s">
        <v>1271</v>
      </c>
      <c r="D1231" s="1" t="s">
        <v>49</v>
      </c>
      <c r="E1231" s="1" t="s">
        <v>41</v>
      </c>
      <c r="F1231">
        <v>563</v>
      </c>
      <c r="G1231" s="1" t="s">
        <v>51</v>
      </c>
      <c r="H1231">
        <v>1</v>
      </c>
      <c r="I1231">
        <v>4</v>
      </c>
      <c r="J1231" s="1" t="s">
        <v>43</v>
      </c>
      <c r="K1231">
        <v>1</v>
      </c>
      <c r="L1231">
        <v>1602</v>
      </c>
      <c r="M1231">
        <v>4</v>
      </c>
      <c r="N1231" s="1" t="s">
        <v>44</v>
      </c>
      <c r="O1231">
        <v>56</v>
      </c>
      <c r="P1231">
        <v>4</v>
      </c>
      <c r="Q1231">
        <v>4</v>
      </c>
      <c r="R1231" s="1" t="s">
        <v>442</v>
      </c>
      <c r="S1231">
        <v>1</v>
      </c>
      <c r="T1231" s="1" t="s">
        <v>46</v>
      </c>
      <c r="U1231">
        <v>17567</v>
      </c>
      <c r="V1231" s="1" t="s">
        <v>368</v>
      </c>
      <c r="W1231">
        <v>3156</v>
      </c>
      <c r="X1231">
        <v>1</v>
      </c>
      <c r="Y1231" s="1" t="s">
        <v>48</v>
      </c>
      <c r="Z1231" s="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8">
      <c r="A1232" s="1" t="s">
        <v>1296</v>
      </c>
      <c r="B1232">
        <v>46</v>
      </c>
      <c r="C1232" s="1" t="s">
        <v>1271</v>
      </c>
      <c r="D1232" s="1" t="s">
        <v>49</v>
      </c>
      <c r="E1232" s="1" t="s">
        <v>41</v>
      </c>
      <c r="F1232">
        <v>717</v>
      </c>
      <c r="G1232" s="1" t="s">
        <v>42</v>
      </c>
      <c r="H1232">
        <v>13</v>
      </c>
      <c r="I1232">
        <v>4</v>
      </c>
      <c r="J1232" s="1" t="s">
        <v>43</v>
      </c>
      <c r="K1232">
        <v>1</v>
      </c>
      <c r="L1232">
        <v>1727</v>
      </c>
      <c r="M1232">
        <v>3</v>
      </c>
      <c r="N1232" s="1" t="s">
        <v>44</v>
      </c>
      <c r="O1232">
        <v>34</v>
      </c>
      <c r="P1232">
        <v>3</v>
      </c>
      <c r="Q1232">
        <v>2</v>
      </c>
      <c r="R1232" s="1" t="s">
        <v>161</v>
      </c>
      <c r="S1232">
        <v>2</v>
      </c>
      <c r="T1232" s="1" t="s">
        <v>46</v>
      </c>
      <c r="U1232">
        <v>5562</v>
      </c>
      <c r="V1232" s="1" t="s">
        <v>163</v>
      </c>
      <c r="W1232">
        <v>9697</v>
      </c>
      <c r="X1232">
        <v>6</v>
      </c>
      <c r="Y1232" s="1" t="s">
        <v>48</v>
      </c>
      <c r="Z1232" s="1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8">
      <c r="A1233" s="1" t="s">
        <v>1297</v>
      </c>
      <c r="B1233">
        <v>46</v>
      </c>
      <c r="C1233" s="1" t="s">
        <v>1271</v>
      </c>
      <c r="D1233" s="1" t="s">
        <v>49</v>
      </c>
      <c r="E1233" s="1" t="s">
        <v>41</v>
      </c>
      <c r="F1233">
        <v>1277</v>
      </c>
      <c r="G1233" s="1" t="s">
        <v>51</v>
      </c>
      <c r="H1233">
        <v>2</v>
      </c>
      <c r="I1233">
        <v>3</v>
      </c>
      <c r="J1233" s="1" t="s">
        <v>43</v>
      </c>
      <c r="K1233">
        <v>1</v>
      </c>
      <c r="L1233">
        <v>1732</v>
      </c>
      <c r="M1233">
        <v>3</v>
      </c>
      <c r="N1233" s="1" t="s">
        <v>44</v>
      </c>
      <c r="O1233">
        <v>74</v>
      </c>
      <c r="P1233">
        <v>3</v>
      </c>
      <c r="Q1233">
        <v>3</v>
      </c>
      <c r="R1233" s="1" t="s">
        <v>137</v>
      </c>
      <c r="S1233">
        <v>4</v>
      </c>
      <c r="T1233" s="1" t="s">
        <v>102</v>
      </c>
      <c r="U1233">
        <v>10368</v>
      </c>
      <c r="V1233" s="1" t="s">
        <v>253</v>
      </c>
      <c r="W1233">
        <v>5596</v>
      </c>
      <c r="X1233">
        <v>4</v>
      </c>
      <c r="Y1233" s="1" t="s">
        <v>48</v>
      </c>
      <c r="Z1233" s="1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8">
      <c r="A1234" s="1" t="s">
        <v>1298</v>
      </c>
      <c r="B1234">
        <v>46</v>
      </c>
      <c r="C1234" s="1" t="s">
        <v>1271</v>
      </c>
      <c r="D1234" s="1" t="s">
        <v>49</v>
      </c>
      <c r="E1234" s="1" t="s">
        <v>41</v>
      </c>
      <c r="F1234">
        <v>734</v>
      </c>
      <c r="G1234" s="1" t="s">
        <v>42</v>
      </c>
      <c r="H1234">
        <v>2</v>
      </c>
      <c r="I1234">
        <v>4</v>
      </c>
      <c r="J1234" s="1" t="s">
        <v>52</v>
      </c>
      <c r="K1234">
        <v>1</v>
      </c>
      <c r="L1234">
        <v>1789</v>
      </c>
      <c r="M1234">
        <v>3</v>
      </c>
      <c r="N1234" s="1" t="s">
        <v>44</v>
      </c>
      <c r="O1234">
        <v>46</v>
      </c>
      <c r="P1234">
        <v>3</v>
      </c>
      <c r="Q1234">
        <v>5</v>
      </c>
      <c r="R1234" s="1" t="s">
        <v>252</v>
      </c>
      <c r="S1234">
        <v>4</v>
      </c>
      <c r="T1234" s="1" t="s">
        <v>102</v>
      </c>
      <c r="U1234">
        <v>19328</v>
      </c>
      <c r="V1234" s="1" t="s">
        <v>368</v>
      </c>
      <c r="W1234">
        <v>14218</v>
      </c>
      <c r="X1234">
        <v>7</v>
      </c>
      <c r="Y1234" s="1" t="s">
        <v>48</v>
      </c>
      <c r="Z1234" s="1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8">
      <c r="A1235" s="1" t="s">
        <v>1299</v>
      </c>
      <c r="B1235">
        <v>46</v>
      </c>
      <c r="C1235" s="1" t="s">
        <v>1271</v>
      </c>
      <c r="D1235" s="1" t="s">
        <v>49</v>
      </c>
      <c r="E1235" s="1" t="s">
        <v>59</v>
      </c>
      <c r="F1235">
        <v>849</v>
      </c>
      <c r="G1235" s="1" t="s">
        <v>51</v>
      </c>
      <c r="H1235">
        <v>26</v>
      </c>
      <c r="I1235">
        <v>2</v>
      </c>
      <c r="J1235" s="1" t="s">
        <v>43</v>
      </c>
      <c r="K1235">
        <v>1</v>
      </c>
      <c r="L1235">
        <v>1801</v>
      </c>
      <c r="M1235">
        <v>2</v>
      </c>
      <c r="N1235" s="1" t="s">
        <v>44</v>
      </c>
      <c r="O1235">
        <v>98</v>
      </c>
      <c r="P1235">
        <v>2</v>
      </c>
      <c r="Q1235">
        <v>2</v>
      </c>
      <c r="R1235" s="1" t="s">
        <v>137</v>
      </c>
      <c r="S1235">
        <v>2</v>
      </c>
      <c r="T1235" s="1" t="s">
        <v>46</v>
      </c>
      <c r="U1235">
        <v>7991</v>
      </c>
      <c r="V1235" s="1" t="s">
        <v>163</v>
      </c>
      <c r="W1235">
        <v>25166</v>
      </c>
      <c r="X1235">
        <v>8</v>
      </c>
      <c r="Y1235" s="1" t="s">
        <v>48</v>
      </c>
      <c r="Z1235" s="1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8">
      <c r="A1236" s="1" t="s">
        <v>1300</v>
      </c>
      <c r="B1236">
        <v>46</v>
      </c>
      <c r="C1236" s="1" t="s">
        <v>1271</v>
      </c>
      <c r="D1236" s="1" t="s">
        <v>40</v>
      </c>
      <c r="E1236" s="1" t="s">
        <v>41</v>
      </c>
      <c r="F1236">
        <v>261</v>
      </c>
      <c r="G1236" s="1" t="s">
        <v>42</v>
      </c>
      <c r="H1236">
        <v>21</v>
      </c>
      <c r="I1236">
        <v>2</v>
      </c>
      <c r="J1236" s="1" t="s">
        <v>52</v>
      </c>
      <c r="K1236">
        <v>1</v>
      </c>
      <c r="L1236">
        <v>1821</v>
      </c>
      <c r="M1236">
        <v>4</v>
      </c>
      <c r="N1236" s="1" t="s">
        <v>53</v>
      </c>
      <c r="O1236">
        <v>66</v>
      </c>
      <c r="P1236">
        <v>3</v>
      </c>
      <c r="Q1236">
        <v>2</v>
      </c>
      <c r="R1236" s="1" t="s">
        <v>161</v>
      </c>
      <c r="S1236">
        <v>2</v>
      </c>
      <c r="T1236" s="1" t="s">
        <v>105</v>
      </c>
      <c r="U1236">
        <v>8926</v>
      </c>
      <c r="V1236" s="1" t="s">
        <v>163</v>
      </c>
      <c r="W1236">
        <v>10842</v>
      </c>
      <c r="X1236">
        <v>4</v>
      </c>
      <c r="Y1236" s="1" t="s">
        <v>48</v>
      </c>
      <c r="Z1236" s="1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8">
      <c r="A1237" s="1" t="s">
        <v>1301</v>
      </c>
      <c r="B1237">
        <v>46</v>
      </c>
      <c r="C1237" s="1" t="s">
        <v>1271</v>
      </c>
      <c r="D1237" s="1" t="s">
        <v>49</v>
      </c>
      <c r="E1237" s="1" t="s">
        <v>41</v>
      </c>
      <c r="F1237">
        <v>706</v>
      </c>
      <c r="G1237" s="1" t="s">
        <v>42</v>
      </c>
      <c r="H1237">
        <v>2</v>
      </c>
      <c r="I1237">
        <v>2</v>
      </c>
      <c r="J1237" s="1" t="s">
        <v>43</v>
      </c>
      <c r="K1237">
        <v>1</v>
      </c>
      <c r="L1237">
        <v>1857</v>
      </c>
      <c r="M1237">
        <v>4</v>
      </c>
      <c r="N1237" s="1" t="s">
        <v>44</v>
      </c>
      <c r="O1237">
        <v>82</v>
      </c>
      <c r="P1237">
        <v>3</v>
      </c>
      <c r="Q1237">
        <v>3</v>
      </c>
      <c r="R1237" s="1" t="s">
        <v>112</v>
      </c>
      <c r="S1237">
        <v>4</v>
      </c>
      <c r="T1237" s="1" t="s">
        <v>102</v>
      </c>
      <c r="U1237">
        <v>8578</v>
      </c>
      <c r="V1237" s="1" t="s">
        <v>163</v>
      </c>
      <c r="W1237">
        <v>19989</v>
      </c>
      <c r="X1237">
        <v>3</v>
      </c>
      <c r="Y1237" s="1" t="s">
        <v>48</v>
      </c>
      <c r="Z1237" s="1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8">
      <c r="A1238" s="1" t="s">
        <v>1302</v>
      </c>
      <c r="B1238">
        <v>46</v>
      </c>
      <c r="C1238" s="1" t="s">
        <v>1271</v>
      </c>
      <c r="D1238" s="1" t="s">
        <v>49</v>
      </c>
      <c r="E1238" s="1" t="s">
        <v>41</v>
      </c>
      <c r="F1238">
        <v>1319</v>
      </c>
      <c r="G1238" s="1" t="s">
        <v>51</v>
      </c>
      <c r="H1238">
        <v>3</v>
      </c>
      <c r="I1238">
        <v>3</v>
      </c>
      <c r="J1238" s="1" t="s">
        <v>68</v>
      </c>
      <c r="K1238">
        <v>1</v>
      </c>
      <c r="L1238">
        <v>1863</v>
      </c>
      <c r="M1238">
        <v>1</v>
      </c>
      <c r="N1238" s="1" t="s">
        <v>53</v>
      </c>
      <c r="O1238">
        <v>45</v>
      </c>
      <c r="P1238">
        <v>4</v>
      </c>
      <c r="Q1238">
        <v>4</v>
      </c>
      <c r="R1238" s="1" t="s">
        <v>137</v>
      </c>
      <c r="S1238">
        <v>1</v>
      </c>
      <c r="T1238" s="1" t="s">
        <v>102</v>
      </c>
      <c r="U1238">
        <v>13225</v>
      </c>
      <c r="V1238" s="1" t="s">
        <v>253</v>
      </c>
      <c r="W1238">
        <v>7739</v>
      </c>
      <c r="X1238">
        <v>2</v>
      </c>
      <c r="Y1238" s="1" t="s">
        <v>48</v>
      </c>
      <c r="Z1238" s="1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8">
      <c r="A1239" s="1" t="s">
        <v>1303</v>
      </c>
      <c r="B1239">
        <v>46</v>
      </c>
      <c r="C1239" s="1" t="s">
        <v>1271</v>
      </c>
      <c r="D1239" s="1" t="s">
        <v>40</v>
      </c>
      <c r="E1239" s="1" t="s">
        <v>41</v>
      </c>
      <c r="F1239">
        <v>1254</v>
      </c>
      <c r="G1239" s="1" t="s">
        <v>51</v>
      </c>
      <c r="H1239">
        <v>10</v>
      </c>
      <c r="I1239">
        <v>3</v>
      </c>
      <c r="J1239" s="1" t="s">
        <v>43</v>
      </c>
      <c r="K1239">
        <v>1</v>
      </c>
      <c r="L1239">
        <v>1869</v>
      </c>
      <c r="M1239">
        <v>3</v>
      </c>
      <c r="N1239" s="1" t="s">
        <v>53</v>
      </c>
      <c r="O1239">
        <v>64</v>
      </c>
      <c r="P1239">
        <v>3</v>
      </c>
      <c r="Q1239">
        <v>3</v>
      </c>
      <c r="R1239" s="1" t="s">
        <v>137</v>
      </c>
      <c r="S1239">
        <v>2</v>
      </c>
      <c r="T1239" s="1" t="s">
        <v>105</v>
      </c>
      <c r="U1239">
        <v>7314</v>
      </c>
      <c r="V1239" s="1" t="s">
        <v>163</v>
      </c>
      <c r="W1239">
        <v>14011</v>
      </c>
      <c r="X1239">
        <v>5</v>
      </c>
      <c r="Y1239" s="1" t="s">
        <v>48</v>
      </c>
      <c r="Z1239" s="1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8">
      <c r="A1240" s="1" t="s">
        <v>1304</v>
      </c>
      <c r="B1240">
        <v>47</v>
      </c>
      <c r="C1240" s="1" t="s">
        <v>1271</v>
      </c>
      <c r="D1240" s="1" t="s">
        <v>40</v>
      </c>
      <c r="E1240" s="1" t="s">
        <v>59</v>
      </c>
      <c r="F1240">
        <v>666</v>
      </c>
      <c r="G1240" s="1" t="s">
        <v>42</v>
      </c>
      <c r="H1240">
        <v>29</v>
      </c>
      <c r="I1240">
        <v>4</v>
      </c>
      <c r="J1240" s="1" t="s">
        <v>43</v>
      </c>
      <c r="K1240">
        <v>1</v>
      </c>
      <c r="L1240">
        <v>376</v>
      </c>
      <c r="M1240">
        <v>1</v>
      </c>
      <c r="N1240" s="1" t="s">
        <v>44</v>
      </c>
      <c r="O1240">
        <v>88</v>
      </c>
      <c r="P1240">
        <v>3</v>
      </c>
      <c r="Q1240">
        <v>3</v>
      </c>
      <c r="R1240" s="1" t="s">
        <v>442</v>
      </c>
      <c r="S1240">
        <v>2</v>
      </c>
      <c r="T1240" s="1" t="s">
        <v>105</v>
      </c>
      <c r="U1240">
        <v>11849</v>
      </c>
      <c r="V1240" s="1" t="s">
        <v>253</v>
      </c>
      <c r="W1240">
        <v>10268</v>
      </c>
      <c r="X1240">
        <v>1</v>
      </c>
      <c r="Y1240" s="1" t="s">
        <v>48</v>
      </c>
      <c r="Z1240" s="1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8">
      <c r="A1241" s="1" t="s">
        <v>1305</v>
      </c>
      <c r="B1241">
        <v>47</v>
      </c>
      <c r="C1241" s="1" t="s">
        <v>1271</v>
      </c>
      <c r="D1241" s="1" t="s">
        <v>49</v>
      </c>
      <c r="E1241" s="1" t="s">
        <v>41</v>
      </c>
      <c r="F1241">
        <v>1482</v>
      </c>
      <c r="G1241" s="1" t="s">
        <v>42</v>
      </c>
      <c r="H1241">
        <v>5</v>
      </c>
      <c r="I1241">
        <v>5</v>
      </c>
      <c r="J1241" s="1" t="s">
        <v>43</v>
      </c>
      <c r="K1241">
        <v>1</v>
      </c>
      <c r="L1241">
        <v>447</v>
      </c>
      <c r="M1241">
        <v>4</v>
      </c>
      <c r="N1241" s="1" t="s">
        <v>44</v>
      </c>
      <c r="O1241">
        <v>42</v>
      </c>
      <c r="P1241">
        <v>3</v>
      </c>
      <c r="Q1241">
        <v>5</v>
      </c>
      <c r="R1241" s="1" t="s">
        <v>252</v>
      </c>
      <c r="S1241">
        <v>3</v>
      </c>
      <c r="T1241" s="1" t="s">
        <v>105</v>
      </c>
      <c r="U1241">
        <v>18300</v>
      </c>
      <c r="V1241" s="1" t="s">
        <v>368</v>
      </c>
      <c r="W1241">
        <v>16375</v>
      </c>
      <c r="X1241">
        <v>4</v>
      </c>
      <c r="Y1241" s="1" t="s">
        <v>48</v>
      </c>
      <c r="Z1241" s="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8">
      <c r="A1242" s="1" t="s">
        <v>1306</v>
      </c>
      <c r="B1242">
        <v>47</v>
      </c>
      <c r="C1242" s="1" t="s">
        <v>1271</v>
      </c>
      <c r="D1242" s="1" t="s">
        <v>49</v>
      </c>
      <c r="E1242" s="1" t="s">
        <v>56</v>
      </c>
      <c r="F1242">
        <v>1309</v>
      </c>
      <c r="G1242" s="1" t="s">
        <v>51</v>
      </c>
      <c r="H1242">
        <v>4</v>
      </c>
      <c r="I1242">
        <v>1</v>
      </c>
      <c r="J1242" s="1" t="s">
        <v>52</v>
      </c>
      <c r="K1242">
        <v>1</v>
      </c>
      <c r="L1242">
        <v>467</v>
      </c>
      <c r="M1242">
        <v>2</v>
      </c>
      <c r="N1242" s="1" t="s">
        <v>44</v>
      </c>
      <c r="O1242">
        <v>99</v>
      </c>
      <c r="P1242">
        <v>3</v>
      </c>
      <c r="Q1242">
        <v>2</v>
      </c>
      <c r="R1242" s="1" t="s">
        <v>54</v>
      </c>
      <c r="S1242">
        <v>3</v>
      </c>
      <c r="T1242" s="1" t="s">
        <v>46</v>
      </c>
      <c r="U1242">
        <v>2976</v>
      </c>
      <c r="V1242" s="1" t="s">
        <v>47</v>
      </c>
      <c r="W1242">
        <v>25751</v>
      </c>
      <c r="X1242">
        <v>3</v>
      </c>
      <c r="Y1242" s="1" t="s">
        <v>48</v>
      </c>
      <c r="Z1242" s="1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8">
      <c r="A1243" s="1" t="s">
        <v>1307</v>
      </c>
      <c r="B1243">
        <v>47</v>
      </c>
      <c r="C1243" s="1" t="s">
        <v>1271</v>
      </c>
      <c r="D1243" s="1" t="s">
        <v>49</v>
      </c>
      <c r="E1243" s="1" t="s">
        <v>41</v>
      </c>
      <c r="F1243">
        <v>983</v>
      </c>
      <c r="G1243" s="1" t="s">
        <v>42</v>
      </c>
      <c r="H1243">
        <v>2</v>
      </c>
      <c r="I1243">
        <v>2</v>
      </c>
      <c r="J1243" s="1" t="s">
        <v>52</v>
      </c>
      <c r="K1243">
        <v>1</v>
      </c>
      <c r="L1243">
        <v>574</v>
      </c>
      <c r="M1243">
        <v>1</v>
      </c>
      <c r="N1243" s="1" t="s">
        <v>53</v>
      </c>
      <c r="O1243">
        <v>65</v>
      </c>
      <c r="P1243">
        <v>3</v>
      </c>
      <c r="Q1243">
        <v>2</v>
      </c>
      <c r="R1243" s="1" t="s">
        <v>112</v>
      </c>
      <c r="S1243">
        <v>4</v>
      </c>
      <c r="T1243" s="1" t="s">
        <v>102</v>
      </c>
      <c r="U1243">
        <v>5070</v>
      </c>
      <c r="V1243" s="1" t="s">
        <v>163</v>
      </c>
      <c r="W1243">
        <v>7389</v>
      </c>
      <c r="X1243">
        <v>5</v>
      </c>
      <c r="Y1243" s="1" t="s">
        <v>48</v>
      </c>
      <c r="Z1243" s="1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8">
      <c r="A1244" s="1" t="s">
        <v>1308</v>
      </c>
      <c r="B1244">
        <v>47</v>
      </c>
      <c r="C1244" s="1" t="s">
        <v>1271</v>
      </c>
      <c r="D1244" s="1" t="s">
        <v>49</v>
      </c>
      <c r="E1244" s="1" t="s">
        <v>41</v>
      </c>
      <c r="F1244">
        <v>703</v>
      </c>
      <c r="G1244" s="1" t="s">
        <v>51</v>
      </c>
      <c r="H1244">
        <v>14</v>
      </c>
      <c r="I1244">
        <v>4</v>
      </c>
      <c r="J1244" s="1" t="s">
        <v>57</v>
      </c>
      <c r="K1244">
        <v>1</v>
      </c>
      <c r="L1244">
        <v>728</v>
      </c>
      <c r="M1244">
        <v>4</v>
      </c>
      <c r="N1244" s="1" t="s">
        <v>44</v>
      </c>
      <c r="O1244">
        <v>42</v>
      </c>
      <c r="P1244">
        <v>3</v>
      </c>
      <c r="Q1244">
        <v>2</v>
      </c>
      <c r="R1244" s="1" t="s">
        <v>137</v>
      </c>
      <c r="S1244">
        <v>1</v>
      </c>
      <c r="T1244" s="1" t="s">
        <v>46</v>
      </c>
      <c r="U1244">
        <v>4960</v>
      </c>
      <c r="V1244" s="1" t="s">
        <v>47</v>
      </c>
      <c r="W1244">
        <v>11825</v>
      </c>
      <c r="X1244">
        <v>2</v>
      </c>
      <c r="Y1244" s="1" t="s">
        <v>48</v>
      </c>
      <c r="Z1244" s="1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8">
      <c r="A1245" s="1" t="s">
        <v>1309</v>
      </c>
      <c r="B1245">
        <v>47</v>
      </c>
      <c r="C1245" s="1" t="s">
        <v>1271</v>
      </c>
      <c r="D1245" s="1" t="s">
        <v>49</v>
      </c>
      <c r="E1245" s="1" t="s">
        <v>56</v>
      </c>
      <c r="F1245">
        <v>217</v>
      </c>
      <c r="G1245" s="1" t="s">
        <v>51</v>
      </c>
      <c r="H1245">
        <v>3</v>
      </c>
      <c r="I1245">
        <v>3</v>
      </c>
      <c r="J1245" s="1" t="s">
        <v>52</v>
      </c>
      <c r="K1245">
        <v>1</v>
      </c>
      <c r="L1245">
        <v>746</v>
      </c>
      <c r="M1245">
        <v>4</v>
      </c>
      <c r="N1245" s="1" t="s">
        <v>53</v>
      </c>
      <c r="O1245">
        <v>49</v>
      </c>
      <c r="P1245">
        <v>3</v>
      </c>
      <c r="Q1245">
        <v>4</v>
      </c>
      <c r="R1245" s="1" t="s">
        <v>137</v>
      </c>
      <c r="S1245">
        <v>3</v>
      </c>
      <c r="T1245" s="1" t="s">
        <v>102</v>
      </c>
      <c r="U1245">
        <v>13770</v>
      </c>
      <c r="V1245" s="1" t="s">
        <v>253</v>
      </c>
      <c r="W1245">
        <v>10225</v>
      </c>
      <c r="X1245">
        <v>9</v>
      </c>
      <c r="Y1245" s="1" t="s">
        <v>48</v>
      </c>
      <c r="Z1245" s="1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8">
      <c r="A1246" s="1" t="s">
        <v>1310</v>
      </c>
      <c r="B1246">
        <v>47</v>
      </c>
      <c r="C1246" s="1" t="s">
        <v>1271</v>
      </c>
      <c r="D1246" s="1" t="s">
        <v>40</v>
      </c>
      <c r="E1246" s="1" t="s">
        <v>56</v>
      </c>
      <c r="F1246">
        <v>719</v>
      </c>
      <c r="G1246" s="1" t="s">
        <v>51</v>
      </c>
      <c r="H1246">
        <v>27</v>
      </c>
      <c r="I1246">
        <v>2</v>
      </c>
      <c r="J1246" s="1" t="s">
        <v>43</v>
      </c>
      <c r="K1246">
        <v>1</v>
      </c>
      <c r="L1246">
        <v>785</v>
      </c>
      <c r="M1246">
        <v>2</v>
      </c>
      <c r="N1246" s="1" t="s">
        <v>53</v>
      </c>
      <c r="O1246">
        <v>77</v>
      </c>
      <c r="P1246">
        <v>4</v>
      </c>
      <c r="Q1246">
        <v>2</v>
      </c>
      <c r="R1246" s="1" t="s">
        <v>137</v>
      </c>
      <c r="S1246">
        <v>3</v>
      </c>
      <c r="T1246" s="1" t="s">
        <v>46</v>
      </c>
      <c r="U1246">
        <v>6397</v>
      </c>
      <c r="V1246" s="1" t="s">
        <v>163</v>
      </c>
      <c r="W1246">
        <v>10339</v>
      </c>
      <c r="X1246">
        <v>4</v>
      </c>
      <c r="Y1246" s="1" t="s">
        <v>48</v>
      </c>
      <c r="Z1246" s="1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8">
      <c r="A1247" s="1" t="s">
        <v>1311</v>
      </c>
      <c r="B1247">
        <v>47</v>
      </c>
      <c r="C1247" s="1" t="s">
        <v>1271</v>
      </c>
      <c r="D1247" s="1" t="s">
        <v>49</v>
      </c>
      <c r="E1247" s="1" t="s">
        <v>41</v>
      </c>
      <c r="F1247">
        <v>202</v>
      </c>
      <c r="G1247" s="1" t="s">
        <v>42</v>
      </c>
      <c r="H1247">
        <v>2</v>
      </c>
      <c r="I1247">
        <v>2</v>
      </c>
      <c r="J1247" s="1" t="s">
        <v>73</v>
      </c>
      <c r="K1247">
        <v>1</v>
      </c>
      <c r="L1247">
        <v>820</v>
      </c>
      <c r="M1247">
        <v>3</v>
      </c>
      <c r="N1247" s="1" t="s">
        <v>53</v>
      </c>
      <c r="O1247">
        <v>33</v>
      </c>
      <c r="P1247">
        <v>3</v>
      </c>
      <c r="Q1247">
        <v>4</v>
      </c>
      <c r="R1247" s="1" t="s">
        <v>442</v>
      </c>
      <c r="S1247">
        <v>4</v>
      </c>
      <c r="T1247" s="1" t="s">
        <v>105</v>
      </c>
      <c r="U1247">
        <v>16752</v>
      </c>
      <c r="V1247" s="1" t="s">
        <v>368</v>
      </c>
      <c r="W1247">
        <v>12982</v>
      </c>
      <c r="X1247">
        <v>1</v>
      </c>
      <c r="Y1247" s="1" t="s">
        <v>48</v>
      </c>
      <c r="Z1247" s="1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8">
      <c r="A1248" s="1" t="s">
        <v>1312</v>
      </c>
      <c r="B1248">
        <v>47</v>
      </c>
      <c r="C1248" s="1" t="s">
        <v>1271</v>
      </c>
      <c r="D1248" s="1" t="s">
        <v>49</v>
      </c>
      <c r="E1248" s="1" t="s">
        <v>41</v>
      </c>
      <c r="F1248">
        <v>249</v>
      </c>
      <c r="G1248" s="1" t="s">
        <v>51</v>
      </c>
      <c r="H1248">
        <v>2</v>
      </c>
      <c r="I1248">
        <v>2</v>
      </c>
      <c r="J1248" s="1" t="s">
        <v>57</v>
      </c>
      <c r="K1248">
        <v>1</v>
      </c>
      <c r="L1248">
        <v>903</v>
      </c>
      <c r="M1248">
        <v>3</v>
      </c>
      <c r="N1248" s="1" t="s">
        <v>53</v>
      </c>
      <c r="O1248">
        <v>35</v>
      </c>
      <c r="P1248">
        <v>3</v>
      </c>
      <c r="Q1248">
        <v>2</v>
      </c>
      <c r="R1248" s="1" t="s">
        <v>137</v>
      </c>
      <c r="S1248">
        <v>4</v>
      </c>
      <c r="T1248" s="1" t="s">
        <v>105</v>
      </c>
      <c r="U1248">
        <v>4537</v>
      </c>
      <c r="V1248" s="1" t="s">
        <v>47</v>
      </c>
      <c r="W1248">
        <v>17783</v>
      </c>
      <c r="X1248">
        <v>0</v>
      </c>
      <c r="Y1248" s="1" t="s">
        <v>48</v>
      </c>
      <c r="Z1248" s="1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8">
      <c r="A1249" s="1" t="s">
        <v>1313</v>
      </c>
      <c r="B1249">
        <v>47</v>
      </c>
      <c r="C1249" s="1" t="s">
        <v>1271</v>
      </c>
      <c r="D1249" s="1" t="s">
        <v>49</v>
      </c>
      <c r="E1249" s="1" t="s">
        <v>41</v>
      </c>
      <c r="F1249">
        <v>1454</v>
      </c>
      <c r="G1249" s="1" t="s">
        <v>51</v>
      </c>
      <c r="H1249">
        <v>2</v>
      </c>
      <c r="I1249">
        <v>4</v>
      </c>
      <c r="J1249" s="1" t="s">
        <v>43</v>
      </c>
      <c r="K1249">
        <v>1</v>
      </c>
      <c r="L1249">
        <v>925</v>
      </c>
      <c r="M1249">
        <v>4</v>
      </c>
      <c r="N1249" s="1" t="s">
        <v>53</v>
      </c>
      <c r="O1249">
        <v>65</v>
      </c>
      <c r="P1249">
        <v>2</v>
      </c>
      <c r="Q1249">
        <v>1</v>
      </c>
      <c r="R1249" s="1" t="s">
        <v>54</v>
      </c>
      <c r="S1249">
        <v>4</v>
      </c>
      <c r="T1249" s="1" t="s">
        <v>46</v>
      </c>
      <c r="U1249">
        <v>3294</v>
      </c>
      <c r="V1249" s="1" t="s">
        <v>47</v>
      </c>
      <c r="W1249">
        <v>13137</v>
      </c>
      <c r="X1249">
        <v>1</v>
      </c>
      <c r="Y1249" s="1" t="s">
        <v>48</v>
      </c>
      <c r="Z1249" s="1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8">
      <c r="A1250" s="1" t="s">
        <v>1314</v>
      </c>
      <c r="B1250">
        <v>47</v>
      </c>
      <c r="C1250" s="1" t="s">
        <v>1271</v>
      </c>
      <c r="D1250" s="1" t="s">
        <v>49</v>
      </c>
      <c r="E1250" s="1" t="s">
        <v>56</v>
      </c>
      <c r="F1250">
        <v>1379</v>
      </c>
      <c r="G1250" s="1" t="s">
        <v>42</v>
      </c>
      <c r="H1250">
        <v>16</v>
      </c>
      <c r="I1250">
        <v>4</v>
      </c>
      <c r="J1250" s="1" t="s">
        <v>52</v>
      </c>
      <c r="K1250">
        <v>1</v>
      </c>
      <c r="L1250">
        <v>987</v>
      </c>
      <c r="M1250">
        <v>3</v>
      </c>
      <c r="N1250" s="1" t="s">
        <v>44</v>
      </c>
      <c r="O1250">
        <v>64</v>
      </c>
      <c r="P1250">
        <v>4</v>
      </c>
      <c r="Q1250">
        <v>2</v>
      </c>
      <c r="R1250" s="1" t="s">
        <v>112</v>
      </c>
      <c r="S1250">
        <v>3</v>
      </c>
      <c r="T1250" s="1" t="s">
        <v>102</v>
      </c>
      <c r="U1250">
        <v>5067</v>
      </c>
      <c r="V1250" s="1" t="s">
        <v>163</v>
      </c>
      <c r="W1250">
        <v>6759</v>
      </c>
      <c r="X1250">
        <v>1</v>
      </c>
      <c r="Y1250" s="1" t="s">
        <v>48</v>
      </c>
      <c r="Z1250" s="1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8">
      <c r="A1251" s="1" t="s">
        <v>1315</v>
      </c>
      <c r="B1251">
        <v>47</v>
      </c>
      <c r="C1251" s="1" t="s">
        <v>1271</v>
      </c>
      <c r="D1251" s="1" t="s">
        <v>49</v>
      </c>
      <c r="E1251" s="1" t="s">
        <v>41</v>
      </c>
      <c r="F1251">
        <v>955</v>
      </c>
      <c r="G1251" s="1" t="s">
        <v>51</v>
      </c>
      <c r="H1251">
        <v>4</v>
      </c>
      <c r="I1251">
        <v>2</v>
      </c>
      <c r="J1251" s="1" t="s">
        <v>43</v>
      </c>
      <c r="K1251">
        <v>1</v>
      </c>
      <c r="L1251">
        <v>1003</v>
      </c>
      <c r="M1251">
        <v>4</v>
      </c>
      <c r="N1251" s="1" t="s">
        <v>53</v>
      </c>
      <c r="O1251">
        <v>83</v>
      </c>
      <c r="P1251">
        <v>3</v>
      </c>
      <c r="Q1251">
        <v>2</v>
      </c>
      <c r="R1251" s="1" t="s">
        <v>137</v>
      </c>
      <c r="S1251">
        <v>4</v>
      </c>
      <c r="T1251" s="1" t="s">
        <v>46</v>
      </c>
      <c r="U1251">
        <v>4163</v>
      </c>
      <c r="V1251" s="1" t="s">
        <v>47</v>
      </c>
      <c r="W1251">
        <v>8571</v>
      </c>
      <c r="X1251">
        <v>1</v>
      </c>
      <c r="Y1251" s="1" t="s">
        <v>48</v>
      </c>
      <c r="Z1251" s="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8">
      <c r="A1252" s="1" t="s">
        <v>1316</v>
      </c>
      <c r="B1252">
        <v>47</v>
      </c>
      <c r="C1252" s="1" t="s">
        <v>1271</v>
      </c>
      <c r="D1252" s="1" t="s">
        <v>49</v>
      </c>
      <c r="E1252" s="1" t="s">
        <v>41</v>
      </c>
      <c r="F1252">
        <v>465</v>
      </c>
      <c r="G1252" s="1" t="s">
        <v>42</v>
      </c>
      <c r="H1252">
        <v>1</v>
      </c>
      <c r="I1252">
        <v>3</v>
      </c>
      <c r="J1252" s="1" t="s">
        <v>68</v>
      </c>
      <c r="K1252">
        <v>1</v>
      </c>
      <c r="L1252">
        <v>1438</v>
      </c>
      <c r="M1252">
        <v>1</v>
      </c>
      <c r="N1252" s="1" t="s">
        <v>44</v>
      </c>
      <c r="O1252">
        <v>74</v>
      </c>
      <c r="P1252">
        <v>3</v>
      </c>
      <c r="Q1252">
        <v>1</v>
      </c>
      <c r="R1252" s="1" t="s">
        <v>60</v>
      </c>
      <c r="S1252">
        <v>4</v>
      </c>
      <c r="T1252" s="1" t="s">
        <v>105</v>
      </c>
      <c r="U1252">
        <v>3420</v>
      </c>
      <c r="V1252" s="1" t="s">
        <v>47</v>
      </c>
      <c r="W1252">
        <v>10205</v>
      </c>
      <c r="X1252">
        <v>7</v>
      </c>
      <c r="Y1252" s="1" t="s">
        <v>48</v>
      </c>
      <c r="Z1252" s="1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8">
      <c r="A1253" s="1" t="s">
        <v>1317</v>
      </c>
      <c r="B1253">
        <v>47</v>
      </c>
      <c r="C1253" s="1" t="s">
        <v>1271</v>
      </c>
      <c r="D1253" s="1" t="s">
        <v>49</v>
      </c>
      <c r="E1253" s="1" t="s">
        <v>41</v>
      </c>
      <c r="F1253">
        <v>359</v>
      </c>
      <c r="G1253" s="1" t="s">
        <v>42</v>
      </c>
      <c r="H1253">
        <v>2</v>
      </c>
      <c r="I1253">
        <v>4</v>
      </c>
      <c r="J1253" s="1" t="s">
        <v>52</v>
      </c>
      <c r="K1253">
        <v>1</v>
      </c>
      <c r="L1253">
        <v>1443</v>
      </c>
      <c r="M1253">
        <v>1</v>
      </c>
      <c r="N1253" s="1" t="s">
        <v>53</v>
      </c>
      <c r="O1253">
        <v>82</v>
      </c>
      <c r="P1253">
        <v>3</v>
      </c>
      <c r="Q1253">
        <v>4</v>
      </c>
      <c r="R1253" s="1" t="s">
        <v>252</v>
      </c>
      <c r="S1253">
        <v>3</v>
      </c>
      <c r="T1253" s="1" t="s">
        <v>105</v>
      </c>
      <c r="U1253">
        <v>17169</v>
      </c>
      <c r="V1253" s="1" t="s">
        <v>368</v>
      </c>
      <c r="W1253">
        <v>26703</v>
      </c>
      <c r="X1253">
        <v>3</v>
      </c>
      <c r="Y1253" s="1" t="s">
        <v>48</v>
      </c>
      <c r="Z1253" s="1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8">
      <c r="A1254" s="1" t="s">
        <v>1318</v>
      </c>
      <c r="B1254">
        <v>47</v>
      </c>
      <c r="C1254" s="1" t="s">
        <v>1271</v>
      </c>
      <c r="D1254" s="1" t="s">
        <v>49</v>
      </c>
      <c r="E1254" s="1" t="s">
        <v>41</v>
      </c>
      <c r="F1254">
        <v>571</v>
      </c>
      <c r="G1254" s="1" t="s">
        <v>51</v>
      </c>
      <c r="H1254">
        <v>14</v>
      </c>
      <c r="I1254">
        <v>3</v>
      </c>
      <c r="J1254" s="1" t="s">
        <v>52</v>
      </c>
      <c r="K1254">
        <v>1</v>
      </c>
      <c r="L1254">
        <v>1503</v>
      </c>
      <c r="M1254">
        <v>3</v>
      </c>
      <c r="N1254" s="1" t="s">
        <v>53</v>
      </c>
      <c r="O1254">
        <v>78</v>
      </c>
      <c r="P1254">
        <v>3</v>
      </c>
      <c r="Q1254">
        <v>2</v>
      </c>
      <c r="R1254" s="1" t="s">
        <v>137</v>
      </c>
      <c r="S1254">
        <v>3</v>
      </c>
      <c r="T1254" s="1" t="s">
        <v>105</v>
      </c>
      <c r="U1254">
        <v>4591</v>
      </c>
      <c r="V1254" s="1" t="s">
        <v>47</v>
      </c>
      <c r="W1254">
        <v>24200</v>
      </c>
      <c r="X1254">
        <v>3</v>
      </c>
      <c r="Y1254" s="1" t="s">
        <v>48</v>
      </c>
      <c r="Z1254" s="1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8">
      <c r="A1255" s="1" t="s">
        <v>1319</v>
      </c>
      <c r="B1255">
        <v>47</v>
      </c>
      <c r="C1255" s="1" t="s">
        <v>1271</v>
      </c>
      <c r="D1255" s="1" t="s">
        <v>49</v>
      </c>
      <c r="E1255" s="1" t="s">
        <v>41</v>
      </c>
      <c r="F1255">
        <v>1176</v>
      </c>
      <c r="G1255" s="1" t="s">
        <v>71</v>
      </c>
      <c r="H1255">
        <v>26</v>
      </c>
      <c r="I1255">
        <v>4</v>
      </c>
      <c r="J1255" s="1" t="s">
        <v>43</v>
      </c>
      <c r="K1255">
        <v>1</v>
      </c>
      <c r="L1255">
        <v>1625</v>
      </c>
      <c r="M1255">
        <v>4</v>
      </c>
      <c r="N1255" s="1" t="s">
        <v>53</v>
      </c>
      <c r="O1255">
        <v>98</v>
      </c>
      <c r="P1255">
        <v>3</v>
      </c>
      <c r="Q1255">
        <v>5</v>
      </c>
      <c r="R1255" s="1" t="s">
        <v>442</v>
      </c>
      <c r="S1255">
        <v>3</v>
      </c>
      <c r="T1255" s="1" t="s">
        <v>105</v>
      </c>
      <c r="U1255">
        <v>19658</v>
      </c>
      <c r="V1255" s="1" t="s">
        <v>368</v>
      </c>
      <c r="W1255">
        <v>5220</v>
      </c>
      <c r="X1255">
        <v>3</v>
      </c>
      <c r="Y1255" s="1" t="s">
        <v>48</v>
      </c>
      <c r="Z1255" s="1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8">
      <c r="A1256" s="1" t="s">
        <v>1320</v>
      </c>
      <c r="B1256">
        <v>47</v>
      </c>
      <c r="C1256" s="1" t="s">
        <v>1271</v>
      </c>
      <c r="D1256" s="1" t="s">
        <v>49</v>
      </c>
      <c r="E1256" s="1" t="s">
        <v>41</v>
      </c>
      <c r="F1256">
        <v>1225</v>
      </c>
      <c r="G1256" s="1" t="s">
        <v>51</v>
      </c>
      <c r="H1256">
        <v>2</v>
      </c>
      <c r="I1256">
        <v>4</v>
      </c>
      <c r="J1256" s="1" t="s">
        <v>43</v>
      </c>
      <c r="K1256">
        <v>1</v>
      </c>
      <c r="L1256">
        <v>1676</v>
      </c>
      <c r="M1256">
        <v>2</v>
      </c>
      <c r="N1256" s="1" t="s">
        <v>53</v>
      </c>
      <c r="O1256">
        <v>47</v>
      </c>
      <c r="P1256">
        <v>4</v>
      </c>
      <c r="Q1256">
        <v>4</v>
      </c>
      <c r="R1256" s="1" t="s">
        <v>442</v>
      </c>
      <c r="S1256">
        <v>2</v>
      </c>
      <c r="T1256" s="1" t="s">
        <v>102</v>
      </c>
      <c r="U1256">
        <v>15972</v>
      </c>
      <c r="V1256" s="1" t="s">
        <v>368</v>
      </c>
      <c r="W1256">
        <v>21086</v>
      </c>
      <c r="X1256">
        <v>6</v>
      </c>
      <c r="Y1256" s="1" t="s">
        <v>48</v>
      </c>
      <c r="Z1256" s="1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8">
      <c r="A1257" s="1" t="s">
        <v>1321</v>
      </c>
      <c r="B1257">
        <v>47</v>
      </c>
      <c r="C1257" s="1" t="s">
        <v>1271</v>
      </c>
      <c r="D1257" s="1" t="s">
        <v>40</v>
      </c>
      <c r="E1257" s="1" t="s">
        <v>56</v>
      </c>
      <c r="F1257">
        <v>1093</v>
      </c>
      <c r="G1257" s="1" t="s">
        <v>51</v>
      </c>
      <c r="H1257">
        <v>9</v>
      </c>
      <c r="I1257">
        <v>3</v>
      </c>
      <c r="J1257" s="1" t="s">
        <v>43</v>
      </c>
      <c r="K1257">
        <v>1</v>
      </c>
      <c r="L1257">
        <v>1716</v>
      </c>
      <c r="M1257">
        <v>3</v>
      </c>
      <c r="N1257" s="1" t="s">
        <v>44</v>
      </c>
      <c r="O1257">
        <v>82</v>
      </c>
      <c r="P1257">
        <v>1</v>
      </c>
      <c r="Q1257">
        <v>4</v>
      </c>
      <c r="R1257" s="1" t="s">
        <v>137</v>
      </c>
      <c r="S1257">
        <v>3</v>
      </c>
      <c r="T1257" s="1" t="s">
        <v>105</v>
      </c>
      <c r="U1257">
        <v>12936</v>
      </c>
      <c r="V1257" s="1" t="s">
        <v>253</v>
      </c>
      <c r="W1257">
        <v>24164</v>
      </c>
      <c r="X1257">
        <v>7</v>
      </c>
      <c r="Y1257" s="1" t="s">
        <v>48</v>
      </c>
      <c r="Z1257" s="1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8">
      <c r="A1258" s="1" t="s">
        <v>1322</v>
      </c>
      <c r="B1258">
        <v>47</v>
      </c>
      <c r="C1258" s="1" t="s">
        <v>1271</v>
      </c>
      <c r="D1258" s="1" t="s">
        <v>49</v>
      </c>
      <c r="E1258" s="1" t="s">
        <v>59</v>
      </c>
      <c r="F1258">
        <v>543</v>
      </c>
      <c r="G1258" s="1" t="s">
        <v>51</v>
      </c>
      <c r="H1258">
        <v>2</v>
      </c>
      <c r="I1258">
        <v>4</v>
      </c>
      <c r="J1258" s="1" t="s">
        <v>57</v>
      </c>
      <c r="K1258">
        <v>1</v>
      </c>
      <c r="L1258">
        <v>1731</v>
      </c>
      <c r="M1258">
        <v>3</v>
      </c>
      <c r="N1258" s="1" t="s">
        <v>44</v>
      </c>
      <c r="O1258">
        <v>87</v>
      </c>
      <c r="P1258">
        <v>3</v>
      </c>
      <c r="Q1258">
        <v>2</v>
      </c>
      <c r="R1258" s="1" t="s">
        <v>137</v>
      </c>
      <c r="S1258">
        <v>2</v>
      </c>
      <c r="T1258" s="1" t="s">
        <v>105</v>
      </c>
      <c r="U1258">
        <v>4978</v>
      </c>
      <c r="V1258" s="1" t="s">
        <v>47</v>
      </c>
      <c r="W1258">
        <v>3536</v>
      </c>
      <c r="X1258">
        <v>7</v>
      </c>
      <c r="Y1258" s="1" t="s">
        <v>48</v>
      </c>
      <c r="Z1258" s="1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8">
      <c r="A1259" s="1" t="s">
        <v>1323</v>
      </c>
      <c r="B1259">
        <v>47</v>
      </c>
      <c r="C1259" s="1" t="s">
        <v>1271</v>
      </c>
      <c r="D1259" s="1" t="s">
        <v>49</v>
      </c>
      <c r="E1259" s="1" t="s">
        <v>41</v>
      </c>
      <c r="F1259">
        <v>1001</v>
      </c>
      <c r="G1259" s="1" t="s">
        <v>42</v>
      </c>
      <c r="H1259">
        <v>4</v>
      </c>
      <c r="I1259">
        <v>3</v>
      </c>
      <c r="J1259" s="1" t="s">
        <v>43</v>
      </c>
      <c r="K1259">
        <v>1</v>
      </c>
      <c r="L1259">
        <v>1827</v>
      </c>
      <c r="M1259">
        <v>3</v>
      </c>
      <c r="N1259" s="1" t="s">
        <v>53</v>
      </c>
      <c r="O1259">
        <v>92</v>
      </c>
      <c r="P1259">
        <v>2</v>
      </c>
      <c r="Q1259">
        <v>3</v>
      </c>
      <c r="R1259" s="1" t="s">
        <v>112</v>
      </c>
      <c r="S1259">
        <v>2</v>
      </c>
      <c r="T1259" s="1" t="s">
        <v>102</v>
      </c>
      <c r="U1259">
        <v>10333</v>
      </c>
      <c r="V1259" s="1" t="s">
        <v>253</v>
      </c>
      <c r="W1259">
        <v>19271</v>
      </c>
      <c r="X1259">
        <v>8</v>
      </c>
      <c r="Y1259" s="1" t="s">
        <v>48</v>
      </c>
      <c r="Z1259" s="1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8">
      <c r="A1260" s="1" t="s">
        <v>1324</v>
      </c>
      <c r="B1260">
        <v>47</v>
      </c>
      <c r="C1260" s="1" t="s">
        <v>1271</v>
      </c>
      <c r="D1260" s="1" t="s">
        <v>49</v>
      </c>
      <c r="E1260" s="1" t="s">
        <v>41</v>
      </c>
      <c r="F1260">
        <v>207</v>
      </c>
      <c r="G1260" s="1" t="s">
        <v>42</v>
      </c>
      <c r="H1260">
        <v>9</v>
      </c>
      <c r="I1260">
        <v>4</v>
      </c>
      <c r="J1260" s="1" t="s">
        <v>43</v>
      </c>
      <c r="K1260">
        <v>1</v>
      </c>
      <c r="L1260">
        <v>1856</v>
      </c>
      <c r="M1260">
        <v>2</v>
      </c>
      <c r="N1260" s="1" t="s">
        <v>53</v>
      </c>
      <c r="O1260">
        <v>64</v>
      </c>
      <c r="P1260">
        <v>3</v>
      </c>
      <c r="Q1260">
        <v>1</v>
      </c>
      <c r="R1260" s="1" t="s">
        <v>45</v>
      </c>
      <c r="S1260">
        <v>3</v>
      </c>
      <c r="T1260" s="1" t="s">
        <v>46</v>
      </c>
      <c r="U1260">
        <v>2105</v>
      </c>
      <c r="V1260" s="1" t="s">
        <v>47</v>
      </c>
      <c r="W1260">
        <v>5411</v>
      </c>
      <c r="X1260">
        <v>4</v>
      </c>
      <c r="Y1260" s="1" t="s">
        <v>48</v>
      </c>
      <c r="Z1260" s="1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8">
      <c r="A1261" s="1" t="s">
        <v>1325</v>
      </c>
      <c r="B1261">
        <v>47</v>
      </c>
      <c r="C1261" s="1" t="s">
        <v>1271</v>
      </c>
      <c r="D1261" s="1" t="s">
        <v>49</v>
      </c>
      <c r="E1261" s="1" t="s">
        <v>59</v>
      </c>
      <c r="F1261">
        <v>1169</v>
      </c>
      <c r="G1261" s="1" t="s">
        <v>42</v>
      </c>
      <c r="H1261">
        <v>14</v>
      </c>
      <c r="I1261">
        <v>4</v>
      </c>
      <c r="J1261" s="1" t="s">
        <v>68</v>
      </c>
      <c r="K1261">
        <v>1</v>
      </c>
      <c r="L1261">
        <v>1934</v>
      </c>
      <c r="M1261">
        <v>3</v>
      </c>
      <c r="N1261" s="1" t="s">
        <v>44</v>
      </c>
      <c r="O1261">
        <v>64</v>
      </c>
      <c r="P1261">
        <v>3</v>
      </c>
      <c r="Q1261">
        <v>2</v>
      </c>
      <c r="R1261" s="1" t="s">
        <v>60</v>
      </c>
      <c r="S1261">
        <v>2</v>
      </c>
      <c r="T1261" s="1" t="s">
        <v>105</v>
      </c>
      <c r="U1261">
        <v>5467</v>
      </c>
      <c r="V1261" s="1" t="s">
        <v>163</v>
      </c>
      <c r="W1261">
        <v>2125</v>
      </c>
      <c r="X1261">
        <v>8</v>
      </c>
      <c r="Y1261" s="1" t="s">
        <v>48</v>
      </c>
      <c r="Z1261" s="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8">
      <c r="A1262" s="1" t="s">
        <v>1326</v>
      </c>
      <c r="B1262">
        <v>47</v>
      </c>
      <c r="C1262" s="1" t="s">
        <v>1271</v>
      </c>
      <c r="D1262" s="1" t="s">
        <v>49</v>
      </c>
      <c r="E1262" s="1" t="s">
        <v>41</v>
      </c>
      <c r="F1262">
        <v>1180</v>
      </c>
      <c r="G1262" s="1" t="s">
        <v>42</v>
      </c>
      <c r="H1262">
        <v>25</v>
      </c>
      <c r="I1262">
        <v>3</v>
      </c>
      <c r="J1262" s="1" t="s">
        <v>52</v>
      </c>
      <c r="K1262">
        <v>1</v>
      </c>
      <c r="L1262">
        <v>1993</v>
      </c>
      <c r="M1262">
        <v>1</v>
      </c>
      <c r="N1262" s="1" t="s">
        <v>44</v>
      </c>
      <c r="O1262">
        <v>84</v>
      </c>
      <c r="P1262">
        <v>3</v>
      </c>
      <c r="Q1262">
        <v>3</v>
      </c>
      <c r="R1262" s="1" t="s">
        <v>161</v>
      </c>
      <c r="S1262">
        <v>3</v>
      </c>
      <c r="T1262" s="1" t="s">
        <v>46</v>
      </c>
      <c r="U1262">
        <v>8633</v>
      </c>
      <c r="V1262" s="1" t="s">
        <v>163</v>
      </c>
      <c r="W1262">
        <v>13084</v>
      </c>
      <c r="X1262">
        <v>2</v>
      </c>
      <c r="Y1262" s="1" t="s">
        <v>48</v>
      </c>
      <c r="Z1262" s="1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8">
      <c r="A1263" s="1" t="s">
        <v>1327</v>
      </c>
      <c r="B1263">
        <v>47</v>
      </c>
      <c r="C1263" s="1" t="s">
        <v>1271</v>
      </c>
      <c r="D1263" s="1" t="s">
        <v>49</v>
      </c>
      <c r="E1263" s="1" t="s">
        <v>59</v>
      </c>
      <c r="F1263">
        <v>1162</v>
      </c>
      <c r="G1263" s="1" t="s">
        <v>42</v>
      </c>
      <c r="H1263">
        <v>1</v>
      </c>
      <c r="I1263">
        <v>1</v>
      </c>
      <c r="J1263" s="1" t="s">
        <v>52</v>
      </c>
      <c r="K1263">
        <v>1</v>
      </c>
      <c r="L1263">
        <v>2000</v>
      </c>
      <c r="M1263">
        <v>3</v>
      </c>
      <c r="N1263" s="1" t="s">
        <v>53</v>
      </c>
      <c r="O1263">
        <v>98</v>
      </c>
      <c r="P1263">
        <v>3</v>
      </c>
      <c r="Q1263">
        <v>3</v>
      </c>
      <c r="R1263" s="1" t="s">
        <v>252</v>
      </c>
      <c r="S1263">
        <v>2</v>
      </c>
      <c r="T1263" s="1" t="s">
        <v>105</v>
      </c>
      <c r="U1263">
        <v>11957</v>
      </c>
      <c r="V1263" s="1" t="s">
        <v>253</v>
      </c>
      <c r="W1263">
        <v>17231</v>
      </c>
      <c r="X1263">
        <v>0</v>
      </c>
      <c r="Y1263" s="1" t="s">
        <v>48</v>
      </c>
      <c r="Z1263" s="1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8">
      <c r="A1264" s="1" t="s">
        <v>1328</v>
      </c>
      <c r="B1264">
        <v>48</v>
      </c>
      <c r="C1264" s="1" t="s">
        <v>1271</v>
      </c>
      <c r="D1264" s="1" t="s">
        <v>40</v>
      </c>
      <c r="E1264" s="1" t="s">
        <v>41</v>
      </c>
      <c r="F1264">
        <v>626</v>
      </c>
      <c r="G1264" s="1" t="s">
        <v>42</v>
      </c>
      <c r="H1264">
        <v>1</v>
      </c>
      <c r="I1264">
        <v>2</v>
      </c>
      <c r="J1264" s="1" t="s">
        <v>43</v>
      </c>
      <c r="K1264">
        <v>1</v>
      </c>
      <c r="L1264">
        <v>64</v>
      </c>
      <c r="M1264">
        <v>1</v>
      </c>
      <c r="N1264" s="1" t="s">
        <v>44</v>
      </c>
      <c r="O1264">
        <v>98</v>
      </c>
      <c r="P1264">
        <v>2</v>
      </c>
      <c r="Q1264">
        <v>3</v>
      </c>
      <c r="R1264" s="1" t="s">
        <v>45</v>
      </c>
      <c r="S1264">
        <v>3</v>
      </c>
      <c r="T1264" s="1" t="s">
        <v>46</v>
      </c>
      <c r="U1264">
        <v>5381</v>
      </c>
      <c r="V1264" s="1" t="s">
        <v>163</v>
      </c>
      <c r="W1264">
        <v>19294</v>
      </c>
      <c r="X1264">
        <v>9</v>
      </c>
      <c r="Y1264" s="1" t="s">
        <v>48</v>
      </c>
      <c r="Z1264" s="1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8">
      <c r="A1265" s="1" t="s">
        <v>1329</v>
      </c>
      <c r="B1265">
        <v>48</v>
      </c>
      <c r="C1265" s="1" t="s">
        <v>1271</v>
      </c>
      <c r="D1265" s="1" t="s">
        <v>49</v>
      </c>
      <c r="E1265" s="1" t="s">
        <v>41</v>
      </c>
      <c r="F1265">
        <v>530</v>
      </c>
      <c r="G1265" s="1" t="s">
        <v>51</v>
      </c>
      <c r="H1265">
        <v>29</v>
      </c>
      <c r="I1265">
        <v>1</v>
      </c>
      <c r="J1265" s="1" t="s">
        <v>52</v>
      </c>
      <c r="K1265">
        <v>1</v>
      </c>
      <c r="L1265">
        <v>473</v>
      </c>
      <c r="M1265">
        <v>1</v>
      </c>
      <c r="N1265" s="1" t="s">
        <v>53</v>
      </c>
      <c r="O1265">
        <v>91</v>
      </c>
      <c r="P1265">
        <v>3</v>
      </c>
      <c r="Q1265">
        <v>3</v>
      </c>
      <c r="R1265" s="1" t="s">
        <v>442</v>
      </c>
      <c r="S1265">
        <v>3</v>
      </c>
      <c r="T1265" s="1" t="s">
        <v>105</v>
      </c>
      <c r="U1265">
        <v>12504</v>
      </c>
      <c r="V1265" s="1" t="s">
        <v>253</v>
      </c>
      <c r="W1265">
        <v>23978</v>
      </c>
      <c r="X1265">
        <v>3</v>
      </c>
      <c r="Y1265" s="1" t="s">
        <v>48</v>
      </c>
      <c r="Z1265" s="1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8">
      <c r="A1266" s="1" t="s">
        <v>1330</v>
      </c>
      <c r="B1266">
        <v>48</v>
      </c>
      <c r="C1266" s="1" t="s">
        <v>1271</v>
      </c>
      <c r="D1266" s="1" t="s">
        <v>49</v>
      </c>
      <c r="E1266" s="1" t="s">
        <v>41</v>
      </c>
      <c r="F1266">
        <v>163</v>
      </c>
      <c r="G1266" s="1" t="s">
        <v>51</v>
      </c>
      <c r="H1266">
        <v>2</v>
      </c>
      <c r="I1266">
        <v>5</v>
      </c>
      <c r="J1266" s="1" t="s">
        <v>57</v>
      </c>
      <c r="K1266">
        <v>1</v>
      </c>
      <c r="L1266">
        <v>595</v>
      </c>
      <c r="M1266">
        <v>2</v>
      </c>
      <c r="N1266" s="1" t="s">
        <v>53</v>
      </c>
      <c r="O1266">
        <v>37</v>
      </c>
      <c r="P1266">
        <v>3</v>
      </c>
      <c r="Q1266">
        <v>2</v>
      </c>
      <c r="R1266" s="1" t="s">
        <v>137</v>
      </c>
      <c r="S1266">
        <v>4</v>
      </c>
      <c r="T1266" s="1" t="s">
        <v>105</v>
      </c>
      <c r="U1266">
        <v>4051</v>
      </c>
      <c r="V1266" s="1" t="s">
        <v>47</v>
      </c>
      <c r="W1266">
        <v>19658</v>
      </c>
      <c r="X1266">
        <v>2</v>
      </c>
      <c r="Y1266" s="1" t="s">
        <v>48</v>
      </c>
      <c r="Z1266" s="1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8">
      <c r="A1267" s="1" t="s">
        <v>1331</v>
      </c>
      <c r="B1267">
        <v>48</v>
      </c>
      <c r="C1267" s="1" t="s">
        <v>1271</v>
      </c>
      <c r="D1267" s="1" t="s">
        <v>49</v>
      </c>
      <c r="E1267" s="1" t="s">
        <v>41</v>
      </c>
      <c r="F1267">
        <v>1236</v>
      </c>
      <c r="G1267" s="1" t="s">
        <v>42</v>
      </c>
      <c r="H1267">
        <v>1</v>
      </c>
      <c r="I1267">
        <v>4</v>
      </c>
      <c r="J1267" s="1" t="s">
        <v>43</v>
      </c>
      <c r="K1267">
        <v>1</v>
      </c>
      <c r="L1267">
        <v>664</v>
      </c>
      <c r="M1267">
        <v>4</v>
      </c>
      <c r="N1267" s="1" t="s">
        <v>53</v>
      </c>
      <c r="O1267">
        <v>40</v>
      </c>
      <c r="P1267">
        <v>2</v>
      </c>
      <c r="Q1267">
        <v>4</v>
      </c>
      <c r="R1267" s="1" t="s">
        <v>442</v>
      </c>
      <c r="S1267">
        <v>1</v>
      </c>
      <c r="T1267" s="1" t="s">
        <v>105</v>
      </c>
      <c r="U1267">
        <v>15402</v>
      </c>
      <c r="V1267" s="1" t="s">
        <v>368</v>
      </c>
      <c r="W1267">
        <v>17997</v>
      </c>
      <c r="X1267">
        <v>7</v>
      </c>
      <c r="Y1267" s="1" t="s">
        <v>48</v>
      </c>
      <c r="Z1267" s="1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8">
      <c r="A1268" s="1" t="s">
        <v>1332</v>
      </c>
      <c r="B1268">
        <v>48</v>
      </c>
      <c r="C1268" s="1" t="s">
        <v>1271</v>
      </c>
      <c r="D1268" s="1" t="s">
        <v>49</v>
      </c>
      <c r="E1268" s="1" t="s">
        <v>41</v>
      </c>
      <c r="F1268">
        <v>817</v>
      </c>
      <c r="G1268" s="1" t="s">
        <v>51</v>
      </c>
      <c r="H1268">
        <v>2</v>
      </c>
      <c r="I1268">
        <v>1</v>
      </c>
      <c r="J1268" s="1" t="s">
        <v>57</v>
      </c>
      <c r="K1268">
        <v>1</v>
      </c>
      <c r="L1268">
        <v>712</v>
      </c>
      <c r="M1268">
        <v>2</v>
      </c>
      <c r="N1268" s="1" t="s">
        <v>44</v>
      </c>
      <c r="O1268">
        <v>56</v>
      </c>
      <c r="P1268">
        <v>4</v>
      </c>
      <c r="Q1268">
        <v>2</v>
      </c>
      <c r="R1268" s="1" t="s">
        <v>137</v>
      </c>
      <c r="S1268">
        <v>2</v>
      </c>
      <c r="T1268" s="1" t="s">
        <v>105</v>
      </c>
      <c r="U1268">
        <v>8120</v>
      </c>
      <c r="V1268" s="1" t="s">
        <v>163</v>
      </c>
      <c r="W1268">
        <v>18597</v>
      </c>
      <c r="X1268">
        <v>3</v>
      </c>
      <c r="Y1268" s="1" t="s">
        <v>48</v>
      </c>
      <c r="Z1268" s="1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8">
      <c r="A1269" s="1" t="s">
        <v>1333</v>
      </c>
      <c r="B1269">
        <v>48</v>
      </c>
      <c r="C1269" s="1" t="s">
        <v>1271</v>
      </c>
      <c r="D1269" s="1" t="s">
        <v>49</v>
      </c>
      <c r="E1269" s="1" t="s">
        <v>41</v>
      </c>
      <c r="F1269">
        <v>1469</v>
      </c>
      <c r="G1269" s="1" t="s">
        <v>42</v>
      </c>
      <c r="H1269">
        <v>20</v>
      </c>
      <c r="I1269">
        <v>4</v>
      </c>
      <c r="J1269" s="1" t="s">
        <v>52</v>
      </c>
      <c r="K1269">
        <v>1</v>
      </c>
      <c r="L1269">
        <v>945</v>
      </c>
      <c r="M1269">
        <v>4</v>
      </c>
      <c r="N1269" s="1" t="s">
        <v>44</v>
      </c>
      <c r="O1269">
        <v>51</v>
      </c>
      <c r="P1269">
        <v>3</v>
      </c>
      <c r="Q1269">
        <v>1</v>
      </c>
      <c r="R1269" s="1" t="s">
        <v>60</v>
      </c>
      <c r="S1269">
        <v>3</v>
      </c>
      <c r="T1269" s="1" t="s">
        <v>105</v>
      </c>
      <c r="U1269">
        <v>2259</v>
      </c>
      <c r="V1269" s="1" t="s">
        <v>47</v>
      </c>
      <c r="W1269">
        <v>5543</v>
      </c>
      <c r="X1269">
        <v>4</v>
      </c>
      <c r="Y1269" s="1" t="s">
        <v>48</v>
      </c>
      <c r="Z1269" s="1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8">
      <c r="A1270" s="1" t="s">
        <v>1334</v>
      </c>
      <c r="B1270">
        <v>48</v>
      </c>
      <c r="C1270" s="1" t="s">
        <v>1271</v>
      </c>
      <c r="D1270" s="1" t="s">
        <v>49</v>
      </c>
      <c r="E1270" s="1" t="s">
        <v>41</v>
      </c>
      <c r="F1270">
        <v>277</v>
      </c>
      <c r="G1270" s="1" t="s">
        <v>42</v>
      </c>
      <c r="H1270">
        <v>6</v>
      </c>
      <c r="I1270">
        <v>3</v>
      </c>
      <c r="J1270" s="1" t="s">
        <v>43</v>
      </c>
      <c r="K1270">
        <v>1</v>
      </c>
      <c r="L1270">
        <v>1022</v>
      </c>
      <c r="M1270">
        <v>1</v>
      </c>
      <c r="N1270" s="1" t="s">
        <v>44</v>
      </c>
      <c r="O1270">
        <v>97</v>
      </c>
      <c r="P1270">
        <v>2</v>
      </c>
      <c r="Q1270">
        <v>2</v>
      </c>
      <c r="R1270" s="1" t="s">
        <v>161</v>
      </c>
      <c r="S1270">
        <v>3</v>
      </c>
      <c r="T1270" s="1" t="s">
        <v>46</v>
      </c>
      <c r="U1270">
        <v>4240</v>
      </c>
      <c r="V1270" s="1" t="s">
        <v>47</v>
      </c>
      <c r="W1270">
        <v>13119</v>
      </c>
      <c r="X1270">
        <v>2</v>
      </c>
      <c r="Y1270" s="1" t="s">
        <v>48</v>
      </c>
      <c r="Z1270" s="1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8">
      <c r="A1271" s="1" t="s">
        <v>1335</v>
      </c>
      <c r="B1271">
        <v>48</v>
      </c>
      <c r="C1271" s="1" t="s">
        <v>1271</v>
      </c>
      <c r="D1271" s="1" t="s">
        <v>49</v>
      </c>
      <c r="E1271" s="1" t="s">
        <v>41</v>
      </c>
      <c r="F1271">
        <v>1355</v>
      </c>
      <c r="G1271" s="1" t="s">
        <v>42</v>
      </c>
      <c r="H1271">
        <v>4</v>
      </c>
      <c r="I1271">
        <v>4</v>
      </c>
      <c r="J1271" s="1" t="s">
        <v>43</v>
      </c>
      <c r="K1271">
        <v>1</v>
      </c>
      <c r="L1271">
        <v>1024</v>
      </c>
      <c r="M1271">
        <v>3</v>
      </c>
      <c r="N1271" s="1" t="s">
        <v>44</v>
      </c>
      <c r="O1271">
        <v>78</v>
      </c>
      <c r="P1271">
        <v>2</v>
      </c>
      <c r="Q1271">
        <v>3</v>
      </c>
      <c r="R1271" s="1" t="s">
        <v>161</v>
      </c>
      <c r="S1271">
        <v>3</v>
      </c>
      <c r="T1271" s="1" t="s">
        <v>46</v>
      </c>
      <c r="U1271">
        <v>10999</v>
      </c>
      <c r="V1271" s="1" t="s">
        <v>253</v>
      </c>
      <c r="W1271">
        <v>22245</v>
      </c>
      <c r="X1271">
        <v>7</v>
      </c>
      <c r="Y1271" s="1" t="s">
        <v>48</v>
      </c>
      <c r="Z1271" s="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8">
      <c r="A1272" s="1" t="s">
        <v>1336</v>
      </c>
      <c r="B1272">
        <v>48</v>
      </c>
      <c r="C1272" s="1" t="s">
        <v>1271</v>
      </c>
      <c r="D1272" s="1" t="s">
        <v>49</v>
      </c>
      <c r="E1272" s="1" t="s">
        <v>59</v>
      </c>
      <c r="F1272">
        <v>1262</v>
      </c>
      <c r="G1272" s="1" t="s">
        <v>42</v>
      </c>
      <c r="H1272">
        <v>1</v>
      </c>
      <c r="I1272">
        <v>4</v>
      </c>
      <c r="J1272" s="1" t="s">
        <v>52</v>
      </c>
      <c r="K1272">
        <v>1</v>
      </c>
      <c r="L1272">
        <v>1116</v>
      </c>
      <c r="M1272">
        <v>1</v>
      </c>
      <c r="N1272" s="1" t="s">
        <v>44</v>
      </c>
      <c r="O1272">
        <v>35</v>
      </c>
      <c r="P1272">
        <v>4</v>
      </c>
      <c r="Q1272">
        <v>4</v>
      </c>
      <c r="R1272" s="1" t="s">
        <v>442</v>
      </c>
      <c r="S1272">
        <v>4</v>
      </c>
      <c r="T1272" s="1" t="s">
        <v>46</v>
      </c>
      <c r="U1272">
        <v>16885</v>
      </c>
      <c r="V1272" s="1" t="s">
        <v>368</v>
      </c>
      <c r="W1272">
        <v>16154</v>
      </c>
      <c r="X1272">
        <v>2</v>
      </c>
      <c r="Y1272" s="1" t="s">
        <v>48</v>
      </c>
      <c r="Z1272" s="1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8">
      <c r="A1273" s="1" t="s">
        <v>1337</v>
      </c>
      <c r="B1273">
        <v>48</v>
      </c>
      <c r="C1273" s="1" t="s">
        <v>1271</v>
      </c>
      <c r="D1273" s="1" t="s">
        <v>49</v>
      </c>
      <c r="E1273" s="1" t="s">
        <v>41</v>
      </c>
      <c r="F1273">
        <v>969</v>
      </c>
      <c r="G1273" s="1" t="s">
        <v>42</v>
      </c>
      <c r="H1273">
        <v>2</v>
      </c>
      <c r="I1273">
        <v>2</v>
      </c>
      <c r="J1273" s="1" t="s">
        <v>68</v>
      </c>
      <c r="K1273">
        <v>1</v>
      </c>
      <c r="L1273">
        <v>1258</v>
      </c>
      <c r="M1273">
        <v>4</v>
      </c>
      <c r="N1273" s="1" t="s">
        <v>44</v>
      </c>
      <c r="O1273">
        <v>76</v>
      </c>
      <c r="P1273">
        <v>4</v>
      </c>
      <c r="Q1273">
        <v>1</v>
      </c>
      <c r="R1273" s="1" t="s">
        <v>45</v>
      </c>
      <c r="S1273">
        <v>2</v>
      </c>
      <c r="T1273" s="1" t="s">
        <v>46</v>
      </c>
      <c r="U1273">
        <v>2559</v>
      </c>
      <c r="V1273" s="1" t="s">
        <v>47</v>
      </c>
      <c r="W1273">
        <v>16620</v>
      </c>
      <c r="X1273">
        <v>5</v>
      </c>
      <c r="Y1273" s="1" t="s">
        <v>48</v>
      </c>
      <c r="Z1273" s="1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8">
      <c r="A1274" s="1" t="s">
        <v>1338</v>
      </c>
      <c r="B1274">
        <v>48</v>
      </c>
      <c r="C1274" s="1" t="s">
        <v>1271</v>
      </c>
      <c r="D1274" s="1" t="s">
        <v>49</v>
      </c>
      <c r="E1274" s="1" t="s">
        <v>41</v>
      </c>
      <c r="F1274">
        <v>715</v>
      </c>
      <c r="G1274" s="1" t="s">
        <v>42</v>
      </c>
      <c r="H1274">
        <v>1</v>
      </c>
      <c r="I1274">
        <v>3</v>
      </c>
      <c r="J1274" s="1" t="s">
        <v>43</v>
      </c>
      <c r="K1274">
        <v>1</v>
      </c>
      <c r="L1274">
        <v>1263</v>
      </c>
      <c r="M1274">
        <v>4</v>
      </c>
      <c r="N1274" s="1" t="s">
        <v>44</v>
      </c>
      <c r="O1274">
        <v>76</v>
      </c>
      <c r="P1274">
        <v>2</v>
      </c>
      <c r="Q1274">
        <v>5</v>
      </c>
      <c r="R1274" s="1" t="s">
        <v>252</v>
      </c>
      <c r="S1274">
        <v>4</v>
      </c>
      <c r="T1274" s="1" t="s">
        <v>46</v>
      </c>
      <c r="U1274">
        <v>18265</v>
      </c>
      <c r="V1274" s="1" t="s">
        <v>368</v>
      </c>
      <c r="W1274">
        <v>8733</v>
      </c>
      <c r="X1274">
        <v>6</v>
      </c>
      <c r="Y1274" s="1" t="s">
        <v>48</v>
      </c>
      <c r="Z1274" s="1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8">
      <c r="A1275" s="1" t="s">
        <v>1339</v>
      </c>
      <c r="B1275">
        <v>48</v>
      </c>
      <c r="C1275" s="1" t="s">
        <v>1271</v>
      </c>
      <c r="D1275" s="1" t="s">
        <v>49</v>
      </c>
      <c r="E1275" s="1" t="s">
        <v>41</v>
      </c>
      <c r="F1275">
        <v>855</v>
      </c>
      <c r="G1275" s="1" t="s">
        <v>42</v>
      </c>
      <c r="H1275">
        <v>4</v>
      </c>
      <c r="I1275">
        <v>3</v>
      </c>
      <c r="J1275" s="1" t="s">
        <v>43</v>
      </c>
      <c r="K1275">
        <v>1</v>
      </c>
      <c r="L1275">
        <v>1363</v>
      </c>
      <c r="M1275">
        <v>4</v>
      </c>
      <c r="N1275" s="1" t="s">
        <v>44</v>
      </c>
      <c r="O1275">
        <v>54</v>
      </c>
      <c r="P1275">
        <v>3</v>
      </c>
      <c r="Q1275">
        <v>3</v>
      </c>
      <c r="R1275" s="1" t="s">
        <v>112</v>
      </c>
      <c r="S1275">
        <v>4</v>
      </c>
      <c r="T1275" s="1" t="s">
        <v>46</v>
      </c>
      <c r="U1275">
        <v>7898</v>
      </c>
      <c r="V1275" s="1" t="s">
        <v>163</v>
      </c>
      <c r="W1275">
        <v>18706</v>
      </c>
      <c r="X1275">
        <v>1</v>
      </c>
      <c r="Y1275" s="1" t="s">
        <v>48</v>
      </c>
      <c r="Z1275" s="1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8">
      <c r="A1276" s="1" t="s">
        <v>1340</v>
      </c>
      <c r="B1276">
        <v>48</v>
      </c>
      <c r="C1276" s="1" t="s">
        <v>1271</v>
      </c>
      <c r="D1276" s="1" t="s">
        <v>49</v>
      </c>
      <c r="E1276" s="1" t="s">
        <v>41</v>
      </c>
      <c r="F1276">
        <v>1221</v>
      </c>
      <c r="G1276" s="1" t="s">
        <v>51</v>
      </c>
      <c r="H1276">
        <v>7</v>
      </c>
      <c r="I1276">
        <v>3</v>
      </c>
      <c r="J1276" s="1" t="s">
        <v>57</v>
      </c>
      <c r="K1276">
        <v>1</v>
      </c>
      <c r="L1276">
        <v>1466</v>
      </c>
      <c r="M1276">
        <v>3</v>
      </c>
      <c r="N1276" s="1" t="s">
        <v>44</v>
      </c>
      <c r="O1276">
        <v>96</v>
      </c>
      <c r="P1276">
        <v>3</v>
      </c>
      <c r="Q1276">
        <v>2</v>
      </c>
      <c r="R1276" s="1" t="s">
        <v>137</v>
      </c>
      <c r="S1276">
        <v>1</v>
      </c>
      <c r="T1276" s="1" t="s">
        <v>102</v>
      </c>
      <c r="U1276">
        <v>5486</v>
      </c>
      <c r="V1276" s="1" t="s">
        <v>163</v>
      </c>
      <c r="W1276">
        <v>24795</v>
      </c>
      <c r="X1276">
        <v>4</v>
      </c>
      <c r="Y1276" s="1" t="s">
        <v>48</v>
      </c>
      <c r="Z1276" s="1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8">
      <c r="A1277" s="1" t="s">
        <v>1341</v>
      </c>
      <c r="B1277">
        <v>48</v>
      </c>
      <c r="C1277" s="1" t="s">
        <v>1271</v>
      </c>
      <c r="D1277" s="1" t="s">
        <v>49</v>
      </c>
      <c r="E1277" s="1" t="s">
        <v>41</v>
      </c>
      <c r="F1277">
        <v>492</v>
      </c>
      <c r="G1277" s="1" t="s">
        <v>51</v>
      </c>
      <c r="H1277">
        <v>16</v>
      </c>
      <c r="I1277">
        <v>4</v>
      </c>
      <c r="J1277" s="1" t="s">
        <v>43</v>
      </c>
      <c r="K1277">
        <v>1</v>
      </c>
      <c r="L1277">
        <v>1557</v>
      </c>
      <c r="M1277">
        <v>3</v>
      </c>
      <c r="N1277" s="1" t="s">
        <v>53</v>
      </c>
      <c r="O1277">
        <v>96</v>
      </c>
      <c r="P1277">
        <v>3</v>
      </c>
      <c r="Q1277">
        <v>2</v>
      </c>
      <c r="R1277" s="1" t="s">
        <v>137</v>
      </c>
      <c r="S1277">
        <v>3</v>
      </c>
      <c r="T1277" s="1" t="s">
        <v>102</v>
      </c>
      <c r="U1277">
        <v>6439</v>
      </c>
      <c r="V1277" s="1" t="s">
        <v>163</v>
      </c>
      <c r="W1277">
        <v>13693</v>
      </c>
      <c r="X1277">
        <v>8</v>
      </c>
      <c r="Y1277" s="1" t="s">
        <v>48</v>
      </c>
      <c r="Z1277" s="1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8">
      <c r="A1278" s="1" t="s">
        <v>1342</v>
      </c>
      <c r="B1278">
        <v>48</v>
      </c>
      <c r="C1278" s="1" t="s">
        <v>1271</v>
      </c>
      <c r="D1278" s="1" t="s">
        <v>49</v>
      </c>
      <c r="E1278" s="1" t="s">
        <v>41</v>
      </c>
      <c r="F1278">
        <v>1108</v>
      </c>
      <c r="G1278" s="1" t="s">
        <v>42</v>
      </c>
      <c r="H1278">
        <v>15</v>
      </c>
      <c r="I1278">
        <v>4</v>
      </c>
      <c r="J1278" s="1" t="s">
        <v>73</v>
      </c>
      <c r="K1278">
        <v>1</v>
      </c>
      <c r="L1278">
        <v>1576</v>
      </c>
      <c r="M1278">
        <v>3</v>
      </c>
      <c r="N1278" s="1" t="s">
        <v>53</v>
      </c>
      <c r="O1278">
        <v>65</v>
      </c>
      <c r="P1278">
        <v>3</v>
      </c>
      <c r="Q1278">
        <v>1</v>
      </c>
      <c r="R1278" s="1" t="s">
        <v>60</v>
      </c>
      <c r="S1278">
        <v>1</v>
      </c>
      <c r="T1278" s="1" t="s">
        <v>105</v>
      </c>
      <c r="U1278">
        <v>2367</v>
      </c>
      <c r="V1278" s="1" t="s">
        <v>47</v>
      </c>
      <c r="W1278">
        <v>16530</v>
      </c>
      <c r="X1278">
        <v>8</v>
      </c>
      <c r="Y1278" s="1" t="s">
        <v>48</v>
      </c>
      <c r="Z1278" s="1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8">
      <c r="A1279" s="1" t="s">
        <v>1343</v>
      </c>
      <c r="B1279">
        <v>48</v>
      </c>
      <c r="C1279" s="1" t="s">
        <v>1271</v>
      </c>
      <c r="D1279" s="1" t="s">
        <v>49</v>
      </c>
      <c r="E1279" s="1" t="s">
        <v>56</v>
      </c>
      <c r="F1279">
        <v>365</v>
      </c>
      <c r="G1279" s="1" t="s">
        <v>42</v>
      </c>
      <c r="H1279">
        <v>4</v>
      </c>
      <c r="I1279">
        <v>5</v>
      </c>
      <c r="J1279" s="1" t="s">
        <v>52</v>
      </c>
      <c r="K1279">
        <v>1</v>
      </c>
      <c r="L1279">
        <v>1644</v>
      </c>
      <c r="M1279">
        <v>3</v>
      </c>
      <c r="N1279" s="1" t="s">
        <v>44</v>
      </c>
      <c r="O1279">
        <v>89</v>
      </c>
      <c r="P1279">
        <v>2</v>
      </c>
      <c r="Q1279">
        <v>4</v>
      </c>
      <c r="R1279" s="1" t="s">
        <v>442</v>
      </c>
      <c r="S1279">
        <v>4</v>
      </c>
      <c r="T1279" s="1" t="s">
        <v>105</v>
      </c>
      <c r="U1279">
        <v>15202</v>
      </c>
      <c r="V1279" s="1" t="s">
        <v>368</v>
      </c>
      <c r="W1279">
        <v>5602</v>
      </c>
      <c r="X1279">
        <v>2</v>
      </c>
      <c r="Y1279" s="1" t="s">
        <v>48</v>
      </c>
      <c r="Z1279" s="1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8">
      <c r="A1280" s="1" t="s">
        <v>1344</v>
      </c>
      <c r="B1280">
        <v>48</v>
      </c>
      <c r="C1280" s="1" t="s">
        <v>1271</v>
      </c>
      <c r="D1280" s="1" t="s">
        <v>40</v>
      </c>
      <c r="E1280" s="1" t="s">
        <v>56</v>
      </c>
      <c r="F1280">
        <v>708</v>
      </c>
      <c r="G1280" s="1" t="s">
        <v>51</v>
      </c>
      <c r="H1280">
        <v>7</v>
      </c>
      <c r="I1280">
        <v>2</v>
      </c>
      <c r="J1280" s="1" t="s">
        <v>52</v>
      </c>
      <c r="K1280">
        <v>1</v>
      </c>
      <c r="L1280">
        <v>1691</v>
      </c>
      <c r="M1280">
        <v>4</v>
      </c>
      <c r="N1280" s="1" t="s">
        <v>53</v>
      </c>
      <c r="O1280">
        <v>95</v>
      </c>
      <c r="P1280">
        <v>3</v>
      </c>
      <c r="Q1280">
        <v>1</v>
      </c>
      <c r="R1280" s="1" t="s">
        <v>54</v>
      </c>
      <c r="S1280">
        <v>3</v>
      </c>
      <c r="T1280" s="1" t="s">
        <v>105</v>
      </c>
      <c r="U1280">
        <v>2655</v>
      </c>
      <c r="V1280" s="1" t="s">
        <v>47</v>
      </c>
      <c r="W1280">
        <v>11740</v>
      </c>
      <c r="X1280">
        <v>2</v>
      </c>
      <c r="Y1280" s="1" t="s">
        <v>48</v>
      </c>
      <c r="Z1280" s="1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8">
      <c r="A1281" s="1" t="s">
        <v>1345</v>
      </c>
      <c r="B1281">
        <v>48</v>
      </c>
      <c r="C1281" s="1" t="s">
        <v>1271</v>
      </c>
      <c r="D1281" s="1" t="s">
        <v>49</v>
      </c>
      <c r="E1281" s="1" t="s">
        <v>41</v>
      </c>
      <c r="F1281">
        <v>1224</v>
      </c>
      <c r="G1281" s="1" t="s">
        <v>42</v>
      </c>
      <c r="H1281">
        <v>10</v>
      </c>
      <c r="I1281">
        <v>3</v>
      </c>
      <c r="J1281" s="1" t="s">
        <v>43</v>
      </c>
      <c r="K1281">
        <v>1</v>
      </c>
      <c r="L1281">
        <v>1867</v>
      </c>
      <c r="M1281">
        <v>4</v>
      </c>
      <c r="N1281" s="1" t="s">
        <v>44</v>
      </c>
      <c r="O1281">
        <v>91</v>
      </c>
      <c r="P1281">
        <v>2</v>
      </c>
      <c r="Q1281">
        <v>5</v>
      </c>
      <c r="R1281" s="1" t="s">
        <v>252</v>
      </c>
      <c r="S1281">
        <v>2</v>
      </c>
      <c r="T1281" s="1" t="s">
        <v>105</v>
      </c>
      <c r="U1281">
        <v>19665</v>
      </c>
      <c r="V1281" s="1" t="s">
        <v>368</v>
      </c>
      <c r="W1281">
        <v>13583</v>
      </c>
      <c r="X1281">
        <v>4</v>
      </c>
      <c r="Y1281" s="1" t="s">
        <v>48</v>
      </c>
      <c r="Z1281" s="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8">
      <c r="A1282" s="1" t="s">
        <v>1346</v>
      </c>
      <c r="B1282">
        <v>48</v>
      </c>
      <c r="C1282" s="1" t="s">
        <v>1271</v>
      </c>
      <c r="D1282" s="1" t="s">
        <v>49</v>
      </c>
      <c r="E1282" s="1" t="s">
        <v>56</v>
      </c>
      <c r="F1282">
        <v>117</v>
      </c>
      <c r="G1282" s="1" t="s">
        <v>42</v>
      </c>
      <c r="H1282">
        <v>22</v>
      </c>
      <c r="I1282">
        <v>3</v>
      </c>
      <c r="J1282" s="1" t="s">
        <v>52</v>
      </c>
      <c r="K1282">
        <v>1</v>
      </c>
      <c r="L1282">
        <v>1900</v>
      </c>
      <c r="M1282">
        <v>4</v>
      </c>
      <c r="N1282" s="1" t="s">
        <v>53</v>
      </c>
      <c r="O1282">
        <v>58</v>
      </c>
      <c r="P1282">
        <v>3</v>
      </c>
      <c r="Q1282">
        <v>4</v>
      </c>
      <c r="R1282" s="1" t="s">
        <v>442</v>
      </c>
      <c r="S1282">
        <v>4</v>
      </c>
      <c r="T1282" s="1" t="s">
        <v>102</v>
      </c>
      <c r="U1282">
        <v>17174</v>
      </c>
      <c r="V1282" s="1" t="s">
        <v>368</v>
      </c>
      <c r="W1282">
        <v>2437</v>
      </c>
      <c r="X1282">
        <v>3</v>
      </c>
      <c r="Y1282" s="1" t="s">
        <v>48</v>
      </c>
      <c r="Z1282" s="1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8">
      <c r="A1283" s="1" t="s">
        <v>1347</v>
      </c>
      <c r="B1283">
        <v>49</v>
      </c>
      <c r="C1283" s="1" t="s">
        <v>1271</v>
      </c>
      <c r="D1283" s="1" t="s">
        <v>49</v>
      </c>
      <c r="E1283" s="1" t="s">
        <v>56</v>
      </c>
      <c r="F1283">
        <v>279</v>
      </c>
      <c r="G1283" s="1" t="s">
        <v>42</v>
      </c>
      <c r="H1283">
        <v>8</v>
      </c>
      <c r="I1283">
        <v>1</v>
      </c>
      <c r="J1283" s="1" t="s">
        <v>43</v>
      </c>
      <c r="K1283">
        <v>1</v>
      </c>
      <c r="L1283">
        <v>2</v>
      </c>
      <c r="M1283">
        <v>3</v>
      </c>
      <c r="N1283" s="1" t="s">
        <v>44</v>
      </c>
      <c r="O1283">
        <v>61</v>
      </c>
      <c r="P1283">
        <v>2</v>
      </c>
      <c r="Q1283">
        <v>2</v>
      </c>
      <c r="R1283" s="1" t="s">
        <v>60</v>
      </c>
      <c r="S1283">
        <v>2</v>
      </c>
      <c r="T1283" s="1" t="s">
        <v>105</v>
      </c>
      <c r="U1283">
        <v>5130</v>
      </c>
      <c r="V1283" s="1" t="s">
        <v>163</v>
      </c>
      <c r="W1283">
        <v>24907</v>
      </c>
      <c r="X1283">
        <v>1</v>
      </c>
      <c r="Y1283" s="1" t="s">
        <v>48</v>
      </c>
      <c r="Z1283" s="1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8">
      <c r="A1284" s="1" t="s">
        <v>1348</v>
      </c>
      <c r="B1284">
        <v>49</v>
      </c>
      <c r="C1284" s="1" t="s">
        <v>1271</v>
      </c>
      <c r="D1284" s="1" t="s">
        <v>49</v>
      </c>
      <c r="E1284" s="1" t="s">
        <v>41</v>
      </c>
      <c r="F1284">
        <v>470</v>
      </c>
      <c r="G1284" s="1" t="s">
        <v>42</v>
      </c>
      <c r="H1284">
        <v>20</v>
      </c>
      <c r="I1284">
        <v>4</v>
      </c>
      <c r="J1284" s="1" t="s">
        <v>52</v>
      </c>
      <c r="K1284">
        <v>1</v>
      </c>
      <c r="L1284">
        <v>170</v>
      </c>
      <c r="M1284">
        <v>3</v>
      </c>
      <c r="N1284" s="1" t="s">
        <v>53</v>
      </c>
      <c r="O1284">
        <v>96</v>
      </c>
      <c r="P1284">
        <v>3</v>
      </c>
      <c r="Q1284">
        <v>2</v>
      </c>
      <c r="R1284" s="1" t="s">
        <v>112</v>
      </c>
      <c r="S1284">
        <v>1</v>
      </c>
      <c r="T1284" s="1" t="s">
        <v>105</v>
      </c>
      <c r="U1284">
        <v>6567</v>
      </c>
      <c r="V1284" s="1" t="s">
        <v>163</v>
      </c>
      <c r="W1284">
        <v>5549</v>
      </c>
      <c r="X1284">
        <v>1</v>
      </c>
      <c r="Y1284" s="1" t="s">
        <v>48</v>
      </c>
      <c r="Z1284" s="1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8">
      <c r="A1285" s="1" t="s">
        <v>1349</v>
      </c>
      <c r="B1285">
        <v>49</v>
      </c>
      <c r="C1285" s="1" t="s">
        <v>1271</v>
      </c>
      <c r="D1285" s="1" t="s">
        <v>49</v>
      </c>
      <c r="E1285" s="1" t="s">
        <v>59</v>
      </c>
      <c r="F1285">
        <v>1002</v>
      </c>
      <c r="G1285" s="1" t="s">
        <v>42</v>
      </c>
      <c r="H1285">
        <v>18</v>
      </c>
      <c r="I1285">
        <v>4</v>
      </c>
      <c r="J1285" s="1" t="s">
        <v>43</v>
      </c>
      <c r="K1285">
        <v>1</v>
      </c>
      <c r="L1285">
        <v>275</v>
      </c>
      <c r="M1285">
        <v>4</v>
      </c>
      <c r="N1285" s="1" t="s">
        <v>44</v>
      </c>
      <c r="O1285">
        <v>92</v>
      </c>
      <c r="P1285">
        <v>3</v>
      </c>
      <c r="Q1285">
        <v>2</v>
      </c>
      <c r="R1285" s="1" t="s">
        <v>112</v>
      </c>
      <c r="S1285">
        <v>4</v>
      </c>
      <c r="T1285" s="1" t="s">
        <v>102</v>
      </c>
      <c r="U1285">
        <v>6804</v>
      </c>
      <c r="V1285" s="1" t="s">
        <v>163</v>
      </c>
      <c r="W1285">
        <v>23793</v>
      </c>
      <c r="X1285">
        <v>1</v>
      </c>
      <c r="Y1285" s="1" t="s">
        <v>48</v>
      </c>
      <c r="Z1285" s="1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8">
      <c r="A1286" s="1" t="s">
        <v>1350</v>
      </c>
      <c r="B1286">
        <v>49</v>
      </c>
      <c r="C1286" s="1" t="s">
        <v>1271</v>
      </c>
      <c r="D1286" s="1" t="s">
        <v>49</v>
      </c>
      <c r="E1286" s="1" t="s">
        <v>56</v>
      </c>
      <c r="F1286">
        <v>636</v>
      </c>
      <c r="G1286" s="1" t="s">
        <v>42</v>
      </c>
      <c r="H1286">
        <v>10</v>
      </c>
      <c r="I1286">
        <v>4</v>
      </c>
      <c r="J1286" s="1" t="s">
        <v>43</v>
      </c>
      <c r="K1286">
        <v>1</v>
      </c>
      <c r="L1286">
        <v>396</v>
      </c>
      <c r="M1286">
        <v>3</v>
      </c>
      <c r="N1286" s="1" t="s">
        <v>53</v>
      </c>
      <c r="O1286">
        <v>35</v>
      </c>
      <c r="P1286">
        <v>3</v>
      </c>
      <c r="Q1286">
        <v>5</v>
      </c>
      <c r="R1286" s="1" t="s">
        <v>252</v>
      </c>
      <c r="S1286">
        <v>1</v>
      </c>
      <c r="T1286" s="1" t="s">
        <v>46</v>
      </c>
      <c r="U1286">
        <v>18665</v>
      </c>
      <c r="V1286" s="1" t="s">
        <v>368</v>
      </c>
      <c r="W1286">
        <v>25594</v>
      </c>
      <c r="X1286">
        <v>9</v>
      </c>
      <c r="Y1286" s="1" t="s">
        <v>48</v>
      </c>
      <c r="Z1286" s="1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8">
      <c r="A1287" s="1" t="s">
        <v>1351</v>
      </c>
      <c r="B1287">
        <v>49</v>
      </c>
      <c r="C1287" s="1" t="s">
        <v>1271</v>
      </c>
      <c r="D1287" s="1" t="s">
        <v>49</v>
      </c>
      <c r="E1287" s="1" t="s">
        <v>41</v>
      </c>
      <c r="F1287">
        <v>1091</v>
      </c>
      <c r="G1287" s="1" t="s">
        <v>42</v>
      </c>
      <c r="H1287">
        <v>1</v>
      </c>
      <c r="I1287">
        <v>2</v>
      </c>
      <c r="J1287" s="1" t="s">
        <v>68</v>
      </c>
      <c r="K1287">
        <v>1</v>
      </c>
      <c r="L1287">
        <v>431</v>
      </c>
      <c r="M1287">
        <v>3</v>
      </c>
      <c r="N1287" s="1" t="s">
        <v>53</v>
      </c>
      <c r="O1287">
        <v>90</v>
      </c>
      <c r="P1287">
        <v>2</v>
      </c>
      <c r="Q1287">
        <v>4</v>
      </c>
      <c r="R1287" s="1" t="s">
        <v>161</v>
      </c>
      <c r="S1287">
        <v>3</v>
      </c>
      <c r="T1287" s="1" t="s">
        <v>46</v>
      </c>
      <c r="U1287">
        <v>13964</v>
      </c>
      <c r="V1287" s="1" t="s">
        <v>253</v>
      </c>
      <c r="W1287">
        <v>17810</v>
      </c>
      <c r="X1287">
        <v>7</v>
      </c>
      <c r="Y1287" s="1" t="s">
        <v>48</v>
      </c>
      <c r="Z1287" s="1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8">
      <c r="A1288" s="1" t="s">
        <v>1352</v>
      </c>
      <c r="B1288">
        <v>49</v>
      </c>
      <c r="C1288" s="1" t="s">
        <v>1271</v>
      </c>
      <c r="D1288" s="1" t="s">
        <v>49</v>
      </c>
      <c r="E1288" s="1" t="s">
        <v>41</v>
      </c>
      <c r="F1288">
        <v>1261</v>
      </c>
      <c r="G1288" s="1" t="s">
        <v>42</v>
      </c>
      <c r="H1288">
        <v>7</v>
      </c>
      <c r="I1288">
        <v>3</v>
      </c>
      <c r="J1288" s="1" t="s">
        <v>73</v>
      </c>
      <c r="K1288">
        <v>1</v>
      </c>
      <c r="L1288">
        <v>499</v>
      </c>
      <c r="M1288">
        <v>2</v>
      </c>
      <c r="N1288" s="1" t="s">
        <v>44</v>
      </c>
      <c r="O1288">
        <v>31</v>
      </c>
      <c r="P1288">
        <v>2</v>
      </c>
      <c r="Q1288">
        <v>3</v>
      </c>
      <c r="R1288" s="1" t="s">
        <v>161</v>
      </c>
      <c r="S1288">
        <v>3</v>
      </c>
      <c r="T1288" s="1" t="s">
        <v>46</v>
      </c>
      <c r="U1288">
        <v>10965</v>
      </c>
      <c r="V1288" s="1" t="s">
        <v>253</v>
      </c>
      <c r="W1288">
        <v>12066</v>
      </c>
      <c r="X1288">
        <v>8</v>
      </c>
      <c r="Y1288" s="1" t="s">
        <v>48</v>
      </c>
      <c r="Z1288" s="1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8">
      <c r="A1289" s="1" t="s">
        <v>1353</v>
      </c>
      <c r="B1289">
        <v>49</v>
      </c>
      <c r="C1289" s="1" t="s">
        <v>1271</v>
      </c>
      <c r="D1289" s="1" t="s">
        <v>49</v>
      </c>
      <c r="E1289" s="1" t="s">
        <v>41</v>
      </c>
      <c r="F1289">
        <v>1245</v>
      </c>
      <c r="G1289" s="1" t="s">
        <v>42</v>
      </c>
      <c r="H1289">
        <v>18</v>
      </c>
      <c r="I1289">
        <v>4</v>
      </c>
      <c r="J1289" s="1" t="s">
        <v>43</v>
      </c>
      <c r="K1289">
        <v>1</v>
      </c>
      <c r="L1289">
        <v>638</v>
      </c>
      <c r="M1289">
        <v>4</v>
      </c>
      <c r="N1289" s="1" t="s">
        <v>44</v>
      </c>
      <c r="O1289">
        <v>58</v>
      </c>
      <c r="P1289">
        <v>2</v>
      </c>
      <c r="Q1289">
        <v>5</v>
      </c>
      <c r="R1289" s="1" t="s">
        <v>252</v>
      </c>
      <c r="S1289">
        <v>3</v>
      </c>
      <c r="T1289" s="1" t="s">
        <v>102</v>
      </c>
      <c r="U1289">
        <v>19502</v>
      </c>
      <c r="V1289" s="1" t="s">
        <v>368</v>
      </c>
      <c r="W1289">
        <v>2125</v>
      </c>
      <c r="X1289">
        <v>1</v>
      </c>
      <c r="Y1289" s="1" t="s">
        <v>48</v>
      </c>
      <c r="Z1289" s="1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8">
      <c r="A1290" s="1" t="s">
        <v>1354</v>
      </c>
      <c r="B1290">
        <v>49</v>
      </c>
      <c r="C1290" s="1" t="s">
        <v>1271</v>
      </c>
      <c r="D1290" s="1" t="s">
        <v>40</v>
      </c>
      <c r="E1290" s="1" t="s">
        <v>41</v>
      </c>
      <c r="F1290">
        <v>1184</v>
      </c>
      <c r="G1290" s="1" t="s">
        <v>51</v>
      </c>
      <c r="H1290">
        <v>11</v>
      </c>
      <c r="I1290">
        <v>3</v>
      </c>
      <c r="J1290" s="1" t="s">
        <v>57</v>
      </c>
      <c r="K1290">
        <v>1</v>
      </c>
      <c r="L1290">
        <v>840</v>
      </c>
      <c r="M1290">
        <v>3</v>
      </c>
      <c r="N1290" s="1" t="s">
        <v>53</v>
      </c>
      <c r="O1290">
        <v>43</v>
      </c>
      <c r="P1290">
        <v>3</v>
      </c>
      <c r="Q1290">
        <v>3</v>
      </c>
      <c r="R1290" s="1" t="s">
        <v>137</v>
      </c>
      <c r="S1290">
        <v>4</v>
      </c>
      <c r="T1290" s="1" t="s">
        <v>105</v>
      </c>
      <c r="U1290">
        <v>7654</v>
      </c>
      <c r="V1290" s="1" t="s">
        <v>163</v>
      </c>
      <c r="W1290">
        <v>5860</v>
      </c>
      <c r="X1290">
        <v>1</v>
      </c>
      <c r="Y1290" s="1" t="s">
        <v>48</v>
      </c>
      <c r="Z1290" s="1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8">
      <c r="A1291" s="1" t="s">
        <v>1355</v>
      </c>
      <c r="B1291">
        <v>49</v>
      </c>
      <c r="C1291" s="1" t="s">
        <v>1271</v>
      </c>
      <c r="D1291" s="1" t="s">
        <v>49</v>
      </c>
      <c r="E1291" s="1" t="s">
        <v>41</v>
      </c>
      <c r="F1291">
        <v>1418</v>
      </c>
      <c r="G1291" s="1" t="s">
        <v>42</v>
      </c>
      <c r="H1291">
        <v>1</v>
      </c>
      <c r="I1291">
        <v>3</v>
      </c>
      <c r="J1291" s="1" t="s">
        <v>68</v>
      </c>
      <c r="K1291">
        <v>1</v>
      </c>
      <c r="L1291">
        <v>887</v>
      </c>
      <c r="M1291">
        <v>3</v>
      </c>
      <c r="N1291" s="1" t="s">
        <v>53</v>
      </c>
      <c r="O1291">
        <v>36</v>
      </c>
      <c r="P1291">
        <v>3</v>
      </c>
      <c r="Q1291">
        <v>1</v>
      </c>
      <c r="R1291" s="1" t="s">
        <v>60</v>
      </c>
      <c r="S1291">
        <v>1</v>
      </c>
      <c r="T1291" s="1" t="s">
        <v>105</v>
      </c>
      <c r="U1291">
        <v>3580</v>
      </c>
      <c r="V1291" s="1" t="s">
        <v>47</v>
      </c>
      <c r="W1291">
        <v>10554</v>
      </c>
      <c r="X1291">
        <v>2</v>
      </c>
      <c r="Y1291" s="1" t="s">
        <v>48</v>
      </c>
      <c r="Z1291" s="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8">
      <c r="A1292" s="1" t="s">
        <v>1356</v>
      </c>
      <c r="B1292">
        <v>49</v>
      </c>
      <c r="C1292" s="1" t="s">
        <v>1271</v>
      </c>
      <c r="D1292" s="1" t="s">
        <v>49</v>
      </c>
      <c r="E1292" s="1" t="s">
        <v>41</v>
      </c>
      <c r="F1292">
        <v>527</v>
      </c>
      <c r="G1292" s="1" t="s">
        <v>42</v>
      </c>
      <c r="H1292">
        <v>8</v>
      </c>
      <c r="I1292">
        <v>2</v>
      </c>
      <c r="J1292" s="1" t="s">
        <v>73</v>
      </c>
      <c r="K1292">
        <v>1</v>
      </c>
      <c r="L1292">
        <v>944</v>
      </c>
      <c r="M1292">
        <v>1</v>
      </c>
      <c r="N1292" s="1" t="s">
        <v>53</v>
      </c>
      <c r="O1292">
        <v>51</v>
      </c>
      <c r="P1292">
        <v>3</v>
      </c>
      <c r="Q1292">
        <v>3</v>
      </c>
      <c r="R1292" s="1" t="s">
        <v>45</v>
      </c>
      <c r="S1292">
        <v>2</v>
      </c>
      <c r="T1292" s="1" t="s">
        <v>105</v>
      </c>
      <c r="U1292">
        <v>7403</v>
      </c>
      <c r="V1292" s="1" t="s">
        <v>163</v>
      </c>
      <c r="W1292">
        <v>22477</v>
      </c>
      <c r="X1292">
        <v>4</v>
      </c>
      <c r="Y1292" s="1" t="s">
        <v>48</v>
      </c>
      <c r="Z1292" s="1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8">
      <c r="A1293" s="1" t="s">
        <v>1357</v>
      </c>
      <c r="B1293">
        <v>49</v>
      </c>
      <c r="C1293" s="1" t="s">
        <v>1271</v>
      </c>
      <c r="D1293" s="1" t="s">
        <v>49</v>
      </c>
      <c r="E1293" s="1" t="s">
        <v>41</v>
      </c>
      <c r="F1293">
        <v>174</v>
      </c>
      <c r="G1293" s="1" t="s">
        <v>51</v>
      </c>
      <c r="H1293">
        <v>8</v>
      </c>
      <c r="I1293">
        <v>4</v>
      </c>
      <c r="J1293" s="1" t="s">
        <v>68</v>
      </c>
      <c r="K1293">
        <v>1</v>
      </c>
      <c r="L1293">
        <v>1138</v>
      </c>
      <c r="M1293">
        <v>4</v>
      </c>
      <c r="N1293" s="1" t="s">
        <v>44</v>
      </c>
      <c r="O1293">
        <v>56</v>
      </c>
      <c r="P1293">
        <v>2</v>
      </c>
      <c r="Q1293">
        <v>4</v>
      </c>
      <c r="R1293" s="1" t="s">
        <v>137</v>
      </c>
      <c r="S1293">
        <v>2</v>
      </c>
      <c r="T1293" s="1" t="s">
        <v>105</v>
      </c>
      <c r="U1293">
        <v>13120</v>
      </c>
      <c r="V1293" s="1" t="s">
        <v>253</v>
      </c>
      <c r="W1293">
        <v>11879</v>
      </c>
      <c r="X1293">
        <v>6</v>
      </c>
      <c r="Y1293" s="1" t="s">
        <v>48</v>
      </c>
      <c r="Z1293" s="1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8">
      <c r="A1294" s="1" t="s">
        <v>1358</v>
      </c>
      <c r="B1294">
        <v>49</v>
      </c>
      <c r="C1294" s="1" t="s">
        <v>1271</v>
      </c>
      <c r="D1294" s="1" t="s">
        <v>49</v>
      </c>
      <c r="E1294" s="1" t="s">
        <v>41</v>
      </c>
      <c r="F1294">
        <v>1098</v>
      </c>
      <c r="G1294" s="1" t="s">
        <v>42</v>
      </c>
      <c r="H1294">
        <v>4</v>
      </c>
      <c r="I1294">
        <v>2</v>
      </c>
      <c r="J1294" s="1" t="s">
        <v>52</v>
      </c>
      <c r="K1294">
        <v>1</v>
      </c>
      <c r="L1294">
        <v>1256</v>
      </c>
      <c r="M1294">
        <v>1</v>
      </c>
      <c r="N1294" s="1" t="s">
        <v>44</v>
      </c>
      <c r="O1294">
        <v>85</v>
      </c>
      <c r="P1294">
        <v>2</v>
      </c>
      <c r="Q1294">
        <v>5</v>
      </c>
      <c r="R1294" s="1" t="s">
        <v>442</v>
      </c>
      <c r="S1294">
        <v>3</v>
      </c>
      <c r="T1294" s="1" t="s">
        <v>105</v>
      </c>
      <c r="U1294">
        <v>18711</v>
      </c>
      <c r="V1294" s="1" t="s">
        <v>368</v>
      </c>
      <c r="W1294">
        <v>12124</v>
      </c>
      <c r="X1294">
        <v>2</v>
      </c>
      <c r="Y1294" s="1" t="s">
        <v>48</v>
      </c>
      <c r="Z1294" s="1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8">
      <c r="A1295" s="1" t="s">
        <v>1359</v>
      </c>
      <c r="B1295">
        <v>49</v>
      </c>
      <c r="C1295" s="1" t="s">
        <v>1271</v>
      </c>
      <c r="D1295" s="1" t="s">
        <v>40</v>
      </c>
      <c r="E1295" s="1" t="s">
        <v>56</v>
      </c>
      <c r="F1295">
        <v>1475</v>
      </c>
      <c r="G1295" s="1" t="s">
        <v>42</v>
      </c>
      <c r="H1295">
        <v>28</v>
      </c>
      <c r="I1295">
        <v>2</v>
      </c>
      <c r="J1295" s="1" t="s">
        <v>43</v>
      </c>
      <c r="K1295">
        <v>1</v>
      </c>
      <c r="L1295">
        <v>1420</v>
      </c>
      <c r="M1295">
        <v>1</v>
      </c>
      <c r="N1295" s="1" t="s">
        <v>44</v>
      </c>
      <c r="O1295">
        <v>97</v>
      </c>
      <c r="P1295">
        <v>2</v>
      </c>
      <c r="Q1295">
        <v>2</v>
      </c>
      <c r="R1295" s="1" t="s">
        <v>45</v>
      </c>
      <c r="S1295">
        <v>1</v>
      </c>
      <c r="T1295" s="1" t="s">
        <v>46</v>
      </c>
      <c r="U1295">
        <v>4284</v>
      </c>
      <c r="V1295" s="1" t="s">
        <v>47</v>
      </c>
      <c r="W1295">
        <v>22710</v>
      </c>
      <c r="X1295">
        <v>3</v>
      </c>
      <c r="Y1295" s="1" t="s">
        <v>48</v>
      </c>
      <c r="Z1295" s="1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8">
      <c r="A1296" s="1" t="s">
        <v>1360</v>
      </c>
      <c r="B1296">
        <v>49</v>
      </c>
      <c r="C1296" s="1" t="s">
        <v>1271</v>
      </c>
      <c r="D1296" s="1" t="s">
        <v>49</v>
      </c>
      <c r="E1296" s="1" t="s">
        <v>41</v>
      </c>
      <c r="F1296">
        <v>1495</v>
      </c>
      <c r="G1296" s="1" t="s">
        <v>42</v>
      </c>
      <c r="H1296">
        <v>5</v>
      </c>
      <c r="I1296">
        <v>4</v>
      </c>
      <c r="J1296" s="1" t="s">
        <v>68</v>
      </c>
      <c r="K1296">
        <v>1</v>
      </c>
      <c r="L1296">
        <v>1473</v>
      </c>
      <c r="M1296">
        <v>1</v>
      </c>
      <c r="N1296" s="1" t="s">
        <v>44</v>
      </c>
      <c r="O1296">
        <v>96</v>
      </c>
      <c r="P1296">
        <v>3</v>
      </c>
      <c r="Q1296">
        <v>2</v>
      </c>
      <c r="R1296" s="1" t="s">
        <v>161</v>
      </c>
      <c r="S1296">
        <v>3</v>
      </c>
      <c r="T1296" s="1" t="s">
        <v>105</v>
      </c>
      <c r="U1296">
        <v>6651</v>
      </c>
      <c r="V1296" s="1" t="s">
        <v>163</v>
      </c>
      <c r="W1296">
        <v>21534</v>
      </c>
      <c r="X1296">
        <v>2</v>
      </c>
      <c r="Y1296" s="1" t="s">
        <v>48</v>
      </c>
      <c r="Z1296" s="1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8">
      <c r="A1297" s="1" t="s">
        <v>1361</v>
      </c>
      <c r="B1297">
        <v>49</v>
      </c>
      <c r="C1297" s="1" t="s">
        <v>1271</v>
      </c>
      <c r="D1297" s="1" t="s">
        <v>49</v>
      </c>
      <c r="E1297" s="1" t="s">
        <v>41</v>
      </c>
      <c r="F1297">
        <v>1490</v>
      </c>
      <c r="G1297" s="1" t="s">
        <v>42</v>
      </c>
      <c r="H1297">
        <v>7</v>
      </c>
      <c r="I1297">
        <v>4</v>
      </c>
      <c r="J1297" s="1" t="s">
        <v>43</v>
      </c>
      <c r="K1297">
        <v>1</v>
      </c>
      <c r="L1297">
        <v>1484</v>
      </c>
      <c r="M1297">
        <v>3</v>
      </c>
      <c r="N1297" s="1" t="s">
        <v>44</v>
      </c>
      <c r="O1297">
        <v>35</v>
      </c>
      <c r="P1297">
        <v>3</v>
      </c>
      <c r="Q1297">
        <v>3</v>
      </c>
      <c r="R1297" s="1" t="s">
        <v>161</v>
      </c>
      <c r="S1297">
        <v>2</v>
      </c>
      <c r="T1297" s="1" t="s">
        <v>102</v>
      </c>
      <c r="U1297">
        <v>10466</v>
      </c>
      <c r="V1297" s="1" t="s">
        <v>253</v>
      </c>
      <c r="W1297">
        <v>20948</v>
      </c>
      <c r="X1297">
        <v>3</v>
      </c>
      <c r="Y1297" s="1" t="s">
        <v>48</v>
      </c>
      <c r="Z1297" s="1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8">
      <c r="A1298" s="1" t="s">
        <v>1362</v>
      </c>
      <c r="B1298">
        <v>49</v>
      </c>
      <c r="C1298" s="1" t="s">
        <v>1271</v>
      </c>
      <c r="D1298" s="1" t="s">
        <v>49</v>
      </c>
      <c r="E1298" s="1" t="s">
        <v>41</v>
      </c>
      <c r="F1298">
        <v>271</v>
      </c>
      <c r="G1298" s="1" t="s">
        <v>42</v>
      </c>
      <c r="H1298">
        <v>3</v>
      </c>
      <c r="I1298">
        <v>2</v>
      </c>
      <c r="J1298" s="1" t="s">
        <v>52</v>
      </c>
      <c r="K1298">
        <v>1</v>
      </c>
      <c r="L1298">
        <v>1509</v>
      </c>
      <c r="M1298">
        <v>3</v>
      </c>
      <c r="N1298" s="1" t="s">
        <v>53</v>
      </c>
      <c r="O1298">
        <v>43</v>
      </c>
      <c r="P1298">
        <v>2</v>
      </c>
      <c r="Q1298">
        <v>2</v>
      </c>
      <c r="R1298" s="1" t="s">
        <v>45</v>
      </c>
      <c r="S1298">
        <v>1</v>
      </c>
      <c r="T1298" s="1" t="s">
        <v>105</v>
      </c>
      <c r="U1298">
        <v>4789</v>
      </c>
      <c r="V1298" s="1" t="s">
        <v>47</v>
      </c>
      <c r="W1298">
        <v>23070</v>
      </c>
      <c r="X1298">
        <v>4</v>
      </c>
      <c r="Y1298" s="1" t="s">
        <v>48</v>
      </c>
      <c r="Z1298" s="1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8">
      <c r="A1299" s="1" t="s">
        <v>1363</v>
      </c>
      <c r="B1299">
        <v>49</v>
      </c>
      <c r="C1299" s="1" t="s">
        <v>1271</v>
      </c>
      <c r="D1299" s="1" t="s">
        <v>49</v>
      </c>
      <c r="E1299" s="1" t="s">
        <v>41</v>
      </c>
      <c r="F1299">
        <v>722</v>
      </c>
      <c r="G1299" s="1" t="s">
        <v>42</v>
      </c>
      <c r="H1299">
        <v>25</v>
      </c>
      <c r="I1299">
        <v>4</v>
      </c>
      <c r="J1299" s="1" t="s">
        <v>43</v>
      </c>
      <c r="K1299">
        <v>1</v>
      </c>
      <c r="L1299">
        <v>1617</v>
      </c>
      <c r="M1299">
        <v>3</v>
      </c>
      <c r="N1299" s="1" t="s">
        <v>53</v>
      </c>
      <c r="O1299">
        <v>84</v>
      </c>
      <c r="P1299">
        <v>3</v>
      </c>
      <c r="Q1299">
        <v>1</v>
      </c>
      <c r="R1299" s="1" t="s">
        <v>45</v>
      </c>
      <c r="S1299">
        <v>1</v>
      </c>
      <c r="T1299" s="1" t="s">
        <v>105</v>
      </c>
      <c r="U1299">
        <v>3211</v>
      </c>
      <c r="V1299" s="1" t="s">
        <v>47</v>
      </c>
      <c r="W1299">
        <v>22102</v>
      </c>
      <c r="X1299">
        <v>1</v>
      </c>
      <c r="Y1299" s="1" t="s">
        <v>48</v>
      </c>
      <c r="Z1299" s="1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8">
      <c r="A1300" s="1" t="s">
        <v>1364</v>
      </c>
      <c r="B1300">
        <v>49</v>
      </c>
      <c r="C1300" s="1" t="s">
        <v>1271</v>
      </c>
      <c r="D1300" s="1" t="s">
        <v>49</v>
      </c>
      <c r="E1300" s="1" t="s">
        <v>41</v>
      </c>
      <c r="F1300">
        <v>301</v>
      </c>
      <c r="G1300" s="1" t="s">
        <v>42</v>
      </c>
      <c r="H1300">
        <v>22</v>
      </c>
      <c r="I1300">
        <v>4</v>
      </c>
      <c r="J1300" s="1" t="s">
        <v>73</v>
      </c>
      <c r="K1300">
        <v>1</v>
      </c>
      <c r="L1300">
        <v>1655</v>
      </c>
      <c r="M1300">
        <v>1</v>
      </c>
      <c r="N1300" s="1" t="s">
        <v>53</v>
      </c>
      <c r="O1300">
        <v>72</v>
      </c>
      <c r="P1300">
        <v>3</v>
      </c>
      <c r="Q1300">
        <v>4</v>
      </c>
      <c r="R1300" s="1" t="s">
        <v>252</v>
      </c>
      <c r="S1300">
        <v>2</v>
      </c>
      <c r="T1300" s="1" t="s">
        <v>105</v>
      </c>
      <c r="U1300">
        <v>16413</v>
      </c>
      <c r="V1300" s="1" t="s">
        <v>368</v>
      </c>
      <c r="W1300">
        <v>3498</v>
      </c>
      <c r="X1300">
        <v>3</v>
      </c>
      <c r="Y1300" s="1" t="s">
        <v>48</v>
      </c>
      <c r="Z1300" s="1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8">
      <c r="A1301" s="1" t="s">
        <v>1365</v>
      </c>
      <c r="B1301">
        <v>49</v>
      </c>
      <c r="C1301" s="1" t="s">
        <v>1271</v>
      </c>
      <c r="D1301" s="1" t="s">
        <v>49</v>
      </c>
      <c r="E1301" s="1" t="s">
        <v>41</v>
      </c>
      <c r="F1301">
        <v>465</v>
      </c>
      <c r="G1301" s="1" t="s">
        <v>42</v>
      </c>
      <c r="H1301">
        <v>6</v>
      </c>
      <c r="I1301">
        <v>1</v>
      </c>
      <c r="J1301" s="1" t="s">
        <v>43</v>
      </c>
      <c r="K1301">
        <v>1</v>
      </c>
      <c r="L1301">
        <v>1661</v>
      </c>
      <c r="M1301">
        <v>3</v>
      </c>
      <c r="N1301" s="1" t="s">
        <v>53</v>
      </c>
      <c r="O1301">
        <v>41</v>
      </c>
      <c r="P1301">
        <v>2</v>
      </c>
      <c r="Q1301">
        <v>4</v>
      </c>
      <c r="R1301" s="1" t="s">
        <v>161</v>
      </c>
      <c r="S1301">
        <v>3</v>
      </c>
      <c r="T1301" s="1" t="s">
        <v>105</v>
      </c>
      <c r="U1301">
        <v>13966</v>
      </c>
      <c r="V1301" s="1" t="s">
        <v>253</v>
      </c>
      <c r="W1301">
        <v>11652</v>
      </c>
      <c r="X1301">
        <v>2</v>
      </c>
      <c r="Y1301" s="1" t="s">
        <v>48</v>
      </c>
      <c r="Z1301" s="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8">
      <c r="A1302" s="1" t="s">
        <v>1366</v>
      </c>
      <c r="B1302">
        <v>49</v>
      </c>
      <c r="C1302" s="1" t="s">
        <v>1271</v>
      </c>
      <c r="D1302" s="1" t="s">
        <v>49</v>
      </c>
      <c r="E1302" s="1" t="s">
        <v>41</v>
      </c>
      <c r="F1302">
        <v>464</v>
      </c>
      <c r="G1302" s="1" t="s">
        <v>42</v>
      </c>
      <c r="H1302">
        <v>16</v>
      </c>
      <c r="I1302">
        <v>3</v>
      </c>
      <c r="J1302" s="1" t="s">
        <v>52</v>
      </c>
      <c r="K1302">
        <v>1</v>
      </c>
      <c r="L1302">
        <v>1674</v>
      </c>
      <c r="M1302">
        <v>4</v>
      </c>
      <c r="N1302" s="1" t="s">
        <v>53</v>
      </c>
      <c r="O1302">
        <v>74</v>
      </c>
      <c r="P1302">
        <v>3</v>
      </c>
      <c r="Q1302">
        <v>1</v>
      </c>
      <c r="R1302" s="1" t="s">
        <v>45</v>
      </c>
      <c r="S1302">
        <v>1</v>
      </c>
      <c r="T1302" s="1" t="s">
        <v>102</v>
      </c>
      <c r="U1302">
        <v>2587</v>
      </c>
      <c r="V1302" s="1" t="s">
        <v>47</v>
      </c>
      <c r="W1302">
        <v>24941</v>
      </c>
      <c r="X1302">
        <v>4</v>
      </c>
      <c r="Y1302" s="1" t="s">
        <v>48</v>
      </c>
      <c r="Z1302" s="1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8">
      <c r="A1303" s="1" t="s">
        <v>1367</v>
      </c>
      <c r="B1303">
        <v>49</v>
      </c>
      <c r="C1303" s="1" t="s">
        <v>1271</v>
      </c>
      <c r="D1303" s="1" t="s">
        <v>49</v>
      </c>
      <c r="E1303" s="1" t="s">
        <v>41</v>
      </c>
      <c r="F1303">
        <v>809</v>
      </c>
      <c r="G1303" s="1" t="s">
        <v>42</v>
      </c>
      <c r="H1303">
        <v>1</v>
      </c>
      <c r="I1303">
        <v>3</v>
      </c>
      <c r="J1303" s="1" t="s">
        <v>43</v>
      </c>
      <c r="K1303">
        <v>1</v>
      </c>
      <c r="L1303">
        <v>1677</v>
      </c>
      <c r="M1303">
        <v>3</v>
      </c>
      <c r="N1303" s="1" t="s">
        <v>44</v>
      </c>
      <c r="O1303">
        <v>36</v>
      </c>
      <c r="P1303">
        <v>3</v>
      </c>
      <c r="Q1303">
        <v>4</v>
      </c>
      <c r="R1303" s="1" t="s">
        <v>442</v>
      </c>
      <c r="S1303">
        <v>3</v>
      </c>
      <c r="T1303" s="1" t="s">
        <v>46</v>
      </c>
      <c r="U1303">
        <v>15379</v>
      </c>
      <c r="V1303" s="1" t="s">
        <v>368</v>
      </c>
      <c r="W1303">
        <v>22384</v>
      </c>
      <c r="X1303">
        <v>4</v>
      </c>
      <c r="Y1303" s="1" t="s">
        <v>48</v>
      </c>
      <c r="Z1303" s="1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8">
      <c r="A1304" s="1" t="s">
        <v>1368</v>
      </c>
      <c r="B1304">
        <v>49</v>
      </c>
      <c r="C1304" s="1" t="s">
        <v>1271</v>
      </c>
      <c r="D1304" s="1" t="s">
        <v>49</v>
      </c>
      <c r="E1304" s="1" t="s">
        <v>41</v>
      </c>
      <c r="F1304">
        <v>1313</v>
      </c>
      <c r="G1304" s="1" t="s">
        <v>51</v>
      </c>
      <c r="H1304">
        <v>11</v>
      </c>
      <c r="I1304">
        <v>4</v>
      </c>
      <c r="J1304" s="1" t="s">
        <v>57</v>
      </c>
      <c r="K1304">
        <v>1</v>
      </c>
      <c r="L1304">
        <v>1757</v>
      </c>
      <c r="M1304">
        <v>4</v>
      </c>
      <c r="N1304" s="1" t="s">
        <v>53</v>
      </c>
      <c r="O1304">
        <v>80</v>
      </c>
      <c r="P1304">
        <v>3</v>
      </c>
      <c r="Q1304">
        <v>2</v>
      </c>
      <c r="R1304" s="1" t="s">
        <v>137</v>
      </c>
      <c r="S1304">
        <v>4</v>
      </c>
      <c r="T1304" s="1" t="s">
        <v>46</v>
      </c>
      <c r="U1304">
        <v>4507</v>
      </c>
      <c r="V1304" s="1" t="s">
        <v>47</v>
      </c>
      <c r="W1304">
        <v>8191</v>
      </c>
      <c r="X1304">
        <v>3</v>
      </c>
      <c r="Y1304" s="1" t="s">
        <v>48</v>
      </c>
      <c r="Z1304" s="1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8">
      <c r="A1305" s="1" t="s">
        <v>1369</v>
      </c>
      <c r="B1305">
        <v>49</v>
      </c>
      <c r="C1305" s="1" t="s">
        <v>1271</v>
      </c>
      <c r="D1305" s="1" t="s">
        <v>49</v>
      </c>
      <c r="E1305" s="1" t="s">
        <v>56</v>
      </c>
      <c r="F1305">
        <v>1064</v>
      </c>
      <c r="G1305" s="1" t="s">
        <v>42</v>
      </c>
      <c r="H1305">
        <v>2</v>
      </c>
      <c r="I1305">
        <v>1</v>
      </c>
      <c r="J1305" s="1" t="s">
        <v>43</v>
      </c>
      <c r="K1305">
        <v>1</v>
      </c>
      <c r="L1305">
        <v>1941</v>
      </c>
      <c r="M1305">
        <v>2</v>
      </c>
      <c r="N1305" s="1" t="s">
        <v>44</v>
      </c>
      <c r="O1305">
        <v>42</v>
      </c>
      <c r="P1305">
        <v>3</v>
      </c>
      <c r="Q1305">
        <v>5</v>
      </c>
      <c r="R1305" s="1" t="s">
        <v>252</v>
      </c>
      <c r="S1305">
        <v>4</v>
      </c>
      <c r="T1305" s="1" t="s">
        <v>105</v>
      </c>
      <c r="U1305">
        <v>19161</v>
      </c>
      <c r="V1305" s="1" t="s">
        <v>368</v>
      </c>
      <c r="W1305">
        <v>13738</v>
      </c>
      <c r="X1305">
        <v>3</v>
      </c>
      <c r="Y1305" s="1" t="s">
        <v>48</v>
      </c>
      <c r="Z1305" s="1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8">
      <c r="A1306" s="1" t="s">
        <v>1370</v>
      </c>
      <c r="B1306">
        <v>49</v>
      </c>
      <c r="C1306" s="1" t="s">
        <v>1271</v>
      </c>
      <c r="D1306" s="1" t="s">
        <v>49</v>
      </c>
      <c r="E1306" s="1" t="s">
        <v>56</v>
      </c>
      <c r="F1306">
        <v>1023</v>
      </c>
      <c r="G1306" s="1" t="s">
        <v>51</v>
      </c>
      <c r="H1306">
        <v>2</v>
      </c>
      <c r="I1306">
        <v>3</v>
      </c>
      <c r="J1306" s="1" t="s">
        <v>52</v>
      </c>
      <c r="K1306">
        <v>1</v>
      </c>
      <c r="L1306">
        <v>2065</v>
      </c>
      <c r="M1306">
        <v>4</v>
      </c>
      <c r="N1306" s="1" t="s">
        <v>44</v>
      </c>
      <c r="O1306">
        <v>63</v>
      </c>
      <c r="P1306">
        <v>2</v>
      </c>
      <c r="Q1306">
        <v>2</v>
      </c>
      <c r="R1306" s="1" t="s">
        <v>137</v>
      </c>
      <c r="S1306">
        <v>2</v>
      </c>
      <c r="T1306" s="1" t="s">
        <v>105</v>
      </c>
      <c r="U1306">
        <v>5390</v>
      </c>
      <c r="V1306" s="1" t="s">
        <v>163</v>
      </c>
      <c r="W1306">
        <v>13243</v>
      </c>
      <c r="X1306">
        <v>2</v>
      </c>
      <c r="Y1306" s="1" t="s">
        <v>48</v>
      </c>
      <c r="Z1306" s="1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8">
      <c r="A1307" s="1" t="s">
        <v>1370</v>
      </c>
      <c r="B1307">
        <v>49</v>
      </c>
      <c r="C1307" s="1" t="s">
        <v>1271</v>
      </c>
      <c r="D1307" s="1" t="s">
        <v>49</v>
      </c>
      <c r="E1307" s="1" t="s">
        <v>56</v>
      </c>
      <c r="F1307">
        <v>1023</v>
      </c>
      <c r="G1307" s="1" t="s">
        <v>51</v>
      </c>
      <c r="H1307">
        <v>2</v>
      </c>
      <c r="I1307">
        <v>3</v>
      </c>
      <c r="J1307" s="1" t="s">
        <v>52</v>
      </c>
      <c r="K1307">
        <v>1</v>
      </c>
      <c r="L1307">
        <v>2065</v>
      </c>
      <c r="M1307">
        <v>4</v>
      </c>
      <c r="N1307" s="1" t="s">
        <v>44</v>
      </c>
      <c r="O1307">
        <v>63</v>
      </c>
      <c r="P1307">
        <v>2</v>
      </c>
      <c r="Q1307">
        <v>2</v>
      </c>
      <c r="R1307" s="1" t="s">
        <v>137</v>
      </c>
      <c r="S1307">
        <v>2</v>
      </c>
      <c r="T1307" s="1" t="s">
        <v>105</v>
      </c>
      <c r="U1307">
        <v>5390</v>
      </c>
      <c r="V1307" s="1" t="s">
        <v>163</v>
      </c>
      <c r="W1307">
        <v>13243</v>
      </c>
      <c r="X1307">
        <v>2</v>
      </c>
      <c r="Y1307" s="1" t="s">
        <v>48</v>
      </c>
      <c r="Z1307" s="1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8">
      <c r="A1308" s="1" t="s">
        <v>1371</v>
      </c>
      <c r="B1308">
        <v>50</v>
      </c>
      <c r="C1308" s="1" t="s">
        <v>1271</v>
      </c>
      <c r="D1308" s="1" t="s">
        <v>40</v>
      </c>
      <c r="E1308" s="1" t="s">
        <v>41</v>
      </c>
      <c r="F1308">
        <v>869</v>
      </c>
      <c r="G1308" s="1" t="s">
        <v>51</v>
      </c>
      <c r="H1308">
        <v>3</v>
      </c>
      <c r="I1308">
        <v>2</v>
      </c>
      <c r="J1308" s="1" t="s">
        <v>57</v>
      </c>
      <c r="K1308">
        <v>1</v>
      </c>
      <c r="L1308">
        <v>47</v>
      </c>
      <c r="M1308">
        <v>1</v>
      </c>
      <c r="N1308" s="1" t="s">
        <v>44</v>
      </c>
      <c r="O1308">
        <v>86</v>
      </c>
      <c r="P1308">
        <v>2</v>
      </c>
      <c r="Q1308">
        <v>1</v>
      </c>
      <c r="R1308" s="1" t="s">
        <v>54</v>
      </c>
      <c r="S1308">
        <v>3</v>
      </c>
      <c r="T1308" s="1" t="s">
        <v>105</v>
      </c>
      <c r="U1308">
        <v>2683</v>
      </c>
      <c r="V1308" s="1" t="s">
        <v>47</v>
      </c>
      <c r="W1308">
        <v>3810</v>
      </c>
      <c r="X1308">
        <v>1</v>
      </c>
      <c r="Y1308" s="1" t="s">
        <v>48</v>
      </c>
      <c r="Z1308" s="1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8">
      <c r="A1309" s="1" t="s">
        <v>1372</v>
      </c>
      <c r="B1309">
        <v>50</v>
      </c>
      <c r="C1309" s="1" t="s">
        <v>1271</v>
      </c>
      <c r="D1309" s="1" t="s">
        <v>49</v>
      </c>
      <c r="E1309" s="1" t="s">
        <v>41</v>
      </c>
      <c r="F1309">
        <v>989</v>
      </c>
      <c r="G1309" s="1" t="s">
        <v>42</v>
      </c>
      <c r="H1309">
        <v>7</v>
      </c>
      <c r="I1309">
        <v>2</v>
      </c>
      <c r="J1309" s="1" t="s">
        <v>52</v>
      </c>
      <c r="K1309">
        <v>1</v>
      </c>
      <c r="L1309">
        <v>80</v>
      </c>
      <c r="M1309">
        <v>2</v>
      </c>
      <c r="N1309" s="1" t="s">
        <v>53</v>
      </c>
      <c r="O1309">
        <v>43</v>
      </c>
      <c r="P1309">
        <v>2</v>
      </c>
      <c r="Q1309">
        <v>5</v>
      </c>
      <c r="R1309" s="1" t="s">
        <v>252</v>
      </c>
      <c r="S1309">
        <v>3</v>
      </c>
      <c r="T1309" s="1" t="s">
        <v>102</v>
      </c>
      <c r="U1309">
        <v>18740</v>
      </c>
      <c r="V1309" s="1" t="s">
        <v>368</v>
      </c>
      <c r="W1309">
        <v>16701</v>
      </c>
      <c r="X1309">
        <v>5</v>
      </c>
      <c r="Y1309" s="1" t="s">
        <v>48</v>
      </c>
      <c r="Z1309" s="1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8">
      <c r="A1310" s="1" t="s">
        <v>1373</v>
      </c>
      <c r="B1310">
        <v>50</v>
      </c>
      <c r="C1310" s="1" t="s">
        <v>1271</v>
      </c>
      <c r="D1310" s="1" t="s">
        <v>49</v>
      </c>
      <c r="E1310" s="1" t="s">
        <v>56</v>
      </c>
      <c r="F1310">
        <v>1115</v>
      </c>
      <c r="G1310" s="1" t="s">
        <v>42</v>
      </c>
      <c r="H1310">
        <v>1</v>
      </c>
      <c r="I1310">
        <v>3</v>
      </c>
      <c r="J1310" s="1" t="s">
        <v>43</v>
      </c>
      <c r="K1310">
        <v>1</v>
      </c>
      <c r="L1310">
        <v>141</v>
      </c>
      <c r="M1310">
        <v>1</v>
      </c>
      <c r="N1310" s="1" t="s">
        <v>53</v>
      </c>
      <c r="O1310">
        <v>73</v>
      </c>
      <c r="P1310">
        <v>3</v>
      </c>
      <c r="Q1310">
        <v>5</v>
      </c>
      <c r="R1310" s="1" t="s">
        <v>252</v>
      </c>
      <c r="S1310">
        <v>2</v>
      </c>
      <c r="T1310" s="1" t="s">
        <v>105</v>
      </c>
      <c r="U1310">
        <v>18172</v>
      </c>
      <c r="V1310" s="1" t="s">
        <v>368</v>
      </c>
      <c r="W1310">
        <v>9755</v>
      </c>
      <c r="X1310">
        <v>3</v>
      </c>
      <c r="Y1310" s="1" t="s">
        <v>48</v>
      </c>
      <c r="Z1310" s="1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8">
      <c r="A1311" s="1" t="s">
        <v>1374</v>
      </c>
      <c r="B1311">
        <v>50</v>
      </c>
      <c r="C1311" s="1" t="s">
        <v>1271</v>
      </c>
      <c r="D1311" s="1" t="s">
        <v>49</v>
      </c>
      <c r="E1311" s="1" t="s">
        <v>56</v>
      </c>
      <c r="F1311">
        <v>809</v>
      </c>
      <c r="G1311" s="1" t="s">
        <v>51</v>
      </c>
      <c r="H1311">
        <v>12</v>
      </c>
      <c r="I1311">
        <v>3</v>
      </c>
      <c r="J1311" s="1" t="s">
        <v>57</v>
      </c>
      <c r="K1311">
        <v>1</v>
      </c>
      <c r="L1311">
        <v>174</v>
      </c>
      <c r="M1311">
        <v>3</v>
      </c>
      <c r="N1311" s="1" t="s">
        <v>53</v>
      </c>
      <c r="O1311">
        <v>77</v>
      </c>
      <c r="P1311">
        <v>3</v>
      </c>
      <c r="Q1311">
        <v>3</v>
      </c>
      <c r="R1311" s="1" t="s">
        <v>137</v>
      </c>
      <c r="S1311">
        <v>4</v>
      </c>
      <c r="T1311" s="1" t="s">
        <v>46</v>
      </c>
      <c r="U1311">
        <v>9208</v>
      </c>
      <c r="V1311" s="1" t="s">
        <v>163</v>
      </c>
      <c r="W1311">
        <v>6645</v>
      </c>
      <c r="X1311">
        <v>4</v>
      </c>
      <c r="Y1311" s="1" t="s">
        <v>48</v>
      </c>
      <c r="Z1311" s="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8">
      <c r="A1312" s="1" t="s">
        <v>1375</v>
      </c>
      <c r="B1312">
        <v>50</v>
      </c>
      <c r="C1312" s="1" t="s">
        <v>1271</v>
      </c>
      <c r="D1312" s="1" t="s">
        <v>49</v>
      </c>
      <c r="E1312" s="1" t="s">
        <v>41</v>
      </c>
      <c r="F1312">
        <v>1452</v>
      </c>
      <c r="G1312" s="1" t="s">
        <v>42</v>
      </c>
      <c r="H1312">
        <v>11</v>
      </c>
      <c r="I1312">
        <v>3</v>
      </c>
      <c r="J1312" s="1" t="s">
        <v>43</v>
      </c>
      <c r="K1312">
        <v>1</v>
      </c>
      <c r="L1312">
        <v>226</v>
      </c>
      <c r="M1312">
        <v>3</v>
      </c>
      <c r="N1312" s="1" t="s">
        <v>53</v>
      </c>
      <c r="O1312">
        <v>53</v>
      </c>
      <c r="P1312">
        <v>3</v>
      </c>
      <c r="Q1312">
        <v>5</v>
      </c>
      <c r="R1312" s="1" t="s">
        <v>442</v>
      </c>
      <c r="S1312">
        <v>2</v>
      </c>
      <c r="T1312" s="1" t="s">
        <v>46</v>
      </c>
      <c r="U1312">
        <v>19926</v>
      </c>
      <c r="V1312" s="1" t="s">
        <v>368</v>
      </c>
      <c r="W1312">
        <v>17053</v>
      </c>
      <c r="X1312">
        <v>3</v>
      </c>
      <c r="Y1312" s="1" t="s">
        <v>48</v>
      </c>
      <c r="Z1312" s="1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8">
      <c r="A1313" s="1" t="s">
        <v>1376</v>
      </c>
      <c r="B1313">
        <v>50</v>
      </c>
      <c r="C1313" s="1" t="s">
        <v>1271</v>
      </c>
      <c r="D1313" s="1" t="s">
        <v>49</v>
      </c>
      <c r="E1313" s="1" t="s">
        <v>41</v>
      </c>
      <c r="F1313">
        <v>328</v>
      </c>
      <c r="G1313" s="1" t="s">
        <v>42</v>
      </c>
      <c r="H1313">
        <v>1</v>
      </c>
      <c r="I1313">
        <v>3</v>
      </c>
      <c r="J1313" s="1" t="s">
        <v>52</v>
      </c>
      <c r="K1313">
        <v>1</v>
      </c>
      <c r="L1313">
        <v>249</v>
      </c>
      <c r="M1313">
        <v>3</v>
      </c>
      <c r="N1313" s="1" t="s">
        <v>44</v>
      </c>
      <c r="O1313">
        <v>86</v>
      </c>
      <c r="P1313">
        <v>2</v>
      </c>
      <c r="Q1313">
        <v>1</v>
      </c>
      <c r="R1313" s="1" t="s">
        <v>45</v>
      </c>
      <c r="S1313">
        <v>3</v>
      </c>
      <c r="T1313" s="1" t="s">
        <v>105</v>
      </c>
      <c r="U1313">
        <v>3690</v>
      </c>
      <c r="V1313" s="1" t="s">
        <v>47</v>
      </c>
      <c r="W1313">
        <v>3425</v>
      </c>
      <c r="X1313">
        <v>2</v>
      </c>
      <c r="Y1313" s="1" t="s">
        <v>48</v>
      </c>
      <c r="Z1313" s="1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8">
      <c r="A1314" s="1" t="s">
        <v>1377</v>
      </c>
      <c r="B1314">
        <v>50</v>
      </c>
      <c r="C1314" s="1" t="s">
        <v>1271</v>
      </c>
      <c r="D1314" s="1" t="s">
        <v>49</v>
      </c>
      <c r="E1314" s="1" t="s">
        <v>41</v>
      </c>
      <c r="F1314">
        <v>854</v>
      </c>
      <c r="G1314" s="1" t="s">
        <v>51</v>
      </c>
      <c r="H1314">
        <v>1</v>
      </c>
      <c r="I1314">
        <v>4</v>
      </c>
      <c r="J1314" s="1" t="s">
        <v>52</v>
      </c>
      <c r="K1314">
        <v>1</v>
      </c>
      <c r="L1314">
        <v>323</v>
      </c>
      <c r="M1314">
        <v>4</v>
      </c>
      <c r="N1314" s="1" t="s">
        <v>53</v>
      </c>
      <c r="O1314">
        <v>68</v>
      </c>
      <c r="P1314">
        <v>3</v>
      </c>
      <c r="Q1314">
        <v>5</v>
      </c>
      <c r="R1314" s="1" t="s">
        <v>442</v>
      </c>
      <c r="S1314">
        <v>4</v>
      </c>
      <c r="T1314" s="1" t="s">
        <v>102</v>
      </c>
      <c r="U1314">
        <v>19517</v>
      </c>
      <c r="V1314" s="1" t="s">
        <v>368</v>
      </c>
      <c r="W1314">
        <v>24118</v>
      </c>
      <c r="X1314">
        <v>3</v>
      </c>
      <c r="Y1314" s="1" t="s">
        <v>48</v>
      </c>
      <c r="Z1314" s="1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8">
      <c r="A1315" s="1" t="s">
        <v>1378</v>
      </c>
      <c r="B1315">
        <v>50</v>
      </c>
      <c r="C1315" s="1" t="s">
        <v>1271</v>
      </c>
      <c r="D1315" s="1" t="s">
        <v>49</v>
      </c>
      <c r="E1315" s="1" t="s">
        <v>41</v>
      </c>
      <c r="F1315">
        <v>797</v>
      </c>
      <c r="G1315" s="1" t="s">
        <v>42</v>
      </c>
      <c r="H1315">
        <v>4</v>
      </c>
      <c r="I1315">
        <v>1</v>
      </c>
      <c r="J1315" s="1" t="s">
        <v>43</v>
      </c>
      <c r="K1315">
        <v>1</v>
      </c>
      <c r="L1315">
        <v>385</v>
      </c>
      <c r="M1315">
        <v>1</v>
      </c>
      <c r="N1315" s="1" t="s">
        <v>44</v>
      </c>
      <c r="O1315">
        <v>96</v>
      </c>
      <c r="P1315">
        <v>3</v>
      </c>
      <c r="Q1315">
        <v>5</v>
      </c>
      <c r="R1315" s="1" t="s">
        <v>252</v>
      </c>
      <c r="S1315">
        <v>2</v>
      </c>
      <c r="T1315" s="1" t="s">
        <v>102</v>
      </c>
      <c r="U1315">
        <v>19144</v>
      </c>
      <c r="V1315" s="1" t="s">
        <v>368</v>
      </c>
      <c r="W1315">
        <v>15815</v>
      </c>
      <c r="X1315">
        <v>3</v>
      </c>
      <c r="Y1315" s="1" t="s">
        <v>48</v>
      </c>
      <c r="Z1315" s="1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8">
      <c r="A1316" s="1" t="s">
        <v>1379</v>
      </c>
      <c r="B1316">
        <v>50</v>
      </c>
      <c r="C1316" s="1" t="s">
        <v>1271</v>
      </c>
      <c r="D1316" s="1" t="s">
        <v>49</v>
      </c>
      <c r="E1316" s="1" t="s">
        <v>41</v>
      </c>
      <c r="F1316">
        <v>1046</v>
      </c>
      <c r="G1316" s="1" t="s">
        <v>42</v>
      </c>
      <c r="H1316">
        <v>10</v>
      </c>
      <c r="I1316">
        <v>3</v>
      </c>
      <c r="J1316" s="1" t="s">
        <v>68</v>
      </c>
      <c r="K1316">
        <v>1</v>
      </c>
      <c r="L1316">
        <v>491</v>
      </c>
      <c r="M1316">
        <v>4</v>
      </c>
      <c r="N1316" s="1" t="s">
        <v>44</v>
      </c>
      <c r="O1316">
        <v>100</v>
      </c>
      <c r="P1316">
        <v>2</v>
      </c>
      <c r="Q1316">
        <v>3</v>
      </c>
      <c r="R1316" s="1" t="s">
        <v>161</v>
      </c>
      <c r="S1316">
        <v>4</v>
      </c>
      <c r="T1316" s="1" t="s">
        <v>46</v>
      </c>
      <c r="U1316">
        <v>10496</v>
      </c>
      <c r="V1316" s="1" t="s">
        <v>253</v>
      </c>
      <c r="W1316">
        <v>2755</v>
      </c>
      <c r="X1316">
        <v>6</v>
      </c>
      <c r="Y1316" s="1" t="s">
        <v>48</v>
      </c>
      <c r="Z1316" s="1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8">
      <c r="A1317" s="1" t="s">
        <v>1380</v>
      </c>
      <c r="B1317">
        <v>50</v>
      </c>
      <c r="C1317" s="1" t="s">
        <v>1271</v>
      </c>
      <c r="D1317" s="1" t="s">
        <v>49</v>
      </c>
      <c r="E1317" s="1" t="s">
        <v>41</v>
      </c>
      <c r="F1317">
        <v>1099</v>
      </c>
      <c r="G1317" s="1" t="s">
        <v>42</v>
      </c>
      <c r="H1317">
        <v>29</v>
      </c>
      <c r="I1317">
        <v>4</v>
      </c>
      <c r="J1317" s="1" t="s">
        <v>43</v>
      </c>
      <c r="K1317">
        <v>1</v>
      </c>
      <c r="L1317">
        <v>569</v>
      </c>
      <c r="M1317">
        <v>2</v>
      </c>
      <c r="N1317" s="1" t="s">
        <v>44</v>
      </c>
      <c r="O1317">
        <v>88</v>
      </c>
      <c r="P1317">
        <v>2</v>
      </c>
      <c r="Q1317">
        <v>4</v>
      </c>
      <c r="R1317" s="1" t="s">
        <v>442</v>
      </c>
      <c r="S1317">
        <v>3</v>
      </c>
      <c r="T1317" s="1" t="s">
        <v>105</v>
      </c>
      <c r="U1317">
        <v>17046</v>
      </c>
      <c r="V1317" s="1" t="s">
        <v>368</v>
      </c>
      <c r="W1317">
        <v>9314</v>
      </c>
      <c r="X1317">
        <v>0</v>
      </c>
      <c r="Y1317" s="1" t="s">
        <v>48</v>
      </c>
      <c r="Z1317" s="1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8">
      <c r="A1318" s="1" t="s">
        <v>1381</v>
      </c>
      <c r="B1318">
        <v>50</v>
      </c>
      <c r="C1318" s="1" t="s">
        <v>1271</v>
      </c>
      <c r="D1318" s="1" t="s">
        <v>49</v>
      </c>
      <c r="E1318" s="1" t="s">
        <v>56</v>
      </c>
      <c r="F1318">
        <v>1246</v>
      </c>
      <c r="G1318" s="1" t="s">
        <v>71</v>
      </c>
      <c r="H1318">
        <v>3</v>
      </c>
      <c r="I1318">
        <v>3</v>
      </c>
      <c r="J1318" s="1" t="s">
        <v>52</v>
      </c>
      <c r="K1318">
        <v>1</v>
      </c>
      <c r="L1318">
        <v>644</v>
      </c>
      <c r="M1318">
        <v>1</v>
      </c>
      <c r="N1318" s="1" t="s">
        <v>44</v>
      </c>
      <c r="O1318">
        <v>99</v>
      </c>
      <c r="P1318">
        <v>3</v>
      </c>
      <c r="Q1318">
        <v>5</v>
      </c>
      <c r="R1318" s="1" t="s">
        <v>442</v>
      </c>
      <c r="S1318">
        <v>2</v>
      </c>
      <c r="T1318" s="1" t="s">
        <v>105</v>
      </c>
      <c r="U1318">
        <v>18200</v>
      </c>
      <c r="V1318" s="1" t="s">
        <v>368</v>
      </c>
      <c r="W1318">
        <v>7999</v>
      </c>
      <c r="X1318">
        <v>1</v>
      </c>
      <c r="Y1318" s="1" t="s">
        <v>48</v>
      </c>
      <c r="Z1318" s="1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8">
      <c r="A1319" s="1" t="s">
        <v>1382</v>
      </c>
      <c r="B1319">
        <v>50</v>
      </c>
      <c r="C1319" s="1" t="s">
        <v>1271</v>
      </c>
      <c r="D1319" s="1" t="s">
        <v>49</v>
      </c>
      <c r="E1319" s="1" t="s">
        <v>41</v>
      </c>
      <c r="F1319">
        <v>1207</v>
      </c>
      <c r="G1319" s="1" t="s">
        <v>42</v>
      </c>
      <c r="H1319">
        <v>28</v>
      </c>
      <c r="I1319">
        <v>1</v>
      </c>
      <c r="J1319" s="1" t="s">
        <v>52</v>
      </c>
      <c r="K1319">
        <v>1</v>
      </c>
      <c r="L1319">
        <v>716</v>
      </c>
      <c r="M1319">
        <v>4</v>
      </c>
      <c r="N1319" s="1" t="s">
        <v>44</v>
      </c>
      <c r="O1319">
        <v>74</v>
      </c>
      <c r="P1319">
        <v>4</v>
      </c>
      <c r="Q1319">
        <v>1</v>
      </c>
      <c r="R1319" s="1" t="s">
        <v>45</v>
      </c>
      <c r="S1319">
        <v>3</v>
      </c>
      <c r="T1319" s="1" t="s">
        <v>105</v>
      </c>
      <c r="U1319">
        <v>3221</v>
      </c>
      <c r="V1319" s="1" t="s">
        <v>47</v>
      </c>
      <c r="W1319">
        <v>3297</v>
      </c>
      <c r="X1319">
        <v>1</v>
      </c>
      <c r="Y1319" s="1" t="s">
        <v>48</v>
      </c>
      <c r="Z1319" s="1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8">
      <c r="A1320" s="1" t="s">
        <v>1383</v>
      </c>
      <c r="B1320">
        <v>50</v>
      </c>
      <c r="C1320" s="1" t="s">
        <v>1271</v>
      </c>
      <c r="D1320" s="1" t="s">
        <v>40</v>
      </c>
      <c r="E1320" s="1" t="s">
        <v>56</v>
      </c>
      <c r="F1320">
        <v>562</v>
      </c>
      <c r="G1320" s="1" t="s">
        <v>51</v>
      </c>
      <c r="H1320">
        <v>8</v>
      </c>
      <c r="I1320">
        <v>2</v>
      </c>
      <c r="J1320" s="1" t="s">
        <v>68</v>
      </c>
      <c r="K1320">
        <v>1</v>
      </c>
      <c r="L1320">
        <v>723</v>
      </c>
      <c r="M1320">
        <v>2</v>
      </c>
      <c r="N1320" s="1" t="s">
        <v>44</v>
      </c>
      <c r="O1320">
        <v>50</v>
      </c>
      <c r="P1320">
        <v>3</v>
      </c>
      <c r="Q1320">
        <v>2</v>
      </c>
      <c r="R1320" s="1" t="s">
        <v>137</v>
      </c>
      <c r="S1320">
        <v>3</v>
      </c>
      <c r="T1320" s="1" t="s">
        <v>105</v>
      </c>
      <c r="U1320">
        <v>6796</v>
      </c>
      <c r="V1320" s="1" t="s">
        <v>163</v>
      </c>
      <c r="W1320">
        <v>23452</v>
      </c>
      <c r="X1320">
        <v>3</v>
      </c>
      <c r="Y1320" s="1" t="s">
        <v>48</v>
      </c>
      <c r="Z1320" s="1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8">
      <c r="A1321" s="1" t="s">
        <v>1384</v>
      </c>
      <c r="B1321">
        <v>50</v>
      </c>
      <c r="C1321" s="1" t="s">
        <v>1271</v>
      </c>
      <c r="D1321" s="1" t="s">
        <v>49</v>
      </c>
      <c r="E1321" s="1" t="s">
        <v>41</v>
      </c>
      <c r="F1321">
        <v>316</v>
      </c>
      <c r="G1321" s="1" t="s">
        <v>51</v>
      </c>
      <c r="H1321">
        <v>8</v>
      </c>
      <c r="I1321">
        <v>4</v>
      </c>
      <c r="J1321" s="1" t="s">
        <v>57</v>
      </c>
      <c r="K1321">
        <v>1</v>
      </c>
      <c r="L1321">
        <v>738</v>
      </c>
      <c r="M1321">
        <v>4</v>
      </c>
      <c r="N1321" s="1" t="s">
        <v>44</v>
      </c>
      <c r="O1321">
        <v>54</v>
      </c>
      <c r="P1321">
        <v>3</v>
      </c>
      <c r="Q1321">
        <v>1</v>
      </c>
      <c r="R1321" s="1" t="s">
        <v>54</v>
      </c>
      <c r="S1321">
        <v>2</v>
      </c>
      <c r="T1321" s="1" t="s">
        <v>105</v>
      </c>
      <c r="U1321">
        <v>3875</v>
      </c>
      <c r="V1321" s="1" t="s">
        <v>47</v>
      </c>
      <c r="W1321">
        <v>9983</v>
      </c>
      <c r="X1321">
        <v>7</v>
      </c>
      <c r="Y1321" s="1" t="s">
        <v>48</v>
      </c>
      <c r="Z1321" s="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8">
      <c r="A1322" s="1" t="s">
        <v>1385</v>
      </c>
      <c r="B1322">
        <v>50</v>
      </c>
      <c r="C1322" s="1" t="s">
        <v>1271</v>
      </c>
      <c r="D1322" s="1" t="s">
        <v>49</v>
      </c>
      <c r="E1322" s="1" t="s">
        <v>41</v>
      </c>
      <c r="F1322">
        <v>691</v>
      </c>
      <c r="G1322" s="1" t="s">
        <v>42</v>
      </c>
      <c r="H1322">
        <v>2</v>
      </c>
      <c r="I1322">
        <v>3</v>
      </c>
      <c r="J1322" s="1" t="s">
        <v>52</v>
      </c>
      <c r="K1322">
        <v>1</v>
      </c>
      <c r="L1322">
        <v>815</v>
      </c>
      <c r="M1322">
        <v>3</v>
      </c>
      <c r="N1322" s="1" t="s">
        <v>44</v>
      </c>
      <c r="O1322">
        <v>64</v>
      </c>
      <c r="P1322">
        <v>3</v>
      </c>
      <c r="Q1322">
        <v>4</v>
      </c>
      <c r="R1322" s="1" t="s">
        <v>252</v>
      </c>
      <c r="S1322">
        <v>3</v>
      </c>
      <c r="T1322" s="1" t="s">
        <v>105</v>
      </c>
      <c r="U1322">
        <v>17639</v>
      </c>
      <c r="V1322" s="1" t="s">
        <v>368</v>
      </c>
      <c r="W1322">
        <v>6881</v>
      </c>
      <c r="X1322">
        <v>5</v>
      </c>
      <c r="Y1322" s="1" t="s">
        <v>48</v>
      </c>
      <c r="Z1322" s="1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8">
      <c r="A1323" s="1" t="s">
        <v>1386</v>
      </c>
      <c r="B1323">
        <v>50</v>
      </c>
      <c r="C1323" s="1" t="s">
        <v>1271</v>
      </c>
      <c r="D1323" s="1" t="s">
        <v>49</v>
      </c>
      <c r="E1323" s="1" t="s">
        <v>59</v>
      </c>
      <c r="F1323">
        <v>881</v>
      </c>
      <c r="G1323" s="1" t="s">
        <v>42</v>
      </c>
      <c r="H1323">
        <v>2</v>
      </c>
      <c r="I1323">
        <v>4</v>
      </c>
      <c r="J1323" s="1" t="s">
        <v>43</v>
      </c>
      <c r="K1323">
        <v>1</v>
      </c>
      <c r="L1323">
        <v>905</v>
      </c>
      <c r="M1323">
        <v>1</v>
      </c>
      <c r="N1323" s="1" t="s">
        <v>44</v>
      </c>
      <c r="O1323">
        <v>98</v>
      </c>
      <c r="P1323">
        <v>3</v>
      </c>
      <c r="Q1323">
        <v>4</v>
      </c>
      <c r="R1323" s="1" t="s">
        <v>442</v>
      </c>
      <c r="S1323">
        <v>1</v>
      </c>
      <c r="T1323" s="1" t="s">
        <v>102</v>
      </c>
      <c r="U1323">
        <v>17924</v>
      </c>
      <c r="V1323" s="1" t="s">
        <v>368</v>
      </c>
      <c r="W1323">
        <v>4544</v>
      </c>
      <c r="X1323">
        <v>1</v>
      </c>
      <c r="Y1323" s="1" t="s">
        <v>48</v>
      </c>
      <c r="Z1323" s="1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8">
      <c r="A1324" s="1" t="s">
        <v>1387</v>
      </c>
      <c r="B1324">
        <v>50</v>
      </c>
      <c r="C1324" s="1" t="s">
        <v>1271</v>
      </c>
      <c r="D1324" s="1" t="s">
        <v>49</v>
      </c>
      <c r="E1324" s="1" t="s">
        <v>41</v>
      </c>
      <c r="F1324">
        <v>1126</v>
      </c>
      <c r="G1324" s="1" t="s">
        <v>42</v>
      </c>
      <c r="H1324">
        <v>1</v>
      </c>
      <c r="I1324">
        <v>2</v>
      </c>
      <c r="J1324" s="1" t="s">
        <v>52</v>
      </c>
      <c r="K1324">
        <v>1</v>
      </c>
      <c r="L1324">
        <v>997</v>
      </c>
      <c r="M1324">
        <v>4</v>
      </c>
      <c r="N1324" s="1" t="s">
        <v>44</v>
      </c>
      <c r="O1324">
        <v>66</v>
      </c>
      <c r="P1324">
        <v>3</v>
      </c>
      <c r="Q1324">
        <v>4</v>
      </c>
      <c r="R1324" s="1" t="s">
        <v>252</v>
      </c>
      <c r="S1324">
        <v>4</v>
      </c>
      <c r="T1324" s="1" t="s">
        <v>102</v>
      </c>
      <c r="U1324">
        <v>17399</v>
      </c>
      <c r="V1324" s="1" t="s">
        <v>368</v>
      </c>
      <c r="W1324">
        <v>6615</v>
      </c>
      <c r="X1324">
        <v>9</v>
      </c>
      <c r="Y1324" s="1" t="s">
        <v>48</v>
      </c>
      <c r="Z1324" s="1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8">
      <c r="A1325" s="1" t="s">
        <v>1388</v>
      </c>
      <c r="B1325">
        <v>50</v>
      </c>
      <c r="C1325" s="1" t="s">
        <v>1271</v>
      </c>
      <c r="D1325" s="1" t="s">
        <v>49</v>
      </c>
      <c r="E1325" s="1" t="s">
        <v>41</v>
      </c>
      <c r="F1325">
        <v>939</v>
      </c>
      <c r="G1325" s="1" t="s">
        <v>42</v>
      </c>
      <c r="H1325">
        <v>24</v>
      </c>
      <c r="I1325">
        <v>3</v>
      </c>
      <c r="J1325" s="1" t="s">
        <v>43</v>
      </c>
      <c r="K1325">
        <v>1</v>
      </c>
      <c r="L1325">
        <v>1005</v>
      </c>
      <c r="M1325">
        <v>4</v>
      </c>
      <c r="N1325" s="1" t="s">
        <v>44</v>
      </c>
      <c r="O1325">
        <v>95</v>
      </c>
      <c r="P1325">
        <v>3</v>
      </c>
      <c r="Q1325">
        <v>4</v>
      </c>
      <c r="R1325" s="1" t="s">
        <v>112</v>
      </c>
      <c r="S1325">
        <v>3</v>
      </c>
      <c r="T1325" s="1" t="s">
        <v>105</v>
      </c>
      <c r="U1325">
        <v>13973</v>
      </c>
      <c r="V1325" s="1" t="s">
        <v>253</v>
      </c>
      <c r="W1325">
        <v>4161</v>
      </c>
      <c r="X1325">
        <v>3</v>
      </c>
      <c r="Y1325" s="1" t="s">
        <v>48</v>
      </c>
      <c r="Z1325" s="1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8">
      <c r="A1326" s="1" t="s">
        <v>1389</v>
      </c>
      <c r="B1326">
        <v>50</v>
      </c>
      <c r="C1326" s="1" t="s">
        <v>1271</v>
      </c>
      <c r="D1326" s="1" t="s">
        <v>49</v>
      </c>
      <c r="E1326" s="1" t="s">
        <v>41</v>
      </c>
      <c r="F1326">
        <v>804</v>
      </c>
      <c r="G1326" s="1" t="s">
        <v>42</v>
      </c>
      <c r="H1326">
        <v>9</v>
      </c>
      <c r="I1326">
        <v>3</v>
      </c>
      <c r="J1326" s="1" t="s">
        <v>43</v>
      </c>
      <c r="K1326">
        <v>1</v>
      </c>
      <c r="L1326">
        <v>1030</v>
      </c>
      <c r="M1326">
        <v>1</v>
      </c>
      <c r="N1326" s="1" t="s">
        <v>44</v>
      </c>
      <c r="O1326">
        <v>64</v>
      </c>
      <c r="P1326">
        <v>3</v>
      </c>
      <c r="Q1326">
        <v>1</v>
      </c>
      <c r="R1326" s="1" t="s">
        <v>45</v>
      </c>
      <c r="S1326">
        <v>4</v>
      </c>
      <c r="T1326" s="1" t="s">
        <v>105</v>
      </c>
      <c r="U1326">
        <v>2380</v>
      </c>
      <c r="V1326" s="1" t="s">
        <v>47</v>
      </c>
      <c r="W1326">
        <v>20165</v>
      </c>
      <c r="X1326">
        <v>4</v>
      </c>
      <c r="Y1326" s="1" t="s">
        <v>48</v>
      </c>
      <c r="Z1326" s="1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8">
      <c r="A1327" s="1" t="s">
        <v>1390</v>
      </c>
      <c r="B1327">
        <v>50</v>
      </c>
      <c r="C1327" s="1" t="s">
        <v>1271</v>
      </c>
      <c r="D1327" s="1" t="s">
        <v>49</v>
      </c>
      <c r="E1327" s="1" t="s">
        <v>59</v>
      </c>
      <c r="F1327">
        <v>145</v>
      </c>
      <c r="G1327" s="1" t="s">
        <v>51</v>
      </c>
      <c r="H1327">
        <v>1</v>
      </c>
      <c r="I1327">
        <v>3</v>
      </c>
      <c r="J1327" s="1" t="s">
        <v>43</v>
      </c>
      <c r="K1327">
        <v>1</v>
      </c>
      <c r="L1327">
        <v>1040</v>
      </c>
      <c r="M1327">
        <v>4</v>
      </c>
      <c r="N1327" s="1" t="s">
        <v>53</v>
      </c>
      <c r="O1327">
        <v>95</v>
      </c>
      <c r="P1327">
        <v>3</v>
      </c>
      <c r="Q1327">
        <v>2</v>
      </c>
      <c r="R1327" s="1" t="s">
        <v>137</v>
      </c>
      <c r="S1327">
        <v>3</v>
      </c>
      <c r="T1327" s="1" t="s">
        <v>105</v>
      </c>
      <c r="U1327">
        <v>6347</v>
      </c>
      <c r="V1327" s="1" t="s">
        <v>163</v>
      </c>
      <c r="W1327">
        <v>24920</v>
      </c>
      <c r="X1327">
        <v>0</v>
      </c>
      <c r="Y1327" s="1" t="s">
        <v>48</v>
      </c>
      <c r="Z1327" s="1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8">
      <c r="A1328" s="1" t="s">
        <v>1391</v>
      </c>
      <c r="B1328">
        <v>50</v>
      </c>
      <c r="C1328" s="1" t="s">
        <v>1271</v>
      </c>
      <c r="D1328" s="1" t="s">
        <v>49</v>
      </c>
      <c r="E1328" s="1" t="s">
        <v>41</v>
      </c>
      <c r="F1328">
        <v>1464</v>
      </c>
      <c r="G1328" s="1" t="s">
        <v>42</v>
      </c>
      <c r="H1328">
        <v>2</v>
      </c>
      <c r="I1328">
        <v>4</v>
      </c>
      <c r="J1328" s="1" t="s">
        <v>52</v>
      </c>
      <c r="K1328">
        <v>1</v>
      </c>
      <c r="L1328">
        <v>1061</v>
      </c>
      <c r="M1328">
        <v>2</v>
      </c>
      <c r="N1328" s="1" t="s">
        <v>44</v>
      </c>
      <c r="O1328">
        <v>62</v>
      </c>
      <c r="P1328">
        <v>3</v>
      </c>
      <c r="Q1328">
        <v>5</v>
      </c>
      <c r="R1328" s="1" t="s">
        <v>252</v>
      </c>
      <c r="S1328">
        <v>3</v>
      </c>
      <c r="T1328" s="1" t="s">
        <v>105</v>
      </c>
      <c r="U1328">
        <v>19237</v>
      </c>
      <c r="V1328" s="1" t="s">
        <v>368</v>
      </c>
      <c r="W1328">
        <v>12853</v>
      </c>
      <c r="X1328">
        <v>2</v>
      </c>
      <c r="Y1328" s="1" t="s">
        <v>48</v>
      </c>
      <c r="Z1328" s="1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8">
      <c r="A1329" s="1" t="s">
        <v>1392</v>
      </c>
      <c r="B1329">
        <v>50</v>
      </c>
      <c r="C1329" s="1" t="s">
        <v>1271</v>
      </c>
      <c r="D1329" s="1" t="s">
        <v>40</v>
      </c>
      <c r="E1329" s="1" t="s">
        <v>56</v>
      </c>
      <c r="F1329">
        <v>959</v>
      </c>
      <c r="G1329" s="1" t="s">
        <v>51</v>
      </c>
      <c r="H1329">
        <v>1</v>
      </c>
      <c r="I1329">
        <v>4</v>
      </c>
      <c r="J1329" s="1" t="s">
        <v>73</v>
      </c>
      <c r="K1329">
        <v>1</v>
      </c>
      <c r="L1329">
        <v>1113</v>
      </c>
      <c r="M1329">
        <v>4</v>
      </c>
      <c r="N1329" s="1" t="s">
        <v>44</v>
      </c>
      <c r="O1329">
        <v>81</v>
      </c>
      <c r="P1329">
        <v>3</v>
      </c>
      <c r="Q1329">
        <v>2</v>
      </c>
      <c r="R1329" s="1" t="s">
        <v>137</v>
      </c>
      <c r="S1329">
        <v>3</v>
      </c>
      <c r="T1329" s="1" t="s">
        <v>46</v>
      </c>
      <c r="U1329">
        <v>4728</v>
      </c>
      <c r="V1329" s="1" t="s">
        <v>47</v>
      </c>
      <c r="W1329">
        <v>17251</v>
      </c>
      <c r="X1329">
        <v>3</v>
      </c>
      <c r="Y1329" s="1" t="s">
        <v>48</v>
      </c>
      <c r="Z1329" s="1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8">
      <c r="A1330" s="1" t="s">
        <v>1393</v>
      </c>
      <c r="B1330">
        <v>50</v>
      </c>
      <c r="C1330" s="1" t="s">
        <v>1271</v>
      </c>
      <c r="D1330" s="1" t="s">
        <v>49</v>
      </c>
      <c r="E1330" s="1" t="s">
        <v>56</v>
      </c>
      <c r="F1330">
        <v>1421</v>
      </c>
      <c r="G1330" s="1" t="s">
        <v>42</v>
      </c>
      <c r="H1330">
        <v>2</v>
      </c>
      <c r="I1330">
        <v>3</v>
      </c>
      <c r="J1330" s="1" t="s">
        <v>52</v>
      </c>
      <c r="K1330">
        <v>1</v>
      </c>
      <c r="L1330">
        <v>1215</v>
      </c>
      <c r="M1330">
        <v>4</v>
      </c>
      <c r="N1330" s="1" t="s">
        <v>53</v>
      </c>
      <c r="O1330">
        <v>30</v>
      </c>
      <c r="P1330">
        <v>3</v>
      </c>
      <c r="Q1330">
        <v>4</v>
      </c>
      <c r="R1330" s="1" t="s">
        <v>442</v>
      </c>
      <c r="S1330">
        <v>1</v>
      </c>
      <c r="T1330" s="1" t="s">
        <v>105</v>
      </c>
      <c r="U1330">
        <v>17856</v>
      </c>
      <c r="V1330" s="1" t="s">
        <v>368</v>
      </c>
      <c r="W1330">
        <v>9490</v>
      </c>
      <c r="X1330">
        <v>2</v>
      </c>
      <c r="Y1330" s="1" t="s">
        <v>48</v>
      </c>
      <c r="Z1330" s="1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8">
      <c r="A1331" s="1" t="s">
        <v>1394</v>
      </c>
      <c r="B1331">
        <v>50</v>
      </c>
      <c r="C1331" s="1" t="s">
        <v>1271</v>
      </c>
      <c r="D1331" s="1" t="s">
        <v>49</v>
      </c>
      <c r="E1331" s="1" t="s">
        <v>41</v>
      </c>
      <c r="F1331">
        <v>1322</v>
      </c>
      <c r="G1331" s="1" t="s">
        <v>42</v>
      </c>
      <c r="H1331">
        <v>28</v>
      </c>
      <c r="I1331">
        <v>3</v>
      </c>
      <c r="J1331" s="1" t="s">
        <v>43</v>
      </c>
      <c r="K1331">
        <v>1</v>
      </c>
      <c r="L1331">
        <v>1317</v>
      </c>
      <c r="M1331">
        <v>4</v>
      </c>
      <c r="N1331" s="1" t="s">
        <v>53</v>
      </c>
      <c r="O1331">
        <v>43</v>
      </c>
      <c r="P1331">
        <v>3</v>
      </c>
      <c r="Q1331">
        <v>4</v>
      </c>
      <c r="R1331" s="1" t="s">
        <v>252</v>
      </c>
      <c r="S1331">
        <v>1</v>
      </c>
      <c r="T1331" s="1" t="s">
        <v>105</v>
      </c>
      <c r="U1331">
        <v>16880</v>
      </c>
      <c r="V1331" s="1" t="s">
        <v>368</v>
      </c>
      <c r="W1331">
        <v>22422</v>
      </c>
      <c r="X1331">
        <v>4</v>
      </c>
      <c r="Y1331" s="1" t="s">
        <v>48</v>
      </c>
      <c r="Z1331" s="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8">
      <c r="A1332" s="1" t="s">
        <v>1395</v>
      </c>
      <c r="B1332">
        <v>50</v>
      </c>
      <c r="C1332" s="1" t="s">
        <v>1271</v>
      </c>
      <c r="D1332" s="1" t="s">
        <v>49</v>
      </c>
      <c r="E1332" s="1" t="s">
        <v>56</v>
      </c>
      <c r="F1332">
        <v>333</v>
      </c>
      <c r="G1332" s="1" t="s">
        <v>42</v>
      </c>
      <c r="H1332">
        <v>22</v>
      </c>
      <c r="I1332">
        <v>5</v>
      </c>
      <c r="J1332" s="1" t="s">
        <v>52</v>
      </c>
      <c r="K1332">
        <v>1</v>
      </c>
      <c r="L1332">
        <v>1539</v>
      </c>
      <c r="M1332">
        <v>3</v>
      </c>
      <c r="N1332" s="1" t="s">
        <v>44</v>
      </c>
      <c r="O1332">
        <v>88</v>
      </c>
      <c r="P1332">
        <v>1</v>
      </c>
      <c r="Q1332">
        <v>4</v>
      </c>
      <c r="R1332" s="1" t="s">
        <v>252</v>
      </c>
      <c r="S1332">
        <v>4</v>
      </c>
      <c r="T1332" s="1" t="s">
        <v>46</v>
      </c>
      <c r="U1332">
        <v>14411</v>
      </c>
      <c r="V1332" s="1" t="s">
        <v>253</v>
      </c>
      <c r="W1332">
        <v>24450</v>
      </c>
      <c r="X1332">
        <v>1</v>
      </c>
      <c r="Y1332" s="1" t="s">
        <v>48</v>
      </c>
      <c r="Z1332" s="1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8">
      <c r="A1333" s="1" t="s">
        <v>1396</v>
      </c>
      <c r="B1333">
        <v>50</v>
      </c>
      <c r="C1333" s="1" t="s">
        <v>1271</v>
      </c>
      <c r="D1333" s="1" t="s">
        <v>49</v>
      </c>
      <c r="E1333" s="1" t="s">
        <v>41</v>
      </c>
      <c r="F1333">
        <v>264</v>
      </c>
      <c r="G1333" s="1" t="s">
        <v>51</v>
      </c>
      <c r="H1333">
        <v>9</v>
      </c>
      <c r="I1333">
        <v>3</v>
      </c>
      <c r="J1333" s="1" t="s">
        <v>57</v>
      </c>
      <c r="K1333">
        <v>1</v>
      </c>
      <c r="L1333">
        <v>1591</v>
      </c>
      <c r="M1333">
        <v>3</v>
      </c>
      <c r="N1333" s="1" t="s">
        <v>44</v>
      </c>
      <c r="O1333">
        <v>59</v>
      </c>
      <c r="P1333">
        <v>3</v>
      </c>
      <c r="Q1333">
        <v>5</v>
      </c>
      <c r="R1333" s="1" t="s">
        <v>442</v>
      </c>
      <c r="S1333">
        <v>3</v>
      </c>
      <c r="T1333" s="1" t="s">
        <v>105</v>
      </c>
      <c r="U1333">
        <v>19331</v>
      </c>
      <c r="V1333" s="1" t="s">
        <v>368</v>
      </c>
      <c r="W1333">
        <v>19519</v>
      </c>
      <c r="X1333">
        <v>4</v>
      </c>
      <c r="Y1333" s="1" t="s">
        <v>48</v>
      </c>
      <c r="Z1333" s="1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8">
      <c r="A1334" s="1" t="s">
        <v>1397</v>
      </c>
      <c r="B1334">
        <v>50</v>
      </c>
      <c r="C1334" s="1" t="s">
        <v>1271</v>
      </c>
      <c r="D1334" s="1" t="s">
        <v>49</v>
      </c>
      <c r="E1334" s="1" t="s">
        <v>56</v>
      </c>
      <c r="F1334">
        <v>1234</v>
      </c>
      <c r="G1334" s="1" t="s">
        <v>42</v>
      </c>
      <c r="H1334">
        <v>20</v>
      </c>
      <c r="I1334">
        <v>5</v>
      </c>
      <c r="J1334" s="1" t="s">
        <v>52</v>
      </c>
      <c r="K1334">
        <v>1</v>
      </c>
      <c r="L1334">
        <v>1606</v>
      </c>
      <c r="M1334">
        <v>2</v>
      </c>
      <c r="N1334" s="1" t="s">
        <v>44</v>
      </c>
      <c r="O1334">
        <v>41</v>
      </c>
      <c r="P1334">
        <v>3</v>
      </c>
      <c r="Q1334">
        <v>4</v>
      </c>
      <c r="R1334" s="1" t="s">
        <v>161</v>
      </c>
      <c r="S1334">
        <v>3</v>
      </c>
      <c r="T1334" s="1" t="s">
        <v>105</v>
      </c>
      <c r="U1334">
        <v>11245</v>
      </c>
      <c r="V1334" s="1" t="s">
        <v>253</v>
      </c>
      <c r="W1334">
        <v>20689</v>
      </c>
      <c r="X1334">
        <v>2</v>
      </c>
      <c r="Y1334" s="1" t="s">
        <v>48</v>
      </c>
      <c r="Z1334" s="1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8">
      <c r="A1335" s="1" t="s">
        <v>1398</v>
      </c>
      <c r="B1335">
        <v>50</v>
      </c>
      <c r="C1335" s="1" t="s">
        <v>1271</v>
      </c>
      <c r="D1335" s="1" t="s">
        <v>49</v>
      </c>
      <c r="E1335" s="1" t="s">
        <v>41</v>
      </c>
      <c r="F1335">
        <v>813</v>
      </c>
      <c r="G1335" s="1" t="s">
        <v>42</v>
      </c>
      <c r="H1335">
        <v>17</v>
      </c>
      <c r="I1335">
        <v>5</v>
      </c>
      <c r="J1335" s="1" t="s">
        <v>43</v>
      </c>
      <c r="K1335">
        <v>1</v>
      </c>
      <c r="L1335">
        <v>1656</v>
      </c>
      <c r="M1335">
        <v>4</v>
      </c>
      <c r="N1335" s="1" t="s">
        <v>53</v>
      </c>
      <c r="O1335">
        <v>50</v>
      </c>
      <c r="P1335">
        <v>2</v>
      </c>
      <c r="Q1335">
        <v>3</v>
      </c>
      <c r="R1335" s="1" t="s">
        <v>252</v>
      </c>
      <c r="S1335">
        <v>1</v>
      </c>
      <c r="T1335" s="1" t="s">
        <v>102</v>
      </c>
      <c r="U1335">
        <v>13269</v>
      </c>
      <c r="V1335" s="1" t="s">
        <v>253</v>
      </c>
      <c r="W1335">
        <v>21981</v>
      </c>
      <c r="X1335">
        <v>5</v>
      </c>
      <c r="Y1335" s="1" t="s">
        <v>48</v>
      </c>
      <c r="Z1335" s="1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8">
      <c r="A1336" s="1" t="s">
        <v>1399</v>
      </c>
      <c r="B1336">
        <v>50</v>
      </c>
      <c r="C1336" s="1" t="s">
        <v>1271</v>
      </c>
      <c r="D1336" s="1" t="s">
        <v>40</v>
      </c>
      <c r="E1336" s="1" t="s">
        <v>56</v>
      </c>
      <c r="F1336">
        <v>878</v>
      </c>
      <c r="G1336" s="1" t="s">
        <v>51</v>
      </c>
      <c r="H1336">
        <v>1</v>
      </c>
      <c r="I1336">
        <v>4</v>
      </c>
      <c r="J1336" s="1" t="s">
        <v>43</v>
      </c>
      <c r="K1336">
        <v>1</v>
      </c>
      <c r="L1336">
        <v>2044</v>
      </c>
      <c r="M1336">
        <v>2</v>
      </c>
      <c r="N1336" s="1" t="s">
        <v>44</v>
      </c>
      <c r="O1336">
        <v>94</v>
      </c>
      <c r="P1336">
        <v>3</v>
      </c>
      <c r="Q1336">
        <v>2</v>
      </c>
      <c r="R1336" s="1" t="s">
        <v>137</v>
      </c>
      <c r="S1336">
        <v>3</v>
      </c>
      <c r="T1336" s="1" t="s">
        <v>102</v>
      </c>
      <c r="U1336">
        <v>6728</v>
      </c>
      <c r="V1336" s="1" t="s">
        <v>163</v>
      </c>
      <c r="W1336">
        <v>14255</v>
      </c>
      <c r="X1336">
        <v>7</v>
      </c>
      <c r="Y1336" s="1" t="s">
        <v>48</v>
      </c>
      <c r="Z1336" s="1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8">
      <c r="A1337" s="1" t="s">
        <v>1400</v>
      </c>
      <c r="B1337">
        <v>50</v>
      </c>
      <c r="C1337" s="1" t="s">
        <v>1271</v>
      </c>
      <c r="D1337" s="1" t="s">
        <v>40</v>
      </c>
      <c r="E1337" s="1" t="s">
        <v>41</v>
      </c>
      <c r="F1337">
        <v>410</v>
      </c>
      <c r="G1337" s="1" t="s">
        <v>51</v>
      </c>
      <c r="H1337">
        <v>28</v>
      </c>
      <c r="I1337">
        <v>3</v>
      </c>
      <c r="J1337" s="1" t="s">
        <v>57</v>
      </c>
      <c r="K1337">
        <v>1</v>
      </c>
      <c r="L1337">
        <v>2055</v>
      </c>
      <c r="M1337">
        <v>4</v>
      </c>
      <c r="N1337" s="1" t="s">
        <v>44</v>
      </c>
      <c r="O1337">
        <v>39</v>
      </c>
      <c r="P1337">
        <v>2</v>
      </c>
      <c r="Q1337">
        <v>3</v>
      </c>
      <c r="R1337" s="1" t="s">
        <v>137</v>
      </c>
      <c r="S1337">
        <v>1</v>
      </c>
      <c r="T1337" s="1" t="s">
        <v>102</v>
      </c>
      <c r="U1337">
        <v>10854</v>
      </c>
      <c r="V1337" s="1" t="s">
        <v>253</v>
      </c>
      <c r="W1337">
        <v>16586</v>
      </c>
      <c r="X1337">
        <v>4</v>
      </c>
      <c r="Y1337" s="1" t="s">
        <v>48</v>
      </c>
      <c r="Z1337" s="1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8">
      <c r="A1338" s="1" t="s">
        <v>1400</v>
      </c>
      <c r="B1338">
        <v>50</v>
      </c>
      <c r="C1338" s="1" t="s">
        <v>1271</v>
      </c>
      <c r="D1338" s="1" t="s">
        <v>40</v>
      </c>
      <c r="E1338" s="1" t="s">
        <v>41</v>
      </c>
      <c r="F1338">
        <v>410</v>
      </c>
      <c r="G1338" s="1" t="s">
        <v>51</v>
      </c>
      <c r="H1338">
        <v>28</v>
      </c>
      <c r="I1338">
        <v>3</v>
      </c>
      <c r="J1338" s="1" t="s">
        <v>57</v>
      </c>
      <c r="K1338">
        <v>1</v>
      </c>
      <c r="L1338">
        <v>2055</v>
      </c>
      <c r="M1338">
        <v>4</v>
      </c>
      <c r="N1338" s="1" t="s">
        <v>44</v>
      </c>
      <c r="O1338">
        <v>39</v>
      </c>
      <c r="P1338">
        <v>2</v>
      </c>
      <c r="Q1338">
        <v>3</v>
      </c>
      <c r="R1338" s="1" t="s">
        <v>137</v>
      </c>
      <c r="S1338">
        <v>1</v>
      </c>
      <c r="T1338" s="1" t="s">
        <v>102</v>
      </c>
      <c r="U1338">
        <v>10854</v>
      </c>
      <c r="V1338" s="1" t="s">
        <v>253</v>
      </c>
      <c r="W1338">
        <v>16586</v>
      </c>
      <c r="X1338">
        <v>4</v>
      </c>
      <c r="Y1338" s="1" t="s">
        <v>48</v>
      </c>
      <c r="Z1338" s="1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8">
      <c r="A1339" s="1" t="s">
        <v>1401</v>
      </c>
      <c r="B1339">
        <v>51</v>
      </c>
      <c r="C1339" s="1" t="s">
        <v>1271</v>
      </c>
      <c r="D1339" s="1" t="s">
        <v>49</v>
      </c>
      <c r="E1339" s="1" t="s">
        <v>41</v>
      </c>
      <c r="F1339">
        <v>432</v>
      </c>
      <c r="G1339" s="1" t="s">
        <v>42</v>
      </c>
      <c r="H1339">
        <v>9</v>
      </c>
      <c r="I1339">
        <v>4</v>
      </c>
      <c r="J1339" s="1" t="s">
        <v>43</v>
      </c>
      <c r="K1339">
        <v>1</v>
      </c>
      <c r="L1339">
        <v>116</v>
      </c>
      <c r="M1339">
        <v>4</v>
      </c>
      <c r="N1339" s="1" t="s">
        <v>44</v>
      </c>
      <c r="O1339">
        <v>96</v>
      </c>
      <c r="P1339">
        <v>3</v>
      </c>
      <c r="Q1339">
        <v>1</v>
      </c>
      <c r="R1339" s="1" t="s">
        <v>45</v>
      </c>
      <c r="S1339">
        <v>4</v>
      </c>
      <c r="T1339" s="1" t="s">
        <v>105</v>
      </c>
      <c r="U1339">
        <v>2075</v>
      </c>
      <c r="V1339" s="1" t="s">
        <v>47</v>
      </c>
      <c r="W1339">
        <v>18725</v>
      </c>
      <c r="X1339">
        <v>3</v>
      </c>
      <c r="Y1339" s="1" t="s">
        <v>48</v>
      </c>
      <c r="Z1339" s="1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8">
      <c r="A1340" s="1" t="s">
        <v>1402</v>
      </c>
      <c r="B1340">
        <v>51</v>
      </c>
      <c r="C1340" s="1" t="s">
        <v>1271</v>
      </c>
      <c r="D1340" s="1" t="s">
        <v>49</v>
      </c>
      <c r="E1340" s="1" t="s">
        <v>41</v>
      </c>
      <c r="F1340">
        <v>632</v>
      </c>
      <c r="G1340" s="1" t="s">
        <v>51</v>
      </c>
      <c r="H1340">
        <v>21</v>
      </c>
      <c r="I1340">
        <v>4</v>
      </c>
      <c r="J1340" s="1" t="s">
        <v>57</v>
      </c>
      <c r="K1340">
        <v>1</v>
      </c>
      <c r="L1340">
        <v>120</v>
      </c>
      <c r="M1340">
        <v>3</v>
      </c>
      <c r="N1340" s="1" t="s">
        <v>44</v>
      </c>
      <c r="O1340">
        <v>71</v>
      </c>
      <c r="P1340">
        <v>3</v>
      </c>
      <c r="Q1340">
        <v>2</v>
      </c>
      <c r="R1340" s="1" t="s">
        <v>137</v>
      </c>
      <c r="S1340">
        <v>4</v>
      </c>
      <c r="T1340" s="1" t="s">
        <v>46</v>
      </c>
      <c r="U1340">
        <v>5441</v>
      </c>
      <c r="V1340" s="1" t="s">
        <v>163</v>
      </c>
      <c r="W1340">
        <v>8423</v>
      </c>
      <c r="X1340">
        <v>0</v>
      </c>
      <c r="Y1340" s="1" t="s">
        <v>48</v>
      </c>
      <c r="Z1340" s="1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8">
      <c r="A1341" s="1" t="s">
        <v>1403</v>
      </c>
      <c r="B1341">
        <v>51</v>
      </c>
      <c r="C1341" s="1" t="s">
        <v>1271</v>
      </c>
      <c r="D1341" s="1" t="s">
        <v>49</v>
      </c>
      <c r="E1341" s="1" t="s">
        <v>56</v>
      </c>
      <c r="F1341">
        <v>1456</v>
      </c>
      <c r="G1341" s="1" t="s">
        <v>42</v>
      </c>
      <c r="H1341">
        <v>1</v>
      </c>
      <c r="I1341">
        <v>4</v>
      </c>
      <c r="J1341" s="1" t="s">
        <v>52</v>
      </c>
      <c r="K1341">
        <v>1</v>
      </c>
      <c r="L1341">
        <v>145</v>
      </c>
      <c r="M1341">
        <v>1</v>
      </c>
      <c r="N1341" s="1" t="s">
        <v>53</v>
      </c>
      <c r="O1341">
        <v>30</v>
      </c>
      <c r="P1341">
        <v>2</v>
      </c>
      <c r="Q1341">
        <v>3</v>
      </c>
      <c r="R1341" s="1" t="s">
        <v>161</v>
      </c>
      <c r="S1341">
        <v>1</v>
      </c>
      <c r="T1341" s="1" t="s">
        <v>46</v>
      </c>
      <c r="U1341">
        <v>7484</v>
      </c>
      <c r="V1341" s="1" t="s">
        <v>163</v>
      </c>
      <c r="W1341">
        <v>25796</v>
      </c>
      <c r="X1341">
        <v>3</v>
      </c>
      <c r="Y1341" s="1" t="s">
        <v>48</v>
      </c>
      <c r="Z1341" s="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8">
      <c r="A1342" s="1" t="s">
        <v>1404</v>
      </c>
      <c r="B1342">
        <v>51</v>
      </c>
      <c r="C1342" s="1" t="s">
        <v>1271</v>
      </c>
      <c r="D1342" s="1" t="s">
        <v>49</v>
      </c>
      <c r="E1342" s="1" t="s">
        <v>41</v>
      </c>
      <c r="F1342">
        <v>684</v>
      </c>
      <c r="G1342" s="1" t="s">
        <v>42</v>
      </c>
      <c r="H1342">
        <v>6</v>
      </c>
      <c r="I1342">
        <v>3</v>
      </c>
      <c r="J1342" s="1" t="s">
        <v>43</v>
      </c>
      <c r="K1342">
        <v>1</v>
      </c>
      <c r="L1342">
        <v>162</v>
      </c>
      <c r="M1342">
        <v>1</v>
      </c>
      <c r="N1342" s="1" t="s">
        <v>44</v>
      </c>
      <c r="O1342">
        <v>51</v>
      </c>
      <c r="P1342">
        <v>3</v>
      </c>
      <c r="Q1342">
        <v>5</v>
      </c>
      <c r="R1342" s="1" t="s">
        <v>252</v>
      </c>
      <c r="S1342">
        <v>3</v>
      </c>
      <c r="T1342" s="1" t="s">
        <v>46</v>
      </c>
      <c r="U1342">
        <v>19537</v>
      </c>
      <c r="V1342" s="1" t="s">
        <v>368</v>
      </c>
      <c r="W1342">
        <v>6462</v>
      </c>
      <c r="X1342">
        <v>7</v>
      </c>
      <c r="Y1342" s="1" t="s">
        <v>48</v>
      </c>
      <c r="Z1342" s="1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8">
      <c r="A1343" s="1" t="s">
        <v>1405</v>
      </c>
      <c r="B1343">
        <v>51</v>
      </c>
      <c r="C1343" s="1" t="s">
        <v>1271</v>
      </c>
      <c r="D1343" s="1" t="s">
        <v>40</v>
      </c>
      <c r="E1343" s="1" t="s">
        <v>56</v>
      </c>
      <c r="F1343">
        <v>1150</v>
      </c>
      <c r="G1343" s="1" t="s">
        <v>42</v>
      </c>
      <c r="H1343">
        <v>8</v>
      </c>
      <c r="I1343">
        <v>4</v>
      </c>
      <c r="J1343" s="1" t="s">
        <v>43</v>
      </c>
      <c r="K1343">
        <v>1</v>
      </c>
      <c r="L1343">
        <v>179</v>
      </c>
      <c r="M1343">
        <v>1</v>
      </c>
      <c r="N1343" s="1" t="s">
        <v>44</v>
      </c>
      <c r="O1343">
        <v>53</v>
      </c>
      <c r="P1343">
        <v>1</v>
      </c>
      <c r="Q1343">
        <v>3</v>
      </c>
      <c r="R1343" s="1" t="s">
        <v>112</v>
      </c>
      <c r="S1343">
        <v>4</v>
      </c>
      <c r="T1343" s="1" t="s">
        <v>46</v>
      </c>
      <c r="U1343">
        <v>10650</v>
      </c>
      <c r="V1343" s="1" t="s">
        <v>253</v>
      </c>
      <c r="W1343">
        <v>25150</v>
      </c>
      <c r="X1343">
        <v>2</v>
      </c>
      <c r="Y1343" s="1" t="s">
        <v>48</v>
      </c>
      <c r="Z1343" s="1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8">
      <c r="A1344" s="1" t="s">
        <v>1406</v>
      </c>
      <c r="B1344">
        <v>51</v>
      </c>
      <c r="C1344" s="1" t="s">
        <v>1271</v>
      </c>
      <c r="D1344" s="1" t="s">
        <v>49</v>
      </c>
      <c r="E1344" s="1" t="s">
        <v>41</v>
      </c>
      <c r="F1344">
        <v>1169</v>
      </c>
      <c r="G1344" s="1" t="s">
        <v>42</v>
      </c>
      <c r="H1344">
        <v>7</v>
      </c>
      <c r="I1344">
        <v>4</v>
      </c>
      <c r="J1344" s="1" t="s">
        <v>52</v>
      </c>
      <c r="K1344">
        <v>1</v>
      </c>
      <c r="L1344">
        <v>211</v>
      </c>
      <c r="M1344">
        <v>2</v>
      </c>
      <c r="N1344" s="1" t="s">
        <v>44</v>
      </c>
      <c r="O1344">
        <v>34</v>
      </c>
      <c r="P1344">
        <v>2</v>
      </c>
      <c r="Q1344">
        <v>2</v>
      </c>
      <c r="R1344" s="1" t="s">
        <v>112</v>
      </c>
      <c r="S1344">
        <v>3</v>
      </c>
      <c r="T1344" s="1" t="s">
        <v>105</v>
      </c>
      <c r="U1344">
        <v>6132</v>
      </c>
      <c r="V1344" s="1" t="s">
        <v>163</v>
      </c>
      <c r="W1344">
        <v>13983</v>
      </c>
      <c r="X1344">
        <v>2</v>
      </c>
      <c r="Y1344" s="1" t="s">
        <v>48</v>
      </c>
      <c r="Z1344" s="1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8">
      <c r="A1345" s="1" t="s">
        <v>1407</v>
      </c>
      <c r="B1345">
        <v>51</v>
      </c>
      <c r="C1345" s="1" t="s">
        <v>1271</v>
      </c>
      <c r="D1345" s="1" t="s">
        <v>49</v>
      </c>
      <c r="E1345" s="1" t="s">
        <v>41</v>
      </c>
      <c r="F1345">
        <v>313</v>
      </c>
      <c r="G1345" s="1" t="s">
        <v>42</v>
      </c>
      <c r="H1345">
        <v>3</v>
      </c>
      <c r="I1345">
        <v>3</v>
      </c>
      <c r="J1345" s="1" t="s">
        <v>52</v>
      </c>
      <c r="K1345">
        <v>1</v>
      </c>
      <c r="L1345">
        <v>258</v>
      </c>
      <c r="M1345">
        <v>4</v>
      </c>
      <c r="N1345" s="1" t="s">
        <v>53</v>
      </c>
      <c r="O1345">
        <v>98</v>
      </c>
      <c r="P1345">
        <v>3</v>
      </c>
      <c r="Q1345">
        <v>4</v>
      </c>
      <c r="R1345" s="1" t="s">
        <v>161</v>
      </c>
      <c r="S1345">
        <v>2</v>
      </c>
      <c r="T1345" s="1" t="s">
        <v>46</v>
      </c>
      <c r="U1345">
        <v>13734</v>
      </c>
      <c r="V1345" s="1" t="s">
        <v>253</v>
      </c>
      <c r="W1345">
        <v>7192</v>
      </c>
      <c r="X1345">
        <v>3</v>
      </c>
      <c r="Y1345" s="1" t="s">
        <v>48</v>
      </c>
      <c r="Z1345" s="1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8">
      <c r="A1346" s="1" t="s">
        <v>1408</v>
      </c>
      <c r="B1346">
        <v>51</v>
      </c>
      <c r="C1346" s="1" t="s">
        <v>1271</v>
      </c>
      <c r="D1346" s="1" t="s">
        <v>49</v>
      </c>
      <c r="E1346" s="1" t="s">
        <v>41</v>
      </c>
      <c r="F1346">
        <v>1469</v>
      </c>
      <c r="G1346" s="1" t="s">
        <v>42</v>
      </c>
      <c r="H1346">
        <v>8</v>
      </c>
      <c r="I1346">
        <v>4</v>
      </c>
      <c r="J1346" s="1" t="s">
        <v>43</v>
      </c>
      <c r="K1346">
        <v>1</v>
      </c>
      <c r="L1346">
        <v>296</v>
      </c>
      <c r="M1346">
        <v>2</v>
      </c>
      <c r="N1346" s="1" t="s">
        <v>44</v>
      </c>
      <c r="O1346">
        <v>81</v>
      </c>
      <c r="P1346">
        <v>2</v>
      </c>
      <c r="Q1346">
        <v>3</v>
      </c>
      <c r="R1346" s="1" t="s">
        <v>252</v>
      </c>
      <c r="S1346">
        <v>2</v>
      </c>
      <c r="T1346" s="1" t="s">
        <v>105</v>
      </c>
      <c r="U1346">
        <v>12490</v>
      </c>
      <c r="V1346" s="1" t="s">
        <v>253</v>
      </c>
      <c r="W1346">
        <v>15736</v>
      </c>
      <c r="X1346">
        <v>5</v>
      </c>
      <c r="Y1346" s="1" t="s">
        <v>48</v>
      </c>
      <c r="Z1346" s="1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8">
      <c r="A1347" s="1" t="s">
        <v>1409</v>
      </c>
      <c r="B1347">
        <v>51</v>
      </c>
      <c r="C1347" s="1" t="s">
        <v>1271</v>
      </c>
      <c r="D1347" s="1" t="s">
        <v>49</v>
      </c>
      <c r="E1347" s="1" t="s">
        <v>41</v>
      </c>
      <c r="F1347">
        <v>833</v>
      </c>
      <c r="G1347" s="1" t="s">
        <v>42</v>
      </c>
      <c r="H1347">
        <v>1</v>
      </c>
      <c r="I1347">
        <v>3</v>
      </c>
      <c r="J1347" s="1" t="s">
        <v>43</v>
      </c>
      <c r="K1347">
        <v>1</v>
      </c>
      <c r="L1347">
        <v>353</v>
      </c>
      <c r="M1347">
        <v>3</v>
      </c>
      <c r="N1347" s="1" t="s">
        <v>44</v>
      </c>
      <c r="O1347">
        <v>96</v>
      </c>
      <c r="P1347">
        <v>3</v>
      </c>
      <c r="Q1347">
        <v>1</v>
      </c>
      <c r="R1347" s="1" t="s">
        <v>60</v>
      </c>
      <c r="S1347">
        <v>4</v>
      </c>
      <c r="T1347" s="1" t="s">
        <v>105</v>
      </c>
      <c r="U1347">
        <v>2723</v>
      </c>
      <c r="V1347" s="1" t="s">
        <v>47</v>
      </c>
      <c r="W1347">
        <v>23231</v>
      </c>
      <c r="X1347">
        <v>1</v>
      </c>
      <c r="Y1347" s="1" t="s">
        <v>48</v>
      </c>
      <c r="Z1347" s="1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8">
      <c r="A1348" s="1" t="s">
        <v>1410</v>
      </c>
      <c r="B1348">
        <v>51</v>
      </c>
      <c r="C1348" s="1" t="s">
        <v>1271</v>
      </c>
      <c r="D1348" s="1" t="s">
        <v>49</v>
      </c>
      <c r="E1348" s="1" t="s">
        <v>41</v>
      </c>
      <c r="F1348">
        <v>1302</v>
      </c>
      <c r="G1348" s="1" t="s">
        <v>42</v>
      </c>
      <c r="H1348">
        <v>2</v>
      </c>
      <c r="I1348">
        <v>3</v>
      </c>
      <c r="J1348" s="1" t="s">
        <v>52</v>
      </c>
      <c r="K1348">
        <v>1</v>
      </c>
      <c r="L1348">
        <v>408</v>
      </c>
      <c r="M1348">
        <v>4</v>
      </c>
      <c r="N1348" s="1" t="s">
        <v>44</v>
      </c>
      <c r="O1348">
        <v>84</v>
      </c>
      <c r="P1348">
        <v>1</v>
      </c>
      <c r="Q1348">
        <v>2</v>
      </c>
      <c r="R1348" s="1" t="s">
        <v>112</v>
      </c>
      <c r="S1348">
        <v>2</v>
      </c>
      <c r="T1348" s="1" t="s">
        <v>102</v>
      </c>
      <c r="U1348">
        <v>5482</v>
      </c>
      <c r="V1348" s="1" t="s">
        <v>163</v>
      </c>
      <c r="W1348">
        <v>16321</v>
      </c>
      <c r="X1348">
        <v>5</v>
      </c>
      <c r="Y1348" s="1" t="s">
        <v>48</v>
      </c>
      <c r="Z1348" s="1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8">
      <c r="A1349" s="1" t="s">
        <v>1411</v>
      </c>
      <c r="B1349">
        <v>51</v>
      </c>
      <c r="C1349" s="1" t="s">
        <v>1271</v>
      </c>
      <c r="D1349" s="1" t="s">
        <v>49</v>
      </c>
      <c r="E1349" s="1" t="s">
        <v>41</v>
      </c>
      <c r="F1349">
        <v>1178</v>
      </c>
      <c r="G1349" s="1" t="s">
        <v>51</v>
      </c>
      <c r="H1349">
        <v>14</v>
      </c>
      <c r="I1349">
        <v>2</v>
      </c>
      <c r="J1349" s="1" t="s">
        <v>43</v>
      </c>
      <c r="K1349">
        <v>1</v>
      </c>
      <c r="L1349">
        <v>500</v>
      </c>
      <c r="M1349">
        <v>3</v>
      </c>
      <c r="N1349" s="1" t="s">
        <v>53</v>
      </c>
      <c r="O1349">
        <v>87</v>
      </c>
      <c r="P1349">
        <v>3</v>
      </c>
      <c r="Q1349">
        <v>2</v>
      </c>
      <c r="R1349" s="1" t="s">
        <v>137</v>
      </c>
      <c r="S1349">
        <v>4</v>
      </c>
      <c r="T1349" s="1" t="s">
        <v>105</v>
      </c>
      <c r="U1349">
        <v>4936</v>
      </c>
      <c r="V1349" s="1" t="s">
        <v>47</v>
      </c>
      <c r="W1349">
        <v>14862</v>
      </c>
      <c r="X1349">
        <v>4</v>
      </c>
      <c r="Y1349" s="1" t="s">
        <v>48</v>
      </c>
      <c r="Z1349" s="1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8">
      <c r="A1350" s="1" t="s">
        <v>1412</v>
      </c>
      <c r="B1350">
        <v>51</v>
      </c>
      <c r="C1350" s="1" t="s">
        <v>1271</v>
      </c>
      <c r="D1350" s="1" t="s">
        <v>49</v>
      </c>
      <c r="E1350" s="1" t="s">
        <v>41</v>
      </c>
      <c r="F1350">
        <v>1318</v>
      </c>
      <c r="G1350" s="1" t="s">
        <v>51</v>
      </c>
      <c r="H1350">
        <v>26</v>
      </c>
      <c r="I1350">
        <v>4</v>
      </c>
      <c r="J1350" s="1" t="s">
        <v>57</v>
      </c>
      <c r="K1350">
        <v>1</v>
      </c>
      <c r="L1350">
        <v>851</v>
      </c>
      <c r="M1350">
        <v>1</v>
      </c>
      <c r="N1350" s="1" t="s">
        <v>53</v>
      </c>
      <c r="O1350">
        <v>66</v>
      </c>
      <c r="P1350">
        <v>3</v>
      </c>
      <c r="Q1350">
        <v>4</v>
      </c>
      <c r="R1350" s="1" t="s">
        <v>442</v>
      </c>
      <c r="S1350">
        <v>3</v>
      </c>
      <c r="T1350" s="1" t="s">
        <v>105</v>
      </c>
      <c r="U1350">
        <v>16307</v>
      </c>
      <c r="V1350" s="1" t="s">
        <v>368</v>
      </c>
      <c r="W1350">
        <v>5594</v>
      </c>
      <c r="X1350">
        <v>2</v>
      </c>
      <c r="Y1350" s="1" t="s">
        <v>48</v>
      </c>
      <c r="Z1350" s="1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8">
      <c r="A1351" s="1" t="s">
        <v>1413</v>
      </c>
      <c r="B1351">
        <v>51</v>
      </c>
      <c r="C1351" s="1" t="s">
        <v>1271</v>
      </c>
      <c r="D1351" s="1" t="s">
        <v>40</v>
      </c>
      <c r="E1351" s="1" t="s">
        <v>41</v>
      </c>
      <c r="F1351">
        <v>1323</v>
      </c>
      <c r="G1351" s="1" t="s">
        <v>42</v>
      </c>
      <c r="H1351">
        <v>4</v>
      </c>
      <c r="I1351">
        <v>4</v>
      </c>
      <c r="J1351" s="1" t="s">
        <v>43</v>
      </c>
      <c r="K1351">
        <v>1</v>
      </c>
      <c r="L1351">
        <v>1081</v>
      </c>
      <c r="M1351">
        <v>1</v>
      </c>
      <c r="N1351" s="1" t="s">
        <v>44</v>
      </c>
      <c r="O1351">
        <v>34</v>
      </c>
      <c r="P1351">
        <v>3</v>
      </c>
      <c r="Q1351">
        <v>1</v>
      </c>
      <c r="R1351" s="1" t="s">
        <v>60</v>
      </c>
      <c r="S1351">
        <v>3</v>
      </c>
      <c r="T1351" s="1" t="s">
        <v>105</v>
      </c>
      <c r="U1351">
        <v>2461</v>
      </c>
      <c r="V1351" s="1" t="s">
        <v>47</v>
      </c>
      <c r="W1351">
        <v>10332</v>
      </c>
      <c r="X1351">
        <v>9</v>
      </c>
      <c r="Y1351" s="1" t="s">
        <v>48</v>
      </c>
      <c r="Z1351" s="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8">
      <c r="A1352" s="1" t="s">
        <v>1414</v>
      </c>
      <c r="B1352">
        <v>51</v>
      </c>
      <c r="C1352" s="1" t="s">
        <v>1271</v>
      </c>
      <c r="D1352" s="1" t="s">
        <v>49</v>
      </c>
      <c r="E1352" s="1" t="s">
        <v>56</v>
      </c>
      <c r="F1352">
        <v>237</v>
      </c>
      <c r="G1352" s="1" t="s">
        <v>51</v>
      </c>
      <c r="H1352">
        <v>9</v>
      </c>
      <c r="I1352">
        <v>3</v>
      </c>
      <c r="J1352" s="1" t="s">
        <v>43</v>
      </c>
      <c r="K1352">
        <v>1</v>
      </c>
      <c r="L1352">
        <v>1282</v>
      </c>
      <c r="M1352">
        <v>4</v>
      </c>
      <c r="N1352" s="1" t="s">
        <v>44</v>
      </c>
      <c r="O1352">
        <v>83</v>
      </c>
      <c r="P1352">
        <v>3</v>
      </c>
      <c r="Q1352">
        <v>5</v>
      </c>
      <c r="R1352" s="1" t="s">
        <v>442</v>
      </c>
      <c r="S1352">
        <v>2</v>
      </c>
      <c r="T1352" s="1" t="s">
        <v>102</v>
      </c>
      <c r="U1352">
        <v>19847</v>
      </c>
      <c r="V1352" s="1" t="s">
        <v>368</v>
      </c>
      <c r="W1352">
        <v>19196</v>
      </c>
      <c r="X1352">
        <v>4</v>
      </c>
      <c r="Y1352" s="1" t="s">
        <v>48</v>
      </c>
      <c r="Z1352" s="1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8">
      <c r="A1353" s="1" t="s">
        <v>1415</v>
      </c>
      <c r="B1353">
        <v>51</v>
      </c>
      <c r="C1353" s="1" t="s">
        <v>1271</v>
      </c>
      <c r="D1353" s="1" t="s">
        <v>49</v>
      </c>
      <c r="E1353" s="1" t="s">
        <v>56</v>
      </c>
      <c r="F1353">
        <v>968</v>
      </c>
      <c r="G1353" s="1" t="s">
        <v>42</v>
      </c>
      <c r="H1353">
        <v>6</v>
      </c>
      <c r="I1353">
        <v>2</v>
      </c>
      <c r="J1353" s="1" t="s">
        <v>52</v>
      </c>
      <c r="K1353">
        <v>1</v>
      </c>
      <c r="L1353">
        <v>1297</v>
      </c>
      <c r="M1353">
        <v>2</v>
      </c>
      <c r="N1353" s="1" t="s">
        <v>53</v>
      </c>
      <c r="O1353">
        <v>40</v>
      </c>
      <c r="P1353">
        <v>2</v>
      </c>
      <c r="Q1353">
        <v>1</v>
      </c>
      <c r="R1353" s="1" t="s">
        <v>45</v>
      </c>
      <c r="S1353">
        <v>3</v>
      </c>
      <c r="T1353" s="1" t="s">
        <v>46</v>
      </c>
      <c r="U1353">
        <v>2838</v>
      </c>
      <c r="V1353" s="1" t="s">
        <v>47</v>
      </c>
      <c r="W1353">
        <v>4257</v>
      </c>
      <c r="X1353">
        <v>0</v>
      </c>
      <c r="Y1353" s="1" t="s">
        <v>48</v>
      </c>
      <c r="Z1353" s="1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8">
      <c r="A1354" s="1" t="s">
        <v>1416</v>
      </c>
      <c r="B1354">
        <v>51</v>
      </c>
      <c r="C1354" s="1" t="s">
        <v>1271</v>
      </c>
      <c r="D1354" s="1" t="s">
        <v>49</v>
      </c>
      <c r="E1354" s="1" t="s">
        <v>41</v>
      </c>
      <c r="F1354">
        <v>770</v>
      </c>
      <c r="G1354" s="1" t="s">
        <v>71</v>
      </c>
      <c r="H1354">
        <v>5</v>
      </c>
      <c r="I1354">
        <v>3</v>
      </c>
      <c r="J1354" s="1" t="s">
        <v>43</v>
      </c>
      <c r="K1354">
        <v>1</v>
      </c>
      <c r="L1354">
        <v>1352</v>
      </c>
      <c r="M1354">
        <v>3</v>
      </c>
      <c r="N1354" s="1" t="s">
        <v>44</v>
      </c>
      <c r="O1354">
        <v>84</v>
      </c>
      <c r="P1354">
        <v>3</v>
      </c>
      <c r="Q1354">
        <v>4</v>
      </c>
      <c r="R1354" s="1" t="s">
        <v>442</v>
      </c>
      <c r="S1354">
        <v>2</v>
      </c>
      <c r="T1354" s="1" t="s">
        <v>102</v>
      </c>
      <c r="U1354">
        <v>14026</v>
      </c>
      <c r="V1354" s="1" t="s">
        <v>253</v>
      </c>
      <c r="W1354">
        <v>17588</v>
      </c>
      <c r="X1354">
        <v>1</v>
      </c>
      <c r="Y1354" s="1" t="s">
        <v>48</v>
      </c>
      <c r="Z1354" s="1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8">
      <c r="A1355" s="1" t="s">
        <v>1417</v>
      </c>
      <c r="B1355">
        <v>51</v>
      </c>
      <c r="C1355" s="1" t="s">
        <v>1271</v>
      </c>
      <c r="D1355" s="1" t="s">
        <v>49</v>
      </c>
      <c r="E1355" s="1" t="s">
        <v>41</v>
      </c>
      <c r="F1355">
        <v>1405</v>
      </c>
      <c r="G1355" s="1" t="s">
        <v>42</v>
      </c>
      <c r="H1355">
        <v>11</v>
      </c>
      <c r="I1355">
        <v>2</v>
      </c>
      <c r="J1355" s="1" t="s">
        <v>68</v>
      </c>
      <c r="K1355">
        <v>1</v>
      </c>
      <c r="L1355">
        <v>1367</v>
      </c>
      <c r="M1355">
        <v>4</v>
      </c>
      <c r="N1355" s="1" t="s">
        <v>53</v>
      </c>
      <c r="O1355">
        <v>82</v>
      </c>
      <c r="P1355">
        <v>2</v>
      </c>
      <c r="Q1355">
        <v>4</v>
      </c>
      <c r="R1355" s="1" t="s">
        <v>112</v>
      </c>
      <c r="S1355">
        <v>2</v>
      </c>
      <c r="T1355" s="1" t="s">
        <v>46</v>
      </c>
      <c r="U1355">
        <v>13142</v>
      </c>
      <c r="V1355" s="1" t="s">
        <v>253</v>
      </c>
      <c r="W1355">
        <v>24439</v>
      </c>
      <c r="X1355">
        <v>3</v>
      </c>
      <c r="Y1355" s="1" t="s">
        <v>48</v>
      </c>
      <c r="Z1355" s="1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8">
      <c r="A1356" s="1" t="s">
        <v>1418</v>
      </c>
      <c r="B1356">
        <v>51</v>
      </c>
      <c r="C1356" s="1" t="s">
        <v>1271</v>
      </c>
      <c r="D1356" s="1" t="s">
        <v>49</v>
      </c>
      <c r="E1356" s="1" t="s">
        <v>56</v>
      </c>
      <c r="F1356">
        <v>541</v>
      </c>
      <c r="G1356" s="1" t="s">
        <v>51</v>
      </c>
      <c r="H1356">
        <v>2</v>
      </c>
      <c r="I1356">
        <v>3</v>
      </c>
      <c r="J1356" s="1" t="s">
        <v>57</v>
      </c>
      <c r="K1356">
        <v>1</v>
      </c>
      <c r="L1356">
        <v>1391</v>
      </c>
      <c r="M1356">
        <v>2</v>
      </c>
      <c r="N1356" s="1" t="s">
        <v>44</v>
      </c>
      <c r="O1356">
        <v>52</v>
      </c>
      <c r="P1356">
        <v>3</v>
      </c>
      <c r="Q1356">
        <v>3</v>
      </c>
      <c r="R1356" s="1" t="s">
        <v>137</v>
      </c>
      <c r="S1356">
        <v>2</v>
      </c>
      <c r="T1356" s="1" t="s">
        <v>105</v>
      </c>
      <c r="U1356">
        <v>10596</v>
      </c>
      <c r="V1356" s="1" t="s">
        <v>253</v>
      </c>
      <c r="W1356">
        <v>15395</v>
      </c>
      <c r="X1356">
        <v>2</v>
      </c>
      <c r="Y1356" s="1" t="s">
        <v>48</v>
      </c>
      <c r="Z1356" s="1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8">
      <c r="A1357" s="1" t="s">
        <v>1419</v>
      </c>
      <c r="B1357">
        <v>51</v>
      </c>
      <c r="C1357" s="1" t="s">
        <v>1271</v>
      </c>
      <c r="D1357" s="1" t="s">
        <v>49</v>
      </c>
      <c r="E1357" s="1" t="s">
        <v>41</v>
      </c>
      <c r="F1357">
        <v>942</v>
      </c>
      <c r="G1357" s="1" t="s">
        <v>42</v>
      </c>
      <c r="H1357">
        <v>3</v>
      </c>
      <c r="I1357">
        <v>3</v>
      </c>
      <c r="J1357" s="1" t="s">
        <v>68</v>
      </c>
      <c r="K1357">
        <v>1</v>
      </c>
      <c r="L1357">
        <v>1786</v>
      </c>
      <c r="M1357">
        <v>1</v>
      </c>
      <c r="N1357" s="1" t="s">
        <v>53</v>
      </c>
      <c r="O1357">
        <v>53</v>
      </c>
      <c r="P1357">
        <v>3</v>
      </c>
      <c r="Q1357">
        <v>3</v>
      </c>
      <c r="R1357" s="1" t="s">
        <v>442</v>
      </c>
      <c r="S1357">
        <v>3</v>
      </c>
      <c r="T1357" s="1" t="s">
        <v>105</v>
      </c>
      <c r="U1357">
        <v>13116</v>
      </c>
      <c r="V1357" s="1" t="s">
        <v>253</v>
      </c>
      <c r="W1357">
        <v>22984</v>
      </c>
      <c r="X1357">
        <v>2</v>
      </c>
      <c r="Y1357" s="1" t="s">
        <v>48</v>
      </c>
      <c r="Z1357" s="1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8">
      <c r="A1358" s="1" t="s">
        <v>1420</v>
      </c>
      <c r="B1358">
        <v>52</v>
      </c>
      <c r="C1358" s="1" t="s">
        <v>1271</v>
      </c>
      <c r="D1358" s="1" t="s">
        <v>49</v>
      </c>
      <c r="E1358" s="1" t="s">
        <v>41</v>
      </c>
      <c r="F1358">
        <v>699</v>
      </c>
      <c r="G1358" s="1" t="s">
        <v>42</v>
      </c>
      <c r="H1358">
        <v>1</v>
      </c>
      <c r="I1358">
        <v>4</v>
      </c>
      <c r="J1358" s="1" t="s">
        <v>43</v>
      </c>
      <c r="K1358">
        <v>1</v>
      </c>
      <c r="L1358">
        <v>259</v>
      </c>
      <c r="M1358">
        <v>3</v>
      </c>
      <c r="N1358" s="1" t="s">
        <v>44</v>
      </c>
      <c r="O1358">
        <v>65</v>
      </c>
      <c r="P1358">
        <v>2</v>
      </c>
      <c r="Q1358">
        <v>5</v>
      </c>
      <c r="R1358" s="1" t="s">
        <v>442</v>
      </c>
      <c r="S1358">
        <v>3</v>
      </c>
      <c r="T1358" s="1" t="s">
        <v>105</v>
      </c>
      <c r="U1358">
        <v>19999</v>
      </c>
      <c r="V1358" s="1" t="s">
        <v>368</v>
      </c>
      <c r="W1358">
        <v>5678</v>
      </c>
      <c r="X1358">
        <v>0</v>
      </c>
      <c r="Y1358" s="1" t="s">
        <v>48</v>
      </c>
      <c r="Z1358" s="1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8">
      <c r="A1359" s="1" t="s">
        <v>1421</v>
      </c>
      <c r="B1359">
        <v>52</v>
      </c>
      <c r="C1359" s="1" t="s">
        <v>1271</v>
      </c>
      <c r="D1359" s="1" t="s">
        <v>49</v>
      </c>
      <c r="E1359" s="1" t="s">
        <v>41</v>
      </c>
      <c r="F1359">
        <v>1323</v>
      </c>
      <c r="G1359" s="1" t="s">
        <v>42</v>
      </c>
      <c r="H1359">
        <v>2</v>
      </c>
      <c r="I1359">
        <v>3</v>
      </c>
      <c r="J1359" s="1" t="s">
        <v>43</v>
      </c>
      <c r="K1359">
        <v>1</v>
      </c>
      <c r="L1359">
        <v>316</v>
      </c>
      <c r="M1359">
        <v>3</v>
      </c>
      <c r="N1359" s="1" t="s">
        <v>53</v>
      </c>
      <c r="O1359">
        <v>89</v>
      </c>
      <c r="P1359">
        <v>2</v>
      </c>
      <c r="Q1359">
        <v>1</v>
      </c>
      <c r="R1359" s="1" t="s">
        <v>45</v>
      </c>
      <c r="S1359">
        <v>4</v>
      </c>
      <c r="T1359" s="1" t="s">
        <v>46</v>
      </c>
      <c r="U1359">
        <v>3212</v>
      </c>
      <c r="V1359" s="1" t="s">
        <v>47</v>
      </c>
      <c r="W1359">
        <v>3300</v>
      </c>
      <c r="X1359">
        <v>7</v>
      </c>
      <c r="Y1359" s="1" t="s">
        <v>48</v>
      </c>
      <c r="Z1359" s="1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8">
      <c r="A1360" s="1" t="s">
        <v>1422</v>
      </c>
      <c r="B1360">
        <v>52</v>
      </c>
      <c r="C1360" s="1" t="s">
        <v>1271</v>
      </c>
      <c r="D1360" s="1" t="s">
        <v>49</v>
      </c>
      <c r="E1360" s="1" t="s">
        <v>59</v>
      </c>
      <c r="F1360">
        <v>771</v>
      </c>
      <c r="G1360" s="1" t="s">
        <v>51</v>
      </c>
      <c r="H1360">
        <v>2</v>
      </c>
      <c r="I1360">
        <v>4</v>
      </c>
      <c r="J1360" s="1" t="s">
        <v>43</v>
      </c>
      <c r="K1360">
        <v>1</v>
      </c>
      <c r="L1360">
        <v>329</v>
      </c>
      <c r="M1360">
        <v>1</v>
      </c>
      <c r="N1360" s="1" t="s">
        <v>44</v>
      </c>
      <c r="O1360">
        <v>79</v>
      </c>
      <c r="P1360">
        <v>2</v>
      </c>
      <c r="Q1360">
        <v>5</v>
      </c>
      <c r="R1360" s="1" t="s">
        <v>442</v>
      </c>
      <c r="S1360">
        <v>3</v>
      </c>
      <c r="T1360" s="1" t="s">
        <v>46</v>
      </c>
      <c r="U1360">
        <v>19068</v>
      </c>
      <c r="V1360" s="1" t="s">
        <v>368</v>
      </c>
      <c r="W1360">
        <v>21030</v>
      </c>
      <c r="X1360">
        <v>1</v>
      </c>
      <c r="Y1360" s="1" t="s">
        <v>48</v>
      </c>
      <c r="Z1360" s="1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8">
      <c r="A1361" s="1" t="s">
        <v>1423</v>
      </c>
      <c r="B1361">
        <v>52</v>
      </c>
      <c r="C1361" s="1" t="s">
        <v>1271</v>
      </c>
      <c r="D1361" s="1" t="s">
        <v>40</v>
      </c>
      <c r="E1361" s="1" t="s">
        <v>41</v>
      </c>
      <c r="F1361">
        <v>723</v>
      </c>
      <c r="G1361" s="1" t="s">
        <v>42</v>
      </c>
      <c r="H1361">
        <v>8</v>
      </c>
      <c r="I1361">
        <v>4</v>
      </c>
      <c r="J1361" s="1" t="s">
        <v>52</v>
      </c>
      <c r="K1361">
        <v>1</v>
      </c>
      <c r="L1361">
        <v>433</v>
      </c>
      <c r="M1361">
        <v>3</v>
      </c>
      <c r="N1361" s="1" t="s">
        <v>44</v>
      </c>
      <c r="O1361">
        <v>85</v>
      </c>
      <c r="P1361">
        <v>2</v>
      </c>
      <c r="Q1361">
        <v>2</v>
      </c>
      <c r="R1361" s="1" t="s">
        <v>60</v>
      </c>
      <c r="S1361">
        <v>2</v>
      </c>
      <c r="T1361" s="1" t="s">
        <v>105</v>
      </c>
      <c r="U1361">
        <v>4941</v>
      </c>
      <c r="V1361" s="1" t="s">
        <v>47</v>
      </c>
      <c r="W1361">
        <v>17747</v>
      </c>
      <c r="X1361">
        <v>2</v>
      </c>
      <c r="Y1361" s="1" t="s">
        <v>48</v>
      </c>
      <c r="Z1361" s="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8">
      <c r="A1362" s="1" t="s">
        <v>1424</v>
      </c>
      <c r="B1362">
        <v>52</v>
      </c>
      <c r="C1362" s="1" t="s">
        <v>1271</v>
      </c>
      <c r="D1362" s="1" t="s">
        <v>49</v>
      </c>
      <c r="E1362" s="1" t="s">
        <v>41</v>
      </c>
      <c r="F1362">
        <v>319</v>
      </c>
      <c r="G1362" s="1" t="s">
        <v>42</v>
      </c>
      <c r="H1362">
        <v>3</v>
      </c>
      <c r="I1362">
        <v>3</v>
      </c>
      <c r="J1362" s="1" t="s">
        <v>52</v>
      </c>
      <c r="K1362">
        <v>1</v>
      </c>
      <c r="L1362">
        <v>543</v>
      </c>
      <c r="M1362">
        <v>4</v>
      </c>
      <c r="N1362" s="1" t="s">
        <v>44</v>
      </c>
      <c r="O1362">
        <v>39</v>
      </c>
      <c r="P1362">
        <v>2</v>
      </c>
      <c r="Q1362">
        <v>3</v>
      </c>
      <c r="R1362" s="1" t="s">
        <v>112</v>
      </c>
      <c r="S1362">
        <v>3</v>
      </c>
      <c r="T1362" s="1" t="s">
        <v>105</v>
      </c>
      <c r="U1362">
        <v>7969</v>
      </c>
      <c r="V1362" s="1" t="s">
        <v>163</v>
      </c>
      <c r="W1362">
        <v>19609</v>
      </c>
      <c r="X1362">
        <v>2</v>
      </c>
      <c r="Y1362" s="1" t="s">
        <v>48</v>
      </c>
      <c r="Z1362" s="1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8">
      <c r="A1363" s="1" t="s">
        <v>1425</v>
      </c>
      <c r="B1363">
        <v>52</v>
      </c>
      <c r="C1363" s="1" t="s">
        <v>1271</v>
      </c>
      <c r="D1363" s="1" t="s">
        <v>49</v>
      </c>
      <c r="E1363" s="1" t="s">
        <v>41</v>
      </c>
      <c r="F1363">
        <v>1490</v>
      </c>
      <c r="G1363" s="1" t="s">
        <v>42</v>
      </c>
      <c r="H1363">
        <v>4</v>
      </c>
      <c r="I1363">
        <v>2</v>
      </c>
      <c r="J1363" s="1" t="s">
        <v>43</v>
      </c>
      <c r="K1363">
        <v>1</v>
      </c>
      <c r="L1363">
        <v>546</v>
      </c>
      <c r="M1363">
        <v>4</v>
      </c>
      <c r="N1363" s="1" t="s">
        <v>53</v>
      </c>
      <c r="O1363">
        <v>30</v>
      </c>
      <c r="P1363">
        <v>3</v>
      </c>
      <c r="Q1363">
        <v>4</v>
      </c>
      <c r="R1363" s="1" t="s">
        <v>442</v>
      </c>
      <c r="S1363">
        <v>4</v>
      </c>
      <c r="T1363" s="1" t="s">
        <v>105</v>
      </c>
      <c r="U1363">
        <v>16555</v>
      </c>
      <c r="V1363" s="1" t="s">
        <v>368</v>
      </c>
      <c r="W1363">
        <v>10310</v>
      </c>
      <c r="X1363">
        <v>2</v>
      </c>
      <c r="Y1363" s="1" t="s">
        <v>48</v>
      </c>
      <c r="Z1363" s="1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8">
      <c r="A1364" s="1" t="s">
        <v>1426</v>
      </c>
      <c r="B1364">
        <v>52</v>
      </c>
      <c r="C1364" s="1" t="s">
        <v>1271</v>
      </c>
      <c r="D1364" s="1" t="s">
        <v>49</v>
      </c>
      <c r="E1364" s="1" t="s">
        <v>41</v>
      </c>
      <c r="F1364">
        <v>956</v>
      </c>
      <c r="G1364" s="1" t="s">
        <v>42</v>
      </c>
      <c r="H1364">
        <v>6</v>
      </c>
      <c r="I1364">
        <v>2</v>
      </c>
      <c r="J1364" s="1" t="s">
        <v>68</v>
      </c>
      <c r="K1364">
        <v>1</v>
      </c>
      <c r="L1364">
        <v>630</v>
      </c>
      <c r="M1364">
        <v>4</v>
      </c>
      <c r="N1364" s="1" t="s">
        <v>44</v>
      </c>
      <c r="O1364">
        <v>78</v>
      </c>
      <c r="P1364">
        <v>3</v>
      </c>
      <c r="Q1364">
        <v>2</v>
      </c>
      <c r="R1364" s="1" t="s">
        <v>60</v>
      </c>
      <c r="S1364">
        <v>1</v>
      </c>
      <c r="T1364" s="1" t="s">
        <v>102</v>
      </c>
      <c r="U1364">
        <v>5577</v>
      </c>
      <c r="V1364" s="1" t="s">
        <v>163</v>
      </c>
      <c r="W1364">
        <v>22087</v>
      </c>
      <c r="X1364">
        <v>3</v>
      </c>
      <c r="Y1364" s="1" t="s">
        <v>48</v>
      </c>
      <c r="Z1364" s="1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8">
      <c r="A1365" s="1" t="s">
        <v>1427</v>
      </c>
      <c r="B1365">
        <v>52</v>
      </c>
      <c r="C1365" s="1" t="s">
        <v>1271</v>
      </c>
      <c r="D1365" s="1" t="s">
        <v>49</v>
      </c>
      <c r="E1365" s="1" t="s">
        <v>41</v>
      </c>
      <c r="F1365">
        <v>621</v>
      </c>
      <c r="G1365" s="1" t="s">
        <v>51</v>
      </c>
      <c r="H1365">
        <v>3</v>
      </c>
      <c r="I1365">
        <v>4</v>
      </c>
      <c r="J1365" s="1" t="s">
        <v>57</v>
      </c>
      <c r="K1365">
        <v>1</v>
      </c>
      <c r="L1365">
        <v>776</v>
      </c>
      <c r="M1365">
        <v>3</v>
      </c>
      <c r="N1365" s="1" t="s">
        <v>44</v>
      </c>
      <c r="O1365">
        <v>31</v>
      </c>
      <c r="P1365">
        <v>2</v>
      </c>
      <c r="Q1365">
        <v>4</v>
      </c>
      <c r="R1365" s="1" t="s">
        <v>442</v>
      </c>
      <c r="S1365">
        <v>1</v>
      </c>
      <c r="T1365" s="1" t="s">
        <v>105</v>
      </c>
      <c r="U1365">
        <v>16856</v>
      </c>
      <c r="V1365" s="1" t="s">
        <v>368</v>
      </c>
      <c r="W1365">
        <v>10084</v>
      </c>
      <c r="X1365">
        <v>1</v>
      </c>
      <c r="Y1365" s="1" t="s">
        <v>48</v>
      </c>
      <c r="Z1365" s="1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8">
      <c r="A1366" s="1" t="s">
        <v>1428</v>
      </c>
      <c r="B1366">
        <v>52</v>
      </c>
      <c r="C1366" s="1" t="s">
        <v>1271</v>
      </c>
      <c r="D1366" s="1" t="s">
        <v>49</v>
      </c>
      <c r="E1366" s="1" t="s">
        <v>59</v>
      </c>
      <c r="F1366">
        <v>715</v>
      </c>
      <c r="G1366" s="1" t="s">
        <v>42</v>
      </c>
      <c r="H1366">
        <v>19</v>
      </c>
      <c r="I1366">
        <v>4</v>
      </c>
      <c r="J1366" s="1" t="s">
        <v>52</v>
      </c>
      <c r="K1366">
        <v>1</v>
      </c>
      <c r="L1366">
        <v>791</v>
      </c>
      <c r="M1366">
        <v>4</v>
      </c>
      <c r="N1366" s="1" t="s">
        <v>44</v>
      </c>
      <c r="O1366">
        <v>41</v>
      </c>
      <c r="P1366">
        <v>3</v>
      </c>
      <c r="Q1366">
        <v>1</v>
      </c>
      <c r="R1366" s="1" t="s">
        <v>60</v>
      </c>
      <c r="S1366">
        <v>4</v>
      </c>
      <c r="T1366" s="1" t="s">
        <v>105</v>
      </c>
      <c r="U1366">
        <v>4258</v>
      </c>
      <c r="V1366" s="1" t="s">
        <v>47</v>
      </c>
      <c r="W1366">
        <v>26589</v>
      </c>
      <c r="X1366">
        <v>0</v>
      </c>
      <c r="Y1366" s="1" t="s">
        <v>48</v>
      </c>
      <c r="Z1366" s="1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8">
      <c r="A1367" s="1" t="s">
        <v>1429</v>
      </c>
      <c r="B1367">
        <v>52</v>
      </c>
      <c r="C1367" s="1" t="s">
        <v>1271</v>
      </c>
      <c r="D1367" s="1" t="s">
        <v>49</v>
      </c>
      <c r="E1367" s="1" t="s">
        <v>41</v>
      </c>
      <c r="F1367">
        <v>1325</v>
      </c>
      <c r="G1367" s="1" t="s">
        <v>42</v>
      </c>
      <c r="H1367">
        <v>11</v>
      </c>
      <c r="I1367">
        <v>4</v>
      </c>
      <c r="J1367" s="1" t="s">
        <v>43</v>
      </c>
      <c r="K1367">
        <v>1</v>
      </c>
      <c r="L1367">
        <v>813</v>
      </c>
      <c r="M1367">
        <v>4</v>
      </c>
      <c r="N1367" s="1" t="s">
        <v>53</v>
      </c>
      <c r="O1367">
        <v>82</v>
      </c>
      <c r="P1367">
        <v>3</v>
      </c>
      <c r="Q1367">
        <v>2</v>
      </c>
      <c r="R1367" s="1" t="s">
        <v>45</v>
      </c>
      <c r="S1367">
        <v>3</v>
      </c>
      <c r="T1367" s="1" t="s">
        <v>105</v>
      </c>
      <c r="U1367">
        <v>3149</v>
      </c>
      <c r="V1367" s="1" t="s">
        <v>47</v>
      </c>
      <c r="W1367">
        <v>21821</v>
      </c>
      <c r="X1367">
        <v>8</v>
      </c>
      <c r="Y1367" s="1" t="s">
        <v>48</v>
      </c>
      <c r="Z1367" s="1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8">
      <c r="A1368" s="1" t="s">
        <v>1430</v>
      </c>
      <c r="B1368">
        <v>52</v>
      </c>
      <c r="C1368" s="1" t="s">
        <v>1271</v>
      </c>
      <c r="D1368" s="1" t="s">
        <v>49</v>
      </c>
      <c r="E1368" s="1" t="s">
        <v>56</v>
      </c>
      <c r="F1368">
        <v>890</v>
      </c>
      <c r="G1368" s="1" t="s">
        <v>42</v>
      </c>
      <c r="H1368">
        <v>25</v>
      </c>
      <c r="I1368">
        <v>4</v>
      </c>
      <c r="J1368" s="1" t="s">
        <v>52</v>
      </c>
      <c r="K1368">
        <v>1</v>
      </c>
      <c r="L1368">
        <v>867</v>
      </c>
      <c r="M1368">
        <v>3</v>
      </c>
      <c r="N1368" s="1" t="s">
        <v>53</v>
      </c>
      <c r="O1368">
        <v>81</v>
      </c>
      <c r="P1368">
        <v>2</v>
      </c>
      <c r="Q1368">
        <v>4</v>
      </c>
      <c r="R1368" s="1" t="s">
        <v>112</v>
      </c>
      <c r="S1368">
        <v>4</v>
      </c>
      <c r="T1368" s="1" t="s">
        <v>105</v>
      </c>
      <c r="U1368">
        <v>13826</v>
      </c>
      <c r="V1368" s="1" t="s">
        <v>253</v>
      </c>
      <c r="W1368">
        <v>19028</v>
      </c>
      <c r="X1368">
        <v>3</v>
      </c>
      <c r="Y1368" s="1" t="s">
        <v>48</v>
      </c>
      <c r="Z1368" s="1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8">
      <c r="A1369" s="1" t="s">
        <v>1431</v>
      </c>
      <c r="B1369">
        <v>52</v>
      </c>
      <c r="C1369" s="1" t="s">
        <v>1271</v>
      </c>
      <c r="D1369" s="1" t="s">
        <v>49</v>
      </c>
      <c r="E1369" s="1" t="s">
        <v>41</v>
      </c>
      <c r="F1369">
        <v>1053</v>
      </c>
      <c r="G1369" s="1" t="s">
        <v>42</v>
      </c>
      <c r="H1369">
        <v>1</v>
      </c>
      <c r="I1369">
        <v>2</v>
      </c>
      <c r="J1369" s="1" t="s">
        <v>43</v>
      </c>
      <c r="K1369">
        <v>1</v>
      </c>
      <c r="L1369">
        <v>976</v>
      </c>
      <c r="M1369">
        <v>4</v>
      </c>
      <c r="N1369" s="1" t="s">
        <v>44</v>
      </c>
      <c r="O1369">
        <v>70</v>
      </c>
      <c r="P1369">
        <v>3</v>
      </c>
      <c r="Q1369">
        <v>4</v>
      </c>
      <c r="R1369" s="1" t="s">
        <v>442</v>
      </c>
      <c r="S1369">
        <v>4</v>
      </c>
      <c r="T1369" s="1" t="s">
        <v>105</v>
      </c>
      <c r="U1369">
        <v>17099</v>
      </c>
      <c r="V1369" s="1" t="s">
        <v>368</v>
      </c>
      <c r="W1369">
        <v>13829</v>
      </c>
      <c r="X1369">
        <v>2</v>
      </c>
      <c r="Y1369" s="1" t="s">
        <v>48</v>
      </c>
      <c r="Z1369" s="1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8">
      <c r="A1370" s="1" t="s">
        <v>1432</v>
      </c>
      <c r="B1370">
        <v>52</v>
      </c>
      <c r="C1370" s="1" t="s">
        <v>1271</v>
      </c>
      <c r="D1370" s="1" t="s">
        <v>40</v>
      </c>
      <c r="E1370" s="1" t="s">
        <v>41</v>
      </c>
      <c r="F1370">
        <v>266</v>
      </c>
      <c r="G1370" s="1" t="s">
        <v>51</v>
      </c>
      <c r="H1370">
        <v>2</v>
      </c>
      <c r="I1370">
        <v>1</v>
      </c>
      <c r="J1370" s="1" t="s">
        <v>57</v>
      </c>
      <c r="K1370">
        <v>1</v>
      </c>
      <c r="L1370">
        <v>1038</v>
      </c>
      <c r="M1370">
        <v>1</v>
      </c>
      <c r="N1370" s="1" t="s">
        <v>53</v>
      </c>
      <c r="O1370">
        <v>57</v>
      </c>
      <c r="P1370">
        <v>1</v>
      </c>
      <c r="Q1370">
        <v>5</v>
      </c>
      <c r="R1370" s="1" t="s">
        <v>442</v>
      </c>
      <c r="S1370">
        <v>4</v>
      </c>
      <c r="T1370" s="1" t="s">
        <v>105</v>
      </c>
      <c r="U1370">
        <v>19845</v>
      </c>
      <c r="V1370" s="1" t="s">
        <v>368</v>
      </c>
      <c r="W1370">
        <v>25846</v>
      </c>
      <c r="X1370">
        <v>1</v>
      </c>
      <c r="Y1370" s="1" t="s">
        <v>48</v>
      </c>
      <c r="Z1370" s="1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8">
      <c r="A1371" s="1" t="s">
        <v>1433</v>
      </c>
      <c r="B1371">
        <v>52</v>
      </c>
      <c r="C1371" s="1" t="s">
        <v>1271</v>
      </c>
      <c r="D1371" s="1" t="s">
        <v>49</v>
      </c>
      <c r="E1371" s="1" t="s">
        <v>41</v>
      </c>
      <c r="F1371">
        <v>994</v>
      </c>
      <c r="G1371" s="1" t="s">
        <v>42</v>
      </c>
      <c r="H1371">
        <v>7</v>
      </c>
      <c r="I1371">
        <v>4</v>
      </c>
      <c r="J1371" s="1" t="s">
        <v>43</v>
      </c>
      <c r="K1371">
        <v>1</v>
      </c>
      <c r="L1371">
        <v>1118</v>
      </c>
      <c r="M1371">
        <v>2</v>
      </c>
      <c r="N1371" s="1" t="s">
        <v>44</v>
      </c>
      <c r="O1371">
        <v>87</v>
      </c>
      <c r="P1371">
        <v>3</v>
      </c>
      <c r="Q1371">
        <v>3</v>
      </c>
      <c r="R1371" s="1" t="s">
        <v>161</v>
      </c>
      <c r="S1371">
        <v>2</v>
      </c>
      <c r="T1371" s="1" t="s">
        <v>46</v>
      </c>
      <c r="U1371">
        <v>10445</v>
      </c>
      <c r="V1371" s="1" t="s">
        <v>253</v>
      </c>
      <c r="W1371">
        <v>15322</v>
      </c>
      <c r="X1371">
        <v>7</v>
      </c>
      <c r="Y1371" s="1" t="s">
        <v>48</v>
      </c>
      <c r="Z1371" s="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8">
      <c r="A1372" s="1" t="s">
        <v>1434</v>
      </c>
      <c r="B1372">
        <v>52</v>
      </c>
      <c r="C1372" s="1" t="s">
        <v>1271</v>
      </c>
      <c r="D1372" s="1" t="s">
        <v>40</v>
      </c>
      <c r="E1372" s="1" t="s">
        <v>41</v>
      </c>
      <c r="F1372">
        <v>1030</v>
      </c>
      <c r="G1372" s="1" t="s">
        <v>51</v>
      </c>
      <c r="H1372">
        <v>5</v>
      </c>
      <c r="I1372">
        <v>3</v>
      </c>
      <c r="J1372" s="1" t="s">
        <v>43</v>
      </c>
      <c r="K1372">
        <v>1</v>
      </c>
      <c r="L1372">
        <v>1319</v>
      </c>
      <c r="M1372">
        <v>2</v>
      </c>
      <c r="N1372" s="1" t="s">
        <v>44</v>
      </c>
      <c r="O1372">
        <v>64</v>
      </c>
      <c r="P1372">
        <v>3</v>
      </c>
      <c r="Q1372">
        <v>3</v>
      </c>
      <c r="R1372" s="1" t="s">
        <v>137</v>
      </c>
      <c r="S1372">
        <v>2</v>
      </c>
      <c r="T1372" s="1" t="s">
        <v>46</v>
      </c>
      <c r="U1372">
        <v>8446</v>
      </c>
      <c r="V1372" s="1" t="s">
        <v>163</v>
      </c>
      <c r="W1372">
        <v>21534</v>
      </c>
      <c r="X1372">
        <v>9</v>
      </c>
      <c r="Y1372" s="1" t="s">
        <v>48</v>
      </c>
      <c r="Z1372" s="1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8">
      <c r="A1373" s="1" t="s">
        <v>1435</v>
      </c>
      <c r="B1373">
        <v>52</v>
      </c>
      <c r="C1373" s="1" t="s">
        <v>1271</v>
      </c>
      <c r="D1373" s="1" t="s">
        <v>49</v>
      </c>
      <c r="E1373" s="1" t="s">
        <v>56</v>
      </c>
      <c r="F1373">
        <v>322</v>
      </c>
      <c r="G1373" s="1" t="s">
        <v>42</v>
      </c>
      <c r="H1373">
        <v>28</v>
      </c>
      <c r="I1373">
        <v>2</v>
      </c>
      <c r="J1373" s="1" t="s">
        <v>52</v>
      </c>
      <c r="K1373">
        <v>1</v>
      </c>
      <c r="L1373">
        <v>1401</v>
      </c>
      <c r="M1373">
        <v>4</v>
      </c>
      <c r="N1373" s="1" t="s">
        <v>53</v>
      </c>
      <c r="O1373">
        <v>59</v>
      </c>
      <c r="P1373">
        <v>4</v>
      </c>
      <c r="Q1373">
        <v>4</v>
      </c>
      <c r="R1373" s="1" t="s">
        <v>112</v>
      </c>
      <c r="S1373">
        <v>3</v>
      </c>
      <c r="T1373" s="1" t="s">
        <v>105</v>
      </c>
      <c r="U1373">
        <v>13247</v>
      </c>
      <c r="V1373" s="1" t="s">
        <v>253</v>
      </c>
      <c r="W1373">
        <v>9731</v>
      </c>
      <c r="X1373">
        <v>2</v>
      </c>
      <c r="Y1373" s="1" t="s">
        <v>48</v>
      </c>
      <c r="Z1373" s="1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8">
      <c r="A1374" s="1" t="s">
        <v>1436</v>
      </c>
      <c r="B1374">
        <v>52</v>
      </c>
      <c r="C1374" s="1" t="s">
        <v>1271</v>
      </c>
      <c r="D1374" s="1" t="s">
        <v>49</v>
      </c>
      <c r="E1374" s="1" t="s">
        <v>41</v>
      </c>
      <c r="F1374">
        <v>258</v>
      </c>
      <c r="G1374" s="1" t="s">
        <v>42</v>
      </c>
      <c r="H1374">
        <v>8</v>
      </c>
      <c r="I1374">
        <v>4</v>
      </c>
      <c r="J1374" s="1" t="s">
        <v>73</v>
      </c>
      <c r="K1374">
        <v>1</v>
      </c>
      <c r="L1374">
        <v>1409</v>
      </c>
      <c r="M1374">
        <v>3</v>
      </c>
      <c r="N1374" s="1" t="s">
        <v>53</v>
      </c>
      <c r="O1374">
        <v>54</v>
      </c>
      <c r="P1374">
        <v>3</v>
      </c>
      <c r="Q1374">
        <v>1</v>
      </c>
      <c r="R1374" s="1" t="s">
        <v>45</v>
      </c>
      <c r="S1374">
        <v>1</v>
      </c>
      <c r="T1374" s="1" t="s">
        <v>105</v>
      </c>
      <c r="U1374">
        <v>2950</v>
      </c>
      <c r="V1374" s="1" t="s">
        <v>47</v>
      </c>
      <c r="W1374">
        <v>17363</v>
      </c>
      <c r="X1374">
        <v>9</v>
      </c>
      <c r="Y1374" s="1" t="s">
        <v>48</v>
      </c>
      <c r="Z1374" s="1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8">
      <c r="A1375" s="1" t="s">
        <v>1437</v>
      </c>
      <c r="B1375">
        <v>52</v>
      </c>
      <c r="C1375" s="1" t="s">
        <v>1271</v>
      </c>
      <c r="D1375" s="1" t="s">
        <v>49</v>
      </c>
      <c r="E1375" s="1" t="s">
        <v>59</v>
      </c>
      <c r="F1375">
        <v>585</v>
      </c>
      <c r="G1375" s="1" t="s">
        <v>51</v>
      </c>
      <c r="H1375">
        <v>29</v>
      </c>
      <c r="I1375">
        <v>4</v>
      </c>
      <c r="J1375" s="1" t="s">
        <v>43</v>
      </c>
      <c r="K1375">
        <v>1</v>
      </c>
      <c r="L1375">
        <v>2019</v>
      </c>
      <c r="M1375">
        <v>1</v>
      </c>
      <c r="N1375" s="1" t="s">
        <v>44</v>
      </c>
      <c r="O1375">
        <v>40</v>
      </c>
      <c r="P1375">
        <v>3</v>
      </c>
      <c r="Q1375">
        <v>1</v>
      </c>
      <c r="R1375" s="1" t="s">
        <v>54</v>
      </c>
      <c r="S1375">
        <v>4</v>
      </c>
      <c r="T1375" s="1" t="s">
        <v>102</v>
      </c>
      <c r="U1375">
        <v>3482</v>
      </c>
      <c r="V1375" s="1" t="s">
        <v>47</v>
      </c>
      <c r="W1375">
        <v>19788</v>
      </c>
      <c r="X1375">
        <v>2</v>
      </c>
      <c r="Y1375" s="1" t="s">
        <v>48</v>
      </c>
      <c r="Z1375" s="1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8">
      <c r="A1376" s="1" t="s">
        <v>1438</v>
      </c>
      <c r="B1376">
        <v>53</v>
      </c>
      <c r="C1376" s="1" t="s">
        <v>1271</v>
      </c>
      <c r="D1376" s="1" t="s">
        <v>49</v>
      </c>
      <c r="E1376" s="1" t="s">
        <v>41</v>
      </c>
      <c r="F1376">
        <v>1219</v>
      </c>
      <c r="G1376" s="1" t="s">
        <v>51</v>
      </c>
      <c r="H1376">
        <v>2</v>
      </c>
      <c r="I1376">
        <v>4</v>
      </c>
      <c r="J1376" s="1" t="s">
        <v>43</v>
      </c>
      <c r="K1376">
        <v>1</v>
      </c>
      <c r="L1376">
        <v>23</v>
      </c>
      <c r="M1376">
        <v>1</v>
      </c>
      <c r="N1376" s="1" t="s">
        <v>53</v>
      </c>
      <c r="O1376">
        <v>78</v>
      </c>
      <c r="P1376">
        <v>2</v>
      </c>
      <c r="Q1376">
        <v>4</v>
      </c>
      <c r="R1376" s="1" t="s">
        <v>442</v>
      </c>
      <c r="S1376">
        <v>4</v>
      </c>
      <c r="T1376" s="1" t="s">
        <v>105</v>
      </c>
      <c r="U1376">
        <v>15427</v>
      </c>
      <c r="V1376" s="1" t="s">
        <v>368</v>
      </c>
      <c r="W1376">
        <v>22021</v>
      </c>
      <c r="X1376">
        <v>2</v>
      </c>
      <c r="Y1376" s="1" t="s">
        <v>48</v>
      </c>
      <c r="Z1376" s="1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8">
      <c r="A1377" s="1" t="s">
        <v>1439</v>
      </c>
      <c r="B1377">
        <v>53</v>
      </c>
      <c r="C1377" s="1" t="s">
        <v>1271</v>
      </c>
      <c r="D1377" s="1" t="s">
        <v>49</v>
      </c>
      <c r="E1377" s="1" t="s">
        <v>41</v>
      </c>
      <c r="F1377">
        <v>1282</v>
      </c>
      <c r="G1377" s="1" t="s">
        <v>42</v>
      </c>
      <c r="H1377">
        <v>5</v>
      </c>
      <c r="I1377">
        <v>3</v>
      </c>
      <c r="J1377" s="1" t="s">
        <v>73</v>
      </c>
      <c r="K1377">
        <v>1</v>
      </c>
      <c r="L1377">
        <v>32</v>
      </c>
      <c r="M1377">
        <v>3</v>
      </c>
      <c r="N1377" s="1" t="s">
        <v>53</v>
      </c>
      <c r="O1377">
        <v>58</v>
      </c>
      <c r="P1377">
        <v>3</v>
      </c>
      <c r="Q1377">
        <v>5</v>
      </c>
      <c r="R1377" s="1" t="s">
        <v>442</v>
      </c>
      <c r="S1377">
        <v>3</v>
      </c>
      <c r="T1377" s="1" t="s">
        <v>102</v>
      </c>
      <c r="U1377">
        <v>19094</v>
      </c>
      <c r="V1377" s="1" t="s">
        <v>368</v>
      </c>
      <c r="W1377">
        <v>10735</v>
      </c>
      <c r="X1377">
        <v>4</v>
      </c>
      <c r="Y1377" s="1" t="s">
        <v>48</v>
      </c>
      <c r="Z1377" s="1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8">
      <c r="A1378" s="1" t="s">
        <v>1440</v>
      </c>
      <c r="B1378">
        <v>53</v>
      </c>
      <c r="C1378" s="1" t="s">
        <v>1271</v>
      </c>
      <c r="D1378" s="1" t="s">
        <v>49</v>
      </c>
      <c r="E1378" s="1" t="s">
        <v>41</v>
      </c>
      <c r="F1378">
        <v>1436</v>
      </c>
      <c r="G1378" s="1" t="s">
        <v>51</v>
      </c>
      <c r="H1378">
        <v>6</v>
      </c>
      <c r="I1378">
        <v>2</v>
      </c>
      <c r="J1378" s="1" t="s">
        <v>57</v>
      </c>
      <c r="K1378">
        <v>1</v>
      </c>
      <c r="L1378">
        <v>205</v>
      </c>
      <c r="M1378">
        <v>2</v>
      </c>
      <c r="N1378" s="1" t="s">
        <v>44</v>
      </c>
      <c r="O1378">
        <v>34</v>
      </c>
      <c r="P1378">
        <v>3</v>
      </c>
      <c r="Q1378">
        <v>2</v>
      </c>
      <c r="R1378" s="1" t="s">
        <v>54</v>
      </c>
      <c r="S1378">
        <v>3</v>
      </c>
      <c r="T1378" s="1" t="s">
        <v>105</v>
      </c>
      <c r="U1378">
        <v>2306</v>
      </c>
      <c r="V1378" s="1" t="s">
        <v>47</v>
      </c>
      <c r="W1378">
        <v>16047</v>
      </c>
      <c r="X1378">
        <v>2</v>
      </c>
      <c r="Y1378" s="1" t="s">
        <v>48</v>
      </c>
      <c r="Z1378" s="1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8">
      <c r="A1379" s="1" t="s">
        <v>1441</v>
      </c>
      <c r="B1379">
        <v>53</v>
      </c>
      <c r="C1379" s="1" t="s">
        <v>1271</v>
      </c>
      <c r="D1379" s="1" t="s">
        <v>49</v>
      </c>
      <c r="E1379" s="1" t="s">
        <v>41</v>
      </c>
      <c r="F1379">
        <v>1084</v>
      </c>
      <c r="G1379" s="1" t="s">
        <v>42</v>
      </c>
      <c r="H1379">
        <v>13</v>
      </c>
      <c r="I1379">
        <v>2</v>
      </c>
      <c r="J1379" s="1" t="s">
        <v>52</v>
      </c>
      <c r="K1379">
        <v>1</v>
      </c>
      <c r="L1379">
        <v>250</v>
      </c>
      <c r="M1379">
        <v>4</v>
      </c>
      <c r="N1379" s="1" t="s">
        <v>53</v>
      </c>
      <c r="O1379">
        <v>57</v>
      </c>
      <c r="P1379">
        <v>4</v>
      </c>
      <c r="Q1379">
        <v>2</v>
      </c>
      <c r="R1379" s="1" t="s">
        <v>112</v>
      </c>
      <c r="S1379">
        <v>1</v>
      </c>
      <c r="T1379" s="1" t="s">
        <v>102</v>
      </c>
      <c r="U1379">
        <v>4450</v>
      </c>
      <c r="V1379" s="1" t="s">
        <v>47</v>
      </c>
      <c r="W1379">
        <v>26250</v>
      </c>
      <c r="X1379">
        <v>1</v>
      </c>
      <c r="Y1379" s="1" t="s">
        <v>48</v>
      </c>
      <c r="Z1379" s="1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8">
      <c r="A1380" s="1" t="s">
        <v>1442</v>
      </c>
      <c r="B1380">
        <v>53</v>
      </c>
      <c r="C1380" s="1" t="s">
        <v>1271</v>
      </c>
      <c r="D1380" s="1" t="s">
        <v>49</v>
      </c>
      <c r="E1380" s="1" t="s">
        <v>41</v>
      </c>
      <c r="F1380">
        <v>1070</v>
      </c>
      <c r="G1380" s="1" t="s">
        <v>42</v>
      </c>
      <c r="H1380">
        <v>3</v>
      </c>
      <c r="I1380">
        <v>4</v>
      </c>
      <c r="J1380" s="1" t="s">
        <v>52</v>
      </c>
      <c r="K1380">
        <v>1</v>
      </c>
      <c r="L1380">
        <v>386</v>
      </c>
      <c r="M1380">
        <v>3</v>
      </c>
      <c r="N1380" s="1" t="s">
        <v>44</v>
      </c>
      <c r="O1380">
        <v>45</v>
      </c>
      <c r="P1380">
        <v>3</v>
      </c>
      <c r="Q1380">
        <v>4</v>
      </c>
      <c r="R1380" s="1" t="s">
        <v>252</v>
      </c>
      <c r="S1380">
        <v>3</v>
      </c>
      <c r="T1380" s="1" t="s">
        <v>105</v>
      </c>
      <c r="U1380">
        <v>17584</v>
      </c>
      <c r="V1380" s="1" t="s">
        <v>368</v>
      </c>
      <c r="W1380">
        <v>21016</v>
      </c>
      <c r="X1380">
        <v>3</v>
      </c>
      <c r="Y1380" s="1" t="s">
        <v>48</v>
      </c>
      <c r="Z1380" s="1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8">
      <c r="A1381" s="1" t="s">
        <v>1443</v>
      </c>
      <c r="B1381">
        <v>53</v>
      </c>
      <c r="C1381" s="1" t="s">
        <v>1271</v>
      </c>
      <c r="D1381" s="1" t="s">
        <v>49</v>
      </c>
      <c r="E1381" s="1" t="s">
        <v>41</v>
      </c>
      <c r="F1381">
        <v>238</v>
      </c>
      <c r="G1381" s="1" t="s">
        <v>51</v>
      </c>
      <c r="H1381">
        <v>1</v>
      </c>
      <c r="I1381">
        <v>1</v>
      </c>
      <c r="J1381" s="1" t="s">
        <v>52</v>
      </c>
      <c r="K1381">
        <v>1</v>
      </c>
      <c r="L1381">
        <v>682</v>
      </c>
      <c r="M1381">
        <v>4</v>
      </c>
      <c r="N1381" s="1" t="s">
        <v>53</v>
      </c>
      <c r="O1381">
        <v>34</v>
      </c>
      <c r="P1381">
        <v>3</v>
      </c>
      <c r="Q1381">
        <v>2</v>
      </c>
      <c r="R1381" s="1" t="s">
        <v>137</v>
      </c>
      <c r="S1381">
        <v>1</v>
      </c>
      <c r="T1381" s="1" t="s">
        <v>46</v>
      </c>
      <c r="U1381">
        <v>8381</v>
      </c>
      <c r="V1381" s="1" t="s">
        <v>163</v>
      </c>
      <c r="W1381">
        <v>7507</v>
      </c>
      <c r="X1381">
        <v>7</v>
      </c>
      <c r="Y1381" s="1" t="s">
        <v>48</v>
      </c>
      <c r="Z1381" s="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8">
      <c r="A1382" s="1" t="s">
        <v>1444</v>
      </c>
      <c r="B1382">
        <v>53</v>
      </c>
      <c r="C1382" s="1" t="s">
        <v>1271</v>
      </c>
      <c r="D1382" s="1" t="s">
        <v>49</v>
      </c>
      <c r="E1382" s="1" t="s">
        <v>41</v>
      </c>
      <c r="F1382">
        <v>970</v>
      </c>
      <c r="G1382" s="1" t="s">
        <v>42</v>
      </c>
      <c r="H1382">
        <v>7</v>
      </c>
      <c r="I1382">
        <v>3</v>
      </c>
      <c r="J1382" s="1" t="s">
        <v>43</v>
      </c>
      <c r="K1382">
        <v>1</v>
      </c>
      <c r="L1382">
        <v>730</v>
      </c>
      <c r="M1382">
        <v>3</v>
      </c>
      <c r="N1382" s="1" t="s">
        <v>44</v>
      </c>
      <c r="O1382">
        <v>59</v>
      </c>
      <c r="P1382">
        <v>4</v>
      </c>
      <c r="Q1382">
        <v>4</v>
      </c>
      <c r="R1382" s="1" t="s">
        <v>252</v>
      </c>
      <c r="S1382">
        <v>3</v>
      </c>
      <c r="T1382" s="1" t="s">
        <v>105</v>
      </c>
      <c r="U1382">
        <v>14814</v>
      </c>
      <c r="V1382" s="1" t="s">
        <v>253</v>
      </c>
      <c r="W1382">
        <v>13514</v>
      </c>
      <c r="X1382">
        <v>3</v>
      </c>
      <c r="Y1382" s="1" t="s">
        <v>48</v>
      </c>
      <c r="Z1382" s="1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8">
      <c r="A1383" s="1" t="s">
        <v>1445</v>
      </c>
      <c r="B1383">
        <v>53</v>
      </c>
      <c r="C1383" s="1" t="s">
        <v>1271</v>
      </c>
      <c r="D1383" s="1" t="s">
        <v>49</v>
      </c>
      <c r="E1383" s="1" t="s">
        <v>41</v>
      </c>
      <c r="F1383">
        <v>346</v>
      </c>
      <c r="G1383" s="1" t="s">
        <v>42</v>
      </c>
      <c r="H1383">
        <v>6</v>
      </c>
      <c r="I1383">
        <v>3</v>
      </c>
      <c r="J1383" s="1" t="s">
        <v>43</v>
      </c>
      <c r="K1383">
        <v>1</v>
      </c>
      <c r="L1383">
        <v>769</v>
      </c>
      <c r="M1383">
        <v>4</v>
      </c>
      <c r="N1383" s="1" t="s">
        <v>44</v>
      </c>
      <c r="O1383">
        <v>86</v>
      </c>
      <c r="P1383">
        <v>3</v>
      </c>
      <c r="Q1383">
        <v>2</v>
      </c>
      <c r="R1383" s="1" t="s">
        <v>45</v>
      </c>
      <c r="S1383">
        <v>4</v>
      </c>
      <c r="T1383" s="1" t="s">
        <v>46</v>
      </c>
      <c r="U1383">
        <v>2450</v>
      </c>
      <c r="V1383" s="1" t="s">
        <v>47</v>
      </c>
      <c r="W1383">
        <v>10919</v>
      </c>
      <c r="X1383">
        <v>2</v>
      </c>
      <c r="Y1383" s="1" t="s">
        <v>48</v>
      </c>
      <c r="Z1383" s="1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8">
      <c r="A1384" s="1" t="s">
        <v>1446</v>
      </c>
      <c r="B1384">
        <v>53</v>
      </c>
      <c r="C1384" s="1" t="s">
        <v>1271</v>
      </c>
      <c r="D1384" s="1" t="s">
        <v>49</v>
      </c>
      <c r="E1384" s="1" t="s">
        <v>41</v>
      </c>
      <c r="F1384">
        <v>661</v>
      </c>
      <c r="G1384" s="1" t="s">
        <v>51</v>
      </c>
      <c r="H1384">
        <v>7</v>
      </c>
      <c r="I1384">
        <v>2</v>
      </c>
      <c r="J1384" s="1" t="s">
        <v>57</v>
      </c>
      <c r="K1384">
        <v>1</v>
      </c>
      <c r="L1384">
        <v>862</v>
      </c>
      <c r="M1384">
        <v>1</v>
      </c>
      <c r="N1384" s="1" t="s">
        <v>53</v>
      </c>
      <c r="O1384">
        <v>78</v>
      </c>
      <c r="P1384">
        <v>2</v>
      </c>
      <c r="Q1384">
        <v>3</v>
      </c>
      <c r="R1384" s="1" t="s">
        <v>137</v>
      </c>
      <c r="S1384">
        <v>4</v>
      </c>
      <c r="T1384" s="1" t="s">
        <v>105</v>
      </c>
      <c r="U1384">
        <v>10934</v>
      </c>
      <c r="V1384" s="1" t="s">
        <v>253</v>
      </c>
      <c r="W1384">
        <v>20715</v>
      </c>
      <c r="X1384">
        <v>7</v>
      </c>
      <c r="Y1384" s="1" t="s">
        <v>48</v>
      </c>
      <c r="Z1384" s="1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8">
      <c r="A1385" s="1" t="s">
        <v>1447</v>
      </c>
      <c r="B1385">
        <v>53</v>
      </c>
      <c r="C1385" s="1" t="s">
        <v>1271</v>
      </c>
      <c r="D1385" s="1" t="s">
        <v>49</v>
      </c>
      <c r="E1385" s="1" t="s">
        <v>41</v>
      </c>
      <c r="F1385">
        <v>868</v>
      </c>
      <c r="G1385" s="1" t="s">
        <v>51</v>
      </c>
      <c r="H1385">
        <v>8</v>
      </c>
      <c r="I1385">
        <v>3</v>
      </c>
      <c r="J1385" s="1" t="s">
        <v>57</v>
      </c>
      <c r="K1385">
        <v>1</v>
      </c>
      <c r="L1385">
        <v>897</v>
      </c>
      <c r="M1385">
        <v>1</v>
      </c>
      <c r="N1385" s="1" t="s">
        <v>44</v>
      </c>
      <c r="O1385">
        <v>73</v>
      </c>
      <c r="P1385">
        <v>3</v>
      </c>
      <c r="Q1385">
        <v>4</v>
      </c>
      <c r="R1385" s="1" t="s">
        <v>137</v>
      </c>
      <c r="S1385">
        <v>4</v>
      </c>
      <c r="T1385" s="1" t="s">
        <v>105</v>
      </c>
      <c r="U1385">
        <v>11836</v>
      </c>
      <c r="V1385" s="1" t="s">
        <v>253</v>
      </c>
      <c r="W1385">
        <v>22789</v>
      </c>
      <c r="X1385">
        <v>5</v>
      </c>
      <c r="Y1385" s="1" t="s">
        <v>48</v>
      </c>
      <c r="Z1385" s="1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8">
      <c r="A1386" s="1" t="s">
        <v>1448</v>
      </c>
      <c r="B1386">
        <v>53</v>
      </c>
      <c r="C1386" s="1" t="s">
        <v>1271</v>
      </c>
      <c r="D1386" s="1" t="s">
        <v>49</v>
      </c>
      <c r="E1386" s="1" t="s">
        <v>41</v>
      </c>
      <c r="F1386">
        <v>102</v>
      </c>
      <c r="G1386" s="1" t="s">
        <v>42</v>
      </c>
      <c r="H1386">
        <v>23</v>
      </c>
      <c r="I1386">
        <v>4</v>
      </c>
      <c r="J1386" s="1" t="s">
        <v>43</v>
      </c>
      <c r="K1386">
        <v>1</v>
      </c>
      <c r="L1386">
        <v>901</v>
      </c>
      <c r="M1386">
        <v>4</v>
      </c>
      <c r="N1386" s="1" t="s">
        <v>53</v>
      </c>
      <c r="O1386">
        <v>72</v>
      </c>
      <c r="P1386">
        <v>3</v>
      </c>
      <c r="Q1386">
        <v>4</v>
      </c>
      <c r="R1386" s="1" t="s">
        <v>252</v>
      </c>
      <c r="S1386">
        <v>4</v>
      </c>
      <c r="T1386" s="1" t="s">
        <v>46</v>
      </c>
      <c r="U1386">
        <v>14275</v>
      </c>
      <c r="V1386" s="1" t="s">
        <v>253</v>
      </c>
      <c r="W1386">
        <v>20206</v>
      </c>
      <c r="X1386">
        <v>6</v>
      </c>
      <c r="Y1386" s="1" t="s">
        <v>48</v>
      </c>
      <c r="Z1386" s="1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8">
      <c r="A1387" s="1" t="s">
        <v>1449</v>
      </c>
      <c r="B1387">
        <v>53</v>
      </c>
      <c r="C1387" s="1" t="s">
        <v>1271</v>
      </c>
      <c r="D1387" s="1" t="s">
        <v>49</v>
      </c>
      <c r="E1387" s="1" t="s">
        <v>41</v>
      </c>
      <c r="F1387">
        <v>1376</v>
      </c>
      <c r="G1387" s="1" t="s">
        <v>51</v>
      </c>
      <c r="H1387">
        <v>2</v>
      </c>
      <c r="I1387">
        <v>2</v>
      </c>
      <c r="J1387" s="1" t="s">
        <v>52</v>
      </c>
      <c r="K1387">
        <v>1</v>
      </c>
      <c r="L1387">
        <v>981</v>
      </c>
      <c r="M1387">
        <v>3</v>
      </c>
      <c r="N1387" s="1" t="s">
        <v>44</v>
      </c>
      <c r="O1387">
        <v>45</v>
      </c>
      <c r="P1387">
        <v>3</v>
      </c>
      <c r="Q1387">
        <v>4</v>
      </c>
      <c r="R1387" s="1" t="s">
        <v>442</v>
      </c>
      <c r="S1387">
        <v>3</v>
      </c>
      <c r="T1387" s="1" t="s">
        <v>102</v>
      </c>
      <c r="U1387">
        <v>14852</v>
      </c>
      <c r="V1387" s="1" t="s">
        <v>253</v>
      </c>
      <c r="W1387">
        <v>13938</v>
      </c>
      <c r="X1387">
        <v>6</v>
      </c>
      <c r="Y1387" s="1" t="s">
        <v>48</v>
      </c>
      <c r="Z1387" s="1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8">
      <c r="A1388" s="1" t="s">
        <v>1450</v>
      </c>
      <c r="B1388">
        <v>53</v>
      </c>
      <c r="C1388" s="1" t="s">
        <v>1271</v>
      </c>
      <c r="D1388" s="1" t="s">
        <v>49</v>
      </c>
      <c r="E1388" s="1" t="s">
        <v>56</v>
      </c>
      <c r="F1388">
        <v>124</v>
      </c>
      <c r="G1388" s="1" t="s">
        <v>51</v>
      </c>
      <c r="H1388">
        <v>2</v>
      </c>
      <c r="I1388">
        <v>3</v>
      </c>
      <c r="J1388" s="1" t="s">
        <v>57</v>
      </c>
      <c r="K1388">
        <v>1</v>
      </c>
      <c r="L1388">
        <v>1050</v>
      </c>
      <c r="M1388">
        <v>3</v>
      </c>
      <c r="N1388" s="1" t="s">
        <v>53</v>
      </c>
      <c r="O1388">
        <v>38</v>
      </c>
      <c r="P1388">
        <v>2</v>
      </c>
      <c r="Q1388">
        <v>3</v>
      </c>
      <c r="R1388" s="1" t="s">
        <v>137</v>
      </c>
      <c r="S1388">
        <v>2</v>
      </c>
      <c r="T1388" s="1" t="s">
        <v>105</v>
      </c>
      <c r="U1388">
        <v>7525</v>
      </c>
      <c r="V1388" s="1" t="s">
        <v>163</v>
      </c>
      <c r="W1388">
        <v>23537</v>
      </c>
      <c r="X1388">
        <v>2</v>
      </c>
      <c r="Y1388" s="1" t="s">
        <v>48</v>
      </c>
      <c r="Z1388" s="1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8">
      <c r="A1389" s="1" t="s">
        <v>1451</v>
      </c>
      <c r="B1389">
        <v>53</v>
      </c>
      <c r="C1389" s="1" t="s">
        <v>1271</v>
      </c>
      <c r="D1389" s="1" t="s">
        <v>49</v>
      </c>
      <c r="E1389" s="1" t="s">
        <v>41</v>
      </c>
      <c r="F1389">
        <v>1223</v>
      </c>
      <c r="G1389" s="1" t="s">
        <v>42</v>
      </c>
      <c r="H1389">
        <v>7</v>
      </c>
      <c r="I1389">
        <v>2</v>
      </c>
      <c r="J1389" s="1" t="s">
        <v>52</v>
      </c>
      <c r="K1389">
        <v>1</v>
      </c>
      <c r="L1389">
        <v>1201</v>
      </c>
      <c r="M1389">
        <v>4</v>
      </c>
      <c r="N1389" s="1" t="s">
        <v>53</v>
      </c>
      <c r="O1389">
        <v>50</v>
      </c>
      <c r="P1389">
        <v>3</v>
      </c>
      <c r="Q1389">
        <v>5</v>
      </c>
      <c r="R1389" s="1" t="s">
        <v>442</v>
      </c>
      <c r="S1389">
        <v>3</v>
      </c>
      <c r="T1389" s="1" t="s">
        <v>102</v>
      </c>
      <c r="U1389">
        <v>18606</v>
      </c>
      <c r="V1389" s="1" t="s">
        <v>368</v>
      </c>
      <c r="W1389">
        <v>18640</v>
      </c>
      <c r="X1389">
        <v>3</v>
      </c>
      <c r="Y1389" s="1" t="s">
        <v>48</v>
      </c>
      <c r="Z1389" s="1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8">
      <c r="A1390" s="1" t="s">
        <v>1452</v>
      </c>
      <c r="B1390">
        <v>53</v>
      </c>
      <c r="C1390" s="1" t="s">
        <v>1271</v>
      </c>
      <c r="D1390" s="1" t="s">
        <v>49</v>
      </c>
      <c r="E1390" s="1" t="s">
        <v>41</v>
      </c>
      <c r="F1390">
        <v>447</v>
      </c>
      <c r="G1390" s="1" t="s">
        <v>42</v>
      </c>
      <c r="H1390">
        <v>2</v>
      </c>
      <c r="I1390">
        <v>3</v>
      </c>
      <c r="J1390" s="1" t="s">
        <v>52</v>
      </c>
      <c r="K1390">
        <v>1</v>
      </c>
      <c r="L1390">
        <v>1472</v>
      </c>
      <c r="M1390">
        <v>4</v>
      </c>
      <c r="N1390" s="1" t="s">
        <v>44</v>
      </c>
      <c r="O1390">
        <v>39</v>
      </c>
      <c r="P1390">
        <v>4</v>
      </c>
      <c r="Q1390">
        <v>4</v>
      </c>
      <c r="R1390" s="1" t="s">
        <v>252</v>
      </c>
      <c r="S1390">
        <v>2</v>
      </c>
      <c r="T1390" s="1" t="s">
        <v>46</v>
      </c>
      <c r="U1390">
        <v>16598</v>
      </c>
      <c r="V1390" s="1" t="s">
        <v>368</v>
      </c>
      <c r="W1390">
        <v>19764</v>
      </c>
      <c r="X1390">
        <v>4</v>
      </c>
      <c r="Y1390" s="1" t="s">
        <v>48</v>
      </c>
      <c r="Z1390" s="1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8">
      <c r="A1391" s="1" t="s">
        <v>1453</v>
      </c>
      <c r="B1391">
        <v>53</v>
      </c>
      <c r="C1391" s="1" t="s">
        <v>1271</v>
      </c>
      <c r="D1391" s="1" t="s">
        <v>40</v>
      </c>
      <c r="E1391" s="1" t="s">
        <v>41</v>
      </c>
      <c r="F1391">
        <v>607</v>
      </c>
      <c r="G1391" s="1" t="s">
        <v>42</v>
      </c>
      <c r="H1391">
        <v>2</v>
      </c>
      <c r="I1391">
        <v>5</v>
      </c>
      <c r="J1391" s="1" t="s">
        <v>68</v>
      </c>
      <c r="K1391">
        <v>1</v>
      </c>
      <c r="L1391">
        <v>1572</v>
      </c>
      <c r="M1391">
        <v>3</v>
      </c>
      <c r="N1391" s="1" t="s">
        <v>53</v>
      </c>
      <c r="O1391">
        <v>78</v>
      </c>
      <c r="P1391">
        <v>2</v>
      </c>
      <c r="Q1391">
        <v>3</v>
      </c>
      <c r="R1391" s="1" t="s">
        <v>112</v>
      </c>
      <c r="S1391">
        <v>4</v>
      </c>
      <c r="T1391" s="1" t="s">
        <v>105</v>
      </c>
      <c r="U1391">
        <v>10169</v>
      </c>
      <c r="V1391" s="1" t="s">
        <v>253</v>
      </c>
      <c r="W1391">
        <v>14618</v>
      </c>
      <c r="X1391">
        <v>0</v>
      </c>
      <c r="Y1391" s="1" t="s">
        <v>48</v>
      </c>
      <c r="Z1391" s="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8">
      <c r="A1392" s="1" t="s">
        <v>1454</v>
      </c>
      <c r="B1392">
        <v>53</v>
      </c>
      <c r="C1392" s="1" t="s">
        <v>1271</v>
      </c>
      <c r="D1392" s="1" t="s">
        <v>49</v>
      </c>
      <c r="E1392" s="1" t="s">
        <v>41</v>
      </c>
      <c r="F1392">
        <v>1395</v>
      </c>
      <c r="G1392" s="1" t="s">
        <v>42</v>
      </c>
      <c r="H1392">
        <v>24</v>
      </c>
      <c r="I1392">
        <v>4</v>
      </c>
      <c r="J1392" s="1" t="s">
        <v>52</v>
      </c>
      <c r="K1392">
        <v>1</v>
      </c>
      <c r="L1392">
        <v>1689</v>
      </c>
      <c r="M1392">
        <v>2</v>
      </c>
      <c r="N1392" s="1" t="s">
        <v>44</v>
      </c>
      <c r="O1392">
        <v>48</v>
      </c>
      <c r="P1392">
        <v>4</v>
      </c>
      <c r="Q1392">
        <v>3</v>
      </c>
      <c r="R1392" s="1" t="s">
        <v>161</v>
      </c>
      <c r="S1392">
        <v>4</v>
      </c>
      <c r="T1392" s="1" t="s">
        <v>105</v>
      </c>
      <c r="U1392">
        <v>7005</v>
      </c>
      <c r="V1392" s="1" t="s">
        <v>163</v>
      </c>
      <c r="W1392">
        <v>3458</v>
      </c>
      <c r="X1392">
        <v>3</v>
      </c>
      <c r="Y1392" s="1" t="s">
        <v>48</v>
      </c>
      <c r="Z1392" s="1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8">
      <c r="A1393" s="1" t="s">
        <v>1455</v>
      </c>
      <c r="B1393">
        <v>53</v>
      </c>
      <c r="C1393" s="1" t="s">
        <v>1271</v>
      </c>
      <c r="D1393" s="1" t="s">
        <v>49</v>
      </c>
      <c r="E1393" s="1" t="s">
        <v>59</v>
      </c>
      <c r="F1393">
        <v>661</v>
      </c>
      <c r="G1393" s="1" t="s">
        <v>42</v>
      </c>
      <c r="H1393">
        <v>1</v>
      </c>
      <c r="I1393">
        <v>4</v>
      </c>
      <c r="J1393" s="1" t="s">
        <v>52</v>
      </c>
      <c r="K1393">
        <v>1</v>
      </c>
      <c r="L1393">
        <v>1775</v>
      </c>
      <c r="M1393">
        <v>1</v>
      </c>
      <c r="N1393" s="1" t="s">
        <v>53</v>
      </c>
      <c r="O1393">
        <v>60</v>
      </c>
      <c r="P1393">
        <v>2</v>
      </c>
      <c r="Q1393">
        <v>4</v>
      </c>
      <c r="R1393" s="1" t="s">
        <v>112</v>
      </c>
      <c r="S1393">
        <v>3</v>
      </c>
      <c r="T1393" s="1" t="s">
        <v>105</v>
      </c>
      <c r="U1393">
        <v>12965</v>
      </c>
      <c r="V1393" s="1" t="s">
        <v>253</v>
      </c>
      <c r="W1393">
        <v>22308</v>
      </c>
      <c r="X1393">
        <v>4</v>
      </c>
      <c r="Y1393" s="1" t="s">
        <v>48</v>
      </c>
      <c r="Z1393" s="1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8">
      <c r="A1394" s="1" t="s">
        <v>1456</v>
      </c>
      <c r="B1394">
        <v>53</v>
      </c>
      <c r="C1394" s="1" t="s">
        <v>1271</v>
      </c>
      <c r="D1394" s="1" t="s">
        <v>40</v>
      </c>
      <c r="E1394" s="1" t="s">
        <v>41</v>
      </c>
      <c r="F1394">
        <v>1168</v>
      </c>
      <c r="G1394" s="1" t="s">
        <v>51</v>
      </c>
      <c r="H1394">
        <v>24</v>
      </c>
      <c r="I1394">
        <v>4</v>
      </c>
      <c r="J1394" s="1" t="s">
        <v>43</v>
      </c>
      <c r="K1394">
        <v>1</v>
      </c>
      <c r="L1394">
        <v>1968</v>
      </c>
      <c r="M1394">
        <v>1</v>
      </c>
      <c r="N1394" s="1" t="s">
        <v>44</v>
      </c>
      <c r="O1394">
        <v>66</v>
      </c>
      <c r="P1394">
        <v>3</v>
      </c>
      <c r="Q1394">
        <v>3</v>
      </c>
      <c r="R1394" s="1" t="s">
        <v>137</v>
      </c>
      <c r="S1394">
        <v>1</v>
      </c>
      <c r="T1394" s="1" t="s">
        <v>46</v>
      </c>
      <c r="U1394">
        <v>10448</v>
      </c>
      <c r="V1394" s="1" t="s">
        <v>253</v>
      </c>
      <c r="W1394">
        <v>5843</v>
      </c>
      <c r="X1394">
        <v>6</v>
      </c>
      <c r="Y1394" s="1" t="s">
        <v>48</v>
      </c>
      <c r="Z1394" s="1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8">
      <c r="A1395" s="1" t="s">
        <v>1457</v>
      </c>
      <c r="B1395">
        <v>54</v>
      </c>
      <c r="C1395" s="1" t="s">
        <v>1271</v>
      </c>
      <c r="D1395" s="1" t="s">
        <v>49</v>
      </c>
      <c r="E1395" s="1" t="s">
        <v>41</v>
      </c>
      <c r="F1395">
        <v>1217</v>
      </c>
      <c r="G1395" s="1" t="s">
        <v>42</v>
      </c>
      <c r="H1395">
        <v>2</v>
      </c>
      <c r="I1395">
        <v>4</v>
      </c>
      <c r="J1395" s="1" t="s">
        <v>68</v>
      </c>
      <c r="K1395">
        <v>1</v>
      </c>
      <c r="L1395">
        <v>126</v>
      </c>
      <c r="M1395">
        <v>1</v>
      </c>
      <c r="N1395" s="1" t="s">
        <v>53</v>
      </c>
      <c r="O1395">
        <v>60</v>
      </c>
      <c r="P1395">
        <v>3</v>
      </c>
      <c r="Q1395">
        <v>3</v>
      </c>
      <c r="R1395" s="1" t="s">
        <v>252</v>
      </c>
      <c r="S1395">
        <v>3</v>
      </c>
      <c r="T1395" s="1" t="s">
        <v>105</v>
      </c>
      <c r="U1395">
        <v>13549</v>
      </c>
      <c r="V1395" s="1" t="s">
        <v>253</v>
      </c>
      <c r="W1395">
        <v>24001</v>
      </c>
      <c r="X1395">
        <v>9</v>
      </c>
      <c r="Y1395" s="1" t="s">
        <v>48</v>
      </c>
      <c r="Z1395" s="1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8">
      <c r="A1396" s="1" t="s">
        <v>1458</v>
      </c>
      <c r="B1396">
        <v>54</v>
      </c>
      <c r="C1396" s="1" t="s">
        <v>1271</v>
      </c>
      <c r="D1396" s="1" t="s">
        <v>49</v>
      </c>
      <c r="E1396" s="1" t="s">
        <v>59</v>
      </c>
      <c r="F1396">
        <v>142</v>
      </c>
      <c r="G1396" s="1" t="s">
        <v>71</v>
      </c>
      <c r="H1396">
        <v>26</v>
      </c>
      <c r="I1396">
        <v>3</v>
      </c>
      <c r="J1396" s="1" t="s">
        <v>71</v>
      </c>
      <c r="K1396">
        <v>1</v>
      </c>
      <c r="L1396">
        <v>148</v>
      </c>
      <c r="M1396">
        <v>4</v>
      </c>
      <c r="N1396" s="1" t="s">
        <v>53</v>
      </c>
      <c r="O1396">
        <v>30</v>
      </c>
      <c r="P1396">
        <v>4</v>
      </c>
      <c r="Q1396">
        <v>4</v>
      </c>
      <c r="R1396" s="1" t="s">
        <v>442</v>
      </c>
      <c r="S1396">
        <v>4</v>
      </c>
      <c r="T1396" s="1" t="s">
        <v>46</v>
      </c>
      <c r="U1396">
        <v>17328</v>
      </c>
      <c r="V1396" s="1" t="s">
        <v>368</v>
      </c>
      <c r="W1396">
        <v>13871</v>
      </c>
      <c r="X1396">
        <v>2</v>
      </c>
      <c r="Y1396" s="1" t="s">
        <v>48</v>
      </c>
      <c r="Z1396" s="1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8">
      <c r="A1397" s="1" t="s">
        <v>1459</v>
      </c>
      <c r="B1397">
        <v>54</v>
      </c>
      <c r="C1397" s="1" t="s">
        <v>1271</v>
      </c>
      <c r="D1397" s="1" t="s">
        <v>49</v>
      </c>
      <c r="E1397" s="1" t="s">
        <v>41</v>
      </c>
      <c r="F1397">
        <v>1147</v>
      </c>
      <c r="G1397" s="1" t="s">
        <v>51</v>
      </c>
      <c r="H1397">
        <v>3</v>
      </c>
      <c r="I1397">
        <v>3</v>
      </c>
      <c r="J1397" s="1" t="s">
        <v>57</v>
      </c>
      <c r="K1397">
        <v>1</v>
      </c>
      <c r="L1397">
        <v>303</v>
      </c>
      <c r="M1397">
        <v>4</v>
      </c>
      <c r="N1397" s="1" t="s">
        <v>53</v>
      </c>
      <c r="O1397">
        <v>52</v>
      </c>
      <c r="P1397">
        <v>3</v>
      </c>
      <c r="Q1397">
        <v>2</v>
      </c>
      <c r="R1397" s="1" t="s">
        <v>137</v>
      </c>
      <c r="S1397">
        <v>1</v>
      </c>
      <c r="T1397" s="1" t="s">
        <v>105</v>
      </c>
      <c r="U1397">
        <v>5940</v>
      </c>
      <c r="V1397" s="1" t="s">
        <v>163</v>
      </c>
      <c r="W1397">
        <v>17011</v>
      </c>
      <c r="X1397">
        <v>2</v>
      </c>
      <c r="Y1397" s="1" t="s">
        <v>48</v>
      </c>
      <c r="Z1397" s="1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8">
      <c r="A1398" s="1" t="s">
        <v>1460</v>
      </c>
      <c r="B1398">
        <v>54</v>
      </c>
      <c r="C1398" s="1" t="s">
        <v>1271</v>
      </c>
      <c r="D1398" s="1" t="s">
        <v>49</v>
      </c>
      <c r="E1398" s="1" t="s">
        <v>56</v>
      </c>
      <c r="F1398">
        <v>928</v>
      </c>
      <c r="G1398" s="1" t="s">
        <v>42</v>
      </c>
      <c r="H1398">
        <v>20</v>
      </c>
      <c r="I1398">
        <v>4</v>
      </c>
      <c r="J1398" s="1" t="s">
        <v>43</v>
      </c>
      <c r="K1398">
        <v>1</v>
      </c>
      <c r="L1398">
        <v>450</v>
      </c>
      <c r="M1398">
        <v>4</v>
      </c>
      <c r="N1398" s="1" t="s">
        <v>53</v>
      </c>
      <c r="O1398">
        <v>31</v>
      </c>
      <c r="P1398">
        <v>3</v>
      </c>
      <c r="Q1398">
        <v>2</v>
      </c>
      <c r="R1398" s="1" t="s">
        <v>60</v>
      </c>
      <c r="S1398">
        <v>3</v>
      </c>
      <c r="T1398" s="1" t="s">
        <v>46</v>
      </c>
      <c r="U1398">
        <v>4869</v>
      </c>
      <c r="V1398" s="1" t="s">
        <v>47</v>
      </c>
      <c r="W1398">
        <v>16885</v>
      </c>
      <c r="X1398">
        <v>3</v>
      </c>
      <c r="Y1398" s="1" t="s">
        <v>48</v>
      </c>
      <c r="Z1398" s="1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8">
      <c r="A1399" s="1" t="s">
        <v>1461</v>
      </c>
      <c r="B1399">
        <v>54</v>
      </c>
      <c r="C1399" s="1" t="s">
        <v>1271</v>
      </c>
      <c r="D1399" s="1" t="s">
        <v>49</v>
      </c>
      <c r="E1399" s="1" t="s">
        <v>41</v>
      </c>
      <c r="F1399">
        <v>821</v>
      </c>
      <c r="G1399" s="1" t="s">
        <v>42</v>
      </c>
      <c r="H1399">
        <v>5</v>
      </c>
      <c r="I1399">
        <v>2</v>
      </c>
      <c r="J1399" s="1" t="s">
        <v>52</v>
      </c>
      <c r="K1399">
        <v>1</v>
      </c>
      <c r="L1399">
        <v>522</v>
      </c>
      <c r="M1399">
        <v>1</v>
      </c>
      <c r="N1399" s="1" t="s">
        <v>44</v>
      </c>
      <c r="O1399">
        <v>86</v>
      </c>
      <c r="P1399">
        <v>3</v>
      </c>
      <c r="Q1399">
        <v>5</v>
      </c>
      <c r="R1399" s="1" t="s">
        <v>252</v>
      </c>
      <c r="S1399">
        <v>1</v>
      </c>
      <c r="T1399" s="1" t="s">
        <v>105</v>
      </c>
      <c r="U1399">
        <v>19406</v>
      </c>
      <c r="V1399" s="1" t="s">
        <v>368</v>
      </c>
      <c r="W1399">
        <v>8509</v>
      </c>
      <c r="X1399">
        <v>4</v>
      </c>
      <c r="Y1399" s="1" t="s">
        <v>48</v>
      </c>
      <c r="Z1399" s="1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8">
      <c r="A1400" s="1" t="s">
        <v>1462</v>
      </c>
      <c r="B1400">
        <v>54</v>
      </c>
      <c r="C1400" s="1" t="s">
        <v>1271</v>
      </c>
      <c r="D1400" s="1" t="s">
        <v>49</v>
      </c>
      <c r="E1400" s="1" t="s">
        <v>41</v>
      </c>
      <c r="F1400">
        <v>548</v>
      </c>
      <c r="G1400" s="1" t="s">
        <v>42</v>
      </c>
      <c r="H1400">
        <v>8</v>
      </c>
      <c r="I1400">
        <v>4</v>
      </c>
      <c r="J1400" s="1" t="s">
        <v>43</v>
      </c>
      <c r="K1400">
        <v>1</v>
      </c>
      <c r="L1400">
        <v>578</v>
      </c>
      <c r="M1400">
        <v>3</v>
      </c>
      <c r="N1400" s="1" t="s">
        <v>53</v>
      </c>
      <c r="O1400">
        <v>42</v>
      </c>
      <c r="P1400">
        <v>3</v>
      </c>
      <c r="Q1400">
        <v>2</v>
      </c>
      <c r="R1400" s="1" t="s">
        <v>45</v>
      </c>
      <c r="S1400">
        <v>3</v>
      </c>
      <c r="T1400" s="1" t="s">
        <v>46</v>
      </c>
      <c r="U1400">
        <v>3780</v>
      </c>
      <c r="V1400" s="1" t="s">
        <v>47</v>
      </c>
      <c r="W1400">
        <v>23428</v>
      </c>
      <c r="X1400">
        <v>7</v>
      </c>
      <c r="Y1400" s="1" t="s">
        <v>48</v>
      </c>
      <c r="Z1400" s="1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8">
      <c r="A1401" s="1" t="s">
        <v>1463</v>
      </c>
      <c r="B1401">
        <v>54</v>
      </c>
      <c r="C1401" s="1" t="s">
        <v>1271</v>
      </c>
      <c r="D1401" s="1" t="s">
        <v>49</v>
      </c>
      <c r="E1401" s="1" t="s">
        <v>41</v>
      </c>
      <c r="F1401">
        <v>397</v>
      </c>
      <c r="G1401" s="1" t="s">
        <v>71</v>
      </c>
      <c r="H1401">
        <v>19</v>
      </c>
      <c r="I1401">
        <v>4</v>
      </c>
      <c r="J1401" s="1" t="s">
        <v>52</v>
      </c>
      <c r="K1401">
        <v>1</v>
      </c>
      <c r="L1401">
        <v>698</v>
      </c>
      <c r="M1401">
        <v>3</v>
      </c>
      <c r="N1401" s="1" t="s">
        <v>44</v>
      </c>
      <c r="O1401">
        <v>88</v>
      </c>
      <c r="P1401">
        <v>3</v>
      </c>
      <c r="Q1401">
        <v>3</v>
      </c>
      <c r="R1401" s="1" t="s">
        <v>71</v>
      </c>
      <c r="S1401">
        <v>2</v>
      </c>
      <c r="T1401" s="1" t="s">
        <v>105</v>
      </c>
      <c r="U1401">
        <v>10725</v>
      </c>
      <c r="V1401" s="1" t="s">
        <v>253</v>
      </c>
      <c r="W1401">
        <v>6729</v>
      </c>
      <c r="X1401">
        <v>2</v>
      </c>
      <c r="Y1401" s="1" t="s">
        <v>48</v>
      </c>
      <c r="Z1401" s="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8">
      <c r="A1402" s="1" t="s">
        <v>1464</v>
      </c>
      <c r="B1402">
        <v>54</v>
      </c>
      <c r="C1402" s="1" t="s">
        <v>1271</v>
      </c>
      <c r="D1402" s="1" t="s">
        <v>49</v>
      </c>
      <c r="E1402" s="1" t="s">
        <v>41</v>
      </c>
      <c r="F1402">
        <v>376</v>
      </c>
      <c r="G1402" s="1" t="s">
        <v>42</v>
      </c>
      <c r="H1402">
        <v>19</v>
      </c>
      <c r="I1402">
        <v>4</v>
      </c>
      <c r="J1402" s="1" t="s">
        <v>52</v>
      </c>
      <c r="K1402">
        <v>1</v>
      </c>
      <c r="L1402">
        <v>799</v>
      </c>
      <c r="M1402">
        <v>4</v>
      </c>
      <c r="N1402" s="1" t="s">
        <v>53</v>
      </c>
      <c r="O1402">
        <v>95</v>
      </c>
      <c r="P1402">
        <v>3</v>
      </c>
      <c r="Q1402">
        <v>2</v>
      </c>
      <c r="R1402" s="1" t="s">
        <v>112</v>
      </c>
      <c r="S1402">
        <v>1</v>
      </c>
      <c r="T1402" s="1" t="s">
        <v>102</v>
      </c>
      <c r="U1402">
        <v>5485</v>
      </c>
      <c r="V1402" s="1" t="s">
        <v>163</v>
      </c>
      <c r="W1402">
        <v>22670</v>
      </c>
      <c r="X1402">
        <v>9</v>
      </c>
      <c r="Y1402" s="1" t="s">
        <v>48</v>
      </c>
      <c r="Z1402" s="1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8">
      <c r="A1403" s="1" t="s">
        <v>1465</v>
      </c>
      <c r="B1403">
        <v>54</v>
      </c>
      <c r="C1403" s="1" t="s">
        <v>1271</v>
      </c>
      <c r="D1403" s="1" t="s">
        <v>49</v>
      </c>
      <c r="E1403" s="1" t="s">
        <v>41</v>
      </c>
      <c r="F1403">
        <v>1441</v>
      </c>
      <c r="G1403" s="1" t="s">
        <v>42</v>
      </c>
      <c r="H1403">
        <v>17</v>
      </c>
      <c r="I1403">
        <v>3</v>
      </c>
      <c r="J1403" s="1" t="s">
        <v>68</v>
      </c>
      <c r="K1403">
        <v>1</v>
      </c>
      <c r="L1403">
        <v>1013</v>
      </c>
      <c r="M1403">
        <v>3</v>
      </c>
      <c r="N1403" s="1" t="s">
        <v>53</v>
      </c>
      <c r="O1403">
        <v>56</v>
      </c>
      <c r="P1403">
        <v>3</v>
      </c>
      <c r="Q1403">
        <v>3</v>
      </c>
      <c r="R1403" s="1" t="s">
        <v>112</v>
      </c>
      <c r="S1403">
        <v>3</v>
      </c>
      <c r="T1403" s="1" t="s">
        <v>105</v>
      </c>
      <c r="U1403">
        <v>10739</v>
      </c>
      <c r="V1403" s="1" t="s">
        <v>253</v>
      </c>
      <c r="W1403">
        <v>13943</v>
      </c>
      <c r="X1403">
        <v>8</v>
      </c>
      <c r="Y1403" s="1" t="s">
        <v>48</v>
      </c>
      <c r="Z1403" s="1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8">
      <c r="A1404" s="1" t="s">
        <v>1466</v>
      </c>
      <c r="B1404">
        <v>54</v>
      </c>
      <c r="C1404" s="1" t="s">
        <v>1271</v>
      </c>
      <c r="D1404" s="1" t="s">
        <v>49</v>
      </c>
      <c r="E1404" s="1" t="s">
        <v>41</v>
      </c>
      <c r="F1404">
        <v>1082</v>
      </c>
      <c r="G1404" s="1" t="s">
        <v>51</v>
      </c>
      <c r="H1404">
        <v>2</v>
      </c>
      <c r="I1404">
        <v>4</v>
      </c>
      <c r="J1404" s="1" t="s">
        <v>43</v>
      </c>
      <c r="K1404">
        <v>1</v>
      </c>
      <c r="L1404">
        <v>1070</v>
      </c>
      <c r="M1404">
        <v>3</v>
      </c>
      <c r="N1404" s="1" t="s">
        <v>53</v>
      </c>
      <c r="O1404">
        <v>41</v>
      </c>
      <c r="P1404">
        <v>2</v>
      </c>
      <c r="Q1404">
        <v>3</v>
      </c>
      <c r="R1404" s="1" t="s">
        <v>137</v>
      </c>
      <c r="S1404">
        <v>3</v>
      </c>
      <c r="T1404" s="1" t="s">
        <v>105</v>
      </c>
      <c r="U1404">
        <v>10686</v>
      </c>
      <c r="V1404" s="1" t="s">
        <v>253</v>
      </c>
      <c r="W1404">
        <v>8392</v>
      </c>
      <c r="X1404">
        <v>6</v>
      </c>
      <c r="Y1404" s="1" t="s">
        <v>48</v>
      </c>
      <c r="Z1404" s="1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8">
      <c r="A1405" s="1" t="s">
        <v>1467</v>
      </c>
      <c r="B1405">
        <v>54</v>
      </c>
      <c r="C1405" s="1" t="s">
        <v>1271</v>
      </c>
      <c r="D1405" s="1" t="s">
        <v>49</v>
      </c>
      <c r="E1405" s="1" t="s">
        <v>56</v>
      </c>
      <c r="F1405">
        <v>966</v>
      </c>
      <c r="G1405" s="1" t="s">
        <v>42</v>
      </c>
      <c r="H1405">
        <v>1</v>
      </c>
      <c r="I1405">
        <v>4</v>
      </c>
      <c r="J1405" s="1" t="s">
        <v>43</v>
      </c>
      <c r="K1405">
        <v>1</v>
      </c>
      <c r="L1405">
        <v>1245</v>
      </c>
      <c r="M1405">
        <v>4</v>
      </c>
      <c r="N1405" s="1" t="s">
        <v>53</v>
      </c>
      <c r="O1405">
        <v>53</v>
      </c>
      <c r="P1405">
        <v>3</v>
      </c>
      <c r="Q1405">
        <v>3</v>
      </c>
      <c r="R1405" s="1" t="s">
        <v>112</v>
      </c>
      <c r="S1405">
        <v>3</v>
      </c>
      <c r="T1405" s="1" t="s">
        <v>102</v>
      </c>
      <c r="U1405">
        <v>10502</v>
      </c>
      <c r="V1405" s="1" t="s">
        <v>253</v>
      </c>
      <c r="W1405">
        <v>9659</v>
      </c>
      <c r="X1405">
        <v>7</v>
      </c>
      <c r="Y1405" s="1" t="s">
        <v>48</v>
      </c>
      <c r="Z1405" s="1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8">
      <c r="A1406" s="1" t="s">
        <v>1468</v>
      </c>
      <c r="B1406">
        <v>54</v>
      </c>
      <c r="C1406" s="1" t="s">
        <v>1271</v>
      </c>
      <c r="D1406" s="1" t="s">
        <v>49</v>
      </c>
      <c r="E1406" s="1" t="s">
        <v>41</v>
      </c>
      <c r="F1406">
        <v>685</v>
      </c>
      <c r="G1406" s="1" t="s">
        <v>42</v>
      </c>
      <c r="H1406">
        <v>3</v>
      </c>
      <c r="I1406">
        <v>3</v>
      </c>
      <c r="J1406" s="1" t="s">
        <v>43</v>
      </c>
      <c r="K1406">
        <v>1</v>
      </c>
      <c r="L1406">
        <v>1250</v>
      </c>
      <c r="M1406">
        <v>4</v>
      </c>
      <c r="N1406" s="1" t="s">
        <v>44</v>
      </c>
      <c r="O1406">
        <v>85</v>
      </c>
      <c r="P1406">
        <v>3</v>
      </c>
      <c r="Q1406">
        <v>4</v>
      </c>
      <c r="R1406" s="1" t="s">
        <v>252</v>
      </c>
      <c r="S1406">
        <v>4</v>
      </c>
      <c r="T1406" s="1" t="s">
        <v>105</v>
      </c>
      <c r="U1406">
        <v>17779</v>
      </c>
      <c r="V1406" s="1" t="s">
        <v>368</v>
      </c>
      <c r="W1406">
        <v>23474</v>
      </c>
      <c r="X1406">
        <v>3</v>
      </c>
      <c r="Y1406" s="1" t="s">
        <v>48</v>
      </c>
      <c r="Z1406" s="1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8">
      <c r="A1407" s="1" t="s">
        <v>1469</v>
      </c>
      <c r="B1407">
        <v>54</v>
      </c>
      <c r="C1407" s="1" t="s">
        <v>1271</v>
      </c>
      <c r="D1407" s="1" t="s">
        <v>49</v>
      </c>
      <c r="E1407" s="1" t="s">
        <v>41</v>
      </c>
      <c r="F1407">
        <v>971</v>
      </c>
      <c r="G1407" s="1" t="s">
        <v>42</v>
      </c>
      <c r="H1407">
        <v>1</v>
      </c>
      <c r="I1407">
        <v>3</v>
      </c>
      <c r="J1407" s="1" t="s">
        <v>52</v>
      </c>
      <c r="K1407">
        <v>1</v>
      </c>
      <c r="L1407">
        <v>1422</v>
      </c>
      <c r="M1407">
        <v>4</v>
      </c>
      <c r="N1407" s="1" t="s">
        <v>53</v>
      </c>
      <c r="O1407">
        <v>54</v>
      </c>
      <c r="P1407">
        <v>3</v>
      </c>
      <c r="Q1407">
        <v>4</v>
      </c>
      <c r="R1407" s="1" t="s">
        <v>252</v>
      </c>
      <c r="S1407">
        <v>4</v>
      </c>
      <c r="T1407" s="1" t="s">
        <v>46</v>
      </c>
      <c r="U1407">
        <v>17328</v>
      </c>
      <c r="V1407" s="1" t="s">
        <v>368</v>
      </c>
      <c r="W1407">
        <v>5652</v>
      </c>
      <c r="X1407">
        <v>6</v>
      </c>
      <c r="Y1407" s="1" t="s">
        <v>48</v>
      </c>
      <c r="Z1407" s="1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8">
      <c r="A1408" s="1" t="s">
        <v>1470</v>
      </c>
      <c r="B1408">
        <v>54</v>
      </c>
      <c r="C1408" s="1" t="s">
        <v>1271</v>
      </c>
      <c r="D1408" s="1" t="s">
        <v>49</v>
      </c>
      <c r="E1408" s="1" t="s">
        <v>56</v>
      </c>
      <c r="F1408">
        <v>1050</v>
      </c>
      <c r="G1408" s="1" t="s">
        <v>42</v>
      </c>
      <c r="H1408">
        <v>11</v>
      </c>
      <c r="I1408">
        <v>4</v>
      </c>
      <c r="J1408" s="1" t="s">
        <v>52</v>
      </c>
      <c r="K1408">
        <v>1</v>
      </c>
      <c r="L1408">
        <v>1520</v>
      </c>
      <c r="M1408">
        <v>2</v>
      </c>
      <c r="N1408" s="1" t="s">
        <v>53</v>
      </c>
      <c r="O1408">
        <v>87</v>
      </c>
      <c r="P1408">
        <v>3</v>
      </c>
      <c r="Q1408">
        <v>4</v>
      </c>
      <c r="R1408" s="1" t="s">
        <v>442</v>
      </c>
      <c r="S1408">
        <v>4</v>
      </c>
      <c r="T1408" s="1" t="s">
        <v>102</v>
      </c>
      <c r="U1408">
        <v>16032</v>
      </c>
      <c r="V1408" s="1" t="s">
        <v>368</v>
      </c>
      <c r="W1408">
        <v>24456</v>
      </c>
      <c r="X1408">
        <v>3</v>
      </c>
      <c r="Y1408" s="1" t="s">
        <v>48</v>
      </c>
      <c r="Z1408" s="1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8">
      <c r="A1409" s="1" t="s">
        <v>1471</v>
      </c>
      <c r="B1409">
        <v>54</v>
      </c>
      <c r="C1409" s="1" t="s">
        <v>1271</v>
      </c>
      <c r="D1409" s="1" t="s">
        <v>49</v>
      </c>
      <c r="E1409" s="1" t="s">
        <v>41</v>
      </c>
      <c r="F1409">
        <v>584</v>
      </c>
      <c r="G1409" s="1" t="s">
        <v>42</v>
      </c>
      <c r="H1409">
        <v>22</v>
      </c>
      <c r="I1409">
        <v>5</v>
      </c>
      <c r="J1409" s="1" t="s">
        <v>52</v>
      </c>
      <c r="K1409">
        <v>1</v>
      </c>
      <c r="L1409">
        <v>1665</v>
      </c>
      <c r="M1409">
        <v>2</v>
      </c>
      <c r="N1409" s="1" t="s">
        <v>53</v>
      </c>
      <c r="O1409">
        <v>91</v>
      </c>
      <c r="P1409">
        <v>3</v>
      </c>
      <c r="Q1409">
        <v>4</v>
      </c>
      <c r="R1409" s="1" t="s">
        <v>442</v>
      </c>
      <c r="S1409">
        <v>3</v>
      </c>
      <c r="T1409" s="1" t="s">
        <v>105</v>
      </c>
      <c r="U1409">
        <v>17426</v>
      </c>
      <c r="V1409" s="1" t="s">
        <v>368</v>
      </c>
      <c r="W1409">
        <v>18685</v>
      </c>
      <c r="X1409">
        <v>3</v>
      </c>
      <c r="Y1409" s="1" t="s">
        <v>48</v>
      </c>
      <c r="Z1409" s="1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8">
      <c r="A1410" s="1" t="s">
        <v>1472</v>
      </c>
      <c r="B1410">
        <v>54</v>
      </c>
      <c r="C1410" s="1" t="s">
        <v>1271</v>
      </c>
      <c r="D1410" s="1" t="s">
        <v>49</v>
      </c>
      <c r="E1410" s="1" t="s">
        <v>41</v>
      </c>
      <c r="F1410">
        <v>431</v>
      </c>
      <c r="G1410" s="1" t="s">
        <v>42</v>
      </c>
      <c r="H1410">
        <v>7</v>
      </c>
      <c r="I1410">
        <v>4</v>
      </c>
      <c r="J1410" s="1" t="s">
        <v>52</v>
      </c>
      <c r="K1410">
        <v>1</v>
      </c>
      <c r="L1410">
        <v>1830</v>
      </c>
      <c r="M1410">
        <v>4</v>
      </c>
      <c r="N1410" s="1" t="s">
        <v>53</v>
      </c>
      <c r="O1410">
        <v>68</v>
      </c>
      <c r="P1410">
        <v>3</v>
      </c>
      <c r="Q1410">
        <v>2</v>
      </c>
      <c r="R1410" s="1" t="s">
        <v>60</v>
      </c>
      <c r="S1410">
        <v>4</v>
      </c>
      <c r="T1410" s="1" t="s">
        <v>105</v>
      </c>
      <c r="U1410">
        <v>6854</v>
      </c>
      <c r="V1410" s="1" t="s">
        <v>163</v>
      </c>
      <c r="W1410">
        <v>15696</v>
      </c>
      <c r="X1410">
        <v>4</v>
      </c>
      <c r="Y1410" s="1" t="s">
        <v>48</v>
      </c>
      <c r="Z1410" s="1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8">
      <c r="A1411" s="1" t="s">
        <v>1473</v>
      </c>
      <c r="B1411">
        <v>54</v>
      </c>
      <c r="C1411" s="1" t="s">
        <v>1271</v>
      </c>
      <c r="D1411" s="1" t="s">
        <v>49</v>
      </c>
      <c r="E1411" s="1" t="s">
        <v>41</v>
      </c>
      <c r="F1411">
        <v>155</v>
      </c>
      <c r="G1411" s="1" t="s">
        <v>42</v>
      </c>
      <c r="H1411">
        <v>9</v>
      </c>
      <c r="I1411">
        <v>2</v>
      </c>
      <c r="J1411" s="1" t="s">
        <v>43</v>
      </c>
      <c r="K1411">
        <v>1</v>
      </c>
      <c r="L1411">
        <v>1969</v>
      </c>
      <c r="M1411">
        <v>1</v>
      </c>
      <c r="N1411" s="1" t="s">
        <v>53</v>
      </c>
      <c r="O1411">
        <v>67</v>
      </c>
      <c r="P1411">
        <v>3</v>
      </c>
      <c r="Q1411">
        <v>2</v>
      </c>
      <c r="R1411" s="1" t="s">
        <v>60</v>
      </c>
      <c r="S1411">
        <v>3</v>
      </c>
      <c r="T1411" s="1" t="s">
        <v>105</v>
      </c>
      <c r="U1411">
        <v>2897</v>
      </c>
      <c r="V1411" s="1" t="s">
        <v>47</v>
      </c>
      <c r="W1411">
        <v>22474</v>
      </c>
      <c r="X1411">
        <v>3</v>
      </c>
      <c r="Y1411" s="1" t="s">
        <v>48</v>
      </c>
      <c r="Z1411" s="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8">
      <c r="A1412" s="1" t="s">
        <v>1474</v>
      </c>
      <c r="B1412">
        <v>54</v>
      </c>
      <c r="C1412" s="1" t="s">
        <v>1271</v>
      </c>
      <c r="D1412" s="1" t="s">
        <v>49</v>
      </c>
      <c r="E1412" s="1" t="s">
        <v>41</v>
      </c>
      <c r="F1412">
        <v>157</v>
      </c>
      <c r="G1412" s="1" t="s">
        <v>42</v>
      </c>
      <c r="H1412">
        <v>10</v>
      </c>
      <c r="I1412">
        <v>3</v>
      </c>
      <c r="J1412" s="1" t="s">
        <v>52</v>
      </c>
      <c r="K1412">
        <v>1</v>
      </c>
      <c r="L1412">
        <v>1980</v>
      </c>
      <c r="M1412">
        <v>3</v>
      </c>
      <c r="N1412" s="1" t="s">
        <v>53</v>
      </c>
      <c r="O1412">
        <v>77</v>
      </c>
      <c r="P1412">
        <v>3</v>
      </c>
      <c r="Q1412">
        <v>2</v>
      </c>
      <c r="R1412" s="1" t="s">
        <v>112</v>
      </c>
      <c r="S1412">
        <v>1</v>
      </c>
      <c r="T1412" s="1" t="s">
        <v>46</v>
      </c>
      <c r="U1412">
        <v>4440</v>
      </c>
      <c r="V1412" s="1" t="s">
        <v>47</v>
      </c>
      <c r="W1412">
        <v>25198</v>
      </c>
      <c r="X1412">
        <v>6</v>
      </c>
      <c r="Y1412" s="1" t="s">
        <v>48</v>
      </c>
      <c r="Z1412" s="1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8">
      <c r="A1413" s="1" t="s">
        <v>1475</v>
      </c>
      <c r="B1413">
        <v>55</v>
      </c>
      <c r="C1413" s="1" t="s">
        <v>1271</v>
      </c>
      <c r="D1413" s="1" t="s">
        <v>49</v>
      </c>
      <c r="E1413" s="1" t="s">
        <v>41</v>
      </c>
      <c r="F1413">
        <v>836</v>
      </c>
      <c r="G1413" s="1" t="s">
        <v>42</v>
      </c>
      <c r="H1413">
        <v>8</v>
      </c>
      <c r="I1413">
        <v>3</v>
      </c>
      <c r="J1413" s="1" t="s">
        <v>52</v>
      </c>
      <c r="K1413">
        <v>1</v>
      </c>
      <c r="L1413">
        <v>84</v>
      </c>
      <c r="M1413">
        <v>4</v>
      </c>
      <c r="N1413" s="1" t="s">
        <v>53</v>
      </c>
      <c r="O1413">
        <v>33</v>
      </c>
      <c r="P1413">
        <v>3</v>
      </c>
      <c r="Q1413">
        <v>4</v>
      </c>
      <c r="R1413" s="1" t="s">
        <v>442</v>
      </c>
      <c r="S1413">
        <v>3</v>
      </c>
      <c r="T1413" s="1" t="s">
        <v>102</v>
      </c>
      <c r="U1413">
        <v>14756</v>
      </c>
      <c r="V1413" s="1" t="s">
        <v>253</v>
      </c>
      <c r="W1413">
        <v>19730</v>
      </c>
      <c r="X1413">
        <v>2</v>
      </c>
      <c r="Y1413" s="1" t="s">
        <v>48</v>
      </c>
      <c r="Z1413" s="1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8">
      <c r="A1414" s="1" t="s">
        <v>1476</v>
      </c>
      <c r="B1414">
        <v>55</v>
      </c>
      <c r="C1414" s="1" t="s">
        <v>1271</v>
      </c>
      <c r="D1414" s="1" t="s">
        <v>49</v>
      </c>
      <c r="E1414" s="1" t="s">
        <v>41</v>
      </c>
      <c r="F1414">
        <v>111</v>
      </c>
      <c r="G1414" s="1" t="s">
        <v>51</v>
      </c>
      <c r="H1414">
        <v>1</v>
      </c>
      <c r="I1414">
        <v>2</v>
      </c>
      <c r="J1414" s="1" t="s">
        <v>43</v>
      </c>
      <c r="K1414">
        <v>1</v>
      </c>
      <c r="L1414">
        <v>106</v>
      </c>
      <c r="M1414">
        <v>1</v>
      </c>
      <c r="N1414" s="1" t="s">
        <v>44</v>
      </c>
      <c r="O1414">
        <v>70</v>
      </c>
      <c r="P1414">
        <v>3</v>
      </c>
      <c r="Q1414">
        <v>3</v>
      </c>
      <c r="R1414" s="1" t="s">
        <v>137</v>
      </c>
      <c r="S1414">
        <v>4</v>
      </c>
      <c r="T1414" s="1" t="s">
        <v>105</v>
      </c>
      <c r="U1414">
        <v>10239</v>
      </c>
      <c r="V1414" s="1" t="s">
        <v>253</v>
      </c>
      <c r="W1414">
        <v>18092</v>
      </c>
      <c r="X1414">
        <v>3</v>
      </c>
      <c r="Y1414" s="1" t="s">
        <v>48</v>
      </c>
      <c r="Z1414" s="1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8">
      <c r="A1415" s="1" t="s">
        <v>1477</v>
      </c>
      <c r="B1415">
        <v>55</v>
      </c>
      <c r="C1415" s="1" t="s">
        <v>1271</v>
      </c>
      <c r="D1415" s="1" t="s">
        <v>49</v>
      </c>
      <c r="E1415" s="1" t="s">
        <v>41</v>
      </c>
      <c r="F1415">
        <v>692</v>
      </c>
      <c r="G1415" s="1" t="s">
        <v>42</v>
      </c>
      <c r="H1415">
        <v>14</v>
      </c>
      <c r="I1415">
        <v>4</v>
      </c>
      <c r="J1415" s="1" t="s">
        <v>52</v>
      </c>
      <c r="K1415">
        <v>1</v>
      </c>
      <c r="L1415">
        <v>254</v>
      </c>
      <c r="M1415">
        <v>3</v>
      </c>
      <c r="N1415" s="1" t="s">
        <v>44</v>
      </c>
      <c r="O1415">
        <v>61</v>
      </c>
      <c r="P1415">
        <v>4</v>
      </c>
      <c r="Q1415">
        <v>5</v>
      </c>
      <c r="R1415" s="1" t="s">
        <v>252</v>
      </c>
      <c r="S1415">
        <v>2</v>
      </c>
      <c r="T1415" s="1" t="s">
        <v>46</v>
      </c>
      <c r="U1415">
        <v>18722</v>
      </c>
      <c r="V1415" s="1" t="s">
        <v>368</v>
      </c>
      <c r="W1415">
        <v>13339</v>
      </c>
      <c r="X1415">
        <v>8</v>
      </c>
      <c r="Y1415" s="1" t="s">
        <v>48</v>
      </c>
      <c r="Z1415" s="1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8">
      <c r="A1416" s="1" t="s">
        <v>1478</v>
      </c>
      <c r="B1416">
        <v>55</v>
      </c>
      <c r="C1416" s="1" t="s">
        <v>1271</v>
      </c>
      <c r="D1416" s="1" t="s">
        <v>49</v>
      </c>
      <c r="E1416" s="1" t="s">
        <v>41</v>
      </c>
      <c r="F1416">
        <v>452</v>
      </c>
      <c r="G1416" s="1" t="s">
        <v>42</v>
      </c>
      <c r="H1416">
        <v>1</v>
      </c>
      <c r="I1416">
        <v>3</v>
      </c>
      <c r="J1416" s="1" t="s">
        <v>52</v>
      </c>
      <c r="K1416">
        <v>1</v>
      </c>
      <c r="L1416">
        <v>374</v>
      </c>
      <c r="M1416">
        <v>4</v>
      </c>
      <c r="N1416" s="1" t="s">
        <v>44</v>
      </c>
      <c r="O1416">
        <v>81</v>
      </c>
      <c r="P1416">
        <v>3</v>
      </c>
      <c r="Q1416">
        <v>5</v>
      </c>
      <c r="R1416" s="1" t="s">
        <v>442</v>
      </c>
      <c r="S1416">
        <v>1</v>
      </c>
      <c r="T1416" s="1" t="s">
        <v>46</v>
      </c>
      <c r="U1416">
        <v>19045</v>
      </c>
      <c r="V1416" s="1" t="s">
        <v>368</v>
      </c>
      <c r="W1416">
        <v>18938</v>
      </c>
      <c r="X1416">
        <v>0</v>
      </c>
      <c r="Y1416" s="1" t="s">
        <v>48</v>
      </c>
      <c r="Z1416" s="1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8">
      <c r="A1417" s="1" t="s">
        <v>1479</v>
      </c>
      <c r="B1417">
        <v>55</v>
      </c>
      <c r="C1417" s="1" t="s">
        <v>1271</v>
      </c>
      <c r="D1417" s="1" t="s">
        <v>49</v>
      </c>
      <c r="E1417" s="1" t="s">
        <v>41</v>
      </c>
      <c r="F1417">
        <v>147</v>
      </c>
      <c r="G1417" s="1" t="s">
        <v>42</v>
      </c>
      <c r="H1417">
        <v>20</v>
      </c>
      <c r="I1417">
        <v>2</v>
      </c>
      <c r="J1417" s="1" t="s">
        <v>68</v>
      </c>
      <c r="K1417">
        <v>1</v>
      </c>
      <c r="L1417">
        <v>389</v>
      </c>
      <c r="M1417">
        <v>2</v>
      </c>
      <c r="N1417" s="1" t="s">
        <v>44</v>
      </c>
      <c r="O1417">
        <v>37</v>
      </c>
      <c r="P1417">
        <v>3</v>
      </c>
      <c r="Q1417">
        <v>2</v>
      </c>
      <c r="R1417" s="1" t="s">
        <v>45</v>
      </c>
      <c r="S1417">
        <v>4</v>
      </c>
      <c r="T1417" s="1" t="s">
        <v>105</v>
      </c>
      <c r="U1417">
        <v>5415</v>
      </c>
      <c r="V1417" s="1" t="s">
        <v>163</v>
      </c>
      <c r="W1417">
        <v>15972</v>
      </c>
      <c r="X1417">
        <v>3</v>
      </c>
      <c r="Y1417" s="1" t="s">
        <v>48</v>
      </c>
      <c r="Z1417" s="1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8">
      <c r="A1418" s="1" t="s">
        <v>1480</v>
      </c>
      <c r="B1418">
        <v>55</v>
      </c>
      <c r="C1418" s="1" t="s">
        <v>1271</v>
      </c>
      <c r="D1418" s="1" t="s">
        <v>49</v>
      </c>
      <c r="E1418" s="1" t="s">
        <v>41</v>
      </c>
      <c r="F1418">
        <v>1311</v>
      </c>
      <c r="G1418" s="1" t="s">
        <v>42</v>
      </c>
      <c r="H1418">
        <v>2</v>
      </c>
      <c r="I1418">
        <v>3</v>
      </c>
      <c r="J1418" s="1" t="s">
        <v>43</v>
      </c>
      <c r="K1418">
        <v>1</v>
      </c>
      <c r="L1418">
        <v>505</v>
      </c>
      <c r="M1418">
        <v>3</v>
      </c>
      <c r="N1418" s="1" t="s">
        <v>53</v>
      </c>
      <c r="O1418">
        <v>97</v>
      </c>
      <c r="P1418">
        <v>3</v>
      </c>
      <c r="Q1418">
        <v>4</v>
      </c>
      <c r="R1418" s="1" t="s">
        <v>442</v>
      </c>
      <c r="S1418">
        <v>4</v>
      </c>
      <c r="T1418" s="1" t="s">
        <v>46</v>
      </c>
      <c r="U1418">
        <v>16659</v>
      </c>
      <c r="V1418" s="1" t="s">
        <v>368</v>
      </c>
      <c r="W1418">
        <v>23258</v>
      </c>
      <c r="X1418">
        <v>2</v>
      </c>
      <c r="Y1418" s="1" t="s">
        <v>48</v>
      </c>
      <c r="Z1418" s="1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8">
      <c r="A1419" s="1" t="s">
        <v>1481</v>
      </c>
      <c r="B1419">
        <v>55</v>
      </c>
      <c r="C1419" s="1" t="s">
        <v>1271</v>
      </c>
      <c r="D1419" s="1" t="s">
        <v>49</v>
      </c>
      <c r="E1419" s="1" t="s">
        <v>41</v>
      </c>
      <c r="F1419">
        <v>1117</v>
      </c>
      <c r="G1419" s="1" t="s">
        <v>51</v>
      </c>
      <c r="H1419">
        <v>18</v>
      </c>
      <c r="I1419">
        <v>5</v>
      </c>
      <c r="J1419" s="1" t="s">
        <v>43</v>
      </c>
      <c r="K1419">
        <v>1</v>
      </c>
      <c r="L1419">
        <v>597</v>
      </c>
      <c r="M1419">
        <v>1</v>
      </c>
      <c r="N1419" s="1" t="s">
        <v>53</v>
      </c>
      <c r="O1419">
        <v>83</v>
      </c>
      <c r="P1419">
        <v>3</v>
      </c>
      <c r="Q1419">
        <v>4</v>
      </c>
      <c r="R1419" s="1" t="s">
        <v>442</v>
      </c>
      <c r="S1419">
        <v>2</v>
      </c>
      <c r="T1419" s="1" t="s">
        <v>46</v>
      </c>
      <c r="U1419">
        <v>16835</v>
      </c>
      <c r="V1419" s="1" t="s">
        <v>368</v>
      </c>
      <c r="W1419">
        <v>9873</v>
      </c>
      <c r="X1419">
        <v>3</v>
      </c>
      <c r="Y1419" s="1" t="s">
        <v>48</v>
      </c>
      <c r="Z1419" s="1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8">
      <c r="A1420" s="1" t="s">
        <v>1482</v>
      </c>
      <c r="B1420">
        <v>55</v>
      </c>
      <c r="C1420" s="1" t="s">
        <v>1271</v>
      </c>
      <c r="D1420" s="1" t="s">
        <v>40</v>
      </c>
      <c r="E1420" s="1" t="s">
        <v>41</v>
      </c>
      <c r="F1420">
        <v>725</v>
      </c>
      <c r="G1420" s="1" t="s">
        <v>42</v>
      </c>
      <c r="H1420">
        <v>2</v>
      </c>
      <c r="I1420">
        <v>3</v>
      </c>
      <c r="J1420" s="1" t="s">
        <v>52</v>
      </c>
      <c r="K1420">
        <v>1</v>
      </c>
      <c r="L1420">
        <v>787</v>
      </c>
      <c r="M1420">
        <v>4</v>
      </c>
      <c r="N1420" s="1" t="s">
        <v>44</v>
      </c>
      <c r="O1420">
        <v>78</v>
      </c>
      <c r="P1420">
        <v>3</v>
      </c>
      <c r="Q1420">
        <v>5</v>
      </c>
      <c r="R1420" s="1" t="s">
        <v>442</v>
      </c>
      <c r="S1420">
        <v>1</v>
      </c>
      <c r="T1420" s="1" t="s">
        <v>105</v>
      </c>
      <c r="U1420">
        <v>19859</v>
      </c>
      <c r="V1420" s="1" t="s">
        <v>368</v>
      </c>
      <c r="W1420">
        <v>21199</v>
      </c>
      <c r="X1420">
        <v>5</v>
      </c>
      <c r="Y1420" s="1" t="s">
        <v>48</v>
      </c>
      <c r="Z1420" s="1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8">
      <c r="A1421" s="1" t="s">
        <v>1483</v>
      </c>
      <c r="B1421">
        <v>55</v>
      </c>
      <c r="C1421" s="1" t="s">
        <v>1271</v>
      </c>
      <c r="D1421" s="1" t="s">
        <v>40</v>
      </c>
      <c r="E1421" s="1" t="s">
        <v>41</v>
      </c>
      <c r="F1421">
        <v>436</v>
      </c>
      <c r="G1421" s="1" t="s">
        <v>51</v>
      </c>
      <c r="H1421">
        <v>2</v>
      </c>
      <c r="I1421">
        <v>1</v>
      </c>
      <c r="J1421" s="1" t="s">
        <v>52</v>
      </c>
      <c r="K1421">
        <v>1</v>
      </c>
      <c r="L1421">
        <v>842</v>
      </c>
      <c r="M1421">
        <v>3</v>
      </c>
      <c r="N1421" s="1" t="s">
        <v>44</v>
      </c>
      <c r="O1421">
        <v>37</v>
      </c>
      <c r="P1421">
        <v>3</v>
      </c>
      <c r="Q1421">
        <v>2</v>
      </c>
      <c r="R1421" s="1" t="s">
        <v>137</v>
      </c>
      <c r="S1421">
        <v>4</v>
      </c>
      <c r="T1421" s="1" t="s">
        <v>46</v>
      </c>
      <c r="U1421">
        <v>5160</v>
      </c>
      <c r="V1421" s="1" t="s">
        <v>163</v>
      </c>
      <c r="W1421">
        <v>21519</v>
      </c>
      <c r="X1421">
        <v>4</v>
      </c>
      <c r="Y1421" s="1" t="s">
        <v>48</v>
      </c>
      <c r="Z1421" s="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8">
      <c r="A1422" s="1" t="s">
        <v>1484</v>
      </c>
      <c r="B1422">
        <v>55</v>
      </c>
      <c r="C1422" s="1" t="s">
        <v>1271</v>
      </c>
      <c r="D1422" s="1" t="s">
        <v>49</v>
      </c>
      <c r="E1422" s="1" t="s">
        <v>56</v>
      </c>
      <c r="F1422">
        <v>135</v>
      </c>
      <c r="G1422" s="1" t="s">
        <v>42</v>
      </c>
      <c r="H1422">
        <v>18</v>
      </c>
      <c r="I1422">
        <v>4</v>
      </c>
      <c r="J1422" s="1" t="s">
        <v>52</v>
      </c>
      <c r="K1422">
        <v>1</v>
      </c>
      <c r="L1422">
        <v>1034</v>
      </c>
      <c r="M1422">
        <v>3</v>
      </c>
      <c r="N1422" s="1" t="s">
        <v>44</v>
      </c>
      <c r="O1422">
        <v>62</v>
      </c>
      <c r="P1422">
        <v>3</v>
      </c>
      <c r="Q1422">
        <v>2</v>
      </c>
      <c r="R1422" s="1" t="s">
        <v>161</v>
      </c>
      <c r="S1422">
        <v>2</v>
      </c>
      <c r="T1422" s="1" t="s">
        <v>105</v>
      </c>
      <c r="U1422">
        <v>6385</v>
      </c>
      <c r="V1422" s="1" t="s">
        <v>163</v>
      </c>
      <c r="W1422">
        <v>12992</v>
      </c>
      <c r="X1422">
        <v>3</v>
      </c>
      <c r="Y1422" s="1" t="s">
        <v>48</v>
      </c>
      <c r="Z1422" s="1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8">
      <c r="A1423" s="1" t="s">
        <v>1485</v>
      </c>
      <c r="B1423">
        <v>55</v>
      </c>
      <c r="C1423" s="1" t="s">
        <v>1271</v>
      </c>
      <c r="D1423" s="1" t="s">
        <v>49</v>
      </c>
      <c r="E1423" s="1" t="s">
        <v>59</v>
      </c>
      <c r="F1423">
        <v>444</v>
      </c>
      <c r="G1423" s="1" t="s">
        <v>42</v>
      </c>
      <c r="H1423">
        <v>2</v>
      </c>
      <c r="I1423">
        <v>1</v>
      </c>
      <c r="J1423" s="1" t="s">
        <v>52</v>
      </c>
      <c r="K1423">
        <v>1</v>
      </c>
      <c r="L1423">
        <v>1074</v>
      </c>
      <c r="M1423">
        <v>3</v>
      </c>
      <c r="N1423" s="1" t="s">
        <v>44</v>
      </c>
      <c r="O1423">
        <v>40</v>
      </c>
      <c r="P1423">
        <v>2</v>
      </c>
      <c r="Q1423">
        <v>4</v>
      </c>
      <c r="R1423" s="1" t="s">
        <v>442</v>
      </c>
      <c r="S1423">
        <v>1</v>
      </c>
      <c r="T1423" s="1" t="s">
        <v>46</v>
      </c>
      <c r="U1423">
        <v>16756</v>
      </c>
      <c r="V1423" s="1" t="s">
        <v>368</v>
      </c>
      <c r="W1423">
        <v>17323</v>
      </c>
      <c r="X1423">
        <v>7</v>
      </c>
      <c r="Y1423" s="1" t="s">
        <v>48</v>
      </c>
      <c r="Z1423" s="1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8">
      <c r="A1424" s="1" t="s">
        <v>1486</v>
      </c>
      <c r="B1424">
        <v>55</v>
      </c>
      <c r="C1424" s="1" t="s">
        <v>1271</v>
      </c>
      <c r="D1424" s="1" t="s">
        <v>49</v>
      </c>
      <c r="E1424" s="1" t="s">
        <v>56</v>
      </c>
      <c r="F1424">
        <v>1091</v>
      </c>
      <c r="G1424" s="1" t="s">
        <v>42</v>
      </c>
      <c r="H1424">
        <v>2</v>
      </c>
      <c r="I1424">
        <v>1</v>
      </c>
      <c r="J1424" s="1" t="s">
        <v>43</v>
      </c>
      <c r="K1424">
        <v>1</v>
      </c>
      <c r="L1424">
        <v>1096</v>
      </c>
      <c r="M1424">
        <v>4</v>
      </c>
      <c r="N1424" s="1" t="s">
        <v>44</v>
      </c>
      <c r="O1424">
        <v>65</v>
      </c>
      <c r="P1424">
        <v>3</v>
      </c>
      <c r="Q1424">
        <v>3</v>
      </c>
      <c r="R1424" s="1" t="s">
        <v>112</v>
      </c>
      <c r="S1424">
        <v>2</v>
      </c>
      <c r="T1424" s="1" t="s">
        <v>105</v>
      </c>
      <c r="U1424">
        <v>10976</v>
      </c>
      <c r="V1424" s="1" t="s">
        <v>253</v>
      </c>
      <c r="W1424">
        <v>15813</v>
      </c>
      <c r="X1424">
        <v>3</v>
      </c>
      <c r="Y1424" s="1" t="s">
        <v>48</v>
      </c>
      <c r="Z1424" s="1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8">
      <c r="A1425" s="1" t="s">
        <v>1487</v>
      </c>
      <c r="B1425">
        <v>55</v>
      </c>
      <c r="C1425" s="1" t="s">
        <v>1271</v>
      </c>
      <c r="D1425" s="1" t="s">
        <v>49</v>
      </c>
      <c r="E1425" s="1" t="s">
        <v>59</v>
      </c>
      <c r="F1425">
        <v>177</v>
      </c>
      <c r="G1425" s="1" t="s">
        <v>42</v>
      </c>
      <c r="H1425">
        <v>8</v>
      </c>
      <c r="I1425">
        <v>1</v>
      </c>
      <c r="J1425" s="1" t="s">
        <v>52</v>
      </c>
      <c r="K1425">
        <v>1</v>
      </c>
      <c r="L1425">
        <v>1278</v>
      </c>
      <c r="M1425">
        <v>4</v>
      </c>
      <c r="N1425" s="1" t="s">
        <v>44</v>
      </c>
      <c r="O1425">
        <v>37</v>
      </c>
      <c r="P1425">
        <v>2</v>
      </c>
      <c r="Q1425">
        <v>4</v>
      </c>
      <c r="R1425" s="1" t="s">
        <v>161</v>
      </c>
      <c r="S1425">
        <v>2</v>
      </c>
      <c r="T1425" s="1" t="s">
        <v>102</v>
      </c>
      <c r="U1425">
        <v>13577</v>
      </c>
      <c r="V1425" s="1" t="s">
        <v>253</v>
      </c>
      <c r="W1425">
        <v>25592</v>
      </c>
      <c r="X1425">
        <v>1</v>
      </c>
      <c r="Y1425" s="1" t="s">
        <v>48</v>
      </c>
      <c r="Z1425" s="1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8">
      <c r="A1426" s="1" t="s">
        <v>1488</v>
      </c>
      <c r="B1426">
        <v>55</v>
      </c>
      <c r="C1426" s="1" t="s">
        <v>1271</v>
      </c>
      <c r="D1426" s="1" t="s">
        <v>49</v>
      </c>
      <c r="E1426" s="1" t="s">
        <v>41</v>
      </c>
      <c r="F1426">
        <v>282</v>
      </c>
      <c r="G1426" s="1" t="s">
        <v>42</v>
      </c>
      <c r="H1426">
        <v>2</v>
      </c>
      <c r="I1426">
        <v>2</v>
      </c>
      <c r="J1426" s="1" t="s">
        <v>52</v>
      </c>
      <c r="K1426">
        <v>1</v>
      </c>
      <c r="L1426">
        <v>1336</v>
      </c>
      <c r="M1426">
        <v>4</v>
      </c>
      <c r="N1426" s="1" t="s">
        <v>53</v>
      </c>
      <c r="O1426">
        <v>58</v>
      </c>
      <c r="P1426">
        <v>1</v>
      </c>
      <c r="Q1426">
        <v>5</v>
      </c>
      <c r="R1426" s="1" t="s">
        <v>442</v>
      </c>
      <c r="S1426">
        <v>3</v>
      </c>
      <c r="T1426" s="1" t="s">
        <v>105</v>
      </c>
      <c r="U1426">
        <v>19187</v>
      </c>
      <c r="V1426" s="1" t="s">
        <v>368</v>
      </c>
      <c r="W1426">
        <v>6992</v>
      </c>
      <c r="X1426">
        <v>4</v>
      </c>
      <c r="Y1426" s="1" t="s">
        <v>48</v>
      </c>
      <c r="Z1426" s="1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8">
      <c r="A1427" s="1" t="s">
        <v>1489</v>
      </c>
      <c r="B1427">
        <v>55</v>
      </c>
      <c r="C1427" s="1" t="s">
        <v>1271</v>
      </c>
      <c r="D1427" s="1" t="s">
        <v>40</v>
      </c>
      <c r="E1427" s="1" t="s">
        <v>41</v>
      </c>
      <c r="F1427">
        <v>267</v>
      </c>
      <c r="G1427" s="1" t="s">
        <v>51</v>
      </c>
      <c r="H1427">
        <v>13</v>
      </c>
      <c r="I1427">
        <v>4</v>
      </c>
      <c r="J1427" s="1" t="s">
        <v>57</v>
      </c>
      <c r="K1427">
        <v>1</v>
      </c>
      <c r="L1427">
        <v>1372</v>
      </c>
      <c r="M1427">
        <v>1</v>
      </c>
      <c r="N1427" s="1" t="s">
        <v>44</v>
      </c>
      <c r="O1427">
        <v>85</v>
      </c>
      <c r="P1427">
        <v>4</v>
      </c>
      <c r="Q1427">
        <v>4</v>
      </c>
      <c r="R1427" s="1" t="s">
        <v>137</v>
      </c>
      <c r="S1427">
        <v>3</v>
      </c>
      <c r="T1427" s="1" t="s">
        <v>46</v>
      </c>
      <c r="U1427">
        <v>13695</v>
      </c>
      <c r="V1427" s="1" t="s">
        <v>253</v>
      </c>
      <c r="W1427">
        <v>9277</v>
      </c>
      <c r="X1427">
        <v>6</v>
      </c>
      <c r="Y1427" s="1" t="s">
        <v>48</v>
      </c>
      <c r="Z1427" s="1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8">
      <c r="A1428" s="1" t="s">
        <v>1490</v>
      </c>
      <c r="B1428">
        <v>55</v>
      </c>
      <c r="C1428" s="1" t="s">
        <v>1271</v>
      </c>
      <c r="D1428" s="1" t="s">
        <v>49</v>
      </c>
      <c r="E1428" s="1" t="s">
        <v>41</v>
      </c>
      <c r="F1428">
        <v>1136</v>
      </c>
      <c r="G1428" s="1" t="s">
        <v>42</v>
      </c>
      <c r="H1428">
        <v>1</v>
      </c>
      <c r="I1428">
        <v>4</v>
      </c>
      <c r="J1428" s="1" t="s">
        <v>52</v>
      </c>
      <c r="K1428">
        <v>1</v>
      </c>
      <c r="L1428">
        <v>1424</v>
      </c>
      <c r="M1428">
        <v>2</v>
      </c>
      <c r="N1428" s="1" t="s">
        <v>44</v>
      </c>
      <c r="O1428">
        <v>81</v>
      </c>
      <c r="P1428">
        <v>4</v>
      </c>
      <c r="Q1428">
        <v>4</v>
      </c>
      <c r="R1428" s="1" t="s">
        <v>252</v>
      </c>
      <c r="S1428">
        <v>4</v>
      </c>
      <c r="T1428" s="1" t="s">
        <v>102</v>
      </c>
      <c r="U1428">
        <v>14732</v>
      </c>
      <c r="V1428" s="1" t="s">
        <v>253</v>
      </c>
      <c r="W1428">
        <v>12414</v>
      </c>
      <c r="X1428">
        <v>2</v>
      </c>
      <c r="Y1428" s="1" t="s">
        <v>48</v>
      </c>
      <c r="Z1428" s="1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8">
      <c r="A1429" s="1" t="s">
        <v>1491</v>
      </c>
      <c r="B1429">
        <v>55</v>
      </c>
      <c r="C1429" s="1" t="s">
        <v>1271</v>
      </c>
      <c r="D1429" s="1" t="s">
        <v>49</v>
      </c>
      <c r="E1429" s="1" t="s">
        <v>41</v>
      </c>
      <c r="F1429">
        <v>1229</v>
      </c>
      <c r="G1429" s="1" t="s">
        <v>42</v>
      </c>
      <c r="H1429">
        <v>4</v>
      </c>
      <c r="I1429">
        <v>4</v>
      </c>
      <c r="J1429" s="1" t="s">
        <v>43</v>
      </c>
      <c r="K1429">
        <v>1</v>
      </c>
      <c r="L1429">
        <v>1501</v>
      </c>
      <c r="M1429">
        <v>4</v>
      </c>
      <c r="N1429" s="1" t="s">
        <v>44</v>
      </c>
      <c r="O1429">
        <v>30</v>
      </c>
      <c r="P1429">
        <v>3</v>
      </c>
      <c r="Q1429">
        <v>2</v>
      </c>
      <c r="R1429" s="1" t="s">
        <v>161</v>
      </c>
      <c r="S1429">
        <v>3</v>
      </c>
      <c r="T1429" s="1" t="s">
        <v>105</v>
      </c>
      <c r="U1429">
        <v>4035</v>
      </c>
      <c r="V1429" s="1" t="s">
        <v>47</v>
      </c>
      <c r="W1429">
        <v>16143</v>
      </c>
      <c r="X1429">
        <v>0</v>
      </c>
      <c r="Y1429" s="1" t="s">
        <v>48</v>
      </c>
      <c r="Z1429" s="1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8">
      <c r="A1430" s="1" t="s">
        <v>1492</v>
      </c>
      <c r="B1430">
        <v>55</v>
      </c>
      <c r="C1430" s="1" t="s">
        <v>1271</v>
      </c>
      <c r="D1430" s="1" t="s">
        <v>49</v>
      </c>
      <c r="E1430" s="1" t="s">
        <v>41</v>
      </c>
      <c r="F1430">
        <v>685</v>
      </c>
      <c r="G1430" s="1" t="s">
        <v>51</v>
      </c>
      <c r="H1430">
        <v>26</v>
      </c>
      <c r="I1430">
        <v>5</v>
      </c>
      <c r="J1430" s="1" t="s">
        <v>57</v>
      </c>
      <c r="K1430">
        <v>1</v>
      </c>
      <c r="L1430">
        <v>1578</v>
      </c>
      <c r="M1430">
        <v>3</v>
      </c>
      <c r="N1430" s="1" t="s">
        <v>44</v>
      </c>
      <c r="O1430">
        <v>60</v>
      </c>
      <c r="P1430">
        <v>2</v>
      </c>
      <c r="Q1430">
        <v>5</v>
      </c>
      <c r="R1430" s="1" t="s">
        <v>442</v>
      </c>
      <c r="S1430">
        <v>4</v>
      </c>
      <c r="T1430" s="1" t="s">
        <v>105</v>
      </c>
      <c r="U1430">
        <v>19586</v>
      </c>
      <c r="V1430" s="1" t="s">
        <v>368</v>
      </c>
      <c r="W1430">
        <v>23037</v>
      </c>
      <c r="X1430">
        <v>1</v>
      </c>
      <c r="Y1430" s="1" t="s">
        <v>48</v>
      </c>
      <c r="Z1430" s="1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8">
      <c r="A1431" s="1" t="s">
        <v>1493</v>
      </c>
      <c r="B1431">
        <v>55</v>
      </c>
      <c r="C1431" s="1" t="s">
        <v>1271</v>
      </c>
      <c r="D1431" s="1" t="s">
        <v>49</v>
      </c>
      <c r="E1431" s="1" t="s">
        <v>41</v>
      </c>
      <c r="F1431">
        <v>1441</v>
      </c>
      <c r="G1431" s="1" t="s">
        <v>42</v>
      </c>
      <c r="H1431">
        <v>22</v>
      </c>
      <c r="I1431">
        <v>3</v>
      </c>
      <c r="J1431" s="1" t="s">
        <v>68</v>
      </c>
      <c r="K1431">
        <v>1</v>
      </c>
      <c r="L1431">
        <v>1694</v>
      </c>
      <c r="M1431">
        <v>1</v>
      </c>
      <c r="N1431" s="1" t="s">
        <v>44</v>
      </c>
      <c r="O1431">
        <v>94</v>
      </c>
      <c r="P1431">
        <v>2</v>
      </c>
      <c r="Q1431">
        <v>1</v>
      </c>
      <c r="R1431" s="1" t="s">
        <v>60</v>
      </c>
      <c r="S1431">
        <v>2</v>
      </c>
      <c r="T1431" s="1" t="s">
        <v>102</v>
      </c>
      <c r="U1431">
        <v>3537</v>
      </c>
      <c r="V1431" s="1" t="s">
        <v>47</v>
      </c>
      <c r="W1431">
        <v>23737</v>
      </c>
      <c r="X1431">
        <v>5</v>
      </c>
      <c r="Y1431" s="1" t="s">
        <v>48</v>
      </c>
      <c r="Z1431" s="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8">
      <c r="A1432" s="1" t="s">
        <v>1494</v>
      </c>
      <c r="B1432">
        <v>55</v>
      </c>
      <c r="C1432" s="1" t="s">
        <v>1271</v>
      </c>
      <c r="D1432" s="1" t="s">
        <v>49</v>
      </c>
      <c r="E1432" s="1" t="s">
        <v>41</v>
      </c>
      <c r="F1432">
        <v>478</v>
      </c>
      <c r="G1432" s="1" t="s">
        <v>42</v>
      </c>
      <c r="H1432">
        <v>2</v>
      </c>
      <c r="I1432">
        <v>3</v>
      </c>
      <c r="J1432" s="1" t="s">
        <v>52</v>
      </c>
      <c r="K1432">
        <v>1</v>
      </c>
      <c r="L1432">
        <v>1770</v>
      </c>
      <c r="M1432">
        <v>3</v>
      </c>
      <c r="N1432" s="1" t="s">
        <v>44</v>
      </c>
      <c r="O1432">
        <v>60</v>
      </c>
      <c r="P1432">
        <v>2</v>
      </c>
      <c r="Q1432">
        <v>5</v>
      </c>
      <c r="R1432" s="1" t="s">
        <v>252</v>
      </c>
      <c r="S1432">
        <v>1</v>
      </c>
      <c r="T1432" s="1" t="s">
        <v>105</v>
      </c>
      <c r="U1432">
        <v>19038</v>
      </c>
      <c r="V1432" s="1" t="s">
        <v>368</v>
      </c>
      <c r="W1432">
        <v>19805</v>
      </c>
      <c r="X1432">
        <v>8</v>
      </c>
      <c r="Y1432" s="1" t="s">
        <v>48</v>
      </c>
      <c r="Z1432" s="1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8">
      <c r="A1433" s="1" t="s">
        <v>1495</v>
      </c>
      <c r="B1433">
        <v>55</v>
      </c>
      <c r="C1433" s="1" t="s">
        <v>1271</v>
      </c>
      <c r="D1433" s="1" t="s">
        <v>49</v>
      </c>
      <c r="E1433" s="1" t="s">
        <v>41</v>
      </c>
      <c r="F1433">
        <v>836</v>
      </c>
      <c r="G1433" s="1" t="s">
        <v>42</v>
      </c>
      <c r="H1433">
        <v>2</v>
      </c>
      <c r="I1433">
        <v>4</v>
      </c>
      <c r="J1433" s="1" t="s">
        <v>68</v>
      </c>
      <c r="K1433">
        <v>1</v>
      </c>
      <c r="L1433">
        <v>1873</v>
      </c>
      <c r="M1433">
        <v>2</v>
      </c>
      <c r="N1433" s="1" t="s">
        <v>44</v>
      </c>
      <c r="O1433">
        <v>98</v>
      </c>
      <c r="P1433">
        <v>2</v>
      </c>
      <c r="Q1433">
        <v>1</v>
      </c>
      <c r="R1433" s="1" t="s">
        <v>60</v>
      </c>
      <c r="S1433">
        <v>4</v>
      </c>
      <c r="T1433" s="1" t="s">
        <v>105</v>
      </c>
      <c r="U1433">
        <v>2662</v>
      </c>
      <c r="V1433" s="1" t="s">
        <v>47</v>
      </c>
      <c r="W1433">
        <v>7975</v>
      </c>
      <c r="X1433">
        <v>8</v>
      </c>
      <c r="Y1433" s="1" t="s">
        <v>48</v>
      </c>
      <c r="Z1433" s="1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8">
      <c r="A1434" s="1" t="s">
        <v>1496</v>
      </c>
      <c r="B1434">
        <v>55</v>
      </c>
      <c r="C1434" s="1" t="s">
        <v>1271</v>
      </c>
      <c r="D1434" s="1" t="s">
        <v>49</v>
      </c>
      <c r="E1434" s="1" t="s">
        <v>41</v>
      </c>
      <c r="F1434">
        <v>189</v>
      </c>
      <c r="G1434" s="1" t="s">
        <v>71</v>
      </c>
      <c r="H1434">
        <v>26</v>
      </c>
      <c r="I1434">
        <v>4</v>
      </c>
      <c r="J1434" s="1" t="s">
        <v>71</v>
      </c>
      <c r="K1434">
        <v>1</v>
      </c>
      <c r="L1434">
        <v>1973</v>
      </c>
      <c r="M1434">
        <v>3</v>
      </c>
      <c r="N1434" s="1" t="s">
        <v>44</v>
      </c>
      <c r="O1434">
        <v>71</v>
      </c>
      <c r="P1434">
        <v>4</v>
      </c>
      <c r="Q1434">
        <v>5</v>
      </c>
      <c r="R1434" s="1" t="s">
        <v>442</v>
      </c>
      <c r="S1434">
        <v>2</v>
      </c>
      <c r="T1434" s="1" t="s">
        <v>105</v>
      </c>
      <c r="U1434">
        <v>19636</v>
      </c>
      <c r="V1434" s="1" t="s">
        <v>368</v>
      </c>
      <c r="W1434">
        <v>25811</v>
      </c>
      <c r="X1434">
        <v>4</v>
      </c>
      <c r="Y1434" s="1" t="s">
        <v>48</v>
      </c>
      <c r="Z1434" s="1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8">
      <c r="A1435" s="1" t="s">
        <v>1497</v>
      </c>
      <c r="B1435">
        <v>56</v>
      </c>
      <c r="C1435" s="1" t="s">
        <v>1498</v>
      </c>
      <c r="D1435" s="1" t="s">
        <v>49</v>
      </c>
      <c r="E1435" s="1" t="s">
        <v>41</v>
      </c>
      <c r="F1435">
        <v>1400</v>
      </c>
      <c r="G1435" s="1" t="s">
        <v>42</v>
      </c>
      <c r="H1435">
        <v>7</v>
      </c>
      <c r="I1435">
        <v>3</v>
      </c>
      <c r="J1435" s="1" t="s">
        <v>43</v>
      </c>
      <c r="K1435">
        <v>1</v>
      </c>
      <c r="L1435">
        <v>112</v>
      </c>
      <c r="M1435">
        <v>4</v>
      </c>
      <c r="N1435" s="1" t="s">
        <v>44</v>
      </c>
      <c r="O1435">
        <v>49</v>
      </c>
      <c r="P1435">
        <v>1</v>
      </c>
      <c r="Q1435">
        <v>3</v>
      </c>
      <c r="R1435" s="1" t="s">
        <v>112</v>
      </c>
      <c r="S1435">
        <v>4</v>
      </c>
      <c r="T1435" s="1" t="s">
        <v>46</v>
      </c>
      <c r="U1435">
        <v>7260</v>
      </c>
      <c r="V1435" s="1" t="s">
        <v>163</v>
      </c>
      <c r="W1435">
        <v>21698</v>
      </c>
      <c r="X1435">
        <v>4</v>
      </c>
      <c r="Y1435" s="1" t="s">
        <v>48</v>
      </c>
      <c r="Z1435" s="1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8">
      <c r="A1436" s="1" t="s">
        <v>1499</v>
      </c>
      <c r="B1436">
        <v>56</v>
      </c>
      <c r="C1436" s="1" t="s">
        <v>1498</v>
      </c>
      <c r="D1436" s="1" t="s">
        <v>40</v>
      </c>
      <c r="E1436" s="1" t="s">
        <v>41</v>
      </c>
      <c r="F1436">
        <v>441</v>
      </c>
      <c r="G1436" s="1" t="s">
        <v>42</v>
      </c>
      <c r="H1436">
        <v>14</v>
      </c>
      <c r="I1436">
        <v>4</v>
      </c>
      <c r="J1436" s="1" t="s">
        <v>43</v>
      </c>
      <c r="K1436">
        <v>1</v>
      </c>
      <c r="L1436">
        <v>161</v>
      </c>
      <c r="M1436">
        <v>2</v>
      </c>
      <c r="N1436" s="1" t="s">
        <v>53</v>
      </c>
      <c r="O1436">
        <v>72</v>
      </c>
      <c r="P1436">
        <v>3</v>
      </c>
      <c r="Q1436">
        <v>1</v>
      </c>
      <c r="R1436" s="1" t="s">
        <v>60</v>
      </c>
      <c r="S1436">
        <v>2</v>
      </c>
      <c r="T1436" s="1" t="s">
        <v>105</v>
      </c>
      <c r="U1436">
        <v>4963</v>
      </c>
      <c r="V1436" s="1" t="s">
        <v>47</v>
      </c>
      <c r="W1436">
        <v>4510</v>
      </c>
      <c r="X1436">
        <v>9</v>
      </c>
      <c r="Y1436" s="1" t="s">
        <v>48</v>
      </c>
      <c r="Z1436" s="1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8">
      <c r="A1437" s="1" t="s">
        <v>1500</v>
      </c>
      <c r="B1437">
        <v>56</v>
      </c>
      <c r="C1437" s="1" t="s">
        <v>1498</v>
      </c>
      <c r="D1437" s="1" t="s">
        <v>49</v>
      </c>
      <c r="E1437" s="1" t="s">
        <v>41</v>
      </c>
      <c r="F1437">
        <v>713</v>
      </c>
      <c r="G1437" s="1" t="s">
        <v>42</v>
      </c>
      <c r="H1437">
        <v>8</v>
      </c>
      <c r="I1437">
        <v>3</v>
      </c>
      <c r="J1437" s="1" t="s">
        <v>43</v>
      </c>
      <c r="K1437">
        <v>1</v>
      </c>
      <c r="L1437">
        <v>241</v>
      </c>
      <c r="M1437">
        <v>3</v>
      </c>
      <c r="N1437" s="1" t="s">
        <v>53</v>
      </c>
      <c r="O1437">
        <v>67</v>
      </c>
      <c r="P1437">
        <v>3</v>
      </c>
      <c r="Q1437">
        <v>1</v>
      </c>
      <c r="R1437" s="1" t="s">
        <v>60</v>
      </c>
      <c r="S1437">
        <v>1</v>
      </c>
      <c r="T1437" s="1" t="s">
        <v>102</v>
      </c>
      <c r="U1437">
        <v>4257</v>
      </c>
      <c r="V1437" s="1" t="s">
        <v>47</v>
      </c>
      <c r="W1437">
        <v>13939</v>
      </c>
      <c r="X1437">
        <v>4</v>
      </c>
      <c r="Y1437" s="1" t="s">
        <v>48</v>
      </c>
      <c r="Z1437" s="1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8">
      <c r="A1438" s="1" t="s">
        <v>1501</v>
      </c>
      <c r="B1438">
        <v>56</v>
      </c>
      <c r="C1438" s="1" t="s">
        <v>1498</v>
      </c>
      <c r="D1438" s="1" t="s">
        <v>49</v>
      </c>
      <c r="E1438" s="1" t="s">
        <v>56</v>
      </c>
      <c r="F1438">
        <v>906</v>
      </c>
      <c r="G1438" s="1" t="s">
        <v>51</v>
      </c>
      <c r="H1438">
        <v>6</v>
      </c>
      <c r="I1438">
        <v>3</v>
      </c>
      <c r="J1438" s="1" t="s">
        <v>43</v>
      </c>
      <c r="K1438">
        <v>1</v>
      </c>
      <c r="L1438">
        <v>532</v>
      </c>
      <c r="M1438">
        <v>3</v>
      </c>
      <c r="N1438" s="1" t="s">
        <v>53</v>
      </c>
      <c r="O1438">
        <v>86</v>
      </c>
      <c r="P1438">
        <v>4</v>
      </c>
      <c r="Q1438">
        <v>4</v>
      </c>
      <c r="R1438" s="1" t="s">
        <v>137</v>
      </c>
      <c r="S1438">
        <v>1</v>
      </c>
      <c r="T1438" s="1" t="s">
        <v>105</v>
      </c>
      <c r="U1438">
        <v>13212</v>
      </c>
      <c r="V1438" s="1" t="s">
        <v>253</v>
      </c>
      <c r="W1438">
        <v>18256</v>
      </c>
      <c r="X1438">
        <v>9</v>
      </c>
      <c r="Y1438" s="1" t="s">
        <v>48</v>
      </c>
      <c r="Z1438" s="1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8">
      <c r="A1439" s="1" t="s">
        <v>1502</v>
      </c>
      <c r="B1439">
        <v>56</v>
      </c>
      <c r="C1439" s="1" t="s">
        <v>1498</v>
      </c>
      <c r="D1439" s="1" t="s">
        <v>49</v>
      </c>
      <c r="E1439" s="1" t="s">
        <v>41</v>
      </c>
      <c r="F1439">
        <v>832</v>
      </c>
      <c r="G1439" s="1" t="s">
        <v>42</v>
      </c>
      <c r="H1439">
        <v>9</v>
      </c>
      <c r="I1439">
        <v>3</v>
      </c>
      <c r="J1439" s="1" t="s">
        <v>52</v>
      </c>
      <c r="K1439">
        <v>1</v>
      </c>
      <c r="L1439">
        <v>762</v>
      </c>
      <c r="M1439">
        <v>3</v>
      </c>
      <c r="N1439" s="1" t="s">
        <v>44</v>
      </c>
      <c r="O1439">
        <v>81</v>
      </c>
      <c r="P1439">
        <v>3</v>
      </c>
      <c r="Q1439">
        <v>4</v>
      </c>
      <c r="R1439" s="1" t="s">
        <v>161</v>
      </c>
      <c r="S1439">
        <v>4</v>
      </c>
      <c r="T1439" s="1" t="s">
        <v>105</v>
      </c>
      <c r="U1439">
        <v>11103</v>
      </c>
      <c r="V1439" s="1" t="s">
        <v>253</v>
      </c>
      <c r="W1439">
        <v>20420</v>
      </c>
      <c r="X1439">
        <v>7</v>
      </c>
      <c r="Y1439" s="1" t="s">
        <v>48</v>
      </c>
      <c r="Z1439" s="1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8">
      <c r="A1440" s="1" t="s">
        <v>1503</v>
      </c>
      <c r="B1440">
        <v>56</v>
      </c>
      <c r="C1440" s="1" t="s">
        <v>1498</v>
      </c>
      <c r="D1440" s="1" t="s">
        <v>49</v>
      </c>
      <c r="E1440" s="1" t="s">
        <v>56</v>
      </c>
      <c r="F1440">
        <v>1240</v>
      </c>
      <c r="G1440" s="1" t="s">
        <v>42</v>
      </c>
      <c r="H1440">
        <v>9</v>
      </c>
      <c r="I1440">
        <v>3</v>
      </c>
      <c r="J1440" s="1" t="s">
        <v>52</v>
      </c>
      <c r="K1440">
        <v>1</v>
      </c>
      <c r="L1440">
        <v>1071</v>
      </c>
      <c r="M1440">
        <v>1</v>
      </c>
      <c r="N1440" s="1" t="s">
        <v>53</v>
      </c>
      <c r="O1440">
        <v>63</v>
      </c>
      <c r="P1440">
        <v>3</v>
      </c>
      <c r="Q1440">
        <v>1</v>
      </c>
      <c r="R1440" s="1" t="s">
        <v>60</v>
      </c>
      <c r="S1440">
        <v>3</v>
      </c>
      <c r="T1440" s="1" t="s">
        <v>105</v>
      </c>
      <c r="U1440">
        <v>2942</v>
      </c>
      <c r="V1440" s="1" t="s">
        <v>47</v>
      </c>
      <c r="W1440">
        <v>12154</v>
      </c>
      <c r="X1440">
        <v>2</v>
      </c>
      <c r="Y1440" s="1" t="s">
        <v>48</v>
      </c>
      <c r="Z1440" s="1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8">
      <c r="A1441" s="1" t="s">
        <v>1504</v>
      </c>
      <c r="B1441">
        <v>56</v>
      </c>
      <c r="C1441" s="1" t="s">
        <v>1498</v>
      </c>
      <c r="D1441" s="1" t="s">
        <v>49</v>
      </c>
      <c r="E1441" s="1" t="s">
        <v>41</v>
      </c>
      <c r="F1441">
        <v>718</v>
      </c>
      <c r="G1441" s="1" t="s">
        <v>42</v>
      </c>
      <c r="H1441">
        <v>4</v>
      </c>
      <c r="I1441">
        <v>4</v>
      </c>
      <c r="J1441" s="1" t="s">
        <v>68</v>
      </c>
      <c r="K1441">
        <v>1</v>
      </c>
      <c r="L1441">
        <v>1191</v>
      </c>
      <c r="M1441">
        <v>4</v>
      </c>
      <c r="N1441" s="1" t="s">
        <v>53</v>
      </c>
      <c r="O1441">
        <v>92</v>
      </c>
      <c r="P1441">
        <v>3</v>
      </c>
      <c r="Q1441">
        <v>5</v>
      </c>
      <c r="R1441" s="1" t="s">
        <v>442</v>
      </c>
      <c r="S1441">
        <v>1</v>
      </c>
      <c r="T1441" s="1" t="s">
        <v>102</v>
      </c>
      <c r="U1441">
        <v>19943</v>
      </c>
      <c r="V1441" s="1" t="s">
        <v>368</v>
      </c>
      <c r="W1441">
        <v>18575</v>
      </c>
      <c r="X1441">
        <v>4</v>
      </c>
      <c r="Y1441" s="1" t="s">
        <v>48</v>
      </c>
      <c r="Z1441" s="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8">
      <c r="A1442" s="1" t="s">
        <v>1505</v>
      </c>
      <c r="B1442">
        <v>56</v>
      </c>
      <c r="C1442" s="1" t="s">
        <v>1498</v>
      </c>
      <c r="D1442" s="1" t="s">
        <v>49</v>
      </c>
      <c r="E1442" s="1" t="s">
        <v>41</v>
      </c>
      <c r="F1442">
        <v>206</v>
      </c>
      <c r="G1442" s="1" t="s">
        <v>71</v>
      </c>
      <c r="H1442">
        <v>8</v>
      </c>
      <c r="I1442">
        <v>4</v>
      </c>
      <c r="J1442" s="1" t="s">
        <v>43</v>
      </c>
      <c r="K1442">
        <v>1</v>
      </c>
      <c r="L1442">
        <v>1338</v>
      </c>
      <c r="M1442">
        <v>4</v>
      </c>
      <c r="N1442" s="1" t="s">
        <v>44</v>
      </c>
      <c r="O1442">
        <v>99</v>
      </c>
      <c r="P1442">
        <v>3</v>
      </c>
      <c r="Q1442">
        <v>5</v>
      </c>
      <c r="R1442" s="1" t="s">
        <v>442</v>
      </c>
      <c r="S1442">
        <v>2</v>
      </c>
      <c r="T1442" s="1" t="s">
        <v>46</v>
      </c>
      <c r="U1442">
        <v>19717</v>
      </c>
      <c r="V1442" s="1" t="s">
        <v>368</v>
      </c>
      <c r="W1442">
        <v>4022</v>
      </c>
      <c r="X1442">
        <v>6</v>
      </c>
      <c r="Y1442" s="1" t="s">
        <v>48</v>
      </c>
      <c r="Z1442" s="1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8">
      <c r="A1443" s="1" t="s">
        <v>1506</v>
      </c>
      <c r="B1443">
        <v>56</v>
      </c>
      <c r="C1443" s="1" t="s">
        <v>1498</v>
      </c>
      <c r="D1443" s="1" t="s">
        <v>49</v>
      </c>
      <c r="E1443" s="1" t="s">
        <v>41</v>
      </c>
      <c r="F1443">
        <v>1369</v>
      </c>
      <c r="G1443" s="1" t="s">
        <v>42</v>
      </c>
      <c r="H1443">
        <v>23</v>
      </c>
      <c r="I1443">
        <v>3</v>
      </c>
      <c r="J1443" s="1" t="s">
        <v>43</v>
      </c>
      <c r="K1443">
        <v>1</v>
      </c>
      <c r="L1443">
        <v>1373</v>
      </c>
      <c r="M1443">
        <v>4</v>
      </c>
      <c r="N1443" s="1" t="s">
        <v>44</v>
      </c>
      <c r="O1443">
        <v>68</v>
      </c>
      <c r="P1443">
        <v>3</v>
      </c>
      <c r="Q1443">
        <v>4</v>
      </c>
      <c r="R1443" s="1" t="s">
        <v>112</v>
      </c>
      <c r="S1443">
        <v>2</v>
      </c>
      <c r="T1443" s="1" t="s">
        <v>105</v>
      </c>
      <c r="U1443">
        <v>13402</v>
      </c>
      <c r="V1443" s="1" t="s">
        <v>253</v>
      </c>
      <c r="W1443">
        <v>18235</v>
      </c>
      <c r="X1443">
        <v>4</v>
      </c>
      <c r="Y1443" s="1" t="s">
        <v>48</v>
      </c>
      <c r="Z1443" s="1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8">
      <c r="A1444" s="1" t="s">
        <v>1507</v>
      </c>
      <c r="B1444">
        <v>56</v>
      </c>
      <c r="C1444" s="1" t="s">
        <v>1498</v>
      </c>
      <c r="D1444" s="1" t="s">
        <v>49</v>
      </c>
      <c r="E1444" s="1" t="s">
        <v>41</v>
      </c>
      <c r="F1444">
        <v>1255</v>
      </c>
      <c r="G1444" s="1" t="s">
        <v>42</v>
      </c>
      <c r="H1444">
        <v>1</v>
      </c>
      <c r="I1444">
        <v>2</v>
      </c>
      <c r="J1444" s="1" t="s">
        <v>43</v>
      </c>
      <c r="K1444">
        <v>1</v>
      </c>
      <c r="L1444">
        <v>1441</v>
      </c>
      <c r="M1444">
        <v>1</v>
      </c>
      <c r="N1444" s="1" t="s">
        <v>53</v>
      </c>
      <c r="O1444">
        <v>90</v>
      </c>
      <c r="P1444">
        <v>3</v>
      </c>
      <c r="Q1444">
        <v>1</v>
      </c>
      <c r="R1444" s="1" t="s">
        <v>60</v>
      </c>
      <c r="S1444">
        <v>1</v>
      </c>
      <c r="T1444" s="1" t="s">
        <v>105</v>
      </c>
      <c r="U1444">
        <v>2066</v>
      </c>
      <c r="V1444" s="1" t="s">
        <v>47</v>
      </c>
      <c r="W1444">
        <v>10494</v>
      </c>
      <c r="X1444">
        <v>2</v>
      </c>
      <c r="Y1444" s="1" t="s">
        <v>48</v>
      </c>
      <c r="Z1444" s="1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8">
      <c r="A1445" s="1" t="s">
        <v>1508</v>
      </c>
      <c r="B1445">
        <v>56</v>
      </c>
      <c r="C1445" s="1" t="s">
        <v>1498</v>
      </c>
      <c r="D1445" s="1" t="s">
        <v>40</v>
      </c>
      <c r="E1445" s="1" t="s">
        <v>41</v>
      </c>
      <c r="F1445">
        <v>1162</v>
      </c>
      <c r="G1445" s="1" t="s">
        <v>42</v>
      </c>
      <c r="H1445">
        <v>24</v>
      </c>
      <c r="I1445">
        <v>2</v>
      </c>
      <c r="J1445" s="1" t="s">
        <v>43</v>
      </c>
      <c r="K1445">
        <v>1</v>
      </c>
      <c r="L1445">
        <v>1907</v>
      </c>
      <c r="M1445">
        <v>1</v>
      </c>
      <c r="N1445" s="1" t="s">
        <v>44</v>
      </c>
      <c r="O1445">
        <v>97</v>
      </c>
      <c r="P1445">
        <v>3</v>
      </c>
      <c r="Q1445">
        <v>1</v>
      </c>
      <c r="R1445" s="1" t="s">
        <v>45</v>
      </c>
      <c r="S1445">
        <v>4</v>
      </c>
      <c r="T1445" s="1" t="s">
        <v>46</v>
      </c>
      <c r="U1445">
        <v>2587</v>
      </c>
      <c r="V1445" s="1" t="s">
        <v>47</v>
      </c>
      <c r="W1445">
        <v>10261</v>
      </c>
      <c r="X1445">
        <v>1</v>
      </c>
      <c r="Y1445" s="1" t="s">
        <v>48</v>
      </c>
      <c r="Z1445" s="1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8">
      <c r="A1446" s="1" t="s">
        <v>1509</v>
      </c>
      <c r="B1446">
        <v>56</v>
      </c>
      <c r="C1446" s="1" t="s">
        <v>1498</v>
      </c>
      <c r="D1446" s="1" t="s">
        <v>49</v>
      </c>
      <c r="E1446" s="1" t="s">
        <v>41</v>
      </c>
      <c r="F1446">
        <v>1443</v>
      </c>
      <c r="G1446" s="1" t="s">
        <v>51</v>
      </c>
      <c r="H1446">
        <v>11</v>
      </c>
      <c r="I1446">
        <v>5</v>
      </c>
      <c r="J1446" s="1" t="s">
        <v>57</v>
      </c>
      <c r="K1446">
        <v>1</v>
      </c>
      <c r="L1446">
        <v>1935</v>
      </c>
      <c r="M1446">
        <v>4</v>
      </c>
      <c r="N1446" s="1" t="s">
        <v>53</v>
      </c>
      <c r="O1446">
        <v>89</v>
      </c>
      <c r="P1446">
        <v>2</v>
      </c>
      <c r="Q1446">
        <v>2</v>
      </c>
      <c r="R1446" s="1" t="s">
        <v>137</v>
      </c>
      <c r="S1446">
        <v>1</v>
      </c>
      <c r="T1446" s="1" t="s">
        <v>105</v>
      </c>
      <c r="U1446">
        <v>5380</v>
      </c>
      <c r="V1446" s="1" t="s">
        <v>163</v>
      </c>
      <c r="W1446">
        <v>20328</v>
      </c>
      <c r="X1446">
        <v>4</v>
      </c>
      <c r="Y1446" s="1" t="s">
        <v>48</v>
      </c>
      <c r="Z1446" s="1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8">
      <c r="A1447" s="1" t="s">
        <v>1510</v>
      </c>
      <c r="B1447">
        <v>56</v>
      </c>
      <c r="C1447" s="1" t="s">
        <v>1498</v>
      </c>
      <c r="D1447" s="1" t="s">
        <v>49</v>
      </c>
      <c r="E1447" s="1" t="s">
        <v>59</v>
      </c>
      <c r="F1447">
        <v>667</v>
      </c>
      <c r="G1447" s="1" t="s">
        <v>42</v>
      </c>
      <c r="H1447">
        <v>1</v>
      </c>
      <c r="I1447">
        <v>4</v>
      </c>
      <c r="J1447" s="1" t="s">
        <v>43</v>
      </c>
      <c r="K1447">
        <v>1</v>
      </c>
      <c r="L1447">
        <v>2026</v>
      </c>
      <c r="M1447">
        <v>3</v>
      </c>
      <c r="N1447" s="1" t="s">
        <v>44</v>
      </c>
      <c r="O1447">
        <v>57</v>
      </c>
      <c r="P1447">
        <v>3</v>
      </c>
      <c r="Q1447">
        <v>2</v>
      </c>
      <c r="R1447" s="1" t="s">
        <v>161</v>
      </c>
      <c r="S1447">
        <v>3</v>
      </c>
      <c r="T1447" s="1" t="s">
        <v>102</v>
      </c>
      <c r="U1447">
        <v>6306</v>
      </c>
      <c r="V1447" s="1" t="s">
        <v>163</v>
      </c>
      <c r="W1447">
        <v>26236</v>
      </c>
      <c r="X1447">
        <v>1</v>
      </c>
      <c r="Y1447" s="1" t="s">
        <v>48</v>
      </c>
      <c r="Z1447" s="1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8">
      <c r="A1448" s="1" t="s">
        <v>1511</v>
      </c>
      <c r="B1448">
        <v>56</v>
      </c>
      <c r="C1448" s="1" t="s">
        <v>1498</v>
      </c>
      <c r="D1448" s="1" t="s">
        <v>40</v>
      </c>
      <c r="E1448" s="1" t="s">
        <v>41</v>
      </c>
      <c r="F1448">
        <v>310</v>
      </c>
      <c r="G1448" s="1" t="s">
        <v>42</v>
      </c>
      <c r="H1448">
        <v>7</v>
      </c>
      <c r="I1448">
        <v>2</v>
      </c>
      <c r="J1448" s="1" t="s">
        <v>68</v>
      </c>
      <c r="K1448">
        <v>1</v>
      </c>
      <c r="L1448">
        <v>2032</v>
      </c>
      <c r="M1448">
        <v>4</v>
      </c>
      <c r="N1448" s="1" t="s">
        <v>44</v>
      </c>
      <c r="O1448">
        <v>72</v>
      </c>
      <c r="P1448">
        <v>3</v>
      </c>
      <c r="Q1448">
        <v>1</v>
      </c>
      <c r="R1448" s="1" t="s">
        <v>45</v>
      </c>
      <c r="S1448">
        <v>3</v>
      </c>
      <c r="T1448" s="1" t="s">
        <v>105</v>
      </c>
      <c r="U1448">
        <v>2339</v>
      </c>
      <c r="V1448" s="1" t="s">
        <v>47</v>
      </c>
      <c r="W1448">
        <v>3666</v>
      </c>
      <c r="X1448">
        <v>8</v>
      </c>
      <c r="Y1448" s="1" t="s">
        <v>48</v>
      </c>
      <c r="Z1448" s="1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8">
      <c r="A1449" s="1" t="s">
        <v>1512</v>
      </c>
      <c r="B1449">
        <v>57</v>
      </c>
      <c r="C1449" s="1" t="s">
        <v>1498</v>
      </c>
      <c r="D1449" s="1" t="s">
        <v>49</v>
      </c>
      <c r="E1449" s="1" t="s">
        <v>41</v>
      </c>
      <c r="F1449">
        <v>334</v>
      </c>
      <c r="G1449" s="1" t="s">
        <v>42</v>
      </c>
      <c r="H1449">
        <v>24</v>
      </c>
      <c r="I1449">
        <v>2</v>
      </c>
      <c r="J1449" s="1" t="s">
        <v>43</v>
      </c>
      <c r="K1449">
        <v>1</v>
      </c>
      <c r="L1449">
        <v>223</v>
      </c>
      <c r="M1449">
        <v>3</v>
      </c>
      <c r="N1449" s="1" t="s">
        <v>44</v>
      </c>
      <c r="O1449">
        <v>83</v>
      </c>
      <c r="P1449">
        <v>4</v>
      </c>
      <c r="Q1449">
        <v>3</v>
      </c>
      <c r="R1449" s="1" t="s">
        <v>161</v>
      </c>
      <c r="S1449">
        <v>4</v>
      </c>
      <c r="T1449" s="1" t="s">
        <v>102</v>
      </c>
      <c r="U1449">
        <v>9439</v>
      </c>
      <c r="V1449" s="1" t="s">
        <v>163</v>
      </c>
      <c r="W1449">
        <v>23402</v>
      </c>
      <c r="X1449">
        <v>3</v>
      </c>
      <c r="Y1449" s="1" t="s">
        <v>48</v>
      </c>
      <c r="Z1449" s="1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8">
      <c r="A1450" s="1" t="s">
        <v>1513</v>
      </c>
      <c r="B1450">
        <v>57</v>
      </c>
      <c r="C1450" s="1" t="s">
        <v>1498</v>
      </c>
      <c r="D1450" s="1" t="s">
        <v>49</v>
      </c>
      <c r="E1450" s="1" t="s">
        <v>41</v>
      </c>
      <c r="F1450">
        <v>593</v>
      </c>
      <c r="G1450" s="1" t="s">
        <v>42</v>
      </c>
      <c r="H1450">
        <v>1</v>
      </c>
      <c r="I1450">
        <v>4</v>
      </c>
      <c r="J1450" s="1" t="s">
        <v>52</v>
      </c>
      <c r="K1450">
        <v>1</v>
      </c>
      <c r="L1450">
        <v>482</v>
      </c>
      <c r="M1450">
        <v>4</v>
      </c>
      <c r="N1450" s="1" t="s">
        <v>44</v>
      </c>
      <c r="O1450">
        <v>88</v>
      </c>
      <c r="P1450">
        <v>3</v>
      </c>
      <c r="Q1450">
        <v>2</v>
      </c>
      <c r="R1450" s="1" t="s">
        <v>161</v>
      </c>
      <c r="S1450">
        <v>3</v>
      </c>
      <c r="T1450" s="1" t="s">
        <v>105</v>
      </c>
      <c r="U1450">
        <v>6755</v>
      </c>
      <c r="V1450" s="1" t="s">
        <v>163</v>
      </c>
      <c r="W1450">
        <v>2967</v>
      </c>
      <c r="X1450">
        <v>2</v>
      </c>
      <c r="Y1450" s="1" t="s">
        <v>48</v>
      </c>
      <c r="Z1450" s="1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8">
      <c r="A1451" s="1" t="s">
        <v>1514</v>
      </c>
      <c r="B1451">
        <v>57</v>
      </c>
      <c r="C1451" s="1" t="s">
        <v>1498</v>
      </c>
      <c r="D1451" s="1" t="s">
        <v>49</v>
      </c>
      <c r="E1451" s="1" t="s">
        <v>41</v>
      </c>
      <c r="F1451">
        <v>210</v>
      </c>
      <c r="G1451" s="1" t="s">
        <v>51</v>
      </c>
      <c r="H1451">
        <v>29</v>
      </c>
      <c r="I1451">
        <v>3</v>
      </c>
      <c r="J1451" s="1" t="s">
        <v>57</v>
      </c>
      <c r="K1451">
        <v>1</v>
      </c>
      <c r="L1451">
        <v>568</v>
      </c>
      <c r="M1451">
        <v>1</v>
      </c>
      <c r="N1451" s="1" t="s">
        <v>44</v>
      </c>
      <c r="O1451">
        <v>56</v>
      </c>
      <c r="P1451">
        <v>2</v>
      </c>
      <c r="Q1451">
        <v>4</v>
      </c>
      <c r="R1451" s="1" t="s">
        <v>442</v>
      </c>
      <c r="S1451">
        <v>4</v>
      </c>
      <c r="T1451" s="1" t="s">
        <v>102</v>
      </c>
      <c r="U1451">
        <v>14118</v>
      </c>
      <c r="V1451" s="1" t="s">
        <v>253</v>
      </c>
      <c r="W1451">
        <v>22102</v>
      </c>
      <c r="X1451">
        <v>3</v>
      </c>
      <c r="Y1451" s="1" t="s">
        <v>48</v>
      </c>
      <c r="Z1451" s="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8">
      <c r="A1452" s="1" t="s">
        <v>1515</v>
      </c>
      <c r="B1452">
        <v>57</v>
      </c>
      <c r="C1452" s="1" t="s">
        <v>1498</v>
      </c>
      <c r="D1452" s="1" t="s">
        <v>49</v>
      </c>
      <c r="E1452" s="1" t="s">
        <v>41</v>
      </c>
      <c r="F1452">
        <v>405</v>
      </c>
      <c r="G1452" s="1" t="s">
        <v>42</v>
      </c>
      <c r="H1452">
        <v>1</v>
      </c>
      <c r="I1452">
        <v>2</v>
      </c>
      <c r="J1452" s="1" t="s">
        <v>43</v>
      </c>
      <c r="K1452">
        <v>1</v>
      </c>
      <c r="L1452">
        <v>1483</v>
      </c>
      <c r="M1452">
        <v>2</v>
      </c>
      <c r="N1452" s="1" t="s">
        <v>44</v>
      </c>
      <c r="O1452">
        <v>93</v>
      </c>
      <c r="P1452">
        <v>4</v>
      </c>
      <c r="Q1452">
        <v>2</v>
      </c>
      <c r="R1452" s="1" t="s">
        <v>60</v>
      </c>
      <c r="S1452">
        <v>3</v>
      </c>
      <c r="T1452" s="1" t="s">
        <v>105</v>
      </c>
      <c r="U1452">
        <v>4900</v>
      </c>
      <c r="V1452" s="1" t="s">
        <v>47</v>
      </c>
      <c r="W1452">
        <v>2721</v>
      </c>
      <c r="X1452">
        <v>0</v>
      </c>
      <c r="Y1452" s="1" t="s">
        <v>48</v>
      </c>
      <c r="Z1452" s="1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8">
      <c r="A1453" s="1" t="s">
        <v>1516</v>
      </c>
      <c r="B1453">
        <v>58</v>
      </c>
      <c r="C1453" s="1" t="s">
        <v>1498</v>
      </c>
      <c r="D1453" s="1" t="s">
        <v>49</v>
      </c>
      <c r="E1453" s="1" t="s">
        <v>41</v>
      </c>
      <c r="F1453">
        <v>682</v>
      </c>
      <c r="G1453" s="1" t="s">
        <v>51</v>
      </c>
      <c r="H1453">
        <v>10</v>
      </c>
      <c r="I1453">
        <v>4</v>
      </c>
      <c r="J1453" s="1" t="s">
        <v>52</v>
      </c>
      <c r="K1453">
        <v>1</v>
      </c>
      <c r="L1453">
        <v>131</v>
      </c>
      <c r="M1453">
        <v>4</v>
      </c>
      <c r="N1453" s="1" t="s">
        <v>44</v>
      </c>
      <c r="O1453">
        <v>37</v>
      </c>
      <c r="P1453">
        <v>3</v>
      </c>
      <c r="Q1453">
        <v>4</v>
      </c>
      <c r="R1453" s="1" t="s">
        <v>137</v>
      </c>
      <c r="S1453">
        <v>3</v>
      </c>
      <c r="T1453" s="1" t="s">
        <v>46</v>
      </c>
      <c r="U1453">
        <v>13872</v>
      </c>
      <c r="V1453" s="1" t="s">
        <v>253</v>
      </c>
      <c r="W1453">
        <v>24409</v>
      </c>
      <c r="X1453">
        <v>0</v>
      </c>
      <c r="Y1453" s="1" t="s">
        <v>48</v>
      </c>
      <c r="Z1453" s="1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8">
      <c r="A1454" s="1" t="s">
        <v>1517</v>
      </c>
      <c r="B1454">
        <v>58</v>
      </c>
      <c r="C1454" s="1" t="s">
        <v>1498</v>
      </c>
      <c r="D1454" s="1" t="s">
        <v>40</v>
      </c>
      <c r="E1454" s="1" t="s">
        <v>41</v>
      </c>
      <c r="F1454">
        <v>147</v>
      </c>
      <c r="G1454" s="1" t="s">
        <v>42</v>
      </c>
      <c r="H1454">
        <v>23</v>
      </c>
      <c r="I1454">
        <v>4</v>
      </c>
      <c r="J1454" s="1" t="s">
        <v>52</v>
      </c>
      <c r="K1454">
        <v>1</v>
      </c>
      <c r="L1454">
        <v>165</v>
      </c>
      <c r="M1454">
        <v>4</v>
      </c>
      <c r="N1454" s="1" t="s">
        <v>53</v>
      </c>
      <c r="O1454">
        <v>94</v>
      </c>
      <c r="P1454">
        <v>3</v>
      </c>
      <c r="Q1454">
        <v>3</v>
      </c>
      <c r="R1454" s="1" t="s">
        <v>161</v>
      </c>
      <c r="S1454">
        <v>4</v>
      </c>
      <c r="T1454" s="1" t="s">
        <v>105</v>
      </c>
      <c r="U1454">
        <v>10312</v>
      </c>
      <c r="V1454" s="1" t="s">
        <v>253</v>
      </c>
      <c r="W1454">
        <v>3465</v>
      </c>
      <c r="X1454">
        <v>1</v>
      </c>
      <c r="Y1454" s="1" t="s">
        <v>48</v>
      </c>
      <c r="Z1454" s="1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8">
      <c r="A1455" s="1" t="s">
        <v>1518</v>
      </c>
      <c r="B1455">
        <v>58</v>
      </c>
      <c r="C1455" s="1" t="s">
        <v>1498</v>
      </c>
      <c r="D1455" s="1" t="s">
        <v>49</v>
      </c>
      <c r="E1455" s="1" t="s">
        <v>41</v>
      </c>
      <c r="F1455">
        <v>1145</v>
      </c>
      <c r="G1455" s="1" t="s">
        <v>42</v>
      </c>
      <c r="H1455">
        <v>9</v>
      </c>
      <c r="I1455">
        <v>3</v>
      </c>
      <c r="J1455" s="1" t="s">
        <v>52</v>
      </c>
      <c r="K1455">
        <v>1</v>
      </c>
      <c r="L1455">
        <v>214</v>
      </c>
      <c r="M1455">
        <v>2</v>
      </c>
      <c r="N1455" s="1" t="s">
        <v>53</v>
      </c>
      <c r="O1455">
        <v>75</v>
      </c>
      <c r="P1455">
        <v>2</v>
      </c>
      <c r="Q1455">
        <v>1</v>
      </c>
      <c r="R1455" s="1" t="s">
        <v>60</v>
      </c>
      <c r="S1455">
        <v>2</v>
      </c>
      <c r="T1455" s="1" t="s">
        <v>105</v>
      </c>
      <c r="U1455">
        <v>3346</v>
      </c>
      <c r="V1455" s="1" t="s">
        <v>47</v>
      </c>
      <c r="W1455">
        <v>11873</v>
      </c>
      <c r="X1455">
        <v>4</v>
      </c>
      <c r="Y1455" s="1" t="s">
        <v>48</v>
      </c>
      <c r="Z1455" s="1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8">
      <c r="A1456" s="1" t="s">
        <v>1519</v>
      </c>
      <c r="B1456">
        <v>58</v>
      </c>
      <c r="C1456" s="1" t="s">
        <v>1498</v>
      </c>
      <c r="D1456" s="1" t="s">
        <v>49</v>
      </c>
      <c r="E1456" s="1" t="s">
        <v>59</v>
      </c>
      <c r="F1456">
        <v>390</v>
      </c>
      <c r="G1456" s="1" t="s">
        <v>42</v>
      </c>
      <c r="H1456">
        <v>1</v>
      </c>
      <c r="I1456">
        <v>4</v>
      </c>
      <c r="J1456" s="1" t="s">
        <v>43</v>
      </c>
      <c r="K1456">
        <v>1</v>
      </c>
      <c r="L1456">
        <v>422</v>
      </c>
      <c r="M1456">
        <v>4</v>
      </c>
      <c r="N1456" s="1" t="s">
        <v>44</v>
      </c>
      <c r="O1456">
        <v>32</v>
      </c>
      <c r="P1456">
        <v>1</v>
      </c>
      <c r="Q1456">
        <v>2</v>
      </c>
      <c r="R1456" s="1" t="s">
        <v>161</v>
      </c>
      <c r="S1456">
        <v>3</v>
      </c>
      <c r="T1456" s="1" t="s">
        <v>102</v>
      </c>
      <c r="U1456">
        <v>5660</v>
      </c>
      <c r="V1456" s="1" t="s">
        <v>163</v>
      </c>
      <c r="W1456">
        <v>17056</v>
      </c>
      <c r="X1456">
        <v>2</v>
      </c>
      <c r="Y1456" s="1" t="s">
        <v>48</v>
      </c>
      <c r="Z1456" s="1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8">
      <c r="A1457" s="1" t="s">
        <v>1520</v>
      </c>
      <c r="B1457">
        <v>58</v>
      </c>
      <c r="C1457" s="1" t="s">
        <v>1498</v>
      </c>
      <c r="D1457" s="1" t="s">
        <v>40</v>
      </c>
      <c r="E1457" s="1" t="s">
        <v>41</v>
      </c>
      <c r="F1457">
        <v>286</v>
      </c>
      <c r="G1457" s="1" t="s">
        <v>42</v>
      </c>
      <c r="H1457">
        <v>2</v>
      </c>
      <c r="I1457">
        <v>4</v>
      </c>
      <c r="J1457" s="1" t="s">
        <v>43</v>
      </c>
      <c r="K1457">
        <v>1</v>
      </c>
      <c r="L1457">
        <v>825</v>
      </c>
      <c r="M1457">
        <v>4</v>
      </c>
      <c r="N1457" s="1" t="s">
        <v>44</v>
      </c>
      <c r="O1457">
        <v>31</v>
      </c>
      <c r="P1457">
        <v>3</v>
      </c>
      <c r="Q1457">
        <v>5</v>
      </c>
      <c r="R1457" s="1" t="s">
        <v>252</v>
      </c>
      <c r="S1457">
        <v>2</v>
      </c>
      <c r="T1457" s="1" t="s">
        <v>46</v>
      </c>
      <c r="U1457">
        <v>19246</v>
      </c>
      <c r="V1457" s="1" t="s">
        <v>368</v>
      </c>
      <c r="W1457">
        <v>25761</v>
      </c>
      <c r="X1457">
        <v>7</v>
      </c>
      <c r="Y1457" s="1" t="s">
        <v>48</v>
      </c>
      <c r="Z1457" s="1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8">
      <c r="A1458" s="1" t="s">
        <v>1521</v>
      </c>
      <c r="B1458">
        <v>58</v>
      </c>
      <c r="C1458" s="1" t="s">
        <v>1498</v>
      </c>
      <c r="D1458" s="1" t="s">
        <v>40</v>
      </c>
      <c r="E1458" s="1" t="s">
        <v>56</v>
      </c>
      <c r="F1458">
        <v>781</v>
      </c>
      <c r="G1458" s="1" t="s">
        <v>42</v>
      </c>
      <c r="H1458">
        <v>2</v>
      </c>
      <c r="I1458">
        <v>1</v>
      </c>
      <c r="J1458" s="1" t="s">
        <v>43</v>
      </c>
      <c r="K1458">
        <v>1</v>
      </c>
      <c r="L1458">
        <v>918</v>
      </c>
      <c r="M1458">
        <v>4</v>
      </c>
      <c r="N1458" s="1" t="s">
        <v>44</v>
      </c>
      <c r="O1458">
        <v>57</v>
      </c>
      <c r="P1458">
        <v>2</v>
      </c>
      <c r="Q1458">
        <v>1</v>
      </c>
      <c r="R1458" s="1" t="s">
        <v>45</v>
      </c>
      <c r="S1458">
        <v>4</v>
      </c>
      <c r="T1458" s="1" t="s">
        <v>102</v>
      </c>
      <c r="U1458">
        <v>2380</v>
      </c>
      <c r="V1458" s="1" t="s">
        <v>47</v>
      </c>
      <c r="W1458">
        <v>13384</v>
      </c>
      <c r="X1458">
        <v>9</v>
      </c>
      <c r="Y1458" s="1" t="s">
        <v>48</v>
      </c>
      <c r="Z1458" s="1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8">
      <c r="A1459" s="1" t="s">
        <v>1522</v>
      </c>
      <c r="B1459">
        <v>58</v>
      </c>
      <c r="C1459" s="1" t="s">
        <v>1498</v>
      </c>
      <c r="D1459" s="1" t="s">
        <v>49</v>
      </c>
      <c r="E1459" s="1" t="s">
        <v>41</v>
      </c>
      <c r="F1459">
        <v>1272</v>
      </c>
      <c r="G1459" s="1" t="s">
        <v>42</v>
      </c>
      <c r="H1459">
        <v>5</v>
      </c>
      <c r="I1459">
        <v>3</v>
      </c>
      <c r="J1459" s="1" t="s">
        <v>68</v>
      </c>
      <c r="K1459">
        <v>1</v>
      </c>
      <c r="L1459">
        <v>940</v>
      </c>
      <c r="M1459">
        <v>3</v>
      </c>
      <c r="N1459" s="1" t="s">
        <v>53</v>
      </c>
      <c r="O1459">
        <v>37</v>
      </c>
      <c r="P1459">
        <v>2</v>
      </c>
      <c r="Q1459">
        <v>3</v>
      </c>
      <c r="R1459" s="1" t="s">
        <v>161</v>
      </c>
      <c r="S1459">
        <v>2</v>
      </c>
      <c r="T1459" s="1" t="s">
        <v>102</v>
      </c>
      <c r="U1459">
        <v>10552</v>
      </c>
      <c r="V1459" s="1" t="s">
        <v>253</v>
      </c>
      <c r="W1459">
        <v>9255</v>
      </c>
      <c r="X1459">
        <v>2</v>
      </c>
      <c r="Y1459" s="1" t="s">
        <v>48</v>
      </c>
      <c r="Z1459" s="1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8">
      <c r="A1460" s="1" t="s">
        <v>1523</v>
      </c>
      <c r="B1460">
        <v>58</v>
      </c>
      <c r="C1460" s="1" t="s">
        <v>1498</v>
      </c>
      <c r="D1460" s="1" t="s">
        <v>40</v>
      </c>
      <c r="E1460" s="1" t="s">
        <v>41</v>
      </c>
      <c r="F1460">
        <v>289</v>
      </c>
      <c r="G1460" s="1" t="s">
        <v>42</v>
      </c>
      <c r="H1460">
        <v>2</v>
      </c>
      <c r="I1460">
        <v>3</v>
      </c>
      <c r="J1460" s="1" t="s">
        <v>68</v>
      </c>
      <c r="K1460">
        <v>1</v>
      </c>
      <c r="L1460">
        <v>977</v>
      </c>
      <c r="M1460">
        <v>4</v>
      </c>
      <c r="N1460" s="1" t="s">
        <v>44</v>
      </c>
      <c r="O1460">
        <v>51</v>
      </c>
      <c r="P1460">
        <v>3</v>
      </c>
      <c r="Q1460">
        <v>1</v>
      </c>
      <c r="R1460" s="1" t="s">
        <v>60</v>
      </c>
      <c r="S1460">
        <v>3</v>
      </c>
      <c r="T1460" s="1" t="s">
        <v>46</v>
      </c>
      <c r="U1460">
        <v>2479</v>
      </c>
      <c r="V1460" s="1" t="s">
        <v>47</v>
      </c>
      <c r="W1460">
        <v>26227</v>
      </c>
      <c r="X1460">
        <v>4</v>
      </c>
      <c r="Y1460" s="1" t="s">
        <v>48</v>
      </c>
      <c r="Z1460" s="1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8">
      <c r="A1461" s="1" t="s">
        <v>1524</v>
      </c>
      <c r="B1461">
        <v>58</v>
      </c>
      <c r="C1461" s="1" t="s">
        <v>1498</v>
      </c>
      <c r="D1461" s="1" t="s">
        <v>49</v>
      </c>
      <c r="E1461" s="1" t="s">
        <v>41</v>
      </c>
      <c r="F1461">
        <v>848</v>
      </c>
      <c r="G1461" s="1" t="s">
        <v>42</v>
      </c>
      <c r="H1461">
        <v>23</v>
      </c>
      <c r="I1461">
        <v>4</v>
      </c>
      <c r="J1461" s="1" t="s">
        <v>43</v>
      </c>
      <c r="K1461">
        <v>1</v>
      </c>
      <c r="L1461">
        <v>1308</v>
      </c>
      <c r="M1461">
        <v>1</v>
      </c>
      <c r="N1461" s="1" t="s">
        <v>44</v>
      </c>
      <c r="O1461">
        <v>88</v>
      </c>
      <c r="P1461">
        <v>3</v>
      </c>
      <c r="Q1461">
        <v>1</v>
      </c>
      <c r="R1461" s="1" t="s">
        <v>60</v>
      </c>
      <c r="S1461">
        <v>3</v>
      </c>
      <c r="T1461" s="1" t="s">
        <v>102</v>
      </c>
      <c r="U1461">
        <v>2372</v>
      </c>
      <c r="V1461" s="1" t="s">
        <v>47</v>
      </c>
      <c r="W1461">
        <v>26076</v>
      </c>
      <c r="X1461">
        <v>1</v>
      </c>
      <c r="Y1461" s="1" t="s">
        <v>48</v>
      </c>
      <c r="Z1461" s="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8">
      <c r="A1462" s="1" t="s">
        <v>1525</v>
      </c>
      <c r="B1462">
        <v>58</v>
      </c>
      <c r="C1462" s="1" t="s">
        <v>1498</v>
      </c>
      <c r="D1462" s="1" t="s">
        <v>40</v>
      </c>
      <c r="E1462" s="1" t="s">
        <v>41</v>
      </c>
      <c r="F1462">
        <v>601</v>
      </c>
      <c r="G1462" s="1" t="s">
        <v>42</v>
      </c>
      <c r="H1462">
        <v>7</v>
      </c>
      <c r="I1462">
        <v>4</v>
      </c>
      <c r="J1462" s="1" t="s">
        <v>52</v>
      </c>
      <c r="K1462">
        <v>1</v>
      </c>
      <c r="L1462">
        <v>1360</v>
      </c>
      <c r="M1462">
        <v>3</v>
      </c>
      <c r="N1462" s="1" t="s">
        <v>53</v>
      </c>
      <c r="O1462">
        <v>53</v>
      </c>
      <c r="P1462">
        <v>2</v>
      </c>
      <c r="Q1462">
        <v>3</v>
      </c>
      <c r="R1462" s="1" t="s">
        <v>112</v>
      </c>
      <c r="S1462">
        <v>1</v>
      </c>
      <c r="T1462" s="1" t="s">
        <v>105</v>
      </c>
      <c r="U1462">
        <v>10008</v>
      </c>
      <c r="V1462" s="1" t="s">
        <v>253</v>
      </c>
      <c r="W1462">
        <v>12023</v>
      </c>
      <c r="X1462">
        <v>7</v>
      </c>
      <c r="Y1462" s="1" t="s">
        <v>48</v>
      </c>
      <c r="Z1462" s="1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8">
      <c r="A1463" s="1" t="s">
        <v>1526</v>
      </c>
      <c r="B1463">
        <v>58</v>
      </c>
      <c r="C1463" s="1" t="s">
        <v>1498</v>
      </c>
      <c r="D1463" s="1" t="s">
        <v>49</v>
      </c>
      <c r="E1463" s="1" t="s">
        <v>41</v>
      </c>
      <c r="F1463">
        <v>1055</v>
      </c>
      <c r="G1463" s="1" t="s">
        <v>42</v>
      </c>
      <c r="H1463">
        <v>1</v>
      </c>
      <c r="I1463">
        <v>3</v>
      </c>
      <c r="J1463" s="1" t="s">
        <v>52</v>
      </c>
      <c r="K1463">
        <v>1</v>
      </c>
      <c r="L1463">
        <v>1423</v>
      </c>
      <c r="M1463">
        <v>4</v>
      </c>
      <c r="N1463" s="1" t="s">
        <v>53</v>
      </c>
      <c r="O1463">
        <v>76</v>
      </c>
      <c r="P1463">
        <v>3</v>
      </c>
      <c r="Q1463">
        <v>5</v>
      </c>
      <c r="R1463" s="1" t="s">
        <v>252</v>
      </c>
      <c r="S1463">
        <v>1</v>
      </c>
      <c r="T1463" s="1" t="s">
        <v>105</v>
      </c>
      <c r="U1463">
        <v>19701</v>
      </c>
      <c r="V1463" s="1" t="s">
        <v>368</v>
      </c>
      <c r="W1463">
        <v>22456</v>
      </c>
      <c r="X1463">
        <v>3</v>
      </c>
      <c r="Y1463" s="1" t="s">
        <v>48</v>
      </c>
      <c r="Z1463" s="1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8">
      <c r="A1464" s="1" t="s">
        <v>1527</v>
      </c>
      <c r="B1464">
        <v>58</v>
      </c>
      <c r="C1464" s="1" t="s">
        <v>1498</v>
      </c>
      <c r="D1464" s="1" t="s">
        <v>49</v>
      </c>
      <c r="E1464" s="1" t="s">
        <v>59</v>
      </c>
      <c r="F1464">
        <v>350</v>
      </c>
      <c r="G1464" s="1" t="s">
        <v>51</v>
      </c>
      <c r="H1464">
        <v>2</v>
      </c>
      <c r="I1464">
        <v>3</v>
      </c>
      <c r="J1464" s="1" t="s">
        <v>52</v>
      </c>
      <c r="K1464">
        <v>1</v>
      </c>
      <c r="L1464">
        <v>1824</v>
      </c>
      <c r="M1464">
        <v>2</v>
      </c>
      <c r="N1464" s="1" t="s">
        <v>44</v>
      </c>
      <c r="O1464">
        <v>52</v>
      </c>
      <c r="P1464">
        <v>3</v>
      </c>
      <c r="Q1464">
        <v>4</v>
      </c>
      <c r="R1464" s="1" t="s">
        <v>442</v>
      </c>
      <c r="S1464">
        <v>2</v>
      </c>
      <c r="T1464" s="1" t="s">
        <v>102</v>
      </c>
      <c r="U1464">
        <v>16291</v>
      </c>
      <c r="V1464" s="1" t="s">
        <v>368</v>
      </c>
      <c r="W1464">
        <v>22577</v>
      </c>
      <c r="X1464">
        <v>4</v>
      </c>
      <c r="Y1464" s="1" t="s">
        <v>48</v>
      </c>
      <c r="Z1464" s="1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8">
      <c r="A1465" s="1" t="s">
        <v>1528</v>
      </c>
      <c r="B1465">
        <v>58</v>
      </c>
      <c r="C1465" s="1" t="s">
        <v>1498</v>
      </c>
      <c r="D1465" s="1" t="s">
        <v>49</v>
      </c>
      <c r="E1465" s="1" t="s">
        <v>56</v>
      </c>
      <c r="F1465">
        <v>1216</v>
      </c>
      <c r="G1465" s="1" t="s">
        <v>42</v>
      </c>
      <c r="H1465">
        <v>15</v>
      </c>
      <c r="I1465">
        <v>4</v>
      </c>
      <c r="J1465" s="1" t="s">
        <v>43</v>
      </c>
      <c r="K1465">
        <v>1</v>
      </c>
      <c r="L1465">
        <v>1837</v>
      </c>
      <c r="M1465">
        <v>1</v>
      </c>
      <c r="N1465" s="1" t="s">
        <v>44</v>
      </c>
      <c r="O1465">
        <v>87</v>
      </c>
      <c r="P1465">
        <v>3</v>
      </c>
      <c r="Q1465">
        <v>4</v>
      </c>
      <c r="R1465" s="1" t="s">
        <v>252</v>
      </c>
      <c r="S1465">
        <v>3</v>
      </c>
      <c r="T1465" s="1" t="s">
        <v>105</v>
      </c>
      <c r="U1465">
        <v>15787</v>
      </c>
      <c r="V1465" s="1" t="s">
        <v>368</v>
      </c>
      <c r="W1465">
        <v>21624</v>
      </c>
      <c r="X1465">
        <v>2</v>
      </c>
      <c r="Y1465" s="1" t="s">
        <v>48</v>
      </c>
      <c r="Z1465" s="1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8">
      <c r="A1466" s="1" t="s">
        <v>1529</v>
      </c>
      <c r="B1466">
        <v>58</v>
      </c>
      <c r="C1466" s="1" t="s">
        <v>1498</v>
      </c>
      <c r="D1466" s="1" t="s">
        <v>49</v>
      </c>
      <c r="E1466" s="1" t="s">
        <v>41</v>
      </c>
      <c r="F1466">
        <v>605</v>
      </c>
      <c r="G1466" s="1" t="s">
        <v>51</v>
      </c>
      <c r="H1466">
        <v>21</v>
      </c>
      <c r="I1466">
        <v>3</v>
      </c>
      <c r="J1466" s="1" t="s">
        <v>43</v>
      </c>
      <c r="K1466">
        <v>1</v>
      </c>
      <c r="L1466">
        <v>1938</v>
      </c>
      <c r="M1466">
        <v>4</v>
      </c>
      <c r="N1466" s="1" t="s">
        <v>53</v>
      </c>
      <c r="O1466">
        <v>72</v>
      </c>
      <c r="P1466">
        <v>3</v>
      </c>
      <c r="Q1466">
        <v>4</v>
      </c>
      <c r="R1466" s="1" t="s">
        <v>442</v>
      </c>
      <c r="S1466">
        <v>4</v>
      </c>
      <c r="T1466" s="1" t="s">
        <v>105</v>
      </c>
      <c r="U1466">
        <v>17875</v>
      </c>
      <c r="V1466" s="1" t="s">
        <v>368</v>
      </c>
      <c r="W1466">
        <v>11761</v>
      </c>
      <c r="X1466">
        <v>4</v>
      </c>
      <c r="Y1466" s="1" t="s">
        <v>48</v>
      </c>
      <c r="Z1466" s="1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8">
      <c r="A1467" s="1" t="s">
        <v>1530</v>
      </c>
      <c r="B1467">
        <v>59</v>
      </c>
      <c r="C1467" s="1" t="s">
        <v>1498</v>
      </c>
      <c r="D1467" s="1" t="s">
        <v>49</v>
      </c>
      <c r="E1467" s="1" t="s">
        <v>41</v>
      </c>
      <c r="F1467">
        <v>1324</v>
      </c>
      <c r="G1467" s="1" t="s">
        <v>42</v>
      </c>
      <c r="H1467">
        <v>3</v>
      </c>
      <c r="I1467">
        <v>3</v>
      </c>
      <c r="J1467" s="1" t="s">
        <v>52</v>
      </c>
      <c r="K1467">
        <v>1</v>
      </c>
      <c r="L1467">
        <v>10</v>
      </c>
      <c r="M1467">
        <v>3</v>
      </c>
      <c r="N1467" s="1" t="s">
        <v>53</v>
      </c>
      <c r="O1467">
        <v>81</v>
      </c>
      <c r="P1467">
        <v>4</v>
      </c>
      <c r="Q1467">
        <v>1</v>
      </c>
      <c r="R1467" s="1" t="s">
        <v>45</v>
      </c>
      <c r="S1467">
        <v>1</v>
      </c>
      <c r="T1467" s="1" t="s">
        <v>105</v>
      </c>
      <c r="U1467">
        <v>2670</v>
      </c>
      <c r="V1467" s="1" t="s">
        <v>47</v>
      </c>
      <c r="W1467">
        <v>9964</v>
      </c>
      <c r="X1467">
        <v>4</v>
      </c>
      <c r="Y1467" s="1" t="s">
        <v>48</v>
      </c>
      <c r="Z1467" s="1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8">
      <c r="A1468" s="1" t="s">
        <v>1531</v>
      </c>
      <c r="B1468">
        <v>59</v>
      </c>
      <c r="C1468" s="1" t="s">
        <v>1498</v>
      </c>
      <c r="D1468" s="1" t="s">
        <v>49</v>
      </c>
      <c r="E1468" s="1" t="s">
        <v>41</v>
      </c>
      <c r="F1468">
        <v>1435</v>
      </c>
      <c r="G1468" s="1" t="s">
        <v>51</v>
      </c>
      <c r="H1468">
        <v>25</v>
      </c>
      <c r="I1468">
        <v>3</v>
      </c>
      <c r="J1468" s="1" t="s">
        <v>43</v>
      </c>
      <c r="K1468">
        <v>1</v>
      </c>
      <c r="L1468">
        <v>81</v>
      </c>
      <c r="M1468">
        <v>1</v>
      </c>
      <c r="N1468" s="1" t="s">
        <v>53</v>
      </c>
      <c r="O1468">
        <v>99</v>
      </c>
      <c r="P1468">
        <v>3</v>
      </c>
      <c r="Q1468">
        <v>3</v>
      </c>
      <c r="R1468" s="1" t="s">
        <v>137</v>
      </c>
      <c r="S1468">
        <v>1</v>
      </c>
      <c r="T1468" s="1" t="s">
        <v>46</v>
      </c>
      <c r="U1468">
        <v>7637</v>
      </c>
      <c r="V1468" s="1" t="s">
        <v>163</v>
      </c>
      <c r="W1468">
        <v>2354</v>
      </c>
      <c r="X1468">
        <v>7</v>
      </c>
      <c r="Y1468" s="1" t="s">
        <v>48</v>
      </c>
      <c r="Z1468" s="1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8">
      <c r="A1469" s="1" t="s">
        <v>1532</v>
      </c>
      <c r="B1469">
        <v>59</v>
      </c>
      <c r="C1469" s="1" t="s">
        <v>1498</v>
      </c>
      <c r="D1469" s="1" t="s">
        <v>49</v>
      </c>
      <c r="E1469" s="1" t="s">
        <v>56</v>
      </c>
      <c r="F1469">
        <v>1225</v>
      </c>
      <c r="G1469" s="1" t="s">
        <v>51</v>
      </c>
      <c r="H1469">
        <v>1</v>
      </c>
      <c r="I1469">
        <v>1</v>
      </c>
      <c r="J1469" s="1" t="s">
        <v>43</v>
      </c>
      <c r="K1469">
        <v>1</v>
      </c>
      <c r="L1469">
        <v>91</v>
      </c>
      <c r="M1469">
        <v>1</v>
      </c>
      <c r="N1469" s="1" t="s">
        <v>53</v>
      </c>
      <c r="O1469">
        <v>57</v>
      </c>
      <c r="P1469">
        <v>2</v>
      </c>
      <c r="Q1469">
        <v>2</v>
      </c>
      <c r="R1469" s="1" t="s">
        <v>137</v>
      </c>
      <c r="S1469">
        <v>3</v>
      </c>
      <c r="T1469" s="1" t="s">
        <v>46</v>
      </c>
      <c r="U1469">
        <v>5473</v>
      </c>
      <c r="V1469" s="1" t="s">
        <v>163</v>
      </c>
      <c r="W1469">
        <v>24668</v>
      </c>
      <c r="X1469">
        <v>7</v>
      </c>
      <c r="Y1469" s="1" t="s">
        <v>48</v>
      </c>
      <c r="Z1469" s="1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8">
      <c r="A1470" s="1" t="s">
        <v>1533</v>
      </c>
      <c r="B1470">
        <v>59</v>
      </c>
      <c r="C1470" s="1" t="s">
        <v>1498</v>
      </c>
      <c r="D1470" s="1" t="s">
        <v>49</v>
      </c>
      <c r="E1470" s="1" t="s">
        <v>59</v>
      </c>
      <c r="F1470">
        <v>1420</v>
      </c>
      <c r="G1470" s="1" t="s">
        <v>71</v>
      </c>
      <c r="H1470">
        <v>2</v>
      </c>
      <c r="I1470">
        <v>4</v>
      </c>
      <c r="J1470" s="1" t="s">
        <v>71</v>
      </c>
      <c r="K1470">
        <v>1</v>
      </c>
      <c r="L1470">
        <v>140</v>
      </c>
      <c r="M1470">
        <v>3</v>
      </c>
      <c r="N1470" s="1" t="s">
        <v>53</v>
      </c>
      <c r="O1470">
        <v>32</v>
      </c>
      <c r="P1470">
        <v>2</v>
      </c>
      <c r="Q1470">
        <v>5</v>
      </c>
      <c r="R1470" s="1" t="s">
        <v>442</v>
      </c>
      <c r="S1470">
        <v>4</v>
      </c>
      <c r="T1470" s="1" t="s">
        <v>105</v>
      </c>
      <c r="U1470">
        <v>18844</v>
      </c>
      <c r="V1470" s="1" t="s">
        <v>368</v>
      </c>
      <c r="W1470">
        <v>21922</v>
      </c>
      <c r="X1470">
        <v>9</v>
      </c>
      <c r="Y1470" s="1" t="s">
        <v>48</v>
      </c>
      <c r="Z1470" s="1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8">
      <c r="A1471" s="1" t="s">
        <v>1534</v>
      </c>
      <c r="B1471">
        <v>59</v>
      </c>
      <c r="C1471" s="1" t="s">
        <v>1498</v>
      </c>
      <c r="D1471" s="1" t="s">
        <v>49</v>
      </c>
      <c r="E1471" s="1" t="s">
        <v>41</v>
      </c>
      <c r="F1471">
        <v>142</v>
      </c>
      <c r="G1471" s="1" t="s">
        <v>42</v>
      </c>
      <c r="H1471">
        <v>3</v>
      </c>
      <c r="I1471">
        <v>3</v>
      </c>
      <c r="J1471" s="1" t="s">
        <v>43</v>
      </c>
      <c r="K1471">
        <v>1</v>
      </c>
      <c r="L1471">
        <v>309</v>
      </c>
      <c r="M1471">
        <v>3</v>
      </c>
      <c r="N1471" s="1" t="s">
        <v>44</v>
      </c>
      <c r="O1471">
        <v>70</v>
      </c>
      <c r="P1471">
        <v>2</v>
      </c>
      <c r="Q1471">
        <v>1</v>
      </c>
      <c r="R1471" s="1" t="s">
        <v>60</v>
      </c>
      <c r="S1471">
        <v>4</v>
      </c>
      <c r="T1471" s="1" t="s">
        <v>105</v>
      </c>
      <c r="U1471">
        <v>2177</v>
      </c>
      <c r="V1471" s="1" t="s">
        <v>47</v>
      </c>
      <c r="W1471">
        <v>8456</v>
      </c>
      <c r="X1471">
        <v>3</v>
      </c>
      <c r="Y1471" s="1" t="s">
        <v>48</v>
      </c>
      <c r="Z1471" s="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8">
      <c r="A1472" s="1" t="s">
        <v>1535</v>
      </c>
      <c r="B1472">
        <v>59</v>
      </c>
      <c r="C1472" s="1" t="s">
        <v>1498</v>
      </c>
      <c r="D1472" s="1" t="s">
        <v>49</v>
      </c>
      <c r="E1472" s="1" t="s">
        <v>41</v>
      </c>
      <c r="F1472">
        <v>818</v>
      </c>
      <c r="G1472" s="1" t="s">
        <v>71</v>
      </c>
      <c r="H1472">
        <v>6</v>
      </c>
      <c r="I1472">
        <v>2</v>
      </c>
      <c r="J1472" s="1" t="s">
        <v>52</v>
      </c>
      <c r="K1472">
        <v>1</v>
      </c>
      <c r="L1472">
        <v>321</v>
      </c>
      <c r="M1472">
        <v>2</v>
      </c>
      <c r="N1472" s="1" t="s">
        <v>44</v>
      </c>
      <c r="O1472">
        <v>52</v>
      </c>
      <c r="P1472">
        <v>3</v>
      </c>
      <c r="Q1472">
        <v>1</v>
      </c>
      <c r="R1472" s="1" t="s">
        <v>71</v>
      </c>
      <c r="S1472">
        <v>3</v>
      </c>
      <c r="T1472" s="1" t="s">
        <v>105</v>
      </c>
      <c r="U1472">
        <v>2267</v>
      </c>
      <c r="V1472" s="1" t="s">
        <v>47</v>
      </c>
      <c r="W1472">
        <v>25657</v>
      </c>
      <c r="X1472">
        <v>8</v>
      </c>
      <c r="Y1472" s="1" t="s">
        <v>48</v>
      </c>
      <c r="Z1472" s="1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8">
      <c r="A1473" s="1" t="s">
        <v>1536</v>
      </c>
      <c r="B1473">
        <v>59</v>
      </c>
      <c r="C1473" s="1" t="s">
        <v>1498</v>
      </c>
      <c r="D1473" s="1" t="s">
        <v>49</v>
      </c>
      <c r="E1473" s="1" t="s">
        <v>41</v>
      </c>
      <c r="F1473">
        <v>715</v>
      </c>
      <c r="G1473" s="1" t="s">
        <v>42</v>
      </c>
      <c r="H1473">
        <v>2</v>
      </c>
      <c r="I1473">
        <v>3</v>
      </c>
      <c r="J1473" s="1" t="s">
        <v>43</v>
      </c>
      <c r="K1473">
        <v>1</v>
      </c>
      <c r="L1473">
        <v>1032</v>
      </c>
      <c r="M1473">
        <v>3</v>
      </c>
      <c r="N1473" s="1" t="s">
        <v>53</v>
      </c>
      <c r="O1473">
        <v>69</v>
      </c>
      <c r="P1473">
        <v>2</v>
      </c>
      <c r="Q1473">
        <v>4</v>
      </c>
      <c r="R1473" s="1" t="s">
        <v>112</v>
      </c>
      <c r="S1473">
        <v>4</v>
      </c>
      <c r="T1473" s="1" t="s">
        <v>46</v>
      </c>
      <c r="U1473">
        <v>13726</v>
      </c>
      <c r="V1473" s="1" t="s">
        <v>253</v>
      </c>
      <c r="W1473">
        <v>21829</v>
      </c>
      <c r="X1473">
        <v>3</v>
      </c>
      <c r="Y1473" s="1" t="s">
        <v>48</v>
      </c>
      <c r="Z1473" s="1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8">
      <c r="A1474" s="1" t="s">
        <v>1537</v>
      </c>
      <c r="B1474">
        <v>59</v>
      </c>
      <c r="C1474" s="1" t="s">
        <v>1498</v>
      </c>
      <c r="D1474" s="1" t="s">
        <v>49</v>
      </c>
      <c r="E1474" s="1" t="s">
        <v>41</v>
      </c>
      <c r="F1474">
        <v>1089</v>
      </c>
      <c r="G1474" s="1" t="s">
        <v>51</v>
      </c>
      <c r="H1474">
        <v>1</v>
      </c>
      <c r="I1474">
        <v>2</v>
      </c>
      <c r="J1474" s="1" t="s">
        <v>68</v>
      </c>
      <c r="K1474">
        <v>1</v>
      </c>
      <c r="L1474">
        <v>1048</v>
      </c>
      <c r="M1474">
        <v>2</v>
      </c>
      <c r="N1474" s="1" t="s">
        <v>44</v>
      </c>
      <c r="O1474">
        <v>66</v>
      </c>
      <c r="P1474">
        <v>3</v>
      </c>
      <c r="Q1474">
        <v>3</v>
      </c>
      <c r="R1474" s="1" t="s">
        <v>442</v>
      </c>
      <c r="S1474">
        <v>4</v>
      </c>
      <c r="T1474" s="1" t="s">
        <v>105</v>
      </c>
      <c r="U1474">
        <v>11904</v>
      </c>
      <c r="V1474" s="1" t="s">
        <v>253</v>
      </c>
      <c r="W1474">
        <v>11038</v>
      </c>
      <c r="X1474">
        <v>3</v>
      </c>
      <c r="Y1474" s="1" t="s">
        <v>48</v>
      </c>
      <c r="Z1474" s="1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8">
      <c r="A1475" s="1" t="s">
        <v>1538</v>
      </c>
      <c r="B1475">
        <v>59</v>
      </c>
      <c r="C1475" s="1" t="s">
        <v>1498</v>
      </c>
      <c r="D1475" s="1" t="s">
        <v>49</v>
      </c>
      <c r="E1475" s="1" t="s">
        <v>41</v>
      </c>
      <c r="F1475">
        <v>326</v>
      </c>
      <c r="G1475" s="1" t="s">
        <v>51</v>
      </c>
      <c r="H1475">
        <v>3</v>
      </c>
      <c r="I1475">
        <v>3</v>
      </c>
      <c r="J1475" s="1" t="s">
        <v>43</v>
      </c>
      <c r="K1475">
        <v>1</v>
      </c>
      <c r="L1475">
        <v>1254</v>
      </c>
      <c r="M1475">
        <v>3</v>
      </c>
      <c r="N1475" s="1" t="s">
        <v>53</v>
      </c>
      <c r="O1475">
        <v>48</v>
      </c>
      <c r="P1475">
        <v>2</v>
      </c>
      <c r="Q1475">
        <v>2</v>
      </c>
      <c r="R1475" s="1" t="s">
        <v>137</v>
      </c>
      <c r="S1475">
        <v>4</v>
      </c>
      <c r="T1475" s="1" t="s">
        <v>46</v>
      </c>
      <c r="U1475">
        <v>5171</v>
      </c>
      <c r="V1475" s="1" t="s">
        <v>163</v>
      </c>
      <c r="W1475">
        <v>16490</v>
      </c>
      <c r="X1475">
        <v>5</v>
      </c>
      <c r="Y1475" s="1" t="s">
        <v>48</v>
      </c>
      <c r="Z1475" s="1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8">
      <c r="A1476" s="1" t="s">
        <v>1539</v>
      </c>
      <c r="B1476">
        <v>59</v>
      </c>
      <c r="C1476" s="1" t="s">
        <v>1498</v>
      </c>
      <c r="D1476" s="1" t="s">
        <v>49</v>
      </c>
      <c r="E1476" s="1" t="s">
        <v>41</v>
      </c>
      <c r="F1476">
        <v>1429</v>
      </c>
      <c r="G1476" s="1" t="s">
        <v>42</v>
      </c>
      <c r="H1476">
        <v>18</v>
      </c>
      <c r="I1476">
        <v>4</v>
      </c>
      <c r="J1476" s="1" t="s">
        <v>52</v>
      </c>
      <c r="K1476">
        <v>1</v>
      </c>
      <c r="L1476">
        <v>1283</v>
      </c>
      <c r="M1476">
        <v>4</v>
      </c>
      <c r="N1476" s="1" t="s">
        <v>44</v>
      </c>
      <c r="O1476">
        <v>67</v>
      </c>
      <c r="P1476">
        <v>3</v>
      </c>
      <c r="Q1476">
        <v>3</v>
      </c>
      <c r="R1476" s="1" t="s">
        <v>112</v>
      </c>
      <c r="S1476">
        <v>4</v>
      </c>
      <c r="T1476" s="1" t="s">
        <v>46</v>
      </c>
      <c r="U1476">
        <v>10512</v>
      </c>
      <c r="V1476" s="1" t="s">
        <v>253</v>
      </c>
      <c r="W1476">
        <v>20002</v>
      </c>
      <c r="X1476">
        <v>6</v>
      </c>
      <c r="Y1476" s="1" t="s">
        <v>48</v>
      </c>
      <c r="Z1476" s="1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8">
      <c r="A1477" s="1" t="s">
        <v>1540</v>
      </c>
      <c r="B1477">
        <v>60</v>
      </c>
      <c r="C1477" s="1" t="s">
        <v>1498</v>
      </c>
      <c r="D1477" s="1" t="s">
        <v>49</v>
      </c>
      <c r="E1477" s="1" t="s">
        <v>41</v>
      </c>
      <c r="F1477">
        <v>422</v>
      </c>
      <c r="G1477" s="1" t="s">
        <v>42</v>
      </c>
      <c r="H1477">
        <v>7</v>
      </c>
      <c r="I1477">
        <v>3</v>
      </c>
      <c r="J1477" s="1" t="s">
        <v>43</v>
      </c>
      <c r="K1477">
        <v>1</v>
      </c>
      <c r="L1477">
        <v>549</v>
      </c>
      <c r="M1477">
        <v>1</v>
      </c>
      <c r="N1477" s="1" t="s">
        <v>53</v>
      </c>
      <c r="O1477">
        <v>41</v>
      </c>
      <c r="P1477">
        <v>3</v>
      </c>
      <c r="Q1477">
        <v>5</v>
      </c>
      <c r="R1477" s="1" t="s">
        <v>442</v>
      </c>
      <c r="S1477">
        <v>1</v>
      </c>
      <c r="T1477" s="1" t="s">
        <v>105</v>
      </c>
      <c r="U1477">
        <v>19566</v>
      </c>
      <c r="V1477" s="1" t="s">
        <v>368</v>
      </c>
      <c r="W1477">
        <v>3854</v>
      </c>
      <c r="X1477">
        <v>5</v>
      </c>
      <c r="Y1477" s="1" t="s">
        <v>48</v>
      </c>
      <c r="Z1477" s="1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8">
      <c r="A1478" s="1" t="s">
        <v>1541</v>
      </c>
      <c r="B1478">
        <v>60</v>
      </c>
      <c r="C1478" s="1" t="s">
        <v>1498</v>
      </c>
      <c r="D1478" s="1" t="s">
        <v>49</v>
      </c>
      <c r="E1478" s="1" t="s">
        <v>56</v>
      </c>
      <c r="F1478">
        <v>1499</v>
      </c>
      <c r="G1478" s="1" t="s">
        <v>51</v>
      </c>
      <c r="H1478">
        <v>28</v>
      </c>
      <c r="I1478">
        <v>3</v>
      </c>
      <c r="J1478" s="1" t="s">
        <v>57</v>
      </c>
      <c r="K1478">
        <v>1</v>
      </c>
      <c r="L1478">
        <v>573</v>
      </c>
      <c r="M1478">
        <v>3</v>
      </c>
      <c r="N1478" s="1" t="s">
        <v>53</v>
      </c>
      <c r="O1478">
        <v>80</v>
      </c>
      <c r="P1478">
        <v>2</v>
      </c>
      <c r="Q1478">
        <v>3</v>
      </c>
      <c r="R1478" s="1" t="s">
        <v>137</v>
      </c>
      <c r="S1478">
        <v>1</v>
      </c>
      <c r="T1478" s="1" t="s">
        <v>105</v>
      </c>
      <c r="U1478">
        <v>10266</v>
      </c>
      <c r="V1478" s="1" t="s">
        <v>253</v>
      </c>
      <c r="W1478">
        <v>2845</v>
      </c>
      <c r="X1478">
        <v>4</v>
      </c>
      <c r="Y1478" s="1" t="s">
        <v>48</v>
      </c>
      <c r="Z1478" s="1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8">
      <c r="A1479" s="1" t="s">
        <v>1542</v>
      </c>
      <c r="B1479">
        <v>60</v>
      </c>
      <c r="C1479" s="1" t="s">
        <v>1498</v>
      </c>
      <c r="D1479" s="1" t="s">
        <v>49</v>
      </c>
      <c r="E1479" s="1" t="s">
        <v>41</v>
      </c>
      <c r="F1479">
        <v>1179</v>
      </c>
      <c r="G1479" s="1" t="s">
        <v>51</v>
      </c>
      <c r="H1479">
        <v>16</v>
      </c>
      <c r="I1479">
        <v>4</v>
      </c>
      <c r="J1479" s="1" t="s">
        <v>57</v>
      </c>
      <c r="K1479">
        <v>1</v>
      </c>
      <c r="L1479">
        <v>732</v>
      </c>
      <c r="M1479">
        <v>1</v>
      </c>
      <c r="N1479" s="1" t="s">
        <v>44</v>
      </c>
      <c r="O1479">
        <v>84</v>
      </c>
      <c r="P1479">
        <v>3</v>
      </c>
      <c r="Q1479">
        <v>2</v>
      </c>
      <c r="R1479" s="1" t="s">
        <v>137</v>
      </c>
      <c r="S1479">
        <v>1</v>
      </c>
      <c r="T1479" s="1" t="s">
        <v>46</v>
      </c>
      <c r="U1479">
        <v>5405</v>
      </c>
      <c r="V1479" s="1" t="s">
        <v>163</v>
      </c>
      <c r="W1479">
        <v>11924</v>
      </c>
      <c r="X1479">
        <v>8</v>
      </c>
      <c r="Y1479" s="1" t="s">
        <v>48</v>
      </c>
      <c r="Z1479" s="1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8">
      <c r="A1480" s="1" t="s">
        <v>1543</v>
      </c>
      <c r="B1480">
        <v>60</v>
      </c>
      <c r="C1480" s="1" t="s">
        <v>1498</v>
      </c>
      <c r="D1480" s="1" t="s">
        <v>49</v>
      </c>
      <c r="E1480" s="1" t="s">
        <v>41</v>
      </c>
      <c r="F1480">
        <v>696</v>
      </c>
      <c r="G1480" s="1" t="s">
        <v>51</v>
      </c>
      <c r="H1480">
        <v>7</v>
      </c>
      <c r="I1480">
        <v>4</v>
      </c>
      <c r="J1480" s="1" t="s">
        <v>57</v>
      </c>
      <c r="K1480">
        <v>1</v>
      </c>
      <c r="L1480">
        <v>1233</v>
      </c>
      <c r="M1480">
        <v>2</v>
      </c>
      <c r="N1480" s="1" t="s">
        <v>44</v>
      </c>
      <c r="O1480">
        <v>52</v>
      </c>
      <c r="P1480">
        <v>4</v>
      </c>
      <c r="Q1480">
        <v>2</v>
      </c>
      <c r="R1480" s="1" t="s">
        <v>137</v>
      </c>
      <c r="S1480">
        <v>4</v>
      </c>
      <c r="T1480" s="1" t="s">
        <v>102</v>
      </c>
      <c r="U1480">
        <v>5220</v>
      </c>
      <c r="V1480" s="1" t="s">
        <v>163</v>
      </c>
      <c r="W1480">
        <v>10893</v>
      </c>
      <c r="X1480">
        <v>0</v>
      </c>
      <c r="Y1480" s="1" t="s">
        <v>48</v>
      </c>
      <c r="Z1480" s="1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8">
      <c r="A1481" s="1" t="s">
        <v>1544</v>
      </c>
      <c r="B1481">
        <v>60</v>
      </c>
      <c r="C1481" s="1" t="s">
        <v>1498</v>
      </c>
      <c r="D1481" s="1" t="s">
        <v>49</v>
      </c>
      <c r="E1481" s="1" t="s">
        <v>41</v>
      </c>
      <c r="F1481">
        <v>370</v>
      </c>
      <c r="G1481" s="1" t="s">
        <v>42</v>
      </c>
      <c r="H1481">
        <v>1</v>
      </c>
      <c r="I1481">
        <v>4</v>
      </c>
      <c r="J1481" s="1" t="s">
        <v>52</v>
      </c>
      <c r="K1481">
        <v>1</v>
      </c>
      <c r="L1481">
        <v>1697</v>
      </c>
      <c r="M1481">
        <v>3</v>
      </c>
      <c r="N1481" s="1" t="s">
        <v>44</v>
      </c>
      <c r="O1481">
        <v>92</v>
      </c>
      <c r="P1481">
        <v>1</v>
      </c>
      <c r="Q1481">
        <v>3</v>
      </c>
      <c r="R1481" s="1" t="s">
        <v>161</v>
      </c>
      <c r="S1481">
        <v>4</v>
      </c>
      <c r="T1481" s="1" t="s">
        <v>102</v>
      </c>
      <c r="U1481">
        <v>10883</v>
      </c>
      <c r="V1481" s="1" t="s">
        <v>253</v>
      </c>
      <c r="W1481">
        <v>20467</v>
      </c>
      <c r="X1481">
        <v>3</v>
      </c>
      <c r="Y1481" s="1" t="s">
        <v>48</v>
      </c>
      <c r="Z1481" s="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A32BF2-63B0-4BD1-9B53-1FDB2E637F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HR_insights</vt:lpstr>
      <vt:lpstr>analytics_begin</vt:lpstr>
      <vt:lpstr>Day2_HR_analytics</vt:lpstr>
      <vt:lpstr>Raw_Data</vt:lpstr>
      <vt:lpstr>analytics_begin!no_duplicate</vt:lpstr>
      <vt:lpstr>no_duplicate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Suryawanshi</dc:creator>
  <cp:lastModifiedBy>Swati Suryawanshi</cp:lastModifiedBy>
  <dcterms:created xsi:type="dcterms:W3CDTF">2026-08-09T16:32:36Z</dcterms:created>
  <dcterms:modified xsi:type="dcterms:W3CDTF">2026-08-09T20:05:06Z</dcterms:modified>
</cp:coreProperties>
</file>