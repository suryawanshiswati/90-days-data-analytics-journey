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wati_S\90days_get_internship\day3_11_08_2026\"/>
    </mc:Choice>
  </mc:AlternateContent>
  <xr:revisionPtr revIDLastSave="0" documentId="8_{349DD327-237B-4568-AF73-8992A9D28B76}" xr6:coauthVersionLast="47" xr6:coauthVersionMax="47" xr10:uidLastSave="{00000000-0000-0000-0000-000000000000}"/>
  <bookViews>
    <workbookView xWindow="-108" yWindow="-108" windowWidth="23256" windowHeight="12456" activeTab="1" xr2:uid="{51B67247-453A-4623-83CC-35102B17186C}"/>
  </bookViews>
  <sheets>
    <sheet name="conditional_formatting" sheetId="5" r:id="rId1"/>
    <sheet name="03_Performance_Analysis" sheetId="4" r:id="rId2"/>
    <sheet name="Cleaned_Data" sheetId="3" r:id="rId3"/>
    <sheet name="Raw_Data" sheetId="2" r:id="rId4"/>
    <sheet name="Insights" sheetId="1" r:id="rId5"/>
  </sheets>
  <definedNames>
    <definedName name="ExternalData_1" localSheetId="1" hidden="1">'03_Performance_Analysis'!$A$1:$G$101</definedName>
    <definedName name="ExternalData_1" localSheetId="2" hidden="1">Cleaned_Data!$A$1:$G$101</definedName>
    <definedName name="ExternalData_1" localSheetId="0" hidden="1">conditional_formatting!$A$1:$G$101</definedName>
    <definedName name="ExternalData_1" localSheetId="3" hidden="1">'Raw_Data'!$A$1:$G$101</definedName>
    <definedName name="Student_data" localSheetId="1">Raw_Data34[]</definedName>
    <definedName name="Student_data" localSheetId="0">Raw_Data345[]</definedName>
    <definedName name="Student_data">Raw_Data3[]</definedName>
  </definedNames>
  <calcPr calcId="191029"/>
  <pivotCaches>
    <pivotCache cacheId="5" r:id="rId6"/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 a="1"/>
  <c r="J4" i="4"/>
  <c r="M2" i="4"/>
  <c r="F103" i="5"/>
  <c r="G103" i="5"/>
  <c r="E103" i="5"/>
  <c r="D103" i="5"/>
  <c r="H103" i="5"/>
  <c r="J8" i="5" a="1"/>
  <c r="K103" i="5"/>
  <c r="L103" i="5"/>
  <c r="J4" i="5" a="1"/>
  <c r="I97" i="5"/>
  <c r="K11" i="5"/>
  <c r="I2" i="5"/>
  <c r="N101" i="5" a="1"/>
  <c r="K101" i="5"/>
  <c r="L101" i="5" s="1"/>
  <c r="I101" i="5"/>
  <c r="H101" i="5"/>
  <c r="J101" i="5" s="1" a="1"/>
  <c r="N100" i="5" a="1"/>
  <c r="K100" i="5"/>
  <c r="L100" i="5" s="1"/>
  <c r="I100" i="5"/>
  <c r="H100" i="5"/>
  <c r="J100" i="5" s="1" a="1"/>
  <c r="N99" i="5" a="1"/>
  <c r="K99" i="5"/>
  <c r="L99" i="5" s="1"/>
  <c r="I99" i="5"/>
  <c r="H99" i="5"/>
  <c r="J99" i="5" s="1" a="1"/>
  <c r="N98" i="5" a="1"/>
  <c r="K98" i="5"/>
  <c r="L98" i="5" s="1"/>
  <c r="I98" i="5"/>
  <c r="H98" i="5"/>
  <c r="J98" i="5" s="1" a="1"/>
  <c r="N97" i="5" a="1"/>
  <c r="K97" i="5"/>
  <c r="L97" i="5" s="1"/>
  <c r="H97" i="5"/>
  <c r="J97" i="5" s="1" a="1"/>
  <c r="N96" i="5" a="1"/>
  <c r="K96" i="5"/>
  <c r="L96" i="5" s="1"/>
  <c r="I96" i="5"/>
  <c r="H96" i="5"/>
  <c r="J96" i="5" s="1" a="1"/>
  <c r="N95" i="5" a="1"/>
  <c r="K95" i="5"/>
  <c r="L95" i="5" s="1"/>
  <c r="I95" i="5"/>
  <c r="H95" i="5"/>
  <c r="J95" i="5" s="1" a="1"/>
  <c r="N94" i="5" a="1"/>
  <c r="K94" i="5"/>
  <c r="L94" i="5" s="1"/>
  <c r="I94" i="5"/>
  <c r="H94" i="5"/>
  <c r="J94" i="5" s="1" a="1"/>
  <c r="N93" i="5" a="1"/>
  <c r="K93" i="5"/>
  <c r="L93" i="5" s="1"/>
  <c r="I93" i="5"/>
  <c r="H93" i="5"/>
  <c r="J93" i="5" s="1" a="1"/>
  <c r="N92" i="5" a="1"/>
  <c r="K92" i="5"/>
  <c r="L92" i="5" s="1"/>
  <c r="I92" i="5"/>
  <c r="H92" i="5"/>
  <c r="J92" i="5" s="1" a="1"/>
  <c r="N91" i="5" a="1"/>
  <c r="K91" i="5"/>
  <c r="L91" i="5" s="1"/>
  <c r="I91" i="5"/>
  <c r="H91" i="5"/>
  <c r="J91" i="5" s="1" a="1"/>
  <c r="N90" i="5" a="1"/>
  <c r="K90" i="5"/>
  <c r="L90" i="5" s="1"/>
  <c r="I90" i="5"/>
  <c r="H90" i="5"/>
  <c r="J90" i="5" s="1" a="1"/>
  <c r="N89" i="5" a="1"/>
  <c r="K89" i="5"/>
  <c r="L89" i="5" s="1"/>
  <c r="I89" i="5"/>
  <c r="H89" i="5"/>
  <c r="J89" i="5" s="1" a="1"/>
  <c r="N88" i="5" a="1"/>
  <c r="K88" i="5"/>
  <c r="L88" i="5" s="1"/>
  <c r="I88" i="5"/>
  <c r="H88" i="5"/>
  <c r="J88" i="5" s="1" a="1"/>
  <c r="N87" i="5" a="1"/>
  <c r="K87" i="5"/>
  <c r="L87" i="5" s="1"/>
  <c r="I87" i="5"/>
  <c r="H87" i="5"/>
  <c r="J87" i="5" s="1" a="1"/>
  <c r="N86" i="5" a="1"/>
  <c r="K86" i="5"/>
  <c r="L86" i="5" s="1"/>
  <c r="I86" i="5"/>
  <c r="H86" i="5"/>
  <c r="J86" i="5" s="1" a="1"/>
  <c r="N85" i="5" a="1"/>
  <c r="K85" i="5"/>
  <c r="L85" i="5" s="1"/>
  <c r="I85" i="5"/>
  <c r="H85" i="5"/>
  <c r="J85" i="5" s="1" a="1"/>
  <c r="N84" i="5" a="1"/>
  <c r="K84" i="5"/>
  <c r="L84" i="5" s="1"/>
  <c r="I84" i="5"/>
  <c r="H84" i="5"/>
  <c r="J84" i="5" s="1" a="1"/>
  <c r="N83" i="5" a="1"/>
  <c r="K83" i="5"/>
  <c r="L83" i="5" s="1"/>
  <c r="I83" i="5"/>
  <c r="H83" i="5"/>
  <c r="J83" i="5" s="1" a="1"/>
  <c r="N82" i="5" a="1"/>
  <c r="K82" i="5"/>
  <c r="L82" i="5" s="1"/>
  <c r="I82" i="5"/>
  <c r="H82" i="5"/>
  <c r="J82" i="5" s="1" a="1"/>
  <c r="N81" i="5" a="1"/>
  <c r="K81" i="5"/>
  <c r="L81" i="5" s="1"/>
  <c r="I81" i="5"/>
  <c r="H81" i="5"/>
  <c r="J81" i="5" s="1" a="1"/>
  <c r="N80" i="5" a="1"/>
  <c r="K80" i="5"/>
  <c r="L80" i="5" s="1"/>
  <c r="I80" i="5"/>
  <c r="H80" i="5"/>
  <c r="J80" i="5" s="1" a="1"/>
  <c r="N79" i="5" a="1"/>
  <c r="K79" i="5"/>
  <c r="L79" i="5" s="1"/>
  <c r="I79" i="5"/>
  <c r="H79" i="5"/>
  <c r="J79" i="5" s="1" a="1"/>
  <c r="N78" i="5" a="1"/>
  <c r="K78" i="5"/>
  <c r="L78" i="5" s="1"/>
  <c r="I78" i="5"/>
  <c r="H78" i="5"/>
  <c r="J78" i="5" s="1" a="1"/>
  <c r="N77" i="5" a="1"/>
  <c r="K77" i="5"/>
  <c r="L77" i="5" s="1"/>
  <c r="I77" i="5"/>
  <c r="H77" i="5"/>
  <c r="J77" i="5" s="1" a="1"/>
  <c r="N76" i="5" a="1"/>
  <c r="K76" i="5"/>
  <c r="L76" i="5" s="1"/>
  <c r="I76" i="5"/>
  <c r="H76" i="5"/>
  <c r="J76" i="5" s="1" a="1"/>
  <c r="N75" i="5" a="1"/>
  <c r="K75" i="5"/>
  <c r="L75" i="5" s="1"/>
  <c r="I75" i="5"/>
  <c r="H75" i="5"/>
  <c r="J75" i="5" s="1" a="1"/>
  <c r="N74" i="5" a="1"/>
  <c r="K74" i="5"/>
  <c r="L74" i="5" s="1"/>
  <c r="I74" i="5"/>
  <c r="H74" i="5"/>
  <c r="J74" i="5" s="1" a="1"/>
  <c r="N73" i="5" a="1"/>
  <c r="K73" i="5"/>
  <c r="L73" i="5" s="1"/>
  <c r="I73" i="5"/>
  <c r="H73" i="5"/>
  <c r="J73" i="5" s="1" a="1"/>
  <c r="N72" i="5" a="1"/>
  <c r="K72" i="5"/>
  <c r="L72" i="5" s="1"/>
  <c r="I72" i="5"/>
  <c r="H72" i="5"/>
  <c r="J72" i="5" s="1" a="1"/>
  <c r="N71" i="5" a="1"/>
  <c r="K71" i="5"/>
  <c r="L71" i="5" s="1"/>
  <c r="I71" i="5"/>
  <c r="H71" i="5"/>
  <c r="J71" i="5" s="1" a="1"/>
  <c r="N70" i="5" a="1"/>
  <c r="K70" i="5"/>
  <c r="L70" i="5" s="1"/>
  <c r="I70" i="5"/>
  <c r="H70" i="5"/>
  <c r="J70" i="5" s="1" a="1"/>
  <c r="N69" i="5" a="1"/>
  <c r="K69" i="5"/>
  <c r="L69" i="5" s="1"/>
  <c r="I69" i="5"/>
  <c r="H69" i="5"/>
  <c r="J69" i="5" s="1" a="1"/>
  <c r="N68" i="5" a="1"/>
  <c r="K68" i="5"/>
  <c r="L68" i="5" s="1"/>
  <c r="I68" i="5"/>
  <c r="H68" i="5"/>
  <c r="J68" i="5" s="1" a="1"/>
  <c r="N67" i="5" a="1"/>
  <c r="K67" i="5"/>
  <c r="L67" i="5" s="1"/>
  <c r="I67" i="5"/>
  <c r="H67" i="5"/>
  <c r="J67" i="5" s="1" a="1"/>
  <c r="N66" i="5" a="1"/>
  <c r="K66" i="5"/>
  <c r="L66" i="5" s="1"/>
  <c r="I66" i="5"/>
  <c r="H66" i="5"/>
  <c r="J66" i="5" s="1" a="1"/>
  <c r="N65" i="5" a="1"/>
  <c r="K65" i="5"/>
  <c r="L65" i="5" s="1"/>
  <c r="I65" i="5"/>
  <c r="H65" i="5"/>
  <c r="J65" i="5" s="1" a="1"/>
  <c r="N64" i="5" a="1"/>
  <c r="K64" i="5"/>
  <c r="L64" i="5" s="1"/>
  <c r="I64" i="5"/>
  <c r="H64" i="5"/>
  <c r="J64" i="5" s="1" a="1"/>
  <c r="N63" i="5" a="1"/>
  <c r="K63" i="5"/>
  <c r="L63" i="5" s="1"/>
  <c r="I63" i="5"/>
  <c r="H63" i="5"/>
  <c r="J63" i="5" s="1" a="1"/>
  <c r="N62" i="5" a="1"/>
  <c r="K62" i="5"/>
  <c r="L62" i="5" s="1"/>
  <c r="I62" i="5"/>
  <c r="H62" i="5"/>
  <c r="J62" i="5" s="1" a="1"/>
  <c r="N61" i="5" a="1"/>
  <c r="K61" i="5"/>
  <c r="L61" i="5" s="1"/>
  <c r="I61" i="5"/>
  <c r="H61" i="5"/>
  <c r="J61" i="5" s="1" a="1"/>
  <c r="N60" i="5" a="1"/>
  <c r="K60" i="5"/>
  <c r="L60" i="5" s="1"/>
  <c r="I60" i="5"/>
  <c r="H60" i="5"/>
  <c r="J60" i="5" s="1" a="1"/>
  <c r="N59" i="5" a="1"/>
  <c r="K59" i="5"/>
  <c r="L59" i="5" s="1"/>
  <c r="I59" i="5"/>
  <c r="H59" i="5"/>
  <c r="J59" i="5" s="1" a="1"/>
  <c r="N58" i="5" a="1"/>
  <c r="K58" i="5"/>
  <c r="L58" i="5" s="1"/>
  <c r="I58" i="5"/>
  <c r="H58" i="5"/>
  <c r="J58" i="5" s="1" a="1"/>
  <c r="N57" i="5" a="1"/>
  <c r="K57" i="5"/>
  <c r="L57" i="5" s="1"/>
  <c r="I57" i="5"/>
  <c r="H57" i="5"/>
  <c r="J57" i="5" s="1" a="1"/>
  <c r="N56" i="5" a="1"/>
  <c r="K56" i="5"/>
  <c r="L56" i="5" s="1"/>
  <c r="I56" i="5"/>
  <c r="H56" i="5"/>
  <c r="J56" i="5" s="1" a="1"/>
  <c r="N55" i="5" a="1"/>
  <c r="K55" i="5"/>
  <c r="L55" i="5" s="1"/>
  <c r="I55" i="5"/>
  <c r="H55" i="5"/>
  <c r="J55" i="5" s="1" a="1"/>
  <c r="N54" i="5" a="1"/>
  <c r="K54" i="5"/>
  <c r="L54" i="5" s="1"/>
  <c r="I54" i="5"/>
  <c r="H54" i="5"/>
  <c r="J54" i="5" s="1" a="1"/>
  <c r="N53" i="5" a="1"/>
  <c r="K53" i="5"/>
  <c r="L53" i="5" s="1"/>
  <c r="I53" i="5"/>
  <c r="H53" i="5"/>
  <c r="J53" i="5" s="1" a="1"/>
  <c r="N52" i="5" a="1"/>
  <c r="K52" i="5"/>
  <c r="L52" i="5" s="1"/>
  <c r="I52" i="5"/>
  <c r="H52" i="5"/>
  <c r="J52" i="5" s="1" a="1"/>
  <c r="N51" i="5" a="1"/>
  <c r="K51" i="5"/>
  <c r="L51" i="5" s="1"/>
  <c r="I51" i="5"/>
  <c r="H51" i="5"/>
  <c r="J51" i="5" s="1" a="1"/>
  <c r="N50" i="5" a="1"/>
  <c r="K50" i="5"/>
  <c r="L50" i="5" s="1"/>
  <c r="I50" i="5"/>
  <c r="H50" i="5"/>
  <c r="J50" i="5" s="1" a="1"/>
  <c r="N49" i="5" a="1"/>
  <c r="K49" i="5"/>
  <c r="L49" i="5" s="1"/>
  <c r="I49" i="5"/>
  <c r="H49" i="5"/>
  <c r="J49" i="5" s="1" a="1"/>
  <c r="N48" i="5" a="1"/>
  <c r="K48" i="5"/>
  <c r="L48" i="5" s="1"/>
  <c r="I48" i="5"/>
  <c r="H48" i="5"/>
  <c r="J48" i="5" s="1" a="1"/>
  <c r="N47" i="5" a="1"/>
  <c r="K47" i="5"/>
  <c r="L47" i="5" s="1"/>
  <c r="I47" i="5"/>
  <c r="H47" i="5"/>
  <c r="J47" i="5" s="1" a="1"/>
  <c r="N46" i="5" a="1"/>
  <c r="K46" i="5"/>
  <c r="L46" i="5" s="1"/>
  <c r="I46" i="5"/>
  <c r="H46" i="5"/>
  <c r="J46" i="5" s="1" a="1"/>
  <c r="N45" i="5" a="1"/>
  <c r="K45" i="5"/>
  <c r="L45" i="5" s="1"/>
  <c r="I45" i="5"/>
  <c r="H45" i="5"/>
  <c r="J45" i="5" s="1" a="1"/>
  <c r="N44" i="5" a="1"/>
  <c r="K44" i="5"/>
  <c r="L44" i="5" s="1"/>
  <c r="I44" i="5"/>
  <c r="H44" i="5"/>
  <c r="J44" i="5" s="1" a="1"/>
  <c r="N43" i="5" a="1"/>
  <c r="K43" i="5"/>
  <c r="L43" i="5" s="1"/>
  <c r="I43" i="5"/>
  <c r="H43" i="5"/>
  <c r="J43" i="5" s="1" a="1"/>
  <c r="N42" i="5" a="1"/>
  <c r="K42" i="5"/>
  <c r="L42" i="5" s="1"/>
  <c r="I42" i="5"/>
  <c r="H42" i="5"/>
  <c r="J42" i="5" s="1" a="1"/>
  <c r="N41" i="5" a="1"/>
  <c r="K41" i="5"/>
  <c r="L41" i="5" s="1"/>
  <c r="I41" i="5"/>
  <c r="H41" i="5"/>
  <c r="J41" i="5" s="1" a="1"/>
  <c r="N40" i="5" a="1"/>
  <c r="K40" i="5"/>
  <c r="L40" i="5" s="1"/>
  <c r="I40" i="5"/>
  <c r="H40" i="5"/>
  <c r="J40" i="5" s="1" a="1"/>
  <c r="N39" i="5" a="1"/>
  <c r="K39" i="5"/>
  <c r="L39" i="5" s="1"/>
  <c r="I39" i="5"/>
  <c r="H39" i="5"/>
  <c r="J39" i="5" s="1" a="1"/>
  <c r="N38" i="5" a="1"/>
  <c r="K38" i="5"/>
  <c r="L38" i="5" s="1"/>
  <c r="I38" i="5"/>
  <c r="H38" i="5"/>
  <c r="J38" i="5" s="1" a="1"/>
  <c r="N37" i="5" a="1"/>
  <c r="K37" i="5"/>
  <c r="L37" i="5" s="1"/>
  <c r="I37" i="5"/>
  <c r="H37" i="5"/>
  <c r="J37" i="5" s="1" a="1"/>
  <c r="N36" i="5" a="1"/>
  <c r="K36" i="5"/>
  <c r="L36" i="5" s="1"/>
  <c r="I36" i="5"/>
  <c r="H36" i="5"/>
  <c r="J36" i="5" s="1" a="1"/>
  <c r="N35" i="5" a="1"/>
  <c r="K35" i="5"/>
  <c r="L35" i="5" s="1"/>
  <c r="I35" i="5"/>
  <c r="H35" i="5"/>
  <c r="J35" i="5" s="1" a="1"/>
  <c r="N34" i="5" a="1"/>
  <c r="K34" i="5"/>
  <c r="L34" i="5" s="1"/>
  <c r="I34" i="5"/>
  <c r="H34" i="5"/>
  <c r="J34" i="5" s="1" a="1"/>
  <c r="N33" i="5" a="1"/>
  <c r="K33" i="5"/>
  <c r="L33" i="5" s="1"/>
  <c r="I33" i="5"/>
  <c r="H33" i="5"/>
  <c r="J33" i="5" s="1" a="1"/>
  <c r="N32" i="5" a="1"/>
  <c r="K32" i="5"/>
  <c r="L32" i="5" s="1"/>
  <c r="I32" i="5"/>
  <c r="H32" i="5"/>
  <c r="J32" i="5" s="1" a="1"/>
  <c r="N31" i="5" a="1"/>
  <c r="K31" i="5"/>
  <c r="L31" i="5" s="1"/>
  <c r="I31" i="5"/>
  <c r="H31" i="5"/>
  <c r="J31" i="5" s="1" a="1"/>
  <c r="N30" i="5" a="1"/>
  <c r="K30" i="5"/>
  <c r="L30" i="5" s="1"/>
  <c r="I30" i="5"/>
  <c r="H30" i="5"/>
  <c r="J30" i="5" s="1" a="1"/>
  <c r="N29" i="5" a="1"/>
  <c r="K29" i="5"/>
  <c r="L29" i="5" s="1"/>
  <c r="I29" i="5"/>
  <c r="H29" i="5"/>
  <c r="J29" i="5" s="1" a="1"/>
  <c r="N28" i="5" a="1"/>
  <c r="K28" i="5"/>
  <c r="L28" i="5" s="1"/>
  <c r="I28" i="5"/>
  <c r="H28" i="5"/>
  <c r="J28" i="5" s="1" a="1"/>
  <c r="N27" i="5" a="1"/>
  <c r="K27" i="5"/>
  <c r="L27" i="5" s="1"/>
  <c r="I27" i="5"/>
  <c r="H27" i="5"/>
  <c r="J27" i="5" s="1" a="1"/>
  <c r="N26" i="5" a="1"/>
  <c r="K26" i="5"/>
  <c r="L26" i="5" s="1"/>
  <c r="I26" i="5"/>
  <c r="H26" i="5"/>
  <c r="J26" i="5" s="1" a="1"/>
  <c r="N25" i="5" a="1"/>
  <c r="K25" i="5"/>
  <c r="L25" i="5" s="1"/>
  <c r="I25" i="5"/>
  <c r="H25" i="5"/>
  <c r="J25" i="5" s="1" a="1"/>
  <c r="N24" i="5" a="1"/>
  <c r="K24" i="5"/>
  <c r="L24" i="5" s="1"/>
  <c r="I24" i="5"/>
  <c r="H24" i="5"/>
  <c r="J24" i="5" s="1" a="1"/>
  <c r="N23" i="5" a="1"/>
  <c r="K23" i="5"/>
  <c r="L23" i="5" s="1"/>
  <c r="I23" i="5"/>
  <c r="H23" i="5"/>
  <c r="J23" i="5" s="1" a="1"/>
  <c r="N22" i="5" a="1"/>
  <c r="K22" i="5"/>
  <c r="L22" i="5" s="1"/>
  <c r="I22" i="5"/>
  <c r="H22" i="5"/>
  <c r="J22" i="5" s="1" a="1"/>
  <c r="N21" i="5" a="1"/>
  <c r="K21" i="5"/>
  <c r="L21" i="5" s="1"/>
  <c r="I21" i="5"/>
  <c r="H21" i="5"/>
  <c r="J21" i="5" s="1" a="1"/>
  <c r="N20" i="5" a="1"/>
  <c r="K20" i="5"/>
  <c r="L20" i="5" s="1"/>
  <c r="I20" i="5"/>
  <c r="H20" i="5"/>
  <c r="J20" i="5" s="1" a="1"/>
  <c r="N19" i="5" a="1"/>
  <c r="K19" i="5"/>
  <c r="L19" i="5" s="1"/>
  <c r="I19" i="5"/>
  <c r="H19" i="5"/>
  <c r="J19" i="5" s="1" a="1"/>
  <c r="N18" i="5" a="1"/>
  <c r="K18" i="5"/>
  <c r="L18" i="5" s="1"/>
  <c r="I18" i="5"/>
  <c r="H18" i="5"/>
  <c r="J18" i="5" s="1" a="1"/>
  <c r="N17" i="5" a="1"/>
  <c r="K17" i="5"/>
  <c r="L17" i="5" s="1"/>
  <c r="I17" i="5"/>
  <c r="H17" i="5"/>
  <c r="J17" i="5" s="1" a="1"/>
  <c r="N16" i="5" a="1"/>
  <c r="K16" i="5"/>
  <c r="L16" i="5" s="1"/>
  <c r="I16" i="5"/>
  <c r="H16" i="5"/>
  <c r="J16" i="5" s="1" a="1"/>
  <c r="N15" i="5" a="1"/>
  <c r="K15" i="5"/>
  <c r="L15" i="5" s="1"/>
  <c r="I15" i="5"/>
  <c r="H15" i="5"/>
  <c r="J15" i="5" s="1" a="1"/>
  <c r="N14" i="5" a="1"/>
  <c r="K14" i="5"/>
  <c r="L14" i="5" s="1"/>
  <c r="I14" i="5"/>
  <c r="H14" i="5"/>
  <c r="J14" i="5" s="1" a="1"/>
  <c r="N13" i="5" a="1"/>
  <c r="K13" i="5"/>
  <c r="L13" i="5" s="1"/>
  <c r="I13" i="5"/>
  <c r="H13" i="5"/>
  <c r="J13" i="5" s="1" a="1"/>
  <c r="N12" i="5" a="1"/>
  <c r="K12" i="5"/>
  <c r="L12" i="5" s="1"/>
  <c r="I12" i="5"/>
  <c r="H12" i="5"/>
  <c r="J12" i="5" s="1" a="1"/>
  <c r="N11" i="5" a="1"/>
  <c r="L11" i="5"/>
  <c r="I11" i="5"/>
  <c r="H11" i="5"/>
  <c r="J11" i="5" s="1" a="1"/>
  <c r="N10" i="5" a="1"/>
  <c r="K10" i="5"/>
  <c r="L10" i="5" s="1"/>
  <c r="I10" i="5"/>
  <c r="H10" i="5"/>
  <c r="J10" i="5" s="1" a="1"/>
  <c r="N9" i="5" a="1"/>
  <c r="K9" i="5"/>
  <c r="L9" i="5" s="1"/>
  <c r="I9" i="5"/>
  <c r="H9" i="5"/>
  <c r="J9" i="5" s="1" a="1"/>
  <c r="N8" i="5" a="1"/>
  <c r="K8" i="5"/>
  <c r="L8" i="5" s="1"/>
  <c r="I8" i="5"/>
  <c r="H8" i="5"/>
  <c r="N7" i="5" a="1"/>
  <c r="K7" i="5"/>
  <c r="L7" i="5" s="1"/>
  <c r="I7" i="5"/>
  <c r="H7" i="5"/>
  <c r="J7" i="5" s="1" a="1"/>
  <c r="N6" i="5" a="1"/>
  <c r="K6" i="5"/>
  <c r="L6" i="5" s="1"/>
  <c r="I6" i="5"/>
  <c r="H6" i="5"/>
  <c r="J6" i="5" s="1" a="1"/>
  <c r="N5" i="5" a="1"/>
  <c r="K5" i="5"/>
  <c r="L5" i="5" s="1"/>
  <c r="I5" i="5"/>
  <c r="H5" i="5"/>
  <c r="J5" i="5" s="1" a="1"/>
  <c r="N4" i="5" a="1"/>
  <c r="K4" i="5"/>
  <c r="L4" i="5" s="1"/>
  <c r="I4" i="5"/>
  <c r="H4" i="5"/>
  <c r="N3" i="5" a="1"/>
  <c r="K3" i="5"/>
  <c r="L3" i="5" s="1"/>
  <c r="I3" i="5"/>
  <c r="H3" i="5"/>
  <c r="J3" i="5" s="1" a="1"/>
  <c r="N2" i="5" a="1"/>
  <c r="K2" i="5"/>
  <c r="L2" i="5" s="1"/>
  <c r="H2" i="5"/>
  <c r="J2" i="5" s="1" a="1"/>
  <c r="D103" i="4"/>
  <c r="N2" i="4" a="1"/>
  <c r="N3" i="4" a="1"/>
  <c r="N4" i="4" a="1"/>
  <c r="N5" i="4" a="1"/>
  <c r="N6" i="4" a="1"/>
  <c r="N7" i="4" a="1"/>
  <c r="N8" i="4" a="1"/>
  <c r="N9" i="4" a="1"/>
  <c r="N10" i="4" a="1"/>
  <c r="N11" i="4" a="1"/>
  <c r="N12" i="4" a="1"/>
  <c r="N13" i="4" a="1"/>
  <c r="N14" i="4" a="1"/>
  <c r="N15" i="4" a="1"/>
  <c r="N16" i="4" a="1"/>
  <c r="N17" i="4" a="1"/>
  <c r="N18" i="4" a="1"/>
  <c r="N19" i="4" a="1"/>
  <c r="N20" i="4" a="1"/>
  <c r="N21" i="4" a="1"/>
  <c r="N22" i="4" a="1"/>
  <c r="N23" i="4" a="1"/>
  <c r="N24" i="4" a="1"/>
  <c r="N25" i="4" a="1"/>
  <c r="N26" i="4" a="1"/>
  <c r="N27" i="4" a="1"/>
  <c r="N28" i="4" a="1"/>
  <c r="N29" i="4" a="1"/>
  <c r="N30" i="4" a="1"/>
  <c r="N31" i="4" a="1"/>
  <c r="N32" i="4" a="1"/>
  <c r="N33" i="4" a="1"/>
  <c r="N34" i="4" a="1"/>
  <c r="N35" i="4" a="1"/>
  <c r="N36" i="4" a="1"/>
  <c r="N37" i="4" a="1"/>
  <c r="N38" i="4" a="1"/>
  <c r="N39" i="4" a="1"/>
  <c r="N40" i="4" a="1"/>
  <c r="N41" i="4" a="1"/>
  <c r="N42" i="4" a="1"/>
  <c r="N43" i="4" a="1"/>
  <c r="N44" i="4" a="1"/>
  <c r="N45" i="4" a="1"/>
  <c r="N46" i="4" a="1"/>
  <c r="N47" i="4" a="1"/>
  <c r="N48" i="4" a="1"/>
  <c r="N49" i="4" a="1"/>
  <c r="N50" i="4" a="1"/>
  <c r="N51" i="4" a="1"/>
  <c r="N52" i="4" a="1"/>
  <c r="N53" i="4" a="1"/>
  <c r="N54" i="4" a="1"/>
  <c r="N55" i="4" a="1"/>
  <c r="N56" i="4" a="1"/>
  <c r="N57" i="4" a="1"/>
  <c r="N58" i="4" a="1"/>
  <c r="N59" i="4" a="1"/>
  <c r="N60" i="4" a="1"/>
  <c r="N61" i="4" a="1"/>
  <c r="N62" i="4" a="1"/>
  <c r="N63" i="4" a="1"/>
  <c r="N64" i="4" a="1"/>
  <c r="N65" i="4" a="1"/>
  <c r="N66" i="4" a="1"/>
  <c r="N67" i="4" a="1"/>
  <c r="N68" i="4" a="1"/>
  <c r="N69" i="4" a="1"/>
  <c r="N70" i="4" a="1"/>
  <c r="N71" i="4" a="1"/>
  <c r="N72" i="4" a="1"/>
  <c r="N73" i="4" a="1"/>
  <c r="N74" i="4" a="1"/>
  <c r="N75" i="4" a="1"/>
  <c r="N76" i="4" a="1"/>
  <c r="N77" i="4" a="1"/>
  <c r="N78" i="4" a="1"/>
  <c r="N79" i="4" a="1"/>
  <c r="N80" i="4" a="1"/>
  <c r="N81" i="4" a="1"/>
  <c r="N82" i="4" a="1"/>
  <c r="N83" i="4" a="1"/>
  <c r="N84" i="4" a="1"/>
  <c r="N85" i="4" a="1"/>
  <c r="N86" i="4" a="1"/>
  <c r="N87" i="4" a="1"/>
  <c r="N88" i="4" a="1"/>
  <c r="N89" i="4" a="1"/>
  <c r="N90" i="4" a="1"/>
  <c r="N91" i="4" a="1"/>
  <c r="N92" i="4" a="1"/>
  <c r="N93" i="4" a="1"/>
  <c r="N94" i="4" a="1"/>
  <c r="N95" i="4" a="1"/>
  <c r="N96" i="4" a="1"/>
  <c r="N97" i="4" a="1"/>
  <c r="N98" i="4" a="1"/>
  <c r="N99" i="4" a="1"/>
  <c r="N100" i="4" a="1"/>
  <c r="N101" i="4" a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J2" i="4" l="1"/>
  <c r="K2" i="4" s="1"/>
  <c r="J3" i="4"/>
  <c r="K3" i="4" s="1"/>
  <c r="L3" i="4" s="1" a="1"/>
  <c r="K4" i="4"/>
  <c r="L4" i="4" s="1" a="1"/>
  <c r="J5" i="4"/>
  <c r="K5" i="4" s="1"/>
  <c r="L5" i="4" s="1" a="1"/>
  <c r="J6" i="4"/>
  <c r="K6" i="4" s="1"/>
  <c r="L6" i="4" s="1" a="1"/>
  <c r="J7" i="4"/>
  <c r="K7" i="4" s="1"/>
  <c r="L7" i="4" s="1" a="1"/>
  <c r="J8" i="4"/>
  <c r="K8" i="4" s="1"/>
  <c r="L8" i="4" s="1" a="1"/>
  <c r="J9" i="4"/>
  <c r="K9" i="4" s="1"/>
  <c r="L9" i="4" s="1" a="1"/>
  <c r="J10" i="4"/>
  <c r="K10" i="4" s="1"/>
  <c r="L10" i="4" s="1" a="1"/>
  <c r="J11" i="4"/>
  <c r="K11" i="4" s="1"/>
  <c r="L11" i="4" s="1" a="1"/>
  <c r="J12" i="4"/>
  <c r="K12" i="4" s="1"/>
  <c r="L12" i="4" s="1" a="1"/>
  <c r="J13" i="4"/>
  <c r="K13" i="4" s="1"/>
  <c r="L13" i="4" s="1" a="1"/>
  <c r="J14" i="4"/>
  <c r="K14" i="4" s="1"/>
  <c r="L14" i="4" s="1" a="1"/>
  <c r="J15" i="4"/>
  <c r="K15" i="4" s="1"/>
  <c r="L15" i="4" s="1" a="1"/>
  <c r="J16" i="4"/>
  <c r="K16" i="4" s="1"/>
  <c r="L16" i="4" s="1" a="1"/>
  <c r="J17" i="4"/>
  <c r="K17" i="4" s="1"/>
  <c r="L17" i="4" s="1" a="1"/>
  <c r="J18" i="4"/>
  <c r="K18" i="4" s="1"/>
  <c r="L18" i="4" s="1" a="1"/>
  <c r="J19" i="4"/>
  <c r="K19" i="4" s="1"/>
  <c r="L19" i="4" s="1" a="1"/>
  <c r="J20" i="4"/>
  <c r="K20" i="4" s="1"/>
  <c r="L20" i="4" s="1" a="1"/>
  <c r="J21" i="4"/>
  <c r="K21" i="4" s="1"/>
  <c r="L21" i="4" s="1" a="1"/>
  <c r="J22" i="4"/>
  <c r="K22" i="4" s="1"/>
  <c r="L22" i="4" s="1" a="1"/>
  <c r="J23" i="4"/>
  <c r="K23" i="4" s="1"/>
  <c r="L23" i="4" s="1" a="1"/>
  <c r="J24" i="4"/>
  <c r="K24" i="4" s="1"/>
  <c r="L24" i="4" s="1" a="1"/>
  <c r="J25" i="4"/>
  <c r="K25" i="4" s="1"/>
  <c r="L25" i="4" s="1" a="1"/>
  <c r="J26" i="4"/>
  <c r="K26" i="4" s="1"/>
  <c r="L26" i="4" s="1" a="1"/>
  <c r="J27" i="4"/>
  <c r="K27" i="4" s="1"/>
  <c r="L27" i="4" s="1" a="1"/>
  <c r="J28" i="4"/>
  <c r="K28" i="4" s="1"/>
  <c r="L28" i="4" s="1" a="1"/>
  <c r="J29" i="4"/>
  <c r="K29" i="4" s="1"/>
  <c r="L29" i="4" s="1" a="1"/>
  <c r="J30" i="4"/>
  <c r="K30" i="4" s="1"/>
  <c r="L30" i="4" s="1" a="1"/>
  <c r="J31" i="4"/>
  <c r="K31" i="4" s="1"/>
  <c r="L31" i="4" s="1" a="1"/>
  <c r="J32" i="4"/>
  <c r="K32" i="4" s="1"/>
  <c r="L32" i="4" s="1" a="1"/>
  <c r="J33" i="4"/>
  <c r="K33" i="4" s="1"/>
  <c r="L33" i="4" s="1" a="1"/>
  <c r="J34" i="4"/>
  <c r="K34" i="4" s="1"/>
  <c r="L34" i="4" s="1" a="1"/>
  <c r="J35" i="4"/>
  <c r="K35" i="4" s="1"/>
  <c r="L35" i="4" s="1" a="1"/>
  <c r="J36" i="4"/>
  <c r="K36" i="4" s="1"/>
  <c r="L36" i="4" s="1" a="1"/>
  <c r="J37" i="4"/>
  <c r="K37" i="4" s="1"/>
  <c r="L37" i="4" s="1" a="1"/>
  <c r="J38" i="4"/>
  <c r="K38" i="4" s="1"/>
  <c r="L38" i="4" s="1" a="1"/>
  <c r="J39" i="4"/>
  <c r="K39" i="4" s="1"/>
  <c r="L39" i="4" s="1" a="1"/>
  <c r="J40" i="4"/>
  <c r="K40" i="4" s="1"/>
  <c r="L40" i="4" s="1" a="1"/>
  <c r="J41" i="4"/>
  <c r="K41" i="4" s="1"/>
  <c r="L41" i="4" s="1" a="1"/>
  <c r="J42" i="4"/>
  <c r="K42" i="4" s="1"/>
  <c r="L42" i="4" s="1" a="1"/>
  <c r="J43" i="4"/>
  <c r="K43" i="4" s="1"/>
  <c r="L43" i="4" s="1" a="1"/>
  <c r="J44" i="4"/>
  <c r="K44" i="4" s="1"/>
  <c r="L44" i="4" s="1" a="1"/>
  <c r="J45" i="4"/>
  <c r="K45" i="4" s="1"/>
  <c r="L45" i="4" s="1" a="1"/>
  <c r="J46" i="4"/>
  <c r="K46" i="4" s="1"/>
  <c r="L46" i="4" s="1" a="1"/>
  <c r="J47" i="4"/>
  <c r="K47" i="4" s="1"/>
  <c r="L47" i="4" s="1" a="1"/>
  <c r="J48" i="4"/>
  <c r="K48" i="4" s="1"/>
  <c r="L48" i="4" s="1" a="1"/>
  <c r="J49" i="4"/>
  <c r="K49" i="4" s="1"/>
  <c r="L49" i="4" s="1" a="1"/>
  <c r="J50" i="4"/>
  <c r="K50" i="4" s="1"/>
  <c r="L50" i="4" s="1" a="1"/>
  <c r="J51" i="4"/>
  <c r="K51" i="4" s="1"/>
  <c r="L51" i="4" s="1" a="1"/>
  <c r="J52" i="4"/>
  <c r="K52" i="4" s="1"/>
  <c r="L52" i="4" s="1" a="1"/>
  <c r="J53" i="4"/>
  <c r="K53" i="4" s="1"/>
  <c r="L53" i="4" s="1" a="1"/>
  <c r="J54" i="4"/>
  <c r="K54" i="4" s="1"/>
  <c r="L54" i="4" s="1" a="1"/>
  <c r="J55" i="4"/>
  <c r="K55" i="4" s="1"/>
  <c r="L55" i="4" s="1" a="1"/>
  <c r="J56" i="4"/>
  <c r="K56" i="4" s="1"/>
  <c r="L56" i="4" s="1" a="1"/>
  <c r="J57" i="4"/>
  <c r="K57" i="4" s="1"/>
  <c r="L57" i="4" s="1" a="1"/>
  <c r="J58" i="4"/>
  <c r="K58" i="4" s="1"/>
  <c r="L58" i="4" s="1" a="1"/>
  <c r="J59" i="4"/>
  <c r="K59" i="4" s="1"/>
  <c r="L59" i="4" s="1" a="1"/>
  <c r="J60" i="4"/>
  <c r="K60" i="4" s="1"/>
  <c r="L60" i="4" s="1" a="1"/>
  <c r="J61" i="4"/>
  <c r="K61" i="4" s="1"/>
  <c r="L61" i="4" s="1" a="1"/>
  <c r="J62" i="4"/>
  <c r="K62" i="4" s="1"/>
  <c r="L62" i="4" s="1" a="1"/>
  <c r="J63" i="4"/>
  <c r="K63" i="4" s="1"/>
  <c r="L63" i="4" s="1" a="1"/>
  <c r="J64" i="4"/>
  <c r="K64" i="4" s="1"/>
  <c r="L64" i="4" s="1" a="1"/>
  <c r="J65" i="4"/>
  <c r="K65" i="4" s="1"/>
  <c r="L65" i="4" s="1" a="1"/>
  <c r="J66" i="4"/>
  <c r="K66" i="4" s="1"/>
  <c r="L66" i="4" s="1" a="1"/>
  <c r="J67" i="4"/>
  <c r="K67" i="4" s="1"/>
  <c r="L67" i="4" s="1" a="1"/>
  <c r="J68" i="4"/>
  <c r="K68" i="4" s="1"/>
  <c r="L68" i="4" s="1" a="1"/>
  <c r="J69" i="4"/>
  <c r="K69" i="4" s="1"/>
  <c r="L69" i="4" s="1" a="1"/>
  <c r="J70" i="4"/>
  <c r="K70" i="4" s="1"/>
  <c r="L70" i="4" s="1" a="1"/>
  <c r="J71" i="4"/>
  <c r="K71" i="4" s="1"/>
  <c r="L71" i="4" s="1" a="1"/>
  <c r="J72" i="4"/>
  <c r="K72" i="4" s="1"/>
  <c r="L72" i="4" s="1" a="1"/>
  <c r="J73" i="4"/>
  <c r="K73" i="4" s="1"/>
  <c r="L73" i="4" s="1" a="1"/>
  <c r="J74" i="4"/>
  <c r="K74" i="4" s="1"/>
  <c r="L74" i="4" s="1" a="1"/>
  <c r="J75" i="4"/>
  <c r="K75" i="4" s="1"/>
  <c r="L75" i="4" s="1" a="1"/>
  <c r="J76" i="4"/>
  <c r="K76" i="4" s="1"/>
  <c r="L76" i="4" s="1" a="1"/>
  <c r="J77" i="4"/>
  <c r="K77" i="4" s="1"/>
  <c r="L77" i="4" s="1" a="1"/>
  <c r="J78" i="4"/>
  <c r="K78" i="4" s="1"/>
  <c r="L78" i="4" s="1" a="1"/>
  <c r="J79" i="4"/>
  <c r="K79" i="4" s="1"/>
  <c r="L79" i="4" s="1" a="1"/>
  <c r="J80" i="4"/>
  <c r="K80" i="4" s="1"/>
  <c r="L80" i="4" s="1" a="1"/>
  <c r="J81" i="4"/>
  <c r="K81" i="4" s="1"/>
  <c r="L81" i="4" s="1" a="1"/>
  <c r="J82" i="4"/>
  <c r="K82" i="4" s="1"/>
  <c r="L82" i="4" s="1" a="1"/>
  <c r="J83" i="4"/>
  <c r="K83" i="4" s="1"/>
  <c r="L83" i="4" s="1" a="1"/>
  <c r="J84" i="4"/>
  <c r="K84" i="4" s="1"/>
  <c r="L84" i="4" s="1" a="1"/>
  <c r="J85" i="4"/>
  <c r="K85" i="4" s="1"/>
  <c r="L85" i="4" s="1" a="1"/>
  <c r="J86" i="4"/>
  <c r="K86" i="4" s="1"/>
  <c r="L86" i="4" s="1" a="1"/>
  <c r="J87" i="4"/>
  <c r="K87" i="4" s="1"/>
  <c r="L87" i="4" s="1" a="1"/>
  <c r="J88" i="4"/>
  <c r="K88" i="4" s="1"/>
  <c r="L88" i="4" s="1" a="1"/>
  <c r="J89" i="4"/>
  <c r="K89" i="4" s="1"/>
  <c r="L89" i="4" s="1" a="1"/>
  <c r="J90" i="4"/>
  <c r="K90" i="4" s="1"/>
  <c r="L90" i="4" s="1" a="1"/>
  <c r="J91" i="4"/>
  <c r="K91" i="4" s="1"/>
  <c r="L91" i="4" s="1" a="1"/>
  <c r="J92" i="4"/>
  <c r="K92" i="4" s="1"/>
  <c r="L92" i="4" s="1" a="1"/>
  <c r="J93" i="4"/>
  <c r="K93" i="4" s="1"/>
  <c r="L93" i="4" s="1" a="1"/>
  <c r="J94" i="4"/>
  <c r="K94" i="4" s="1"/>
  <c r="L94" i="4" s="1" a="1"/>
  <c r="J95" i="4"/>
  <c r="K95" i="4" s="1"/>
  <c r="L95" i="4" s="1" a="1"/>
  <c r="J96" i="4"/>
  <c r="K96" i="4" s="1"/>
  <c r="L96" i="4" s="1" a="1"/>
  <c r="J97" i="4"/>
  <c r="K97" i="4" s="1"/>
  <c r="L97" i="4" s="1" a="1"/>
  <c r="J98" i="4"/>
  <c r="K98" i="4" s="1"/>
  <c r="L98" i="4" s="1" a="1"/>
  <c r="J99" i="4"/>
  <c r="K99" i="4" s="1"/>
  <c r="L99" i="4" s="1" a="1"/>
  <c r="J100" i="4"/>
  <c r="K100" i="4" s="1"/>
  <c r="L100" i="4" s="1" a="1"/>
  <c r="J101" i="4"/>
  <c r="K101" i="4" s="1"/>
  <c r="L101" i="4" s="1" a="1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60" i="5"/>
  <c r="M59" i="5"/>
  <c r="M57" i="5"/>
  <c r="M55" i="5"/>
  <c r="M54" i="5"/>
  <c r="M53" i="5"/>
  <c r="M51" i="5"/>
  <c r="M50" i="5"/>
  <c r="M48" i="5"/>
  <c r="M47" i="5"/>
  <c r="M45" i="5"/>
  <c r="M44" i="5"/>
  <c r="M43" i="5"/>
  <c r="M41" i="5"/>
  <c r="M39" i="5"/>
  <c r="M38" i="5"/>
  <c r="M37" i="5"/>
  <c r="M35" i="5"/>
  <c r="M34" i="5"/>
  <c r="M32" i="5"/>
  <c r="M31" i="5"/>
  <c r="M29" i="5"/>
  <c r="M28" i="5"/>
  <c r="M27" i="5"/>
  <c r="M25" i="5"/>
  <c r="M24" i="5"/>
  <c r="M23" i="5"/>
  <c r="M22" i="5"/>
  <c r="M21" i="5"/>
  <c r="M20" i="5"/>
  <c r="M18" i="5"/>
  <c r="M17" i="5"/>
  <c r="M15" i="5"/>
  <c r="M14" i="5"/>
  <c r="M12" i="5"/>
  <c r="M11" i="5"/>
  <c r="M9" i="5"/>
  <c r="M8" i="5"/>
  <c r="M6" i="5"/>
  <c r="M5" i="5"/>
  <c r="M3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58" i="5"/>
  <c r="M56" i="5"/>
  <c r="M52" i="5"/>
  <c r="M49" i="5"/>
  <c r="M46" i="5"/>
  <c r="M42" i="5"/>
  <c r="M40" i="5"/>
  <c r="M36" i="5"/>
  <c r="M33" i="5"/>
  <c r="M30" i="5"/>
  <c r="M26" i="5"/>
  <c r="M19" i="5"/>
  <c r="M16" i="5"/>
  <c r="M13" i="5"/>
  <c r="M10" i="5"/>
  <c r="M7" i="5"/>
  <c r="M4" i="5"/>
  <c r="M2" i="5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31" i="4"/>
  <c r="M33" i="4"/>
  <c r="M35" i="4"/>
  <c r="M37" i="4"/>
  <c r="M38" i="4"/>
  <c r="M40" i="4"/>
  <c r="M60" i="4"/>
  <c r="M62" i="4"/>
  <c r="M65" i="4"/>
  <c r="M68" i="4"/>
  <c r="M71" i="4"/>
  <c r="M74" i="4"/>
  <c r="M77" i="4"/>
  <c r="M80" i="4"/>
  <c r="M83" i="4"/>
  <c r="M85" i="4"/>
  <c r="M88" i="4"/>
  <c r="M91" i="4"/>
  <c r="M94" i="4"/>
  <c r="M97" i="4"/>
  <c r="M100" i="4"/>
  <c r="M21" i="4"/>
  <c r="M22" i="4"/>
  <c r="M23" i="4"/>
  <c r="M24" i="4"/>
  <c r="M25" i="4"/>
  <c r="M26" i="4"/>
  <c r="M27" i="4"/>
  <c r="M28" i="4"/>
  <c r="M29" i="4"/>
  <c r="M30" i="4"/>
  <c r="M32" i="4"/>
  <c r="M34" i="4"/>
  <c r="M36" i="4"/>
  <c r="M39" i="4"/>
  <c r="M63" i="4"/>
  <c r="M67" i="4"/>
  <c r="M70" i="4"/>
  <c r="M73" i="4"/>
  <c r="M76" i="4"/>
  <c r="M79" i="4"/>
  <c r="M82" i="4"/>
  <c r="M86" i="4"/>
  <c r="M89" i="4"/>
  <c r="M92" i="4"/>
  <c r="M96" i="4"/>
  <c r="M99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1" i="4"/>
  <c r="M64" i="4"/>
  <c r="M66" i="4"/>
  <c r="M69" i="4"/>
  <c r="M72" i="4"/>
  <c r="M75" i="4"/>
  <c r="M78" i="4"/>
  <c r="M81" i="4"/>
  <c r="M84" i="4"/>
  <c r="M87" i="4"/>
  <c r="M90" i="4"/>
  <c r="M93" i="4"/>
  <c r="M95" i="4"/>
  <c r="M98" i="4"/>
  <c r="M1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4F2728-A53D-4E63-921A-A76DDC006147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2" xr16:uid="{1C6D1203-682C-4A99-92B0-8AFC907ABC08}" keepAlive="1" name="Query - Raw_Data (2)" description="Connection to the 'Raw_Data (2)' query in the workbook." type="5" refreshedVersion="8" background="1" saveData="1">
    <dbPr connection="Provider=Microsoft.Mashup.OleDb.1;Data Source=$Workbook$;Location=&quot;Raw_Data (2)&quot;;Extended Properties=&quot;&quot;" command="SELECT * FROM [Raw_Data (2)]"/>
  </connection>
  <connection id="3" xr16:uid="{DAF27D5E-508D-414E-8230-252A853E4C98}" keepAlive="1" name="Query - Raw_Data (3)" description="Connection to the 'Raw_Data (3)' query in the workbook." type="5" refreshedVersion="8" background="1" saveData="1">
    <dbPr connection="Provider=Microsoft.Mashup.OleDb.1;Data Source=$Workbook$;Location=&quot;Raw_Data (3)&quot;;Extended Properties=&quot;&quot;" command="SELECT * FROM [Raw_Data (3)]"/>
  </connection>
  <connection id="4" xr16:uid="{B98C3EE4-5C10-4722-A511-36EE61FE3CBB}" keepAlive="1" name="Query - Raw_Data (4)" description="Connection to the 'Raw_Data (4)' query in the workbook." type="5" refreshedVersion="8" background="1" saveData="1">
    <dbPr connection="Provider=Microsoft.Mashup.OleDb.1;Data Source=$Workbook$;Location=&quot;Raw_Data (4)&quot;;Extended Properties=&quot;&quot;" command="SELECT * FROM [Raw_Data (4)]"/>
  </connection>
  <connection id="5" xr16:uid="{A79B6500-38E0-46DE-B5DD-11B9F11B5DAD}" keepAlive="1" name="Query - Raw_Data (5)" description="Connection to the 'Raw_Data (5)' query in the workbook." type="5" refreshedVersion="8" background="1" saveData="1">
    <dbPr connection="Provider=Microsoft.Mashup.OleDb.1;Data Source=$Workbook$;Location=&quot;Raw_Data (5)&quot;;Extended Properties=&quot;&quot;" command="SELECT * FROM [Raw_Data (5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<sst xmlns="http://schemas.openxmlformats.org/spreadsheetml/2006/main" count="873" uniqueCount="142">
  <si>
    <t>Student_ID</t>
  </si>
  <si>
    <t>Gender</t>
  </si>
  <si>
    <t>Age</t>
  </si>
  <si>
    <t>Attendance_%</t>
  </si>
  <si>
    <t>Math_Score</t>
  </si>
  <si>
    <t>Science_Score</t>
  </si>
  <si>
    <t>English_Score</t>
  </si>
  <si>
    <t>STU001</t>
  </si>
  <si>
    <t>Male</t>
  </si>
  <si>
    <t>STU002</t>
  </si>
  <si>
    <t>STU003</t>
  </si>
  <si>
    <t>Female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</si>
  <si>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</si>
  <si>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</si>
  <si>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</si>
  <si>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</si>
  <si>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</si>
  <si>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</si>
  <si>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</si>
  <si>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</si>
  <si>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</si>
  <si>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</si>
  <si>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</si>
  <si>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</si>
  <si>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</si>
  <si>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</si>
  <si>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</si>
  <si>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</si>
  <si>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</si>
  <si>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</si>
  <si>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</si>
  <si>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</si>
  <si>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</si>
  <si>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</si>
  <si>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</si>
  <si>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</si>
  <si>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</si>
  <si>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</si>
  <si>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</si>
  <si>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</si>
  <si>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</si>
  <si>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</si>
  <si>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</si>
  <si>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</si>
  <si>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</si>
  <si>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</si>
  <si>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</si>
  <si>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</si>
  <si>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</si>
  <si>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</si>
  <si>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</si>
  <si>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</si>
  <si>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</si>
  <si>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</si>
  <si>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</si>
  <si>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</si>
  <si>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</si>
  <si>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</si>
  <si>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</si>
  <si>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</si>
  <si>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</si>
  <si>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</si>
  <si>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</si>
  <si>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</si>
  <si>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</si>
  <si>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</si>
  <si>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</si>
  <si>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</si>
  <si>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</si>
  <si>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</si>
  <si>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</si>
  <si>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</si>
  <si>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</si>
  <si>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</si>
  <si>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</si>
  <si>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</si>
  <si>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</si>
  <si>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</si>
  <si>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</si>
  <si>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</si>
  <si>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</si>
  <si>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</si>
  <si>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</si>
  <si>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</si>
  <si>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</si>
  <si>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</si>
  <si>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</si>
  <si>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</si>
  <si>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</si>
  <si>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</si>
  <si>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</si>
  <si>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</si>
  <si>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</si>
  <si>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</si>
  <si>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</si>
  <si>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</si>
  <si>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</si>
  <si>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</si>
  <si>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</si>
  <si>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</si>
  <si>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</si>
  <si>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</si>
  <si>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</si>
  <si>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</si>
  <si>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</si>
  <si>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</si>
  <si>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</si>
  <si>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</si>
  <si>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</si>
  <si>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Result</t>
  </si>
  <si>
    <t>Grade</t>
  </si>
  <si>
    <t>Percentage</t>
  </si>
  <si>
    <t>Total_score</t>
  </si>
  <si>
    <t>Average_score</t>
  </si>
  <si>
    <t>Rank</t>
  </si>
  <si>
    <t>Attendance_Category</t>
  </si>
  <si>
    <t>Questions</t>
  </si>
  <si>
    <t>Q.1 How many students have low attendance?</t>
  </si>
  <si>
    <t>ans :- =COUNTIF(Raw_Data34[Attendance_%],"&lt;75.00"), 21 students have low attendance</t>
  </si>
  <si>
    <t>Q.2 Is low attendance concentrated among low-performing students?</t>
  </si>
  <si>
    <t>low attendance =</t>
  </si>
  <si>
    <t>Row Labels</t>
  </si>
  <si>
    <t>Excellent</t>
  </si>
  <si>
    <t>Good</t>
  </si>
  <si>
    <t>Low</t>
  </si>
  <si>
    <t>Grand Total</t>
  </si>
  <si>
    <t>Sum of Total_score</t>
  </si>
  <si>
    <t>🔵 TASK 7 — Business/Academic Questions</t>
  </si>
  <si>
    <t>Q.1 Who is the highest-performing student?</t>
  </si>
  <si>
    <t>Ans : =AVERAGE(Raw_Data345[Average_score]) , 70.49</t>
  </si>
  <si>
    <t>Q.2 What is the average class score?</t>
  </si>
  <si>
    <t>Ans :- Student having id STU007 , maximum score 296</t>
  </si>
  <si>
    <t>Q.3.How many students failed?</t>
  </si>
  <si>
    <t>Q.4. How many students have attendance below 75%?</t>
  </si>
  <si>
    <t>ans = =COUNTIF(Raw_Data345[Attendance_%],"&lt;75.00"), students below attendance 21</t>
  </si>
  <si>
    <t>Q.5. Which subject has the lowest average score?</t>
  </si>
  <si>
    <t>ans:=  =AVERAGE(Raw_Data345[Science_Score]), 69</t>
  </si>
  <si>
    <t>Average Score per subject</t>
  </si>
  <si>
    <t>Q.6. Do students with low attendance tend to have lower scores?</t>
  </si>
  <si>
    <t>Average of Average_score</t>
  </si>
  <si>
    <t>Ans :- No,  Students with low attendance tend to average_score as 71.65 which is better than the students having good attendance. However, students with Excellent attendance had the highest average score (76.93%). Therefore, the dataset suggests a positive pattern between very high attendance and performance, but it does not establish that attendance causes higher performance.</t>
  </si>
  <si>
    <t>ans =COUNTIF(Raw_Data34[Result],"Fail"), total failed students =&gt;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</si>
</sst>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Mangal"/>
      <family val="2"/>
      <scheme val="minor"/>
    </font>
    <font>
      <sz val="12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b/>
      <sz val="11"/>
      <color rgb="FF002060"/>
      <name val="Mangal"/>
      <family val="1"/>
      <scheme val="minor"/>
    </font>
    <font>
      <sz val="14"/>
      <color theme="1"/>
      <name val="Mangal"/>
      <family val="1"/>
      <scheme val="minor"/>
    </font>
    <font>
      <b/>
      <sz val="12"/>
      <color rgb="FF002060"/>
      <name val="Mangal"/>
      <family val="1"/>
      <scheme val="minor"/>
    </font>
    <font>
      <sz val="8"/>
      <name val="Mang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49" fontId="0" fillId="0" borderId="1" xfId="0" applyNumberFormat="1" applyBorder="1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1" fontId="0" fillId="0" borderId="2" xfId="0" applyNumberFormat="1" applyBorder="1"/>
    <xf numFmtId="0" fontId="1" fillId="0" borderId="3" xfId="0" applyFont="1" applyBorder="1"/>
    <xf numFmtId="10" fontId="1" fillId="0" borderId="3" xfId="0" applyNumberFormat="1" applyFont="1" applyBorder="1"/>
    <xf numFmtId="10" fontId="0" fillId="0" borderId="2" xfId="0" applyNumberFormat="1" applyBorder="1"/>
    <xf numFmtId="10" fontId="0" fillId="0" borderId="1" xfId="0" applyNumberFormat="1" applyBorder="1"/>
    <xf numFmtId="10" fontId="0" fillId="0" borderId="0" xfId="0" applyNumberFormat="1"/>
    <xf numFmtId="1" fontId="1" fillId="0" borderId="3" xfId="0" applyNumberFormat="1" applyFont="1" applyBorder="1"/>
    <xf numFmtId="49" fontId="1" fillId="0" borderId="3" xfId="0" applyNumberFormat="1" applyFont="1" applyBorder="1"/>
    <xf numFmtId="49" fontId="0" fillId="0" borderId="2" xfId="0" applyNumberFormat="1" applyBorder="1"/>
    <xf numFmtId="2" fontId="1" fillId="0" borderId="4" xfId="0" applyNumberFormat="1" applyFont="1" applyBorder="1"/>
    <xf numFmtId="2" fontId="0" fillId="0" borderId="5" xfId="0" applyNumberFormat="1" applyBorder="1"/>
    <xf numFmtId="2" fontId="0" fillId="0" borderId="6" xfId="0" applyNumberFormat="1" applyBorder="1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Border="1" applyAlignment="1"/>
    <xf numFmtId="0" fontId="0" fillId="0" borderId="0" xfId="0" applyBorder="1" applyAlignment="1"/>
    <xf numFmtId="0" fontId="2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0" xfId="0" applyBorder="1"/>
    <xf numFmtId="0" fontId="2" fillId="0" borderId="10" xfId="0" applyFont="1" applyBorder="1" applyAlignment="1">
      <alignment horizontal="center"/>
    </xf>
    <xf numFmtId="0" fontId="0" fillId="0" borderId="1" xfId="0" pivotButton="1" applyBorder="1"/>
    <xf numFmtId="2" fontId="0" fillId="0" borderId="1" xfId="0" applyNumberForma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0" fontId="1" fillId="3" borderId="3" xfId="0" applyNumberFormat="1" applyFont="1" applyFill="1" applyBorder="1"/>
    <xf numFmtId="10" fontId="0" fillId="4" borderId="1" xfId="0" applyNumberFormat="1" applyFill="1" applyBorder="1"/>
    <xf numFmtId="10" fontId="0" fillId="5" borderId="1" xfId="0" applyNumberFormat="1" applyFill="1" applyBorder="1"/>
    <xf numFmtId="0" fontId="0" fillId="0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pivotButton="1" applyBorder="1"/>
    <xf numFmtId="0" fontId="0" fillId="0" borderId="2" xfId="0" applyBorder="1"/>
    <xf numFmtId="2" fontId="2" fillId="0" borderId="1" xfId="0" applyNumberFormat="1" applyFont="1" applyBorder="1"/>
  </cellXfs>
  <cellStyles count="1">
    <cellStyle name="Normal" xfId="0" builtinId="0"/>
  </cellStyles>
  <dxfs count="66"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5.915983449071" createdVersion="8" refreshedVersion="8" minRefreshableVersion="3" recordCount="100" xr:uid="{0710E2D6-A4FE-4479-B52C-CD1C1AD14D1C}">
  <cacheSource type="worksheet">
    <worksheetSource name="Raw_Data34"/>
  </cacheSource>
  <cacheFields count="14">
    <cacheField name="Student_ID" numFmtId="49">
      <sharedItems/>
    </cacheField>
    <cacheField name="Gender" numFmtId="49">
      <sharedItems/>
    </cacheField>
    <cacheField name="Age" numFmtId="1">
      <sharedItems containsSemiMixedTypes="0" containsString="0" containsNumber="1" containsInteger="1" minValue="18" maxValue="22"/>
    </cacheField>
    <cacheField name="Attendance_%" numFmtId="2">
      <sharedItems containsSemiMixedTypes="0" containsString="0" containsNumber="1" minValue="55.8" maxValue="100" count="87">
        <n v="87"/>
        <n v="80.599999999999994"/>
        <n v="88.5"/>
        <n v="97.2"/>
        <n v="79.7"/>
        <n v="97.8"/>
        <n v="89.7"/>
        <n v="77.3"/>
        <n v="87.4"/>
        <n v="77.400000000000006"/>
        <n v="84.4"/>
        <n v="62.9"/>
        <n v="64.8"/>
        <n v="76.400000000000006"/>
        <n v="71.900000000000006"/>
        <n v="85.1"/>
        <n v="72.900000000000006"/>
        <n v="67.900000000000006"/>
        <n v="96.7"/>
        <n v="82.7"/>
        <n v="67.8"/>
        <n v="76.599999999999994"/>
        <n v="83.1"/>
        <n v="70.5"/>
        <n v="85.8"/>
        <n v="76"/>
        <n v="79.099999999999994"/>
        <n v="100"/>
        <n v="81.900000000000006"/>
        <n v="71.400000000000006"/>
        <n v="90.2"/>
        <n v="69.8"/>
        <n v="84.1"/>
        <n v="62.4"/>
        <n v="68.7"/>
        <n v="84"/>
        <n v="89.4"/>
        <n v="83.7"/>
        <n v="80.8"/>
        <n v="79"/>
        <n v="67.2"/>
        <n v="74.8"/>
        <n v="92.6"/>
        <n v="85.4"/>
        <n v="64.400000000000006"/>
        <n v="85.2"/>
        <n v="78.099999999999994"/>
        <n v="75.2"/>
        <n v="88.1"/>
        <n v="92.3"/>
        <n v="91.3"/>
        <n v="73.599999999999994"/>
        <n v="78.900000000000006"/>
        <n v="85.3"/>
        <n v="91.8"/>
        <n v="77.2"/>
        <n v="80.099999999999994"/>
        <n v="70.900000000000006"/>
        <n v="70"/>
        <n v="90.1"/>
        <n v="95.6"/>
        <n v="81.3"/>
        <n v="92"/>
        <n v="85.6"/>
        <n v="75.5"/>
        <n v="97.4"/>
        <n v="81.599999999999994"/>
        <n v="97.6"/>
        <n v="55.8"/>
        <n v="82.9"/>
        <n v="62.1"/>
        <n v="79.8"/>
        <n v="96.8"/>
        <n v="76.8"/>
        <n v="73.900000000000006"/>
        <n v="77"/>
        <n v="91.2"/>
        <n v="76.7"/>
        <n v="87.1"/>
        <n v="83"/>
        <n v="91.7"/>
        <n v="75"/>
        <n v="78.7"/>
        <n v="67.400000000000006"/>
        <n v="85"/>
        <n v="84.6"/>
        <n v="82.1"/>
      </sharedItems>
    </cacheField>
    <cacheField name="Math_Score" numFmtId="1">
      <sharedItems containsSemiMixedTypes="0" containsString="0" containsNumber="1" containsInteger="1" minValue="33" maxValue="100"/>
    </cacheField>
    <cacheField name="Science_Score" numFmtId="1">
      <sharedItems containsSemiMixedTypes="0" containsString="0" containsNumber="1" containsInteger="1" minValue="41" maxValue="100"/>
    </cacheField>
    <cacheField name="English_Score" numFmtId="1">
      <sharedItems containsSemiMixedTypes="0" containsString="0" containsNumber="1" containsInteger="1" minValue="27" maxValue="100"/>
    </cacheField>
    <cacheField name="Result" numFmtId="1">
      <sharedItems/>
    </cacheField>
    <cacheField name="Percentage" numFmtId="10">
      <sharedItems containsSemiMixedTypes="0" containsString="0" containsNumber="1" minValue="0.39666666666666667" maxValue="0.98666666666666669"/>
    </cacheField>
    <cacheField name="Grade" numFmtId="49">
      <sharedItems/>
    </cacheField>
    <cacheField name="Total_score" numFmtId="1">
      <sharedItems containsSemiMixedTypes="0" containsString="0" containsNumber="1" containsInteger="1" minValue="119" maxValue="296" count="68">
        <n v="158"/>
        <n v="194"/>
        <n v="196"/>
        <n v="198"/>
        <n v="186"/>
        <n v="226"/>
        <n v="296"/>
        <n v="237"/>
        <n v="206"/>
        <n v="119"/>
        <n v="229"/>
        <n v="224"/>
        <n v="287"/>
        <n v="176"/>
        <n v="204"/>
        <n v="171"/>
        <n v="259"/>
        <n v="231"/>
        <n v="289"/>
        <n v="128"/>
        <n v="266"/>
        <n v="154"/>
        <n v="184"/>
        <n v="195"/>
        <n v="207"/>
        <n v="134"/>
        <n v="253"/>
        <n v="166"/>
        <n v="217"/>
        <n v="205"/>
        <n v="247"/>
        <n v="199"/>
        <n v="170"/>
        <n v="220"/>
        <n v="282"/>
        <n v="135"/>
        <n v="245"/>
        <n v="221"/>
        <n v="153"/>
        <n v="242"/>
        <n v="218"/>
        <n v="214"/>
        <n v="219"/>
        <n v="162"/>
        <n v="202"/>
        <n v="279"/>
        <n v="183"/>
        <n v="254"/>
        <n v="185"/>
        <n v="277"/>
        <n v="188"/>
        <n v="175"/>
        <n v="180"/>
        <n v="201"/>
        <n v="216"/>
        <n v="225"/>
        <n v="233"/>
        <n v="211"/>
        <n v="288"/>
        <n v="187"/>
        <n v="234"/>
        <n v="210"/>
        <n v="182"/>
        <n v="168"/>
        <n v="193"/>
        <n v="260"/>
        <n v="173"/>
        <n v="209"/>
      </sharedItems>
    </cacheField>
    <cacheField name="Average_score" numFmtId="2">
      <sharedItems containsSemiMixedTypes="0" containsString="0" containsNumber="1" minValue="39.666666666666664" maxValue="98.666666666666671"/>
    </cacheField>
    <cacheField name="Rank" numFmtId="0">
      <sharedItems containsSemiMixedTypes="0" containsString="0" containsNumber="1" containsInteger="1" minValue="205" maxValue="689"/>
    </cacheField>
    <cacheField name="Attendance_Category" numFmtId="0">
      <sharedItems count="3">
        <s v="Good"/>
        <s v="Excellent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5.974263310185" createdVersion="8" refreshedVersion="8" minRefreshableVersion="3" recordCount="100" xr:uid="{886E2C80-AEA9-4186-8EB4-7E6A8F4F12BB}">
  <cacheSource type="worksheet">
    <worksheetSource name="Raw_Data346"/>
  </cacheSource>
  <cacheFields count="14">
    <cacheField name="Student_ID" numFmtId="49">
      <sharedItems count="100">
        <s v="STU001"/>
        <s v="STU002"/>
        <s v="STU003"/>
        <s v="STU004"/>
        <s v="STU005"/>
        <s v="STU006"/>
        <s v="STU007"/>
        <s v="STU008"/>
        <s v="STU009"/>
        <s v="STU010"/>
        <s v="STU011"/>
        <s v="STU012"/>
        <s v="STU013"/>
        <s v="STU014"/>
        <s v="STU015"/>
        <s v="STU016"/>
        <s v="STU017"/>
        <s v="STU018"/>
        <s v="STU019"/>
        <s v="STU020"/>
        <s v="STU021"/>
        <s v="STU022"/>
        <s v="STU023"/>
        <s v="STU024"/>
        <s v="STU025"/>
        <s v="STU026"/>
        <s v="STU027"/>
        <s v="STU028"/>
        <s v="STU029"/>
        <s v="STU030"/>
        <s v="STU031"/>
        <s v="STU032"/>
        <s v="STU033"/>
        <s v="STU034"/>
        <s v="STU035"/>
        <s v="STU036"/>
        <s v="STU037"/>
        <s v="STU038"/>
        <s v="STU039"/>
        <s v="STU040"/>
        <s v="STU041"/>
        <s v="STU042"/>
        <s v="STU043"/>
        <s v="STU044"/>
        <s v="STU045"/>
        <s v="STU046"/>
        <s v="STU047"/>
        <s v="STU048"/>
        <s v="STU049"/>
        <s v="STU050"/>
        <s v="STU051"/>
        <s v="STU052"/>
        <s v="STU053"/>
        <s v="STU054"/>
        <s v="STU055"/>
        <s v="STU056"/>
        <s v="STU057"/>
        <s v="STU058"/>
        <s v="STU059"/>
        <s v="STU060"/>
        <s v="STU061"/>
        <s v="STU062"/>
        <s v="STU063"/>
        <s v="STU064"/>
        <s v="STU065"/>
        <s v="STU066"/>
        <s v="STU067"/>
        <s v="STU068"/>
        <s v="STU069"/>
        <s v="STU070"/>
        <s v="STU071"/>
        <s v="STU072"/>
        <s v="STU073"/>
        <s v="STU074"/>
        <s v="STU075"/>
        <s v="STU076"/>
        <s v="STU077"/>
        <s v="STU078"/>
        <s v="STU079"/>
        <s v="STU080"/>
        <s v="STU081"/>
        <s v="STU082"/>
        <s v="STU083"/>
        <s v="STU084"/>
        <s v="STU085"/>
        <s v="STU086"/>
        <s v="STU087"/>
        <s v="STU088"/>
        <s v="STU089"/>
        <s v="STU090"/>
        <s v="STU091"/>
        <s v="STU092"/>
        <s v="STU093"/>
        <s v="STU094"/>
        <s v="STU095"/>
        <s v="STU096"/>
        <s v="STU097"/>
        <s v="STU098"/>
        <s v="STU099"/>
        <s v="STU100"/>
      </sharedItems>
    </cacheField>
    <cacheField name="Gender" numFmtId="49">
      <sharedItems/>
    </cacheField>
    <cacheField name="Age" numFmtId="1">
      <sharedItems containsSemiMixedTypes="0" containsString="0" containsNumber="1" containsInteger="1" minValue="18" maxValue="22"/>
    </cacheField>
    <cacheField name="Attendance_%" numFmtId="2">
      <sharedItems containsSemiMixedTypes="0" containsString="0" containsNumber="1" minValue="55.8" maxValue="100"/>
    </cacheField>
    <cacheField name="Math_Score" numFmtId="1">
      <sharedItems containsSemiMixedTypes="0" containsString="0" containsNumber="1" containsInteger="1" minValue="33" maxValue="100"/>
    </cacheField>
    <cacheField name="Science_Score" numFmtId="1">
      <sharedItems containsSemiMixedTypes="0" containsString="0" containsNumber="1" containsInteger="1" minValue="41" maxValue="100"/>
    </cacheField>
    <cacheField name="English_Score" numFmtId="1">
      <sharedItems containsSemiMixedTypes="0" containsString="0" containsNumber="1" containsInteger="1" minValue="27" maxValue="100"/>
    </cacheField>
    <cacheField name="Result" numFmtId="1">
      <sharedItems/>
    </cacheField>
    <cacheField name="Percentage" numFmtId="10">
      <sharedItems containsSemiMixedTypes="0" containsString="0" containsNumber="1" minValue="0.39666666666666667" maxValue="0.98666666666666669"/>
    </cacheField>
    <cacheField name="Grade" numFmtId="49">
      <sharedItems/>
    </cacheField>
    <cacheField name="Total_score" numFmtId="1">
      <sharedItems containsSemiMixedTypes="0" containsString="0" containsNumber="1" containsInteger="1" minValue="119" maxValue="296"/>
    </cacheField>
    <cacheField name="Average_score" numFmtId="2">
      <sharedItems containsSemiMixedTypes="0" containsString="0" containsNumber="1" minValue="39.666666666666664" maxValue="98.666666666666671" count="68">
        <n v="52.666666666666664"/>
        <n v="64.666666666666671"/>
        <n v="65.333333333333329"/>
        <n v="66"/>
        <n v="62"/>
        <n v="75.333333333333329"/>
        <n v="98.666666666666671"/>
        <n v="79"/>
        <n v="68.666666666666671"/>
        <n v="39.666666666666664"/>
        <n v="76.333333333333329"/>
        <n v="74.666666666666671"/>
        <n v="95.666666666666671"/>
        <n v="58.666666666666664"/>
        <n v="68"/>
        <n v="57"/>
        <n v="86.333333333333329"/>
        <n v="77"/>
        <n v="96.333333333333329"/>
        <n v="42.666666666666664"/>
        <n v="88.666666666666671"/>
        <n v="51.333333333333336"/>
        <n v="61.333333333333336"/>
        <n v="65"/>
        <n v="69"/>
        <n v="44.666666666666664"/>
        <n v="84.333333333333329"/>
        <n v="55.333333333333336"/>
        <n v="72.333333333333329"/>
        <n v="68.333333333333329"/>
        <n v="82.333333333333329"/>
        <n v="66.333333333333329"/>
        <n v="56.666666666666664"/>
        <n v="73.333333333333329"/>
        <n v="94"/>
        <n v="45"/>
        <n v="81.666666666666671"/>
        <n v="73.666666666666671"/>
        <n v="51"/>
        <n v="80.666666666666671"/>
        <n v="72.666666666666671"/>
        <n v="71.333333333333329"/>
        <n v="73"/>
        <n v="54"/>
        <n v="67.333333333333329"/>
        <n v="93"/>
        <n v="61"/>
        <n v="84.666666666666671"/>
        <n v="61.666666666666664"/>
        <n v="92.333333333333329"/>
        <n v="62.666666666666664"/>
        <n v="58.333333333333336"/>
        <n v="60"/>
        <n v="67"/>
        <n v="72"/>
        <n v="75"/>
        <n v="77.666666666666671"/>
        <n v="70.333333333333329"/>
        <n v="96"/>
        <n v="62.333333333333336"/>
        <n v="78"/>
        <n v="70"/>
        <n v="60.666666666666664"/>
        <n v="56"/>
        <n v="64.333333333333329"/>
        <n v="86.666666666666671"/>
        <n v="57.666666666666664"/>
        <n v="69.666666666666671"/>
      </sharedItems>
    </cacheField>
    <cacheField name="Rank" numFmtId="0">
      <sharedItems containsSemiMixedTypes="0" containsString="0" containsNumber="1" containsInteger="1" minValue="205" maxValue="689"/>
    </cacheField>
    <cacheField name="Attendance_Category" numFmtId="0">
      <sharedItems count="3">
        <s v="Good"/>
        <s v="Excellent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TU001"/>
    <s v="Male"/>
    <n v="18"/>
    <x v="0"/>
    <n v="60"/>
    <n v="41"/>
    <n v="57"/>
    <s v="Pass"/>
    <n v="0.52666666666666662"/>
    <s v="D"/>
    <x v="0"/>
    <n v="52.666666666666664"/>
    <n v="243"/>
    <x v="0"/>
  </r>
  <r>
    <s v="STU002"/>
    <s v="Male"/>
    <n v="21"/>
    <x v="1"/>
    <n v="59"/>
    <n v="68"/>
    <n v="67"/>
    <s v="Pass"/>
    <n v="0.64666666666666661"/>
    <s v="C"/>
    <x v="1"/>
    <n v="64.666666666666671"/>
    <n v="340"/>
    <x v="0"/>
  </r>
  <r>
    <s v="STU003"/>
    <s v="Female"/>
    <n v="22"/>
    <x v="2"/>
    <n v="53"/>
    <n v="76"/>
    <n v="67"/>
    <s v="Pass"/>
    <n v="0.65333333333333332"/>
    <s v="C"/>
    <x v="2"/>
    <n v="65.333333333333329"/>
    <n v="353"/>
    <x v="0"/>
  </r>
  <r>
    <s v="STU004"/>
    <s v="Male"/>
    <n v="18"/>
    <x v="3"/>
    <n v="55"/>
    <n v="78"/>
    <n v="65"/>
    <s v="Pass"/>
    <n v="0.66"/>
    <s v="C"/>
    <x v="3"/>
    <n v="66"/>
    <n v="354"/>
    <x v="1"/>
  </r>
  <r>
    <s v="STU005"/>
    <s v="Female"/>
    <n v="19"/>
    <x v="4"/>
    <n v="62"/>
    <n v="59"/>
    <n v="65"/>
    <s v="Pass"/>
    <n v="0.62"/>
    <s v="C"/>
    <x v="4"/>
    <n v="62"/>
    <n v="308"/>
    <x v="0"/>
  </r>
  <r>
    <s v="STU006"/>
    <s v="Female"/>
    <n v="19"/>
    <x v="4"/>
    <n v="85"/>
    <n v="70"/>
    <n v="71"/>
    <s v="Pass"/>
    <n v="0.7533333333333333"/>
    <s v="B"/>
    <x v="5"/>
    <n v="75.333333333333329"/>
    <n v="481"/>
    <x v="0"/>
  </r>
  <r>
    <s v="STU007"/>
    <s v="Female"/>
    <n v="18"/>
    <x v="5"/>
    <n v="100"/>
    <n v="99"/>
    <n v="97"/>
    <s v="Pass"/>
    <n v="0.98666666666666669"/>
    <s v="A+"/>
    <x v="6"/>
    <n v="98.666666666666671"/>
    <n v="689"/>
    <x v="1"/>
  </r>
  <r>
    <s v="STU008"/>
    <s v="Male"/>
    <n v="19"/>
    <x v="6"/>
    <n v="72"/>
    <n v="92"/>
    <n v="73"/>
    <s v="Pass"/>
    <n v="0.79"/>
    <s v="B"/>
    <x v="7"/>
    <n v="79"/>
    <n v="533"/>
    <x v="0"/>
  </r>
  <r>
    <s v="STU009"/>
    <s v="Male"/>
    <n v="18"/>
    <x v="7"/>
    <n v="68"/>
    <n v="71"/>
    <n v="67"/>
    <s v="Pass"/>
    <n v="0.68666666666666665"/>
    <s v="C"/>
    <x v="8"/>
    <n v="68.666666666666671"/>
    <n v="392"/>
    <x v="0"/>
  </r>
  <r>
    <s v="STU010"/>
    <s v="Female"/>
    <n v="22"/>
    <x v="8"/>
    <n v="74"/>
    <n v="84"/>
    <n v="68"/>
    <s v="Pass"/>
    <n v="0.7533333333333333"/>
    <s v="B"/>
    <x v="5"/>
    <n v="75.333333333333329"/>
    <n v="481"/>
    <x v="0"/>
  </r>
  <r>
    <s v="STU011"/>
    <s v="Female"/>
    <n v="22"/>
    <x v="9"/>
    <n v="46"/>
    <n v="46"/>
    <n v="27"/>
    <s v="Fail"/>
    <n v="0.39666666666666667"/>
    <s v="Fail"/>
    <x v="9"/>
    <n v="39.666666666666664"/>
    <n v="205"/>
    <x v="0"/>
  </r>
  <r>
    <s v="STU012"/>
    <s v="Male"/>
    <n v="18"/>
    <x v="7"/>
    <n v="77"/>
    <n v="77"/>
    <n v="75"/>
    <s v="Pass"/>
    <n v="0.76333333333333331"/>
    <s v="B"/>
    <x v="10"/>
    <n v="76.333333333333329"/>
    <n v="499"/>
    <x v="0"/>
  </r>
  <r>
    <s v="STU013"/>
    <s v="Female"/>
    <n v="22"/>
    <x v="10"/>
    <n v="68"/>
    <n v="80"/>
    <n v="76"/>
    <s v="Pass"/>
    <n v="0.7466666666666667"/>
    <s v="B"/>
    <x v="11"/>
    <n v="74.666666666666671"/>
    <n v="462"/>
    <x v="0"/>
  </r>
  <r>
    <s v="STU014"/>
    <s v="Male"/>
    <n v="22"/>
    <x v="11"/>
    <n v="100"/>
    <n v="93"/>
    <n v="94"/>
    <s v="Pass"/>
    <n v="0.95666666666666667"/>
    <s v="A+"/>
    <x v="12"/>
    <n v="95.666666666666671"/>
    <n v="674"/>
    <x v="2"/>
  </r>
  <r>
    <s v="STU015"/>
    <s v="Female"/>
    <n v="22"/>
    <x v="12"/>
    <n v="60"/>
    <n v="51"/>
    <n v="65"/>
    <s v="Pass"/>
    <n v="0.58666666666666667"/>
    <s v="D"/>
    <x v="13"/>
    <n v="58.666666666666664"/>
    <n v="280"/>
    <x v="2"/>
  </r>
  <r>
    <s v="STU016"/>
    <s v="Male"/>
    <n v="20"/>
    <x v="13"/>
    <n v="80"/>
    <n v="68"/>
    <n v="76"/>
    <s v="Pass"/>
    <n v="0.7466666666666667"/>
    <s v="B"/>
    <x v="11"/>
    <n v="74.666666666666671"/>
    <n v="462"/>
    <x v="0"/>
  </r>
  <r>
    <s v="STU017"/>
    <s v="Female"/>
    <n v="21"/>
    <x v="14"/>
    <n v="64"/>
    <n v="78"/>
    <n v="62"/>
    <s v="Pass"/>
    <n v="0.68"/>
    <s v="C"/>
    <x v="14"/>
    <n v="68"/>
    <n v="378"/>
    <x v="2"/>
  </r>
  <r>
    <s v="STU018"/>
    <s v="Male"/>
    <n v="19"/>
    <x v="15"/>
    <n v="52"/>
    <n v="64"/>
    <n v="55"/>
    <s v="Pass"/>
    <n v="0.56999999999999995"/>
    <s v="D"/>
    <x v="15"/>
    <n v="57"/>
    <n v="269"/>
    <x v="0"/>
  </r>
  <r>
    <s v="STU019"/>
    <s v="Female"/>
    <n v="20"/>
    <x v="16"/>
    <n v="98"/>
    <n v="75"/>
    <n v="86"/>
    <s v="Pass"/>
    <n v="0.86333333333333329"/>
    <s v="A"/>
    <x v="16"/>
    <n v="86.333333333333329"/>
    <n v="623"/>
    <x v="2"/>
  </r>
  <r>
    <s v="STU020"/>
    <s v="Male"/>
    <n v="22"/>
    <x v="17"/>
    <n v="84"/>
    <n v="70"/>
    <n v="77"/>
    <s v="Pass"/>
    <n v="0.77"/>
    <s v="B"/>
    <x v="17"/>
    <n v="77"/>
    <n v="504"/>
    <x v="2"/>
  </r>
  <r>
    <s v="STU021"/>
    <s v="Male"/>
    <n v="18"/>
    <x v="18"/>
    <n v="69"/>
    <n v="68"/>
    <n v="100"/>
    <s v="Pass"/>
    <n v="0.79"/>
    <s v="B"/>
    <x v="7"/>
    <n v="79"/>
    <n v="533"/>
    <x v="1"/>
  </r>
  <r>
    <s v="STU022"/>
    <s v="Female"/>
    <n v="22"/>
    <x v="4"/>
    <n v="55"/>
    <n v="70"/>
    <n v="73"/>
    <s v="Pass"/>
    <n v="0.66"/>
    <s v="C"/>
    <x v="3"/>
    <n v="66"/>
    <n v="354"/>
    <x v="0"/>
  </r>
  <r>
    <s v="STU023"/>
    <s v="Female"/>
    <n v="21"/>
    <x v="19"/>
    <n v="99"/>
    <n v="94"/>
    <n v="96"/>
    <s v="Pass"/>
    <n v="0.96333333333333337"/>
    <s v="A+"/>
    <x v="18"/>
    <n v="96.333333333333329"/>
    <n v="679"/>
    <x v="0"/>
  </r>
  <r>
    <s v="STU024"/>
    <s v="Male"/>
    <n v="22"/>
    <x v="20"/>
    <n v="38"/>
    <n v="46"/>
    <n v="44"/>
    <s v="Fail"/>
    <n v="0.42666666666666669"/>
    <s v="Fail"/>
    <x v="19"/>
    <n v="42.666666666666664"/>
    <n v="209"/>
    <x v="2"/>
  </r>
  <r>
    <s v="STU025"/>
    <s v="Female"/>
    <n v="18"/>
    <x v="21"/>
    <n v="83"/>
    <n v="76"/>
    <n v="72"/>
    <s v="Pass"/>
    <n v="0.77"/>
    <s v="B"/>
    <x v="17"/>
    <n v="77"/>
    <n v="504"/>
    <x v="0"/>
  </r>
  <r>
    <s v="STU026"/>
    <s v="Male"/>
    <n v="21"/>
    <x v="22"/>
    <n v="100"/>
    <n v="76"/>
    <n v="90"/>
    <s v="Pass"/>
    <n v="0.88666666666666671"/>
    <s v="A"/>
    <x v="20"/>
    <n v="88.666666666666671"/>
    <n v="636"/>
    <x v="0"/>
  </r>
  <r>
    <s v="STU027"/>
    <s v="Female"/>
    <n v="22"/>
    <x v="23"/>
    <n v="48"/>
    <n v="48"/>
    <n v="58"/>
    <s v="Pass"/>
    <n v="0.51333333333333331"/>
    <s v="D"/>
    <x v="21"/>
    <n v="51.333333333333336"/>
    <n v="236"/>
    <x v="2"/>
  </r>
  <r>
    <s v="STU028"/>
    <s v="Male"/>
    <n v="21"/>
    <x v="24"/>
    <n v="65"/>
    <n v="75"/>
    <n v="44"/>
    <s v="Pass"/>
    <n v="0.61333333333333329"/>
    <s v="C"/>
    <x v="22"/>
    <n v="61.333333333333336"/>
    <n v="305"/>
    <x v="0"/>
  </r>
  <r>
    <s v="STU029"/>
    <s v="Male"/>
    <n v="19"/>
    <x v="25"/>
    <n v="51"/>
    <n v="77"/>
    <n v="67"/>
    <s v="Pass"/>
    <n v="0.65"/>
    <s v="C"/>
    <x v="23"/>
    <n v="65"/>
    <n v="342"/>
    <x v="0"/>
  </r>
  <r>
    <s v="STU030"/>
    <s v="Male"/>
    <n v="19"/>
    <x v="26"/>
    <n v="80"/>
    <n v="65"/>
    <n v="62"/>
    <s v="Pass"/>
    <n v="0.69"/>
    <s v="C"/>
    <x v="24"/>
    <n v="69"/>
    <n v="395"/>
    <x v="0"/>
  </r>
  <r>
    <s v="STU031"/>
    <s v="Male"/>
    <n v="22"/>
    <x v="25"/>
    <n v="47"/>
    <n v="48"/>
    <n v="39"/>
    <s v="Fail"/>
    <n v="0.44666666666666666"/>
    <s v="Fail"/>
    <x v="25"/>
    <n v="44.666666666666664"/>
    <n v="214"/>
    <x v="0"/>
  </r>
  <r>
    <s v="STU032"/>
    <s v="Male"/>
    <n v="21"/>
    <x v="27"/>
    <n v="85"/>
    <n v="83"/>
    <n v="85"/>
    <s v="Pass"/>
    <n v="0.84333333333333338"/>
    <s v="A"/>
    <x v="26"/>
    <n v="84.333333333333329"/>
    <n v="595"/>
    <x v="1"/>
  </r>
  <r>
    <s v="STU033"/>
    <s v="Male"/>
    <n v="18"/>
    <x v="28"/>
    <n v="63"/>
    <n v="53"/>
    <n v="50"/>
    <s v="Pass"/>
    <n v="0.55333333333333334"/>
    <s v="D"/>
    <x v="27"/>
    <n v="55.333333333333336"/>
    <n v="257"/>
    <x v="0"/>
  </r>
  <r>
    <s v="STU034"/>
    <s v="Female"/>
    <n v="22"/>
    <x v="29"/>
    <n v="85"/>
    <n v="56"/>
    <n v="76"/>
    <s v="Pass"/>
    <n v="0.72333333333333338"/>
    <s v="B"/>
    <x v="28"/>
    <n v="72.333333333333329"/>
    <n v="433"/>
    <x v="2"/>
  </r>
  <r>
    <s v="STU035"/>
    <s v="Female"/>
    <n v="19"/>
    <x v="30"/>
    <n v="59"/>
    <n v="60"/>
    <n v="86"/>
    <s v="Pass"/>
    <n v="0.68333333333333335"/>
    <s v="C"/>
    <x v="29"/>
    <n v="68.333333333333329"/>
    <n v="390"/>
    <x v="1"/>
  </r>
  <r>
    <s v="STU036"/>
    <s v="Female"/>
    <n v="19"/>
    <x v="31"/>
    <n v="87"/>
    <n v="87"/>
    <n v="73"/>
    <s v="Pass"/>
    <n v="0.82333333333333336"/>
    <s v="A"/>
    <x v="30"/>
    <n v="82.333333333333329"/>
    <n v="572"/>
    <x v="2"/>
  </r>
  <r>
    <s v="STU037"/>
    <s v="Male"/>
    <n v="22"/>
    <x v="32"/>
    <n v="67"/>
    <n v="70"/>
    <n v="62"/>
    <s v="Pass"/>
    <n v="0.66333333333333333"/>
    <s v="C"/>
    <x v="31"/>
    <n v="66.333333333333329"/>
    <n v="361"/>
    <x v="0"/>
  </r>
  <r>
    <s v="STU038"/>
    <s v="Male"/>
    <n v="21"/>
    <x v="33"/>
    <n v="68"/>
    <n v="45"/>
    <n v="58"/>
    <s v="Pass"/>
    <n v="0.56999999999999995"/>
    <s v="D"/>
    <x v="15"/>
    <n v="57"/>
    <n v="269"/>
    <x v="2"/>
  </r>
  <r>
    <s v="STU039"/>
    <s v="Male"/>
    <n v="19"/>
    <x v="34"/>
    <n v="86"/>
    <n v="73"/>
    <n v="72"/>
    <s v="Pass"/>
    <n v="0.77"/>
    <s v="B"/>
    <x v="17"/>
    <n v="77"/>
    <n v="504"/>
    <x v="2"/>
  </r>
  <r>
    <s v="STU040"/>
    <s v="Male"/>
    <n v="21"/>
    <x v="35"/>
    <n v="52"/>
    <n v="54"/>
    <n v="64"/>
    <s v="Pass"/>
    <n v="0.56666666666666665"/>
    <s v="D"/>
    <x v="32"/>
    <n v="56.666666666666664"/>
    <n v="266"/>
    <x v="0"/>
  </r>
  <r>
    <s v="STU041"/>
    <s v="Female"/>
    <n v="19"/>
    <x v="36"/>
    <n v="70"/>
    <n v="64"/>
    <n v="86"/>
    <s v="Pass"/>
    <n v="0.73333333333333328"/>
    <s v="B"/>
    <x v="33"/>
    <n v="73.333333333333329"/>
    <n v="452"/>
    <x v="0"/>
  </r>
  <r>
    <s v="STU042"/>
    <s v="Female"/>
    <n v="19"/>
    <x v="37"/>
    <n v="99"/>
    <n v="89"/>
    <n v="94"/>
    <s v="Pass"/>
    <n v="0.94"/>
    <s v="A+"/>
    <x v="34"/>
    <n v="94"/>
    <n v="666"/>
    <x v="0"/>
  </r>
  <r>
    <s v="STU043"/>
    <s v="Male"/>
    <n v="20"/>
    <x v="38"/>
    <n v="33"/>
    <n v="56"/>
    <n v="46"/>
    <s v="Fail"/>
    <n v="0.45"/>
    <s v="Fail"/>
    <x v="35"/>
    <n v="45"/>
    <n v="215"/>
    <x v="0"/>
  </r>
  <r>
    <s v="STU044"/>
    <s v="Female"/>
    <n v="19"/>
    <x v="39"/>
    <n v="86"/>
    <n v="67"/>
    <n v="92"/>
    <s v="Pass"/>
    <n v="0.81666666666666665"/>
    <s v="A"/>
    <x v="36"/>
    <n v="81.666666666666671"/>
    <n v="563"/>
    <x v="0"/>
  </r>
  <r>
    <s v="STU045"/>
    <s v="Female"/>
    <n v="18"/>
    <x v="40"/>
    <n v="66"/>
    <n v="85"/>
    <n v="55"/>
    <s v="Pass"/>
    <n v="0.68666666666666665"/>
    <s v="C"/>
    <x v="8"/>
    <n v="68.666666666666671"/>
    <n v="392"/>
    <x v="2"/>
  </r>
  <r>
    <s v="STU046"/>
    <s v="Male"/>
    <n v="22"/>
    <x v="41"/>
    <n v="78"/>
    <n v="73"/>
    <n v="70"/>
    <s v="Pass"/>
    <n v="0.73666666666666669"/>
    <s v="B"/>
    <x v="37"/>
    <n v="73.666666666666671"/>
    <n v="454"/>
    <x v="2"/>
  </r>
  <r>
    <s v="STU047"/>
    <s v="Female"/>
    <n v="22"/>
    <x v="9"/>
    <n v="48"/>
    <n v="48"/>
    <n v="57"/>
    <s v="Pass"/>
    <n v="0.51"/>
    <s v="D"/>
    <x v="38"/>
    <n v="51"/>
    <n v="233"/>
    <x v="0"/>
  </r>
  <r>
    <s v="STU048"/>
    <s v="Male"/>
    <n v="21"/>
    <x v="42"/>
    <n v="58"/>
    <n v="52"/>
    <n v="60"/>
    <s v="Pass"/>
    <n v="0.56666666666666665"/>
    <s v="D"/>
    <x v="32"/>
    <n v="56.666666666666664"/>
    <n v="266"/>
    <x v="1"/>
  </r>
  <r>
    <s v="STU049"/>
    <s v="Female"/>
    <n v="19"/>
    <x v="43"/>
    <n v="90"/>
    <n v="69"/>
    <n v="83"/>
    <s v="Pass"/>
    <n v="0.80666666666666664"/>
    <s v="A"/>
    <x v="39"/>
    <n v="80.666666666666671"/>
    <n v="554"/>
    <x v="0"/>
  </r>
  <r>
    <s v="STU050"/>
    <s v="Male"/>
    <n v="18"/>
    <x v="44"/>
    <n v="75"/>
    <n v="61"/>
    <n v="82"/>
    <s v="Pass"/>
    <n v="0.72666666666666668"/>
    <s v="B"/>
    <x v="40"/>
    <n v="72.666666666666671"/>
    <n v="436"/>
    <x v="2"/>
  </r>
  <r>
    <s v="STU051"/>
    <s v="Male"/>
    <n v="21"/>
    <x v="45"/>
    <n v="79"/>
    <n v="60"/>
    <n v="75"/>
    <s v="Pass"/>
    <n v="0.71333333333333337"/>
    <s v="B"/>
    <x v="41"/>
    <n v="71.333333333333329"/>
    <n v="421"/>
    <x v="0"/>
  </r>
  <r>
    <s v="STU052"/>
    <s v="Male"/>
    <n v="20"/>
    <x v="46"/>
    <n v="74"/>
    <n v="70"/>
    <n v="75"/>
    <s v="Pass"/>
    <n v="0.73"/>
    <s v="B"/>
    <x v="42"/>
    <n v="73"/>
    <n v="440"/>
    <x v="0"/>
  </r>
  <r>
    <s v="STU053"/>
    <s v="Male"/>
    <n v="21"/>
    <x v="47"/>
    <n v="47"/>
    <n v="59"/>
    <n v="56"/>
    <s v="Pass"/>
    <n v="0.54"/>
    <s v="D"/>
    <x v="43"/>
    <n v="54"/>
    <n v="247"/>
    <x v="0"/>
  </r>
  <r>
    <s v="STU054"/>
    <s v="Female"/>
    <n v="21"/>
    <x v="48"/>
    <n v="68"/>
    <n v="53"/>
    <n v="81"/>
    <s v="Pass"/>
    <n v="0.67333333333333334"/>
    <s v="C"/>
    <x v="44"/>
    <n v="67.333333333333329"/>
    <n v="373"/>
    <x v="0"/>
  </r>
  <r>
    <s v="STU055"/>
    <s v="Male"/>
    <n v="19"/>
    <x v="49"/>
    <n v="75"/>
    <n v="75"/>
    <n v="76"/>
    <s v="Pass"/>
    <n v="0.7533333333333333"/>
    <s v="B"/>
    <x v="5"/>
    <n v="75.333333333333329"/>
    <n v="481"/>
    <x v="1"/>
  </r>
  <r>
    <s v="STU056"/>
    <s v="Male"/>
    <n v="20"/>
    <x v="50"/>
    <n v="70"/>
    <n v="64"/>
    <n v="64"/>
    <s v="Pass"/>
    <n v="0.66"/>
    <s v="C"/>
    <x v="3"/>
    <n v="66"/>
    <n v="354"/>
    <x v="1"/>
  </r>
  <r>
    <s v="STU057"/>
    <s v="Male"/>
    <n v="21"/>
    <x v="51"/>
    <n v="91"/>
    <n v="93"/>
    <n v="95"/>
    <s v="Pass"/>
    <n v="0.93"/>
    <s v="A+"/>
    <x v="45"/>
    <n v="93"/>
    <n v="662"/>
    <x v="2"/>
  </r>
  <r>
    <s v="STU058"/>
    <s v="Female"/>
    <n v="18"/>
    <x v="52"/>
    <n v="84"/>
    <n v="84"/>
    <n v="85"/>
    <s v="Pass"/>
    <n v="0.84333333333333338"/>
    <s v="A"/>
    <x v="26"/>
    <n v="84.333333333333329"/>
    <n v="595"/>
    <x v="0"/>
  </r>
  <r>
    <s v="STU059"/>
    <s v="Male"/>
    <n v="18"/>
    <x v="53"/>
    <n v="62"/>
    <n v="63"/>
    <n v="41"/>
    <s v="Pass"/>
    <n v="0.55333333333333334"/>
    <s v="D"/>
    <x v="27"/>
    <n v="55.333333333333336"/>
    <n v="257"/>
    <x v="0"/>
  </r>
  <r>
    <s v="STU060"/>
    <s v="Female"/>
    <n v="22"/>
    <x v="54"/>
    <n v="82"/>
    <n v="74"/>
    <n v="86"/>
    <s v="Pass"/>
    <n v="0.80666666666666664"/>
    <s v="A"/>
    <x v="39"/>
    <n v="80.666666666666671"/>
    <n v="554"/>
    <x v="1"/>
  </r>
  <r>
    <s v="STU061"/>
    <s v="Male"/>
    <n v="20"/>
    <x v="55"/>
    <n v="78"/>
    <n v="49"/>
    <n v="56"/>
    <s v="Pass"/>
    <n v="0.61"/>
    <s v="C"/>
    <x v="46"/>
    <n v="61"/>
    <n v="301"/>
    <x v="0"/>
  </r>
  <r>
    <s v="STU062"/>
    <s v="Female"/>
    <n v="20"/>
    <x v="56"/>
    <n v="83"/>
    <n v="83"/>
    <n v="88"/>
    <s v="Pass"/>
    <n v="0.84666666666666668"/>
    <s v="A"/>
    <x v="47"/>
    <n v="84.666666666666671"/>
    <n v="599"/>
    <x v="0"/>
  </r>
  <r>
    <s v="STU063"/>
    <s v="Female"/>
    <n v="22"/>
    <x v="57"/>
    <n v="77"/>
    <n v="74"/>
    <n v="80"/>
    <s v="Pass"/>
    <n v="0.77"/>
    <s v="B"/>
    <x v="17"/>
    <n v="77"/>
    <n v="504"/>
    <x v="2"/>
  </r>
  <r>
    <s v="STU064"/>
    <s v="Male"/>
    <n v="21"/>
    <x v="58"/>
    <n v="73"/>
    <n v="44"/>
    <n v="68"/>
    <s v="Pass"/>
    <n v="0.6166666666666667"/>
    <s v="C"/>
    <x v="48"/>
    <n v="61.666666666666664"/>
    <n v="307"/>
    <x v="2"/>
  </r>
  <r>
    <s v="STU065"/>
    <s v="Female"/>
    <n v="20"/>
    <x v="59"/>
    <n v="96"/>
    <n v="100"/>
    <n v="81"/>
    <s v="Pass"/>
    <n v="0.92333333333333334"/>
    <s v="A+"/>
    <x v="49"/>
    <n v="92.333333333333329"/>
    <n v="660"/>
    <x v="1"/>
  </r>
  <r>
    <s v="STU066"/>
    <s v="Male"/>
    <n v="18"/>
    <x v="60"/>
    <n v="97"/>
    <n v="76"/>
    <n v="64"/>
    <s v="Pass"/>
    <n v="0.79"/>
    <s v="B"/>
    <x v="7"/>
    <n v="79"/>
    <n v="533"/>
    <x v="1"/>
  </r>
  <r>
    <s v="STU067"/>
    <s v="Male"/>
    <n v="18"/>
    <x v="61"/>
    <n v="79"/>
    <n v="73"/>
    <n v="90"/>
    <s v="Pass"/>
    <n v="0.80666666666666664"/>
    <s v="A"/>
    <x v="39"/>
    <n v="80.666666666666671"/>
    <n v="554"/>
    <x v="0"/>
  </r>
  <r>
    <s v="STU068"/>
    <s v="Male"/>
    <n v="19"/>
    <x v="62"/>
    <n v="100"/>
    <n v="75"/>
    <n v="91"/>
    <s v="Pass"/>
    <n v="0.88666666666666671"/>
    <s v="A"/>
    <x v="20"/>
    <n v="88.666666666666671"/>
    <n v="636"/>
    <x v="1"/>
  </r>
  <r>
    <s v="STU069"/>
    <s v="Female"/>
    <n v="20"/>
    <x v="63"/>
    <n v="56"/>
    <n v="75"/>
    <n v="57"/>
    <s v="Pass"/>
    <n v="0.62666666666666671"/>
    <s v="C"/>
    <x v="50"/>
    <n v="62.666666666666664"/>
    <n v="322"/>
    <x v="0"/>
  </r>
  <r>
    <s v="STU070"/>
    <s v="Female"/>
    <n v="21"/>
    <x v="64"/>
    <n v="66"/>
    <n v="48"/>
    <n v="61"/>
    <s v="Pass"/>
    <n v="0.58333333333333337"/>
    <s v="D"/>
    <x v="51"/>
    <n v="58.333333333333336"/>
    <n v="279"/>
    <x v="0"/>
  </r>
  <r>
    <s v="STU071"/>
    <s v="Male"/>
    <n v="22"/>
    <x v="63"/>
    <n v="60"/>
    <n v="60"/>
    <n v="60"/>
    <s v="Pass"/>
    <n v="0.6"/>
    <s v="C"/>
    <x v="52"/>
    <n v="60"/>
    <n v="289"/>
    <x v="0"/>
  </r>
  <r>
    <s v="STU072"/>
    <s v="Male"/>
    <n v="22"/>
    <x v="65"/>
    <n v="54"/>
    <n v="73"/>
    <n v="74"/>
    <s v="Pass"/>
    <n v="0.67"/>
    <s v="C"/>
    <x v="53"/>
    <n v="67"/>
    <n v="362"/>
    <x v="1"/>
  </r>
  <r>
    <s v="STU073"/>
    <s v="Female"/>
    <n v="21"/>
    <x v="66"/>
    <n v="79"/>
    <n v="59"/>
    <n v="78"/>
    <s v="Pass"/>
    <n v="0.72"/>
    <s v="B"/>
    <x v="54"/>
    <n v="72"/>
    <n v="424"/>
    <x v="0"/>
  </r>
  <r>
    <s v="STU074"/>
    <s v="Male"/>
    <n v="19"/>
    <x v="67"/>
    <n v="64"/>
    <n v="79"/>
    <n v="82"/>
    <s v="Pass"/>
    <n v="0.75"/>
    <s v="B"/>
    <x v="55"/>
    <n v="75"/>
    <n v="465"/>
    <x v="1"/>
  </r>
  <r>
    <s v="STU075"/>
    <s v="Male"/>
    <n v="22"/>
    <x v="68"/>
    <n v="48"/>
    <n v="77"/>
    <n v="59"/>
    <s v="Pass"/>
    <n v="0.61333333333333329"/>
    <s v="C"/>
    <x v="22"/>
    <n v="61.333333333333336"/>
    <n v="305"/>
    <x v="2"/>
  </r>
  <r>
    <s v="STU076"/>
    <s v="Male"/>
    <n v="20"/>
    <x v="30"/>
    <n v="87"/>
    <n v="59"/>
    <n v="87"/>
    <s v="Pass"/>
    <n v="0.77666666666666662"/>
    <s v="B"/>
    <x v="56"/>
    <n v="77.666666666666671"/>
    <n v="521"/>
    <x v="1"/>
  </r>
  <r>
    <s v="STU077"/>
    <s v="Female"/>
    <n v="19"/>
    <x v="69"/>
    <n v="76"/>
    <n v="62"/>
    <n v="73"/>
    <s v="Pass"/>
    <n v="0.70333333333333337"/>
    <s v="B"/>
    <x v="57"/>
    <n v="70.333333333333329"/>
    <n v="416"/>
    <x v="0"/>
  </r>
  <r>
    <s v="STU078"/>
    <s v="Female"/>
    <n v="20"/>
    <x v="39"/>
    <n v="96"/>
    <n v="77"/>
    <n v="93"/>
    <s v="Pass"/>
    <n v="0.88666666666666671"/>
    <s v="A"/>
    <x v="20"/>
    <n v="88.666666666666671"/>
    <n v="636"/>
    <x v="0"/>
  </r>
  <r>
    <s v="STU079"/>
    <s v="Female"/>
    <n v="18"/>
    <x v="69"/>
    <n v="75"/>
    <n v="64"/>
    <n v="62"/>
    <s v="Pass"/>
    <n v="0.67"/>
    <s v="C"/>
    <x v="53"/>
    <n v="67"/>
    <n v="362"/>
    <x v="0"/>
  </r>
  <r>
    <s v="STU080"/>
    <s v="Male"/>
    <n v="19"/>
    <x v="70"/>
    <n v="100"/>
    <n v="94"/>
    <n v="94"/>
    <s v="Pass"/>
    <n v="0.96"/>
    <s v="A+"/>
    <x v="58"/>
    <n v="96"/>
    <n v="675"/>
    <x v="2"/>
  </r>
  <r>
    <s v="STU081"/>
    <s v="Male"/>
    <n v="22"/>
    <x v="71"/>
    <n v="84"/>
    <n v="66"/>
    <n v="83"/>
    <s v="Pass"/>
    <n v="0.77666666666666662"/>
    <s v="B"/>
    <x v="56"/>
    <n v="77.666666666666671"/>
    <n v="521"/>
    <x v="0"/>
  </r>
  <r>
    <s v="STU082"/>
    <s v="Male"/>
    <n v="19"/>
    <x v="63"/>
    <n v="60"/>
    <n v="54"/>
    <n v="73"/>
    <s v="Pass"/>
    <n v="0.62333333333333329"/>
    <s v="C"/>
    <x v="59"/>
    <n v="62.333333333333336"/>
    <n v="320"/>
    <x v="0"/>
  </r>
  <r>
    <s v="STU083"/>
    <s v="Female"/>
    <n v="19"/>
    <x v="72"/>
    <n v="62"/>
    <n v="54"/>
    <n v="72"/>
    <s v="Pass"/>
    <n v="0.62666666666666671"/>
    <s v="C"/>
    <x v="50"/>
    <n v="62.666666666666664"/>
    <n v="322"/>
    <x v="1"/>
  </r>
  <r>
    <s v="STU084"/>
    <s v="Male"/>
    <n v="19"/>
    <x v="73"/>
    <n v="72"/>
    <n v="70"/>
    <n v="76"/>
    <s v="Pass"/>
    <n v="0.72666666666666668"/>
    <s v="B"/>
    <x v="40"/>
    <n v="72.666666666666671"/>
    <n v="436"/>
    <x v="0"/>
  </r>
  <r>
    <s v="STU085"/>
    <s v="Male"/>
    <n v="19"/>
    <x v="74"/>
    <n v="68"/>
    <n v="65"/>
    <n v="62"/>
    <s v="Pass"/>
    <n v="0.65"/>
    <s v="C"/>
    <x v="23"/>
    <n v="65"/>
    <n v="342"/>
    <x v="2"/>
  </r>
  <r>
    <s v="STU086"/>
    <s v="Male"/>
    <n v="20"/>
    <x v="75"/>
    <n v="68"/>
    <n v="84"/>
    <n v="82"/>
    <s v="Pass"/>
    <n v="0.78"/>
    <s v="B"/>
    <x v="60"/>
    <n v="78"/>
    <n v="523"/>
    <x v="0"/>
  </r>
  <r>
    <s v="STU087"/>
    <s v="Male"/>
    <n v="18"/>
    <x v="76"/>
    <n v="83"/>
    <n v="87"/>
    <n v="72"/>
    <s v="Pass"/>
    <n v="0.80666666666666664"/>
    <s v="A"/>
    <x v="39"/>
    <n v="80.666666666666671"/>
    <n v="554"/>
    <x v="1"/>
  </r>
  <r>
    <s v="STU088"/>
    <s v="Female"/>
    <n v="21"/>
    <x v="53"/>
    <n v="70"/>
    <n v="75"/>
    <n v="65"/>
    <s v="Pass"/>
    <n v="0.7"/>
    <s v="B"/>
    <x v="61"/>
    <n v="70"/>
    <n v="402"/>
    <x v="0"/>
  </r>
  <r>
    <s v="STU089"/>
    <s v="Female"/>
    <n v="19"/>
    <x v="77"/>
    <n v="61"/>
    <n v="49"/>
    <n v="72"/>
    <s v="Pass"/>
    <n v="0.60666666666666669"/>
    <s v="C"/>
    <x v="62"/>
    <n v="60.666666666666664"/>
    <n v="300"/>
    <x v="0"/>
  </r>
  <r>
    <s v="STU090"/>
    <s v="Male"/>
    <n v="22"/>
    <x v="78"/>
    <n v="57"/>
    <n v="52"/>
    <n v="59"/>
    <s v="Pass"/>
    <n v="0.56000000000000005"/>
    <s v="D"/>
    <x v="63"/>
    <n v="56"/>
    <n v="260"/>
    <x v="0"/>
  </r>
  <r>
    <s v="STU091"/>
    <s v="Female"/>
    <n v="19"/>
    <x v="79"/>
    <n v="44"/>
    <n v="85"/>
    <n v="64"/>
    <s v="Pass"/>
    <n v="0.64333333333333331"/>
    <s v="C"/>
    <x v="64"/>
    <n v="64.333333333333329"/>
    <n v="338"/>
    <x v="0"/>
  </r>
  <r>
    <s v="STU092"/>
    <s v="Female"/>
    <n v="22"/>
    <x v="80"/>
    <n v="76"/>
    <n v="92"/>
    <n v="92"/>
    <s v="Pass"/>
    <n v="0.8666666666666667"/>
    <s v="A"/>
    <x v="65"/>
    <n v="86.666666666666671"/>
    <n v="624"/>
    <x v="1"/>
  </r>
  <r>
    <s v="STU093"/>
    <s v="Male"/>
    <n v="20"/>
    <x v="81"/>
    <n v="70"/>
    <n v="65"/>
    <n v="82"/>
    <s v="Pass"/>
    <n v="0.72333333333333338"/>
    <s v="B"/>
    <x v="28"/>
    <n v="72.333333333333329"/>
    <n v="433"/>
    <x v="0"/>
  </r>
  <r>
    <s v="STU094"/>
    <s v="Male"/>
    <n v="22"/>
    <x v="82"/>
    <n v="54"/>
    <n v="67"/>
    <n v="52"/>
    <s v="Pass"/>
    <n v="0.57666666666666666"/>
    <s v="D"/>
    <x v="66"/>
    <n v="57.666666666666664"/>
    <n v="275"/>
    <x v="0"/>
  </r>
  <r>
    <s v="STU095"/>
    <s v="Female"/>
    <n v="21"/>
    <x v="46"/>
    <n v="74"/>
    <n v="66"/>
    <n v="69"/>
    <s v="Pass"/>
    <n v="0.69666666666666666"/>
    <s v="C"/>
    <x v="67"/>
    <n v="69.666666666666671"/>
    <n v="400"/>
    <x v="0"/>
  </r>
  <r>
    <s v="STU096"/>
    <s v="Male"/>
    <n v="18"/>
    <x v="83"/>
    <n v="73"/>
    <n v="62"/>
    <n v="67"/>
    <s v="Pass"/>
    <n v="0.67333333333333334"/>
    <s v="C"/>
    <x v="44"/>
    <n v="67.333333333333329"/>
    <n v="373"/>
    <x v="2"/>
  </r>
  <r>
    <s v="STU097"/>
    <s v="Female"/>
    <n v="22"/>
    <x v="84"/>
    <n v="75"/>
    <n v="72"/>
    <n v="70"/>
    <s v="Pass"/>
    <n v="0.72333333333333338"/>
    <s v="B"/>
    <x v="28"/>
    <n v="72.333333333333329"/>
    <n v="433"/>
    <x v="0"/>
  </r>
  <r>
    <s v="STU098"/>
    <s v="Male"/>
    <n v="22"/>
    <x v="85"/>
    <n v="76"/>
    <n v="60"/>
    <n v="82"/>
    <s v="Pass"/>
    <n v="0.72666666666666668"/>
    <s v="B"/>
    <x v="40"/>
    <n v="72.666666666666671"/>
    <n v="436"/>
    <x v="0"/>
  </r>
  <r>
    <s v="STU099"/>
    <s v="Female"/>
    <n v="18"/>
    <x v="86"/>
    <n v="69"/>
    <n v="52"/>
    <n v="84"/>
    <s v="Pass"/>
    <n v="0.68333333333333335"/>
    <s v="C"/>
    <x v="29"/>
    <n v="68.333333333333329"/>
    <n v="390"/>
    <x v="0"/>
  </r>
  <r>
    <s v="STU100"/>
    <s v="Male"/>
    <n v="21"/>
    <x v="4"/>
    <n v="42"/>
    <n v="63"/>
    <n v="65"/>
    <s v="Pass"/>
    <n v="0.56666666666666665"/>
    <s v="D"/>
    <x v="32"/>
    <n v="56.666666666666664"/>
    <n v="26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Male"/>
    <n v="18"/>
    <n v="87"/>
    <n v="60"/>
    <n v="41"/>
    <n v="57"/>
    <s v="Pass"/>
    <n v="0.52666666666666662"/>
    <s v="D"/>
    <n v="158"/>
    <x v="0"/>
    <n v="243"/>
    <x v="0"/>
  </r>
  <r>
    <x v="1"/>
    <s v="Male"/>
    <n v="21"/>
    <n v="80.599999999999994"/>
    <n v="59"/>
    <n v="68"/>
    <n v="67"/>
    <s v="Pass"/>
    <n v="0.64666666666666661"/>
    <s v="C"/>
    <n v="194"/>
    <x v="1"/>
    <n v="340"/>
    <x v="0"/>
  </r>
  <r>
    <x v="2"/>
    <s v="Female"/>
    <n v="22"/>
    <n v="88.5"/>
    <n v="53"/>
    <n v="76"/>
    <n v="67"/>
    <s v="Pass"/>
    <n v="0.65333333333333332"/>
    <s v="C"/>
    <n v="196"/>
    <x v="2"/>
    <n v="353"/>
    <x v="0"/>
  </r>
  <r>
    <x v="3"/>
    <s v="Male"/>
    <n v="18"/>
    <n v="97.2"/>
    <n v="55"/>
    <n v="78"/>
    <n v="65"/>
    <s v="Pass"/>
    <n v="0.66"/>
    <s v="C"/>
    <n v="198"/>
    <x v="3"/>
    <n v="354"/>
    <x v="1"/>
  </r>
  <r>
    <x v="4"/>
    <s v="Female"/>
    <n v="19"/>
    <n v="79.7"/>
    <n v="62"/>
    <n v="59"/>
    <n v="65"/>
    <s v="Pass"/>
    <n v="0.62"/>
    <s v="C"/>
    <n v="186"/>
    <x v="4"/>
    <n v="308"/>
    <x v="0"/>
  </r>
  <r>
    <x v="5"/>
    <s v="Female"/>
    <n v="19"/>
    <n v="79.7"/>
    <n v="85"/>
    <n v="70"/>
    <n v="71"/>
    <s v="Pass"/>
    <n v="0.7533333333333333"/>
    <s v="B"/>
    <n v="226"/>
    <x v="5"/>
    <n v="481"/>
    <x v="0"/>
  </r>
  <r>
    <x v="6"/>
    <s v="Female"/>
    <n v="18"/>
    <n v="97.8"/>
    <n v="100"/>
    <n v="99"/>
    <n v="97"/>
    <s v="Pass"/>
    <n v="0.98666666666666669"/>
    <s v="A+"/>
    <n v="296"/>
    <x v="6"/>
    <n v="689"/>
    <x v="1"/>
  </r>
  <r>
    <x v="7"/>
    <s v="Male"/>
    <n v="19"/>
    <n v="89.7"/>
    <n v="72"/>
    <n v="92"/>
    <n v="73"/>
    <s v="Pass"/>
    <n v="0.79"/>
    <s v="B"/>
    <n v="237"/>
    <x v="7"/>
    <n v="533"/>
    <x v="0"/>
  </r>
  <r>
    <x v="8"/>
    <s v="Male"/>
    <n v="18"/>
    <n v="77.3"/>
    <n v="68"/>
    <n v="71"/>
    <n v="67"/>
    <s v="Pass"/>
    <n v="0.68666666666666665"/>
    <s v="C"/>
    <n v="206"/>
    <x v="8"/>
    <n v="392"/>
    <x v="0"/>
  </r>
  <r>
    <x v="9"/>
    <s v="Female"/>
    <n v="22"/>
    <n v="87.4"/>
    <n v="74"/>
    <n v="84"/>
    <n v="68"/>
    <s v="Pass"/>
    <n v="0.7533333333333333"/>
    <s v="B"/>
    <n v="226"/>
    <x v="5"/>
    <n v="481"/>
    <x v="0"/>
  </r>
  <r>
    <x v="10"/>
    <s v="Female"/>
    <n v="22"/>
    <n v="77.400000000000006"/>
    <n v="46"/>
    <n v="46"/>
    <n v="27"/>
    <s v="Fail"/>
    <n v="0.39666666666666667"/>
    <s v="Fail"/>
    <n v="119"/>
    <x v="9"/>
    <n v="205"/>
    <x v="0"/>
  </r>
  <r>
    <x v="11"/>
    <s v="Male"/>
    <n v="18"/>
    <n v="77.3"/>
    <n v="77"/>
    <n v="77"/>
    <n v="75"/>
    <s v="Pass"/>
    <n v="0.76333333333333331"/>
    <s v="B"/>
    <n v="229"/>
    <x v="10"/>
    <n v="499"/>
    <x v="0"/>
  </r>
  <r>
    <x v="12"/>
    <s v="Female"/>
    <n v="22"/>
    <n v="84.4"/>
    <n v="68"/>
    <n v="80"/>
    <n v="76"/>
    <s v="Pass"/>
    <n v="0.7466666666666667"/>
    <s v="B"/>
    <n v="224"/>
    <x v="11"/>
    <n v="462"/>
    <x v="0"/>
  </r>
  <r>
    <x v="13"/>
    <s v="Male"/>
    <n v="22"/>
    <n v="62.9"/>
    <n v="100"/>
    <n v="93"/>
    <n v="94"/>
    <s v="Pass"/>
    <n v="0.95666666666666667"/>
    <s v="A+"/>
    <n v="287"/>
    <x v="12"/>
    <n v="674"/>
    <x v="2"/>
  </r>
  <r>
    <x v="14"/>
    <s v="Female"/>
    <n v="22"/>
    <n v="64.8"/>
    <n v="60"/>
    <n v="51"/>
    <n v="65"/>
    <s v="Pass"/>
    <n v="0.58666666666666667"/>
    <s v="D"/>
    <n v="176"/>
    <x v="13"/>
    <n v="280"/>
    <x v="2"/>
  </r>
  <r>
    <x v="15"/>
    <s v="Male"/>
    <n v="20"/>
    <n v="76.400000000000006"/>
    <n v="80"/>
    <n v="68"/>
    <n v="76"/>
    <s v="Pass"/>
    <n v="0.7466666666666667"/>
    <s v="B"/>
    <n v="224"/>
    <x v="11"/>
    <n v="462"/>
    <x v="0"/>
  </r>
  <r>
    <x v="16"/>
    <s v="Female"/>
    <n v="21"/>
    <n v="71.900000000000006"/>
    <n v="64"/>
    <n v="78"/>
    <n v="62"/>
    <s v="Pass"/>
    <n v="0.68"/>
    <s v="C"/>
    <n v="204"/>
    <x v="14"/>
    <n v="378"/>
    <x v="2"/>
  </r>
  <r>
    <x v="17"/>
    <s v="Male"/>
    <n v="19"/>
    <n v="85.1"/>
    <n v="52"/>
    <n v="64"/>
    <n v="55"/>
    <s v="Pass"/>
    <n v="0.56999999999999995"/>
    <s v="D"/>
    <n v="171"/>
    <x v="15"/>
    <n v="269"/>
    <x v="0"/>
  </r>
  <r>
    <x v="18"/>
    <s v="Female"/>
    <n v="20"/>
    <n v="72.900000000000006"/>
    <n v="98"/>
    <n v="75"/>
    <n v="86"/>
    <s v="Pass"/>
    <n v="0.86333333333333329"/>
    <s v="A"/>
    <n v="259"/>
    <x v="16"/>
    <n v="623"/>
    <x v="2"/>
  </r>
  <r>
    <x v="19"/>
    <s v="Male"/>
    <n v="22"/>
    <n v="67.900000000000006"/>
    <n v="84"/>
    <n v="70"/>
    <n v="77"/>
    <s v="Pass"/>
    <n v="0.77"/>
    <s v="B"/>
    <n v="231"/>
    <x v="17"/>
    <n v="504"/>
    <x v="2"/>
  </r>
  <r>
    <x v="20"/>
    <s v="Male"/>
    <n v="18"/>
    <n v="96.7"/>
    <n v="69"/>
    <n v="68"/>
    <n v="100"/>
    <s v="Pass"/>
    <n v="0.79"/>
    <s v="B"/>
    <n v="237"/>
    <x v="7"/>
    <n v="533"/>
    <x v="1"/>
  </r>
  <r>
    <x v="21"/>
    <s v="Female"/>
    <n v="22"/>
    <n v="79.7"/>
    <n v="55"/>
    <n v="70"/>
    <n v="73"/>
    <s v="Pass"/>
    <n v="0.66"/>
    <s v="C"/>
    <n v="198"/>
    <x v="3"/>
    <n v="354"/>
    <x v="0"/>
  </r>
  <r>
    <x v="22"/>
    <s v="Female"/>
    <n v="21"/>
    <n v="82.7"/>
    <n v="99"/>
    <n v="94"/>
    <n v="96"/>
    <s v="Pass"/>
    <n v="0.96333333333333337"/>
    <s v="A+"/>
    <n v="289"/>
    <x v="18"/>
    <n v="679"/>
    <x v="0"/>
  </r>
  <r>
    <x v="23"/>
    <s v="Male"/>
    <n v="22"/>
    <n v="67.8"/>
    <n v="38"/>
    <n v="46"/>
    <n v="44"/>
    <s v="Fail"/>
    <n v="0.42666666666666669"/>
    <s v="Fail"/>
    <n v="128"/>
    <x v="19"/>
    <n v="209"/>
    <x v="2"/>
  </r>
  <r>
    <x v="24"/>
    <s v="Female"/>
    <n v="18"/>
    <n v="76.599999999999994"/>
    <n v="83"/>
    <n v="76"/>
    <n v="72"/>
    <s v="Pass"/>
    <n v="0.77"/>
    <s v="B"/>
    <n v="231"/>
    <x v="17"/>
    <n v="504"/>
    <x v="0"/>
  </r>
  <r>
    <x v="25"/>
    <s v="Male"/>
    <n v="21"/>
    <n v="83.1"/>
    <n v="100"/>
    <n v="76"/>
    <n v="90"/>
    <s v="Pass"/>
    <n v="0.88666666666666671"/>
    <s v="A"/>
    <n v="266"/>
    <x v="20"/>
    <n v="636"/>
    <x v="0"/>
  </r>
  <r>
    <x v="26"/>
    <s v="Female"/>
    <n v="22"/>
    <n v="70.5"/>
    <n v="48"/>
    <n v="48"/>
    <n v="58"/>
    <s v="Pass"/>
    <n v="0.51333333333333331"/>
    <s v="D"/>
    <n v="154"/>
    <x v="21"/>
    <n v="236"/>
    <x v="2"/>
  </r>
  <r>
    <x v="27"/>
    <s v="Male"/>
    <n v="21"/>
    <n v="85.8"/>
    <n v="65"/>
    <n v="75"/>
    <n v="44"/>
    <s v="Pass"/>
    <n v="0.61333333333333329"/>
    <s v="C"/>
    <n v="184"/>
    <x v="22"/>
    <n v="305"/>
    <x v="0"/>
  </r>
  <r>
    <x v="28"/>
    <s v="Male"/>
    <n v="19"/>
    <n v="76"/>
    <n v="51"/>
    <n v="77"/>
    <n v="67"/>
    <s v="Pass"/>
    <n v="0.65"/>
    <s v="C"/>
    <n v="195"/>
    <x v="23"/>
    <n v="342"/>
    <x v="0"/>
  </r>
  <r>
    <x v="29"/>
    <s v="Male"/>
    <n v="19"/>
    <n v="79.099999999999994"/>
    <n v="80"/>
    <n v="65"/>
    <n v="62"/>
    <s v="Pass"/>
    <n v="0.69"/>
    <s v="C"/>
    <n v="207"/>
    <x v="24"/>
    <n v="395"/>
    <x v="0"/>
  </r>
  <r>
    <x v="30"/>
    <s v="Male"/>
    <n v="22"/>
    <n v="76"/>
    <n v="47"/>
    <n v="48"/>
    <n v="39"/>
    <s v="Fail"/>
    <n v="0.44666666666666666"/>
    <s v="Fail"/>
    <n v="134"/>
    <x v="25"/>
    <n v="214"/>
    <x v="0"/>
  </r>
  <r>
    <x v="31"/>
    <s v="Male"/>
    <n v="21"/>
    <n v="100"/>
    <n v="85"/>
    <n v="83"/>
    <n v="85"/>
    <s v="Pass"/>
    <n v="0.84333333333333338"/>
    <s v="A"/>
    <n v="253"/>
    <x v="26"/>
    <n v="595"/>
    <x v="1"/>
  </r>
  <r>
    <x v="32"/>
    <s v="Male"/>
    <n v="18"/>
    <n v="81.900000000000006"/>
    <n v="63"/>
    <n v="53"/>
    <n v="50"/>
    <s v="Pass"/>
    <n v="0.55333333333333334"/>
    <s v="D"/>
    <n v="166"/>
    <x v="27"/>
    <n v="257"/>
    <x v="0"/>
  </r>
  <r>
    <x v="33"/>
    <s v="Female"/>
    <n v="22"/>
    <n v="71.400000000000006"/>
    <n v="85"/>
    <n v="56"/>
    <n v="76"/>
    <s v="Pass"/>
    <n v="0.72333333333333338"/>
    <s v="B"/>
    <n v="217"/>
    <x v="28"/>
    <n v="433"/>
    <x v="2"/>
  </r>
  <r>
    <x v="34"/>
    <s v="Female"/>
    <n v="19"/>
    <n v="90.2"/>
    <n v="59"/>
    <n v="60"/>
    <n v="86"/>
    <s v="Pass"/>
    <n v="0.68333333333333335"/>
    <s v="C"/>
    <n v="205"/>
    <x v="29"/>
    <n v="390"/>
    <x v="1"/>
  </r>
  <r>
    <x v="35"/>
    <s v="Female"/>
    <n v="19"/>
    <n v="69.8"/>
    <n v="87"/>
    <n v="87"/>
    <n v="73"/>
    <s v="Pass"/>
    <n v="0.82333333333333336"/>
    <s v="A"/>
    <n v="247"/>
    <x v="30"/>
    <n v="572"/>
    <x v="2"/>
  </r>
  <r>
    <x v="36"/>
    <s v="Male"/>
    <n v="22"/>
    <n v="84.1"/>
    <n v="67"/>
    <n v="70"/>
    <n v="62"/>
    <s v="Pass"/>
    <n v="0.66333333333333333"/>
    <s v="C"/>
    <n v="199"/>
    <x v="31"/>
    <n v="361"/>
    <x v="0"/>
  </r>
  <r>
    <x v="37"/>
    <s v="Male"/>
    <n v="21"/>
    <n v="62.4"/>
    <n v="68"/>
    <n v="45"/>
    <n v="58"/>
    <s v="Pass"/>
    <n v="0.56999999999999995"/>
    <s v="D"/>
    <n v="171"/>
    <x v="15"/>
    <n v="269"/>
    <x v="2"/>
  </r>
  <r>
    <x v="38"/>
    <s v="Male"/>
    <n v="19"/>
    <n v="68.7"/>
    <n v="86"/>
    <n v="73"/>
    <n v="72"/>
    <s v="Pass"/>
    <n v="0.77"/>
    <s v="B"/>
    <n v="231"/>
    <x v="17"/>
    <n v="504"/>
    <x v="2"/>
  </r>
  <r>
    <x v="39"/>
    <s v="Male"/>
    <n v="21"/>
    <n v="84"/>
    <n v="52"/>
    <n v="54"/>
    <n v="64"/>
    <s v="Pass"/>
    <n v="0.56666666666666665"/>
    <s v="D"/>
    <n v="170"/>
    <x v="32"/>
    <n v="266"/>
    <x v="0"/>
  </r>
  <r>
    <x v="40"/>
    <s v="Female"/>
    <n v="19"/>
    <n v="89.4"/>
    <n v="70"/>
    <n v="64"/>
    <n v="86"/>
    <s v="Pass"/>
    <n v="0.73333333333333328"/>
    <s v="B"/>
    <n v="220"/>
    <x v="33"/>
    <n v="452"/>
    <x v="0"/>
  </r>
  <r>
    <x v="41"/>
    <s v="Female"/>
    <n v="19"/>
    <n v="83.7"/>
    <n v="99"/>
    <n v="89"/>
    <n v="94"/>
    <s v="Pass"/>
    <n v="0.94"/>
    <s v="A+"/>
    <n v="282"/>
    <x v="34"/>
    <n v="666"/>
    <x v="0"/>
  </r>
  <r>
    <x v="42"/>
    <s v="Male"/>
    <n v="20"/>
    <n v="80.8"/>
    <n v="33"/>
    <n v="56"/>
    <n v="46"/>
    <s v="Fail"/>
    <n v="0.45"/>
    <s v="Fail"/>
    <n v="135"/>
    <x v="35"/>
    <n v="215"/>
    <x v="0"/>
  </r>
  <r>
    <x v="43"/>
    <s v="Female"/>
    <n v="19"/>
    <n v="79"/>
    <n v="86"/>
    <n v="67"/>
    <n v="92"/>
    <s v="Pass"/>
    <n v="0.81666666666666665"/>
    <s v="A"/>
    <n v="245"/>
    <x v="36"/>
    <n v="563"/>
    <x v="0"/>
  </r>
  <r>
    <x v="44"/>
    <s v="Female"/>
    <n v="18"/>
    <n v="67.2"/>
    <n v="66"/>
    <n v="85"/>
    <n v="55"/>
    <s v="Pass"/>
    <n v="0.68666666666666665"/>
    <s v="C"/>
    <n v="206"/>
    <x v="8"/>
    <n v="392"/>
    <x v="2"/>
  </r>
  <r>
    <x v="45"/>
    <s v="Male"/>
    <n v="22"/>
    <n v="74.8"/>
    <n v="78"/>
    <n v="73"/>
    <n v="70"/>
    <s v="Pass"/>
    <n v="0.73666666666666669"/>
    <s v="B"/>
    <n v="221"/>
    <x v="37"/>
    <n v="454"/>
    <x v="2"/>
  </r>
  <r>
    <x v="46"/>
    <s v="Female"/>
    <n v="22"/>
    <n v="77.400000000000006"/>
    <n v="48"/>
    <n v="48"/>
    <n v="57"/>
    <s v="Pass"/>
    <n v="0.51"/>
    <s v="D"/>
    <n v="153"/>
    <x v="38"/>
    <n v="233"/>
    <x v="0"/>
  </r>
  <r>
    <x v="47"/>
    <s v="Male"/>
    <n v="21"/>
    <n v="92.6"/>
    <n v="58"/>
    <n v="52"/>
    <n v="60"/>
    <s v="Pass"/>
    <n v="0.56666666666666665"/>
    <s v="D"/>
    <n v="170"/>
    <x v="32"/>
    <n v="266"/>
    <x v="1"/>
  </r>
  <r>
    <x v="48"/>
    <s v="Female"/>
    <n v="19"/>
    <n v="85.4"/>
    <n v="90"/>
    <n v="69"/>
    <n v="83"/>
    <s v="Pass"/>
    <n v="0.80666666666666664"/>
    <s v="A"/>
    <n v="242"/>
    <x v="39"/>
    <n v="554"/>
    <x v="0"/>
  </r>
  <r>
    <x v="49"/>
    <s v="Male"/>
    <n v="18"/>
    <n v="64.400000000000006"/>
    <n v="75"/>
    <n v="61"/>
    <n v="82"/>
    <s v="Pass"/>
    <n v="0.72666666666666668"/>
    <s v="B"/>
    <n v="218"/>
    <x v="40"/>
    <n v="436"/>
    <x v="2"/>
  </r>
  <r>
    <x v="50"/>
    <s v="Male"/>
    <n v="21"/>
    <n v="85.2"/>
    <n v="79"/>
    <n v="60"/>
    <n v="75"/>
    <s v="Pass"/>
    <n v="0.71333333333333337"/>
    <s v="B"/>
    <n v="214"/>
    <x v="41"/>
    <n v="421"/>
    <x v="0"/>
  </r>
  <r>
    <x v="51"/>
    <s v="Male"/>
    <n v="20"/>
    <n v="78.099999999999994"/>
    <n v="74"/>
    <n v="70"/>
    <n v="75"/>
    <s v="Pass"/>
    <n v="0.73"/>
    <s v="B"/>
    <n v="219"/>
    <x v="42"/>
    <n v="440"/>
    <x v="0"/>
  </r>
  <r>
    <x v="52"/>
    <s v="Male"/>
    <n v="21"/>
    <n v="75.2"/>
    <n v="47"/>
    <n v="59"/>
    <n v="56"/>
    <s v="Pass"/>
    <n v="0.54"/>
    <s v="D"/>
    <n v="162"/>
    <x v="43"/>
    <n v="247"/>
    <x v="0"/>
  </r>
  <r>
    <x v="53"/>
    <s v="Female"/>
    <n v="21"/>
    <n v="88.1"/>
    <n v="68"/>
    <n v="53"/>
    <n v="81"/>
    <s v="Pass"/>
    <n v="0.67333333333333334"/>
    <s v="C"/>
    <n v="202"/>
    <x v="44"/>
    <n v="373"/>
    <x v="0"/>
  </r>
  <r>
    <x v="54"/>
    <s v="Male"/>
    <n v="19"/>
    <n v="92.3"/>
    <n v="75"/>
    <n v="75"/>
    <n v="76"/>
    <s v="Pass"/>
    <n v="0.7533333333333333"/>
    <s v="B"/>
    <n v="226"/>
    <x v="5"/>
    <n v="481"/>
    <x v="1"/>
  </r>
  <r>
    <x v="55"/>
    <s v="Male"/>
    <n v="20"/>
    <n v="91.3"/>
    <n v="70"/>
    <n v="64"/>
    <n v="64"/>
    <s v="Pass"/>
    <n v="0.66"/>
    <s v="C"/>
    <n v="198"/>
    <x v="3"/>
    <n v="354"/>
    <x v="1"/>
  </r>
  <r>
    <x v="56"/>
    <s v="Male"/>
    <n v="21"/>
    <n v="73.599999999999994"/>
    <n v="91"/>
    <n v="93"/>
    <n v="95"/>
    <s v="Pass"/>
    <n v="0.93"/>
    <s v="A+"/>
    <n v="279"/>
    <x v="45"/>
    <n v="662"/>
    <x v="2"/>
  </r>
  <r>
    <x v="57"/>
    <s v="Female"/>
    <n v="18"/>
    <n v="78.900000000000006"/>
    <n v="84"/>
    <n v="84"/>
    <n v="85"/>
    <s v="Pass"/>
    <n v="0.84333333333333338"/>
    <s v="A"/>
    <n v="253"/>
    <x v="26"/>
    <n v="595"/>
    <x v="0"/>
  </r>
  <r>
    <x v="58"/>
    <s v="Male"/>
    <n v="18"/>
    <n v="85.3"/>
    <n v="62"/>
    <n v="63"/>
    <n v="41"/>
    <s v="Pass"/>
    <n v="0.55333333333333334"/>
    <s v="D"/>
    <n v="166"/>
    <x v="27"/>
    <n v="257"/>
    <x v="0"/>
  </r>
  <r>
    <x v="59"/>
    <s v="Female"/>
    <n v="22"/>
    <n v="91.8"/>
    <n v="82"/>
    <n v="74"/>
    <n v="86"/>
    <s v="Pass"/>
    <n v="0.80666666666666664"/>
    <s v="A"/>
    <n v="242"/>
    <x v="39"/>
    <n v="554"/>
    <x v="1"/>
  </r>
  <r>
    <x v="60"/>
    <s v="Male"/>
    <n v="20"/>
    <n v="77.2"/>
    <n v="78"/>
    <n v="49"/>
    <n v="56"/>
    <s v="Pass"/>
    <n v="0.61"/>
    <s v="C"/>
    <n v="183"/>
    <x v="46"/>
    <n v="301"/>
    <x v="0"/>
  </r>
  <r>
    <x v="61"/>
    <s v="Female"/>
    <n v="20"/>
    <n v="80.099999999999994"/>
    <n v="83"/>
    <n v="83"/>
    <n v="88"/>
    <s v="Pass"/>
    <n v="0.84666666666666668"/>
    <s v="A"/>
    <n v="254"/>
    <x v="47"/>
    <n v="599"/>
    <x v="0"/>
  </r>
  <r>
    <x v="62"/>
    <s v="Female"/>
    <n v="22"/>
    <n v="70.900000000000006"/>
    <n v="77"/>
    <n v="74"/>
    <n v="80"/>
    <s v="Pass"/>
    <n v="0.77"/>
    <s v="B"/>
    <n v="231"/>
    <x v="17"/>
    <n v="504"/>
    <x v="2"/>
  </r>
  <r>
    <x v="63"/>
    <s v="Male"/>
    <n v="21"/>
    <n v="70"/>
    <n v="73"/>
    <n v="44"/>
    <n v="68"/>
    <s v="Pass"/>
    <n v="0.6166666666666667"/>
    <s v="C"/>
    <n v="185"/>
    <x v="48"/>
    <n v="307"/>
    <x v="2"/>
  </r>
  <r>
    <x v="64"/>
    <s v="Female"/>
    <n v="20"/>
    <n v="90.1"/>
    <n v="96"/>
    <n v="100"/>
    <n v="81"/>
    <s v="Pass"/>
    <n v="0.92333333333333334"/>
    <s v="A+"/>
    <n v="277"/>
    <x v="49"/>
    <n v="660"/>
    <x v="1"/>
  </r>
  <r>
    <x v="65"/>
    <s v="Male"/>
    <n v="18"/>
    <n v="95.6"/>
    <n v="97"/>
    <n v="76"/>
    <n v="64"/>
    <s v="Pass"/>
    <n v="0.79"/>
    <s v="B"/>
    <n v="237"/>
    <x v="7"/>
    <n v="533"/>
    <x v="1"/>
  </r>
  <r>
    <x v="66"/>
    <s v="Male"/>
    <n v="18"/>
    <n v="81.3"/>
    <n v="79"/>
    <n v="73"/>
    <n v="90"/>
    <s v="Pass"/>
    <n v="0.80666666666666664"/>
    <s v="A"/>
    <n v="242"/>
    <x v="39"/>
    <n v="554"/>
    <x v="0"/>
  </r>
  <r>
    <x v="67"/>
    <s v="Male"/>
    <n v="19"/>
    <n v="92"/>
    <n v="100"/>
    <n v="75"/>
    <n v="91"/>
    <s v="Pass"/>
    <n v="0.88666666666666671"/>
    <s v="A"/>
    <n v="266"/>
    <x v="20"/>
    <n v="636"/>
    <x v="1"/>
  </r>
  <r>
    <x v="68"/>
    <s v="Female"/>
    <n v="20"/>
    <n v="85.6"/>
    <n v="56"/>
    <n v="75"/>
    <n v="57"/>
    <s v="Pass"/>
    <n v="0.62666666666666671"/>
    <s v="C"/>
    <n v="188"/>
    <x v="50"/>
    <n v="322"/>
    <x v="0"/>
  </r>
  <r>
    <x v="69"/>
    <s v="Female"/>
    <n v="21"/>
    <n v="75.5"/>
    <n v="66"/>
    <n v="48"/>
    <n v="61"/>
    <s v="Pass"/>
    <n v="0.58333333333333337"/>
    <s v="D"/>
    <n v="175"/>
    <x v="51"/>
    <n v="279"/>
    <x v="0"/>
  </r>
  <r>
    <x v="70"/>
    <s v="Male"/>
    <n v="22"/>
    <n v="85.6"/>
    <n v="60"/>
    <n v="60"/>
    <n v="60"/>
    <s v="Pass"/>
    <n v="0.6"/>
    <s v="C"/>
    <n v="180"/>
    <x v="52"/>
    <n v="289"/>
    <x v="0"/>
  </r>
  <r>
    <x v="71"/>
    <s v="Male"/>
    <n v="22"/>
    <n v="97.4"/>
    <n v="54"/>
    <n v="73"/>
    <n v="74"/>
    <s v="Pass"/>
    <n v="0.67"/>
    <s v="C"/>
    <n v="201"/>
    <x v="53"/>
    <n v="362"/>
    <x v="1"/>
  </r>
  <r>
    <x v="72"/>
    <s v="Female"/>
    <n v="21"/>
    <n v="81.599999999999994"/>
    <n v="79"/>
    <n v="59"/>
    <n v="78"/>
    <s v="Pass"/>
    <n v="0.72"/>
    <s v="B"/>
    <n v="216"/>
    <x v="54"/>
    <n v="424"/>
    <x v="0"/>
  </r>
  <r>
    <x v="73"/>
    <s v="Male"/>
    <n v="19"/>
    <n v="97.6"/>
    <n v="64"/>
    <n v="79"/>
    <n v="82"/>
    <s v="Pass"/>
    <n v="0.75"/>
    <s v="B"/>
    <n v="225"/>
    <x v="55"/>
    <n v="465"/>
    <x v="1"/>
  </r>
  <r>
    <x v="74"/>
    <s v="Male"/>
    <n v="22"/>
    <n v="55.8"/>
    <n v="48"/>
    <n v="77"/>
    <n v="59"/>
    <s v="Pass"/>
    <n v="0.61333333333333329"/>
    <s v="C"/>
    <n v="184"/>
    <x v="22"/>
    <n v="305"/>
    <x v="2"/>
  </r>
  <r>
    <x v="75"/>
    <s v="Male"/>
    <n v="20"/>
    <n v="90.2"/>
    <n v="87"/>
    <n v="59"/>
    <n v="87"/>
    <s v="Pass"/>
    <n v="0.77666666666666662"/>
    <s v="B"/>
    <n v="233"/>
    <x v="56"/>
    <n v="521"/>
    <x v="1"/>
  </r>
  <r>
    <x v="76"/>
    <s v="Female"/>
    <n v="19"/>
    <n v="82.9"/>
    <n v="76"/>
    <n v="62"/>
    <n v="73"/>
    <s v="Pass"/>
    <n v="0.70333333333333337"/>
    <s v="B"/>
    <n v="211"/>
    <x v="57"/>
    <n v="416"/>
    <x v="0"/>
  </r>
  <r>
    <x v="77"/>
    <s v="Female"/>
    <n v="20"/>
    <n v="79"/>
    <n v="96"/>
    <n v="77"/>
    <n v="93"/>
    <s v="Pass"/>
    <n v="0.88666666666666671"/>
    <s v="A"/>
    <n v="266"/>
    <x v="20"/>
    <n v="636"/>
    <x v="0"/>
  </r>
  <r>
    <x v="78"/>
    <s v="Female"/>
    <n v="18"/>
    <n v="82.9"/>
    <n v="75"/>
    <n v="64"/>
    <n v="62"/>
    <s v="Pass"/>
    <n v="0.67"/>
    <s v="C"/>
    <n v="201"/>
    <x v="53"/>
    <n v="362"/>
    <x v="0"/>
  </r>
  <r>
    <x v="79"/>
    <s v="Male"/>
    <n v="19"/>
    <n v="62.1"/>
    <n v="100"/>
    <n v="94"/>
    <n v="94"/>
    <s v="Pass"/>
    <n v="0.96"/>
    <s v="A+"/>
    <n v="288"/>
    <x v="58"/>
    <n v="675"/>
    <x v="2"/>
  </r>
  <r>
    <x v="80"/>
    <s v="Male"/>
    <n v="22"/>
    <n v="79.8"/>
    <n v="84"/>
    <n v="66"/>
    <n v="83"/>
    <s v="Pass"/>
    <n v="0.77666666666666662"/>
    <s v="B"/>
    <n v="233"/>
    <x v="56"/>
    <n v="521"/>
    <x v="0"/>
  </r>
  <r>
    <x v="81"/>
    <s v="Male"/>
    <n v="19"/>
    <n v="85.6"/>
    <n v="60"/>
    <n v="54"/>
    <n v="73"/>
    <s v="Pass"/>
    <n v="0.62333333333333329"/>
    <s v="C"/>
    <n v="187"/>
    <x v="59"/>
    <n v="320"/>
    <x v="0"/>
  </r>
  <r>
    <x v="82"/>
    <s v="Female"/>
    <n v="19"/>
    <n v="96.8"/>
    <n v="62"/>
    <n v="54"/>
    <n v="72"/>
    <s v="Pass"/>
    <n v="0.62666666666666671"/>
    <s v="C"/>
    <n v="188"/>
    <x v="50"/>
    <n v="322"/>
    <x v="1"/>
  </r>
  <r>
    <x v="83"/>
    <s v="Male"/>
    <n v="19"/>
    <n v="76.8"/>
    <n v="72"/>
    <n v="70"/>
    <n v="76"/>
    <s v="Pass"/>
    <n v="0.72666666666666668"/>
    <s v="B"/>
    <n v="218"/>
    <x v="40"/>
    <n v="436"/>
    <x v="0"/>
  </r>
  <r>
    <x v="84"/>
    <s v="Male"/>
    <n v="19"/>
    <n v="73.900000000000006"/>
    <n v="68"/>
    <n v="65"/>
    <n v="62"/>
    <s v="Pass"/>
    <n v="0.65"/>
    <s v="C"/>
    <n v="195"/>
    <x v="23"/>
    <n v="342"/>
    <x v="2"/>
  </r>
  <r>
    <x v="85"/>
    <s v="Male"/>
    <n v="20"/>
    <n v="77"/>
    <n v="68"/>
    <n v="84"/>
    <n v="82"/>
    <s v="Pass"/>
    <n v="0.78"/>
    <s v="B"/>
    <n v="234"/>
    <x v="60"/>
    <n v="523"/>
    <x v="0"/>
  </r>
  <r>
    <x v="86"/>
    <s v="Male"/>
    <n v="18"/>
    <n v="91.2"/>
    <n v="83"/>
    <n v="87"/>
    <n v="72"/>
    <s v="Pass"/>
    <n v="0.80666666666666664"/>
    <s v="A"/>
    <n v="242"/>
    <x v="39"/>
    <n v="554"/>
    <x v="1"/>
  </r>
  <r>
    <x v="87"/>
    <s v="Female"/>
    <n v="21"/>
    <n v="85.3"/>
    <n v="70"/>
    <n v="75"/>
    <n v="65"/>
    <s v="Pass"/>
    <n v="0.7"/>
    <s v="B"/>
    <n v="210"/>
    <x v="61"/>
    <n v="402"/>
    <x v="0"/>
  </r>
  <r>
    <x v="88"/>
    <s v="Female"/>
    <n v="19"/>
    <n v="76.7"/>
    <n v="61"/>
    <n v="49"/>
    <n v="72"/>
    <s v="Pass"/>
    <n v="0.60666666666666669"/>
    <s v="C"/>
    <n v="182"/>
    <x v="62"/>
    <n v="300"/>
    <x v="0"/>
  </r>
  <r>
    <x v="89"/>
    <s v="Male"/>
    <n v="22"/>
    <n v="87.1"/>
    <n v="57"/>
    <n v="52"/>
    <n v="59"/>
    <s v="Pass"/>
    <n v="0.56000000000000005"/>
    <s v="D"/>
    <n v="168"/>
    <x v="63"/>
    <n v="260"/>
    <x v="0"/>
  </r>
  <r>
    <x v="90"/>
    <s v="Female"/>
    <n v="19"/>
    <n v="83"/>
    <n v="44"/>
    <n v="85"/>
    <n v="64"/>
    <s v="Pass"/>
    <n v="0.64333333333333331"/>
    <s v="C"/>
    <n v="193"/>
    <x v="64"/>
    <n v="338"/>
    <x v="0"/>
  </r>
  <r>
    <x v="91"/>
    <s v="Female"/>
    <n v="22"/>
    <n v="91.7"/>
    <n v="76"/>
    <n v="92"/>
    <n v="92"/>
    <s v="Pass"/>
    <n v="0.8666666666666667"/>
    <s v="A"/>
    <n v="260"/>
    <x v="65"/>
    <n v="624"/>
    <x v="1"/>
  </r>
  <r>
    <x v="92"/>
    <s v="Male"/>
    <n v="20"/>
    <n v="75"/>
    <n v="70"/>
    <n v="65"/>
    <n v="82"/>
    <s v="Pass"/>
    <n v="0.72333333333333338"/>
    <s v="B"/>
    <n v="217"/>
    <x v="28"/>
    <n v="433"/>
    <x v="0"/>
  </r>
  <r>
    <x v="93"/>
    <s v="Male"/>
    <n v="22"/>
    <n v="78.7"/>
    <n v="54"/>
    <n v="67"/>
    <n v="52"/>
    <s v="Pass"/>
    <n v="0.57666666666666666"/>
    <s v="D"/>
    <n v="173"/>
    <x v="66"/>
    <n v="275"/>
    <x v="0"/>
  </r>
  <r>
    <x v="94"/>
    <s v="Female"/>
    <n v="21"/>
    <n v="78.099999999999994"/>
    <n v="74"/>
    <n v="66"/>
    <n v="69"/>
    <s v="Pass"/>
    <n v="0.69666666666666666"/>
    <s v="C"/>
    <n v="209"/>
    <x v="67"/>
    <n v="400"/>
    <x v="0"/>
  </r>
  <r>
    <x v="95"/>
    <s v="Male"/>
    <n v="18"/>
    <n v="67.400000000000006"/>
    <n v="73"/>
    <n v="62"/>
    <n v="67"/>
    <s v="Pass"/>
    <n v="0.67333333333333334"/>
    <s v="C"/>
    <n v="202"/>
    <x v="44"/>
    <n v="373"/>
    <x v="2"/>
  </r>
  <r>
    <x v="96"/>
    <s v="Female"/>
    <n v="22"/>
    <n v="85"/>
    <n v="75"/>
    <n v="72"/>
    <n v="70"/>
    <s v="Pass"/>
    <n v="0.72333333333333338"/>
    <s v="B"/>
    <n v="217"/>
    <x v="28"/>
    <n v="433"/>
    <x v="0"/>
  </r>
  <r>
    <x v="97"/>
    <s v="Male"/>
    <n v="22"/>
    <n v="84.6"/>
    <n v="76"/>
    <n v="60"/>
    <n v="82"/>
    <s v="Pass"/>
    <n v="0.72666666666666668"/>
    <s v="B"/>
    <n v="218"/>
    <x v="40"/>
    <n v="436"/>
    <x v="0"/>
  </r>
  <r>
    <x v="98"/>
    <s v="Female"/>
    <n v="18"/>
    <n v="82.1"/>
    <n v="69"/>
    <n v="52"/>
    <n v="84"/>
    <s v="Pass"/>
    <n v="0.68333333333333335"/>
    <s v="C"/>
    <n v="205"/>
    <x v="29"/>
    <n v="390"/>
    <x v="0"/>
  </r>
  <r>
    <x v="99"/>
    <s v="Male"/>
    <n v="21"/>
    <n v="79.7"/>
    <n v="42"/>
    <n v="63"/>
    <n v="65"/>
    <s v="Pass"/>
    <n v="0.56666666666666665"/>
    <s v="D"/>
    <n v="170"/>
    <x v="32"/>
    <n v="2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78C5-E44F-4186-A409-8436BF1957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1:X33" firstHeaderRow="1" firstDataRow="1" firstDataCol="1" rowPageCount="1" colPageCount="1"/>
  <pivotFields count="14">
    <pivotField showAll="0"/>
    <pivotField showAll="0"/>
    <pivotField numFmtId="1" showAll="0"/>
    <pivotField axis="axisRow" numFmtId="2" showAll="0">
      <items count="88">
        <item x="68"/>
        <item x="70"/>
        <item x="33"/>
        <item x="11"/>
        <item x="44"/>
        <item x="12"/>
        <item x="40"/>
        <item x="83"/>
        <item x="20"/>
        <item x="17"/>
        <item x="34"/>
        <item x="31"/>
        <item x="58"/>
        <item x="23"/>
        <item x="57"/>
        <item x="29"/>
        <item x="14"/>
        <item x="16"/>
        <item x="51"/>
        <item x="74"/>
        <item x="41"/>
        <item x="81"/>
        <item x="47"/>
        <item x="64"/>
        <item x="25"/>
        <item x="13"/>
        <item x="21"/>
        <item x="77"/>
        <item x="73"/>
        <item x="75"/>
        <item x="55"/>
        <item x="7"/>
        <item x="9"/>
        <item x="46"/>
        <item x="82"/>
        <item x="52"/>
        <item x="39"/>
        <item x="26"/>
        <item x="4"/>
        <item x="71"/>
        <item x="56"/>
        <item x="1"/>
        <item x="38"/>
        <item x="61"/>
        <item x="66"/>
        <item x="28"/>
        <item x="86"/>
        <item x="19"/>
        <item x="69"/>
        <item x="79"/>
        <item x="22"/>
        <item x="37"/>
        <item x="35"/>
        <item x="32"/>
        <item x="10"/>
        <item x="85"/>
        <item x="84"/>
        <item x="15"/>
        <item x="45"/>
        <item x="53"/>
        <item x="43"/>
        <item x="63"/>
        <item x="24"/>
        <item x="0"/>
        <item x="78"/>
        <item x="8"/>
        <item x="48"/>
        <item x="2"/>
        <item x="36"/>
        <item x="6"/>
        <item x="59"/>
        <item x="30"/>
        <item x="76"/>
        <item x="50"/>
        <item x="80"/>
        <item x="54"/>
        <item x="62"/>
        <item x="49"/>
        <item x="42"/>
        <item x="60"/>
        <item x="18"/>
        <item x="72"/>
        <item x="3"/>
        <item x="65"/>
        <item x="67"/>
        <item x="5"/>
        <item x="27"/>
        <item t="default"/>
      </items>
    </pivotField>
    <pivotField numFmtId="1" showAll="0"/>
    <pivotField numFmtId="1" showAll="0"/>
    <pivotField numFmtId="1" showAll="0"/>
    <pivotField showAll="0"/>
    <pivotField numFmtId="10" showAll="0"/>
    <pivotField showAll="0"/>
    <pivotField dataField="1" numFmtId="1" showAll="0">
      <items count="69">
        <item x="9"/>
        <item x="19"/>
        <item x="25"/>
        <item x="35"/>
        <item x="38"/>
        <item x="21"/>
        <item x="0"/>
        <item x="43"/>
        <item x="27"/>
        <item x="63"/>
        <item x="32"/>
        <item x="15"/>
        <item x="66"/>
        <item x="51"/>
        <item x="13"/>
        <item x="52"/>
        <item x="62"/>
        <item x="46"/>
        <item x="22"/>
        <item x="48"/>
        <item x="4"/>
        <item x="59"/>
        <item x="50"/>
        <item x="64"/>
        <item x="1"/>
        <item x="23"/>
        <item x="2"/>
        <item x="3"/>
        <item x="31"/>
        <item x="53"/>
        <item x="44"/>
        <item x="14"/>
        <item x="29"/>
        <item x="8"/>
        <item x="24"/>
        <item x="67"/>
        <item x="61"/>
        <item x="57"/>
        <item x="41"/>
        <item x="54"/>
        <item x="28"/>
        <item x="40"/>
        <item x="42"/>
        <item x="33"/>
        <item x="37"/>
        <item x="11"/>
        <item x="55"/>
        <item x="5"/>
        <item x="10"/>
        <item x="17"/>
        <item x="56"/>
        <item x="60"/>
        <item x="7"/>
        <item x="39"/>
        <item x="36"/>
        <item x="30"/>
        <item x="26"/>
        <item x="47"/>
        <item x="16"/>
        <item x="65"/>
        <item x="20"/>
        <item x="49"/>
        <item x="45"/>
        <item x="34"/>
        <item x="12"/>
        <item x="58"/>
        <item x="18"/>
        <item x="6"/>
        <item t="default"/>
      </items>
    </pivotField>
    <pivotField numFmtId="2"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13" hier="-1"/>
  </pageFields>
  <dataFields count="1">
    <dataField name="Sum of Total_score" fld="10" baseField="0" baseItem="0" numFmtId="1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52717-037F-4239-8DF6-AEB7724FBDFB}" name="PivotTable4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Y8:AZ12" firstHeaderRow="1" firstDataRow="1" firstDataCol="1"/>
  <pivotFields count="14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numFmtId="1" showAll="0"/>
    <pivotField numFmtId="2" showAll="0"/>
    <pivotField numFmtId="1" showAll="0"/>
    <pivotField numFmtId="1" showAll="0"/>
    <pivotField numFmtId="1" showAll="0"/>
    <pivotField showAll="0"/>
    <pivotField numFmtId="10" showAll="0"/>
    <pivotField showAll="0"/>
    <pivotField numFmtId="1" showAll="0"/>
    <pivotField dataField="1" numFmtId="2" showAll="0">
      <items count="69">
        <item x="9"/>
        <item x="19"/>
        <item x="25"/>
        <item x="35"/>
        <item x="38"/>
        <item x="21"/>
        <item x="0"/>
        <item x="43"/>
        <item x="27"/>
        <item x="63"/>
        <item x="32"/>
        <item x="15"/>
        <item x="66"/>
        <item x="51"/>
        <item x="13"/>
        <item x="52"/>
        <item x="62"/>
        <item x="46"/>
        <item x="22"/>
        <item x="48"/>
        <item x="4"/>
        <item x="59"/>
        <item x="50"/>
        <item x="64"/>
        <item x="1"/>
        <item x="23"/>
        <item x="2"/>
        <item x="3"/>
        <item x="31"/>
        <item x="53"/>
        <item x="44"/>
        <item x="14"/>
        <item x="29"/>
        <item x="8"/>
        <item x="24"/>
        <item x="67"/>
        <item x="61"/>
        <item x="57"/>
        <item x="41"/>
        <item x="54"/>
        <item x="28"/>
        <item x="40"/>
        <item x="42"/>
        <item x="33"/>
        <item x="37"/>
        <item x="11"/>
        <item x="55"/>
        <item x="5"/>
        <item x="10"/>
        <item x="17"/>
        <item x="56"/>
        <item x="60"/>
        <item x="7"/>
        <item x="39"/>
        <item x="36"/>
        <item x="30"/>
        <item x="26"/>
        <item x="47"/>
        <item x="16"/>
        <item x="65"/>
        <item x="20"/>
        <item x="49"/>
        <item x="45"/>
        <item x="34"/>
        <item x="12"/>
        <item x="58"/>
        <item x="18"/>
        <item x="6"/>
        <item t="default"/>
      </items>
    </pivotField>
    <pivotField showAll="0"/>
    <pivotField axis="axisRow" multipleItemSelectionAllowed="1" showAll="0">
      <items count="4">
        <item x="1"/>
        <item x="0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rage_score" fld="11" subtotal="average" baseField="0" baseItem="13" numFmtId="2"/>
  </dataFields>
  <formats count="7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0" type="button" dataOnly="0" labelOnly="1" outline="0"/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15">
      <pivotArea field="13" type="button" dataOnly="0" labelOnly="1" outline="0" axis="axisRow" fieldPosition="0"/>
    </format>
    <format dxfId="14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DDF5CB9-E026-44FF-9BAC-98C99238F1D9}" autoFormatId="16" applyNumberFormats="0" applyBorderFormats="0" applyFontFormats="0" applyPatternFormats="0" applyAlignmentFormats="0" applyWidthHeightFormats="0">
  <queryTableRefresh nextId="16" unboundColumnsRight="7">
    <queryTableFields count="14">
      <queryTableField id="1" name="Student_ID" tableColumnId="1"/>
      <queryTableField id="2" name="Gender" tableColumnId="2"/>
      <queryTableField id="3" name="Age" tableColumnId="3"/>
      <queryTableField id="4" name="Attendance_%" tableColumnId="4"/>
      <queryTableField id="5" name="Math_Score" tableColumnId="5"/>
      <queryTableField id="6" name="Science_Score" tableColumnId="6"/>
      <queryTableField id="7" name="English_Score" tableColumnId="7"/>
      <queryTableField id="8" dataBound="0" tableColumnId="8"/>
      <queryTableField id="10" dataBound="0" tableColumnId="10"/>
      <queryTableField id="9" dataBound="0" tableColumnId="9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B4C398-FDD6-4D5D-BC13-9CFE836A3F27}" autoFormatId="16" applyNumberFormats="0" applyBorderFormats="0" applyFontFormats="0" applyPatternFormats="0" applyAlignmentFormats="0" applyWidthHeightFormats="0">
  <queryTableRefresh nextId="20" unboundColumnsRight="7">
    <queryTableFields count="14">
      <queryTableField id="1" name="Student_ID" tableColumnId="1"/>
      <queryTableField id="2" name="Gender" tableColumnId="2"/>
      <queryTableField id="3" name="Age" tableColumnId="3"/>
      <queryTableField id="4" name="Attendance_%" tableColumnId="4"/>
      <queryTableField id="5" name="Math_Score" tableColumnId="5"/>
      <queryTableField id="6" name="Science_Score" tableColumnId="6"/>
      <queryTableField id="7" name="English_Score" tableColumnId="7"/>
      <queryTableField id="10" dataBound="0" tableColumnId="10"/>
      <queryTableField id="11" dataBound="0" tableColumnId="11"/>
      <queryTableField id="12" dataBound="0" tableColumnId="12"/>
      <queryTableField id="18" dataBound="0" tableColumnId="19"/>
      <queryTableField id="19" dataBound="0" tableColumnId="20"/>
      <queryTableField id="13" dataBound="0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86D91C-B2BB-49CD-9D09-7B8D8E6DC30C}" autoFormatId="16" applyNumberFormats="0" applyBorderFormats="0" applyFontFormats="0" applyPatternFormats="0" applyAlignmentFormats="0" applyWidthHeightFormats="0">
  <queryTableRefresh nextId="8">
    <queryTableFields count="7">
      <queryTableField id="1" name="Student_ID" tableColumnId="1"/>
      <queryTableField id="2" name="Gender" tableColumnId="2"/>
      <queryTableField id="3" name="Age" tableColumnId="3"/>
      <queryTableField id="4" name="Attendance_%" tableColumnId="4"/>
      <queryTableField id="5" name="Math_Score" tableColumnId="5"/>
      <queryTableField id="6" name="Science_Score" tableColumnId="6"/>
      <queryTableField id="7" name="English_Scor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35F338-8BDA-4D65-80C0-B674970E6B4D}" autoFormatId="16" applyNumberFormats="0" applyBorderFormats="0" applyFontFormats="0" applyPatternFormats="0" applyAlignmentFormats="0" applyWidthHeightFormats="0">
  <queryTableRefresh nextId="8">
    <queryTableFields count="7">
      <queryTableField id="1" name="Student_ID" tableColumnId="1"/>
      <queryTableField id="2" name="Gender" tableColumnId="2"/>
      <queryTableField id="3" name="Age" tableColumnId="3"/>
      <queryTableField id="4" name="Attendance_%" tableColumnId="4"/>
      <queryTableField id="5" name="Math_Score" tableColumnId="5"/>
      <queryTableField id="6" name="Science_Score" tableColumnId="6"/>
      <queryTableField id="7" name="English_Sco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D7B5CC-B6F7-4FDF-A3C0-3A2377072DB9}" name="Raw_Data345" displayName="Raw_Data345" ref="A1:N101" tableType="queryTable" totalsRowShown="0" headerRowDxfId="36" headerRowBorderDxfId="35">
  <tableColumns count="14">
    <tableColumn id="1" xr3:uid="{0D82834D-82B1-4E90-A015-349583FD05B9}" uniqueName="1" name="Student_ID" queryTableFieldId="1" dataDxfId="34"/>
    <tableColumn id="2" xr3:uid="{44E96434-D3EC-4E49-8525-836E63DCBD9B}" uniqueName="2" name="Gender" queryTableFieldId="2" dataDxfId="33"/>
    <tableColumn id="3" xr3:uid="{3F89961E-A00F-4D8E-9BBC-BDE05B41ED5F}" uniqueName="3" name="Age" queryTableFieldId="3" dataDxfId="32"/>
    <tableColumn id="4" xr3:uid="{A0196620-A227-4D36-8DF7-543E3D7A4389}" uniqueName="4" name="Attendance_%" queryTableFieldId="4" dataDxfId="31"/>
    <tableColumn id="5" xr3:uid="{3301953C-81A4-4B18-8B56-487621B18D89}" uniqueName="5" name="Math_Score" queryTableFieldId="5" dataDxfId="30"/>
    <tableColumn id="6" xr3:uid="{93D24BFE-FE3A-41AC-9DF5-18FA7C3044D0}" uniqueName="6" name="Science_Score" queryTableFieldId="6" dataDxfId="29"/>
    <tableColumn id="7" xr3:uid="{49B0CFE3-A974-4CA4-8BD5-0313DF896EBD}" uniqueName="7" name="English_Score" queryTableFieldId="7" dataDxfId="28"/>
    <tableColumn id="8" xr3:uid="{86E42135-3F58-4EBB-92D8-47620EC7ED46}" uniqueName="8" name="Result" queryTableFieldId="8" dataDxfId="27">
      <calculatedColumnFormula>IF(AND(Raw_Data345[[#This Row],[Math_Score]]&gt;=40,Raw_Data345[[#This Row],[Science_Score]]&gt;=40,Raw_Data345[[#This Row],[English_Score]]&gt;=40),"Pass","Fail")</calculatedColumnFormula>
    </tableColumn>
    <tableColumn id="10" xr3:uid="{714474FB-2B5F-49EA-84E9-3EF13FC4712B}" uniqueName="10" name="Percentage" queryTableFieldId="10" dataDxfId="26">
      <calculatedColumnFormula>SUM(Raw_Data345[[#This Row],[Math_Score]],Raw_Data345[[#This Row],[Science_Score]],Raw_Data345[[#This Row],[English_Score]])/300</calculatedColumnFormula>
    </tableColumn>
    <tableColumn id="9" xr3:uid="{FFDA078E-3205-4D05-BD75-9BF16711D2BE}" uniqueName="9" name="Grade" queryTableFieldId="9" dataDxfId="25">
      <calculatedColumnFormula array="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calculatedColumnFormula>
    </tableColumn>
    <tableColumn id="11" xr3:uid="{72B32BDF-2818-4354-B064-27A301CA5966}" uniqueName="11" name="Total_score" queryTableFieldId="11" dataDxfId="24">
      <calculatedColumnFormula>SUM(Raw_Data345[[#This Row],[Math_Score]],Raw_Data345[[#This Row],[Science_Score]],Raw_Data345[[#This Row],[English_Score]])</calculatedColumnFormula>
    </tableColumn>
    <tableColumn id="12" xr3:uid="{8A4C63A4-E3FF-4D4F-A8E6-ED7444D66EC3}" uniqueName="12" name="Average_score" queryTableFieldId="12" dataDxfId="23">
      <calculatedColumnFormula>Raw_Data345[[#This Row],[Total_score]]/3</calculatedColumnFormula>
    </tableColumn>
    <tableColumn id="13" xr3:uid="{2D060B88-F83B-484C-AE75-07B675534B19}" uniqueName="13" name="Rank" queryTableFieldId="13" dataDxfId="22">
      <calculatedColumnFormula>_xlfn.RANK.EQ(Raw_Data345[[#This Row],[Average_score]],Raw_Data345[[Student_ID]:[Average_score]],1)</calculatedColumnFormula>
    </tableColumn>
    <tableColumn id="14" xr3:uid="{3812D71B-1DA4-4440-9ABD-534B1EEF3DC7}" uniqueName="14" name="Attendance_Category" queryTableFieldId="14" dataDxfId="21">
      <calculatedColumnFormula array="1">_xlfn.IFS(Raw_Data345[[#This Row],[Attendance_%]]&gt;=90,"Excellent",AND(Raw_Data345[[#This Row],[Attendance_%]]&gt;=75, Raw_Data345[[#This Row],[Attendance_%]]&lt;90),"Good",Raw_Data345[[#This Row],[Attendance_%]]&lt;75,"Low")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F4B81D-4972-4C2C-A0C3-C9BDA8F28C19}" name="Raw_Data34" displayName="Raw_Data34" ref="A1:N101" tableType="queryTable" totalsRowShown="0" headerRowDxfId="54" headerRowBorderDxfId="53">
  <tableColumns count="14">
    <tableColumn id="1" xr3:uid="{2704BB29-0E83-488B-8920-BF65253917BF}" uniqueName="1" name="Student_ID" queryTableFieldId="1" dataDxfId="52"/>
    <tableColumn id="2" xr3:uid="{B4DF2500-5642-4D8E-8C49-79B5228E3C81}" uniqueName="2" name="Gender" queryTableFieldId="2" dataDxfId="51"/>
    <tableColumn id="3" xr3:uid="{FDCE392B-BB00-4CB1-B641-C10B4B27FE0F}" uniqueName="3" name="Age" queryTableFieldId="3" dataDxfId="50"/>
    <tableColumn id="4" xr3:uid="{DF52F8C1-3AC0-4723-94C6-1668903D6B07}" uniqueName="4" name="Attendance_%" queryTableFieldId="4" dataDxfId="49"/>
    <tableColumn id="5" xr3:uid="{60C2AD25-02E2-43F0-85B8-3F801DD3C574}" uniqueName="5" name="Math_Score" queryTableFieldId="5" dataDxfId="48"/>
    <tableColumn id="6" xr3:uid="{5847444B-5865-4B11-89D0-D369C74B5F99}" uniqueName="6" name="Science_Score" queryTableFieldId="6" dataDxfId="47"/>
    <tableColumn id="7" xr3:uid="{EFC2DBE4-CC18-47FA-B0A8-2CE80A841FBB}" uniqueName="7" name="English_Score" queryTableFieldId="7" dataDxfId="46"/>
    <tableColumn id="10" xr3:uid="{A8E96B61-54E2-4270-B7FC-9E83A793915D}" uniqueName="10" name="Percentage" queryTableFieldId="10" dataDxfId="45">
      <calculatedColumnFormula>SUM(Raw_Data34[[#This Row],[Math_Score]],Raw_Data34[[#This Row],[Science_Score]],Raw_Data34[[#This Row],[English_Score]])/300</calculatedColumnFormula>
    </tableColumn>
    <tableColumn id="11" xr3:uid="{7E96998C-A391-440C-8E0F-BA8D5CA61A6C}" uniqueName="11" name="Total_score" queryTableFieldId="11" dataDxfId="44">
      <calculatedColumnFormula>SUM(Raw_Data34[[#This Row],[Math_Score]],Raw_Data34[[#This Row],[Science_Score]],Raw_Data34[[#This Row],[English_Score]])</calculatedColumnFormula>
    </tableColumn>
    <tableColumn id="12" xr3:uid="{3477D40E-31C0-48F1-AF99-BC506CA6DDFA}" uniqueName="12" name="Average_score" queryTableFieldId="12" dataDxfId="8">
      <calculatedColumnFormula>Raw_Data34[[#This Row],[Total_score]]/3</calculatedColumnFormula>
    </tableColumn>
    <tableColumn id="19" xr3:uid="{BE1A0F57-3424-4D5A-9A9B-41DD7AD00564}" uniqueName="19" name="Result" queryTableFieldId="18" dataDxfId="6">
      <calculatedColumnFormula>IF(Raw_Data34[[#This Row],[Average_score]]&gt;=40,"Pass","Fail")</calculatedColumnFormula>
    </tableColumn>
    <tableColumn id="20" xr3:uid="{3859F0F2-5359-4F35-B8A1-694352773C57}" uniqueName="20" name="Grade" queryTableFieldId="19" dataDxfId="5">
      <calculatedColumnFormula array="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calculatedColumnFormula>
    </tableColumn>
    <tableColumn id="13" xr3:uid="{B34BC494-705D-4D0A-A853-6C16E1C85F78}" uniqueName="13" name="Rank" queryTableFieldId="13" dataDxfId="7">
      <calculatedColumnFormula>_xlfn.RANK.EQ(Raw_Data34[[#This Row],[Average_score]],Raw_Data34[[Student_ID]:[Average_score]],1)</calculatedColumnFormula>
    </tableColumn>
    <tableColumn id="14" xr3:uid="{5171A78D-E325-4E4F-AA18-B0EAD2B49684}" uniqueName="14" name="Attendance_Category" queryTableFieldId="14" dataDxfId="43">
      <calculatedColumnFormula array="1">_xlfn.IFS(Raw_Data34[[#This Row],[Attendance_%]]&gt;=90,"Excellent",AND(Raw_Data34[[#This Row],[Attendance_%]]&gt;=75, Raw_Data34[[#This Row],[Attendance_%]]&lt;90),"Good",Raw_Data34[[#This Row],[Attendance_%]]&lt;75,"Low")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80925-080A-4F1C-B8FA-0BF9C5D860AC}" name="Raw_Data3" displayName="Raw_Data3" ref="A1:G101" tableType="queryTable" totalsRowShown="0" headerRowDxfId="65" headerRowBorderDxfId="64">
  <tableColumns count="7">
    <tableColumn id="1" xr3:uid="{F88D783A-EDCC-4C4F-9FEC-4D03BBF516E5}" uniqueName="1" name="Student_ID" queryTableFieldId="1" dataDxfId="63"/>
    <tableColumn id="2" xr3:uid="{D440B9A3-D753-4778-B475-8519C44DD34D}" uniqueName="2" name="Gender" queryTableFieldId="2" dataDxfId="62"/>
    <tableColumn id="3" xr3:uid="{035E11DB-4BE4-46F7-AE01-E39AAC9697F2}" uniqueName="3" name="Age" queryTableFieldId="3" dataDxfId="61"/>
    <tableColumn id="4" xr3:uid="{0CEF7918-AE41-455E-8EB7-CC5A60B2002C}" uniqueName="4" name="Attendance_%" queryTableFieldId="4" dataDxfId="60"/>
    <tableColumn id="5" xr3:uid="{732ADF34-CC68-47CE-A660-41BED539C3A0}" uniqueName="5" name="Math_Score" queryTableFieldId="5" dataDxfId="59"/>
    <tableColumn id="6" xr3:uid="{D70FB3C5-45A4-4076-BE35-C8CF6730046A}" uniqueName="6" name="Science_Score" queryTableFieldId="6" dataDxfId="58"/>
    <tableColumn id="7" xr3:uid="{6A52187D-C5FA-4085-817A-5EACA2AFE5A2}" uniqueName="7" name="English_Score" queryTableFieldId="7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EBB37-DB1E-41CA-8794-0ECDF0A88A69}" name="Raw_Data" displayName="Raw_Data" ref="A1:G101" tableType="queryTable" totalsRowShown="0">
  <autoFilter ref="A1:G101" xr:uid="{F4CEBB37-DB1E-41CA-8794-0ECDF0A88A69}"/>
  <tableColumns count="7">
    <tableColumn id="1" xr3:uid="{38CE2171-6397-45CC-BF9B-F1F49F36DCBA}" uniqueName="1" name="Student_ID" queryTableFieldId="1" dataDxfId="56"/>
    <tableColumn id="2" xr3:uid="{ED0FA510-65AB-4740-9F6E-5FF276169981}" uniqueName="2" name="Gender" queryTableFieldId="2" dataDxfId="55"/>
    <tableColumn id="3" xr3:uid="{A52ADE54-05D7-42DB-B6AD-DF72947C688B}" uniqueName="3" name="Age" queryTableFieldId="3"/>
    <tableColumn id="4" xr3:uid="{776627FA-D860-41D8-B1CE-1DB255978556}" uniqueName="4" name="Attendance_%" queryTableFieldId="4"/>
    <tableColumn id="5" xr3:uid="{F6F70689-DB3E-437C-ACF2-F300760CC083}" uniqueName="5" name="Math_Score" queryTableFieldId="5"/>
    <tableColumn id="6" xr3:uid="{9952E104-CE9E-4ED8-ABC5-D9959B73ED09}" uniqueName="6" name="Science_Score" queryTableFieldId="6"/>
    <tableColumn id="7" xr3:uid="{C6A75E9A-B6B9-4BA5-B893-13D327869BD2}" uniqueName="7" name="English_Scor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83F7-63F0-4661-AAC7-ACD092676422}">
  <dimension ref="A1:Z105"/>
  <sheetViews>
    <sheetView workbookViewId="0">
      <selection activeCell="L1" sqref="L1:L1048576"/>
    </sheetView>
  </sheetViews>
  <sheetFormatPr defaultRowHeight="27" x14ac:dyDescent="0.9"/>
  <cols>
    <col min="1" max="1" width="12.796875" style="1" bestFit="1" customWidth="1"/>
    <col min="2" max="2" width="9.5" style="4" bestFit="1" customWidth="1"/>
    <col min="3" max="3" width="6.3984375" style="3" bestFit="1" customWidth="1"/>
    <col min="4" max="4" width="17" style="2" customWidth="1"/>
    <col min="5" max="5" width="13.5" style="3" bestFit="1" customWidth="1"/>
    <col min="6" max="6" width="16.296875" style="3" bestFit="1" customWidth="1"/>
    <col min="7" max="7" width="15.796875" style="3" bestFit="1" customWidth="1"/>
    <col min="9" max="9" width="11.8984375" style="16" bestFit="1" customWidth="1"/>
    <col min="10" max="10" width="10.296875" style="1" customWidth="1"/>
    <col min="11" max="11" width="12.09765625" style="3" bestFit="1" customWidth="1"/>
    <col min="12" max="12" width="15.3984375" style="2" bestFit="1" customWidth="1"/>
    <col min="14" max="14" width="21.8984375" bestFit="1" customWidth="1"/>
    <col min="15" max="15" width="14.296875" bestFit="1" customWidth="1"/>
    <col min="20" max="20" width="9.8984375" customWidth="1"/>
    <col min="23" max="23" width="13.59765625" bestFit="1" customWidth="1"/>
    <col min="24" max="24" width="19" bestFit="1" customWidth="1"/>
    <col min="25" max="25" width="11.796875" customWidth="1"/>
    <col min="26" max="26" width="23.09765625" customWidth="1"/>
    <col min="27" max="91" width="3.8984375" bestFit="1" customWidth="1"/>
    <col min="92" max="92" width="11.796875" bestFit="1" customWidth="1"/>
  </cols>
  <sheetData>
    <row r="1" spans="1:26" x14ac:dyDescent="0.9">
      <c r="A1" s="6" t="s">
        <v>0</v>
      </c>
      <c r="B1" s="6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12" t="s">
        <v>109</v>
      </c>
      <c r="I1" s="44" t="s">
        <v>111</v>
      </c>
      <c r="J1" s="18" t="s">
        <v>110</v>
      </c>
      <c r="K1" s="17" t="s">
        <v>112</v>
      </c>
      <c r="L1" s="20" t="s">
        <v>113</v>
      </c>
      <c r="M1" s="25" t="s">
        <v>114</v>
      </c>
      <c r="N1" s="23" t="s">
        <v>115</v>
      </c>
    </row>
    <row r="2" spans="1:26" x14ac:dyDescent="0.9">
      <c r="A2" s="5" t="s">
        <v>7</v>
      </c>
      <c r="B2" s="6" t="s">
        <v>8</v>
      </c>
      <c r="C2" s="7">
        <v>18</v>
      </c>
      <c r="D2" s="8">
        <v>87</v>
      </c>
      <c r="E2" s="7">
        <v>60</v>
      </c>
      <c r="F2" s="7">
        <v>41</v>
      </c>
      <c r="G2" s="7">
        <v>57</v>
      </c>
      <c r="H2" s="11" t="str">
        <f>IF(AND(Raw_Data345[[#This Row],[Math_Score]]&gt;=40,Raw_Data345[[#This Row],[Science_Score]]&gt;=40,Raw_Data345[[#This Row],[English_Score]]&gt;=40),"Pass","Fail")</f>
        <v>Pass</v>
      </c>
      <c r="I2" s="14">
        <f>SUM(Raw_Data345[[#This Row],[Math_Score]],Raw_Data345[[#This Row],[Science_Score]],Raw_Data345[[#This Row],[English_Score]])/300</f>
        <v>0.52666666666666662</v>
      </c>
      <c r="J2" s="19" t="str" cm="1">
        <f t="array" ref="J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2" s="11">
        <f>SUM(Raw_Data345[[#This Row],[Math_Score]],Raw_Data345[[#This Row],[Science_Score]],Raw_Data345[[#This Row],[English_Score]])</f>
        <v>158</v>
      </c>
      <c r="L2" s="21">
        <f>Raw_Data345[[#This Row],[Total_score]]/3</f>
        <v>52.666666666666664</v>
      </c>
      <c r="M2" s="26">
        <f>_xlfn.RANK.EQ(Raw_Data345[[#This Row],[Average_score]],Raw_Data345[[Student_ID]:[Average_score]],1)</f>
        <v>243</v>
      </c>
      <c r="N2" s="24" t="str" cm="1">
        <f t="array" ref="N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" spans="1:26" x14ac:dyDescent="0.9">
      <c r="A3" s="5" t="s">
        <v>9</v>
      </c>
      <c r="B3" s="6" t="s">
        <v>8</v>
      </c>
      <c r="C3" s="7">
        <v>21</v>
      </c>
      <c r="D3" s="8">
        <v>80.599999999999994</v>
      </c>
      <c r="E3" s="7">
        <v>59</v>
      </c>
      <c r="F3" s="7">
        <v>68</v>
      </c>
      <c r="G3" s="7">
        <v>67</v>
      </c>
      <c r="H3" s="7" t="str">
        <f>IF(AND(Raw_Data345[[#This Row],[Math_Score]]&gt;=40,Raw_Data345[[#This Row],[Science_Score]]&gt;=40,Raw_Data345[[#This Row],[English_Score]]&gt;=40),"Pass","Fail")</f>
        <v>Pass</v>
      </c>
      <c r="I3" s="15">
        <f>SUM(Raw_Data345[[#This Row],[Math_Score]],Raw_Data345[[#This Row],[Science_Score]],Raw_Data345[[#This Row],[English_Score]])/300</f>
        <v>0.64666666666666661</v>
      </c>
      <c r="J3" s="5" t="str" cm="1">
        <f t="array" ref="J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3" s="7">
        <f>SUM(Raw_Data345[[#This Row],[Math_Score]],Raw_Data345[[#This Row],[Science_Score]],Raw_Data345[[#This Row],[English_Score]])</f>
        <v>194</v>
      </c>
      <c r="L3" s="22">
        <f>Raw_Data345[[#This Row],[Total_score]]/3</f>
        <v>64.666666666666671</v>
      </c>
      <c r="M3" s="26">
        <f>_xlfn.RANK.EQ(Raw_Data345[[#This Row],[Average_score]],Raw_Data345[[Student_ID]:[Average_score]],1)</f>
        <v>340</v>
      </c>
      <c r="N3" s="24" t="str" cm="1">
        <f t="array" ref="N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" spans="1:26" x14ac:dyDescent="0.9">
      <c r="A4" s="5" t="s">
        <v>10</v>
      </c>
      <c r="B4" s="6" t="s">
        <v>11</v>
      </c>
      <c r="C4" s="7">
        <v>22</v>
      </c>
      <c r="D4" s="8">
        <v>88.5</v>
      </c>
      <c r="E4" s="7">
        <v>53</v>
      </c>
      <c r="F4" s="7">
        <v>76</v>
      </c>
      <c r="G4" s="7">
        <v>67</v>
      </c>
      <c r="H4" s="7" t="str">
        <f>IF(AND(Raw_Data345[[#This Row],[Math_Score]]&gt;=40,Raw_Data345[[#This Row],[Science_Score]]&gt;=40,Raw_Data345[[#This Row],[English_Score]]&gt;=40),"Pass","Fail")</f>
        <v>Pass</v>
      </c>
      <c r="I4" s="15">
        <f>SUM(Raw_Data345[[#This Row],[Math_Score]],Raw_Data345[[#This Row],[Science_Score]],Raw_Data345[[#This Row],[English_Score]])/300</f>
        <v>0.65333333333333332</v>
      </c>
      <c r="J4" s="5" t="str" cm="1">
        <f t="array" ref="J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4" s="7">
        <f>SUM(Raw_Data345[[#This Row],[Math_Score]],Raw_Data345[[#This Row],[Science_Score]],Raw_Data345[[#This Row],[English_Score]])</f>
        <v>196</v>
      </c>
      <c r="L4" s="22">
        <f>Raw_Data345[[#This Row],[Total_score]]/3</f>
        <v>65.333333333333329</v>
      </c>
      <c r="M4" s="26">
        <f>_xlfn.RANK.EQ(Raw_Data345[[#This Row],[Average_score]],Raw_Data345[[Student_ID]:[Average_score]],1)</f>
        <v>353</v>
      </c>
      <c r="N4" s="24" t="str" cm="1">
        <f t="array" ref="N4">_xlfn.IFS(Raw_Data345[[#This Row],[Attendance_%]]&gt;=90,"Excellent",AND(Raw_Data345[[#This Row],[Attendance_%]]&gt;=75, Raw_Data345[[#This Row],[Attendance_%]]&lt;90),"Good",Raw_Data345[[#This Row],[Attendance_%]]&lt;75,"Low")</f>
        <v>Good</v>
      </c>
      <c r="S4" s="34"/>
      <c r="T4" s="34"/>
      <c r="U4" s="34"/>
      <c r="V4" s="34"/>
      <c r="W4" s="34"/>
      <c r="X4" s="34"/>
      <c r="Z4" s="34"/>
    </row>
    <row r="5" spans="1:26" x14ac:dyDescent="0.9">
      <c r="A5" s="5" t="s">
        <v>12</v>
      </c>
      <c r="B5" s="6" t="s">
        <v>8</v>
      </c>
      <c r="C5" s="7">
        <v>18</v>
      </c>
      <c r="D5" s="8">
        <v>97.2</v>
      </c>
      <c r="E5" s="7">
        <v>55</v>
      </c>
      <c r="F5" s="7">
        <v>78</v>
      </c>
      <c r="G5" s="7">
        <v>65</v>
      </c>
      <c r="H5" s="7" t="str">
        <f>IF(AND(Raw_Data345[[#This Row],[Math_Score]]&gt;=40,Raw_Data345[[#This Row],[Science_Score]]&gt;=40,Raw_Data345[[#This Row],[English_Score]]&gt;=40),"Pass","Fail")</f>
        <v>Pass</v>
      </c>
      <c r="I5" s="15">
        <f>SUM(Raw_Data345[[#This Row],[Math_Score]],Raw_Data345[[#This Row],[Science_Score]],Raw_Data345[[#This Row],[English_Score]])/300</f>
        <v>0.66</v>
      </c>
      <c r="J5" s="5" t="str" cm="1">
        <f t="array" ref="J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5" s="7">
        <f>SUM(Raw_Data345[[#This Row],[Math_Score]],Raw_Data345[[#This Row],[Science_Score]],Raw_Data345[[#This Row],[English_Score]])</f>
        <v>198</v>
      </c>
      <c r="L5" s="22">
        <f>Raw_Data345[[#This Row],[Total_score]]/3</f>
        <v>66</v>
      </c>
      <c r="M5" s="26">
        <f>_xlfn.RANK.EQ(Raw_Data345[[#This Row],[Average_score]],Raw_Data345[[Student_ID]:[Average_score]],1)</f>
        <v>354</v>
      </c>
      <c r="N5" s="24" t="str" cm="1">
        <f t="array" ref="N5">_xlfn.IFS(Raw_Data345[[#This Row],[Attendance_%]]&gt;=90,"Excellent",AND(Raw_Data345[[#This Row],[Attendance_%]]&gt;=75, Raw_Data345[[#This Row],[Attendance_%]]&lt;90),"Good",Raw_Data345[[#This Row],[Attendance_%]]&lt;75,"Low")</f>
        <v>Excellent</v>
      </c>
      <c r="S5" s="34"/>
      <c r="T5" s="30"/>
      <c r="U5" s="30"/>
      <c r="V5" s="34"/>
      <c r="W5" s="34"/>
      <c r="X5" s="34"/>
      <c r="Z5" s="34"/>
    </row>
    <row r="6" spans="1:26" x14ac:dyDescent="0.9">
      <c r="A6" s="5" t="s">
        <v>13</v>
      </c>
      <c r="B6" s="6" t="s">
        <v>11</v>
      </c>
      <c r="C6" s="7">
        <v>19</v>
      </c>
      <c r="D6" s="8">
        <v>79.7</v>
      </c>
      <c r="E6" s="7">
        <v>62</v>
      </c>
      <c r="F6" s="7">
        <v>59</v>
      </c>
      <c r="G6" s="7">
        <v>65</v>
      </c>
      <c r="H6" s="7" t="str">
        <f>IF(AND(Raw_Data345[[#This Row],[Math_Score]]&gt;=40,Raw_Data345[[#This Row],[Science_Score]]&gt;=40,Raw_Data345[[#This Row],[English_Score]]&gt;=40),"Pass","Fail")</f>
        <v>Pass</v>
      </c>
      <c r="I6" s="15">
        <f>SUM(Raw_Data345[[#This Row],[Math_Score]],Raw_Data345[[#This Row],[Science_Score]],Raw_Data345[[#This Row],[English_Score]])/300</f>
        <v>0.62</v>
      </c>
      <c r="J6" s="5" t="str" cm="1">
        <f t="array" ref="J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6" s="7">
        <f>SUM(Raw_Data345[[#This Row],[Math_Score]],Raw_Data345[[#This Row],[Science_Score]],Raw_Data345[[#This Row],[English_Score]])</f>
        <v>186</v>
      </c>
      <c r="L6" s="22">
        <f>Raw_Data345[[#This Row],[Total_score]]/3</f>
        <v>62</v>
      </c>
      <c r="M6" s="26">
        <f>_xlfn.RANK.EQ(Raw_Data345[[#This Row],[Average_score]],Raw_Data345[[Student_ID]:[Average_score]],1)</f>
        <v>308</v>
      </c>
      <c r="N6" s="24" t="str" cm="1">
        <f t="array" ref="N6">_xlfn.IFS(Raw_Data345[[#This Row],[Attendance_%]]&gt;=90,"Excellent",AND(Raw_Data345[[#This Row],[Attendance_%]]&gt;=75, Raw_Data345[[#This Row],[Attendance_%]]&lt;90),"Good",Raw_Data345[[#This Row],[Attendance_%]]&lt;75,"Low")</f>
        <v>Good</v>
      </c>
      <c r="U6" s="34"/>
      <c r="V6" s="34"/>
      <c r="W6" s="34"/>
      <c r="X6" s="34"/>
      <c r="Z6" s="34"/>
    </row>
    <row r="7" spans="1:26" x14ac:dyDescent="0.9">
      <c r="A7" s="5" t="s">
        <v>14</v>
      </c>
      <c r="B7" s="6" t="s">
        <v>11</v>
      </c>
      <c r="C7" s="7">
        <v>19</v>
      </c>
      <c r="D7" s="8">
        <v>79.7</v>
      </c>
      <c r="E7" s="7">
        <v>85</v>
      </c>
      <c r="F7" s="7">
        <v>70</v>
      </c>
      <c r="G7" s="7">
        <v>71</v>
      </c>
      <c r="H7" s="7" t="str">
        <f>IF(AND(Raw_Data345[[#This Row],[Math_Score]]&gt;=40,Raw_Data345[[#This Row],[Science_Score]]&gt;=40,Raw_Data345[[#This Row],[English_Score]]&gt;=40),"Pass","Fail")</f>
        <v>Pass</v>
      </c>
      <c r="I7" s="15">
        <f>SUM(Raw_Data345[[#This Row],[Math_Score]],Raw_Data345[[#This Row],[Science_Score]],Raw_Data345[[#This Row],[English_Score]])/300</f>
        <v>0.7533333333333333</v>
      </c>
      <c r="J7" s="5" t="str" cm="1">
        <f t="array" ref="J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7" s="7">
        <f>SUM(Raw_Data345[[#This Row],[Math_Score]],Raw_Data345[[#This Row],[Science_Score]],Raw_Data345[[#This Row],[English_Score]])</f>
        <v>226</v>
      </c>
      <c r="L7" s="22">
        <f>Raw_Data345[[#This Row],[Total_score]]/3</f>
        <v>75.333333333333329</v>
      </c>
      <c r="M7" s="26">
        <f>_xlfn.RANK.EQ(Raw_Data345[[#This Row],[Average_score]],Raw_Data345[[Student_ID]:[Average_score]],1)</f>
        <v>481</v>
      </c>
      <c r="N7" s="24" t="str" cm="1">
        <f t="array" ref="N7">_xlfn.IFS(Raw_Data345[[#This Row],[Attendance_%]]&gt;=90,"Excellent",AND(Raw_Data345[[#This Row],[Attendance_%]]&gt;=75, Raw_Data345[[#This Row],[Attendance_%]]&lt;90),"Good",Raw_Data345[[#This Row],[Attendance_%]]&lt;75,"Low")</f>
        <v>Good</v>
      </c>
      <c r="U7" s="30"/>
      <c r="V7" s="34"/>
      <c r="W7" s="34"/>
      <c r="X7" s="34"/>
      <c r="Z7" s="34"/>
    </row>
    <row r="8" spans="1:26" x14ac:dyDescent="0.9">
      <c r="A8" s="5" t="s">
        <v>15</v>
      </c>
      <c r="B8" s="6" t="s">
        <v>11</v>
      </c>
      <c r="C8" s="7">
        <v>18</v>
      </c>
      <c r="D8" s="8">
        <v>97.8</v>
      </c>
      <c r="E8" s="7">
        <v>100</v>
      </c>
      <c r="F8" s="7">
        <v>99</v>
      </c>
      <c r="G8" s="7">
        <v>97</v>
      </c>
      <c r="H8" s="7" t="str">
        <f>IF(AND(Raw_Data345[[#This Row],[Math_Score]]&gt;=40,Raw_Data345[[#This Row],[Science_Score]]&gt;=40,Raw_Data345[[#This Row],[English_Score]]&gt;=40),"Pass","Fail")</f>
        <v>Pass</v>
      </c>
      <c r="I8" s="15">
        <f>SUM(Raw_Data345[[#This Row],[Math_Score]],Raw_Data345[[#This Row],[Science_Score]],Raw_Data345[[#This Row],[English_Score]])/300</f>
        <v>0.98666666666666669</v>
      </c>
      <c r="J8" s="5" t="str" cm="1">
        <f t="array" ref="J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8" s="7">
        <f>SUM(Raw_Data345[[#This Row],[Math_Score]],Raw_Data345[[#This Row],[Science_Score]],Raw_Data345[[#This Row],[English_Score]])</f>
        <v>296</v>
      </c>
      <c r="L8" s="22">
        <f>Raw_Data345[[#This Row],[Total_score]]/3</f>
        <v>98.666666666666671</v>
      </c>
      <c r="M8" s="26">
        <f>_xlfn.RANK.EQ(Raw_Data345[[#This Row],[Average_score]],Raw_Data345[[Student_ID]:[Average_score]],1)</f>
        <v>689</v>
      </c>
      <c r="N8" s="24" t="str" cm="1">
        <f t="array" ref="N8">_xlfn.IFS(Raw_Data345[[#This Row],[Attendance_%]]&gt;=90,"Excellent",AND(Raw_Data345[[#This Row],[Attendance_%]]&gt;=75, Raw_Data345[[#This Row],[Attendance_%]]&lt;90),"Good",Raw_Data345[[#This Row],[Attendance_%]]&lt;75,"Low")</f>
        <v>Excellent</v>
      </c>
      <c r="U8" s="34"/>
      <c r="V8" s="34"/>
      <c r="W8" s="34"/>
      <c r="X8" s="34"/>
      <c r="Z8" s="34"/>
    </row>
    <row r="9" spans="1:26" x14ac:dyDescent="0.9">
      <c r="A9" s="5" t="s">
        <v>16</v>
      </c>
      <c r="B9" s="6" t="s">
        <v>8</v>
      </c>
      <c r="C9" s="7">
        <v>19</v>
      </c>
      <c r="D9" s="8">
        <v>89.7</v>
      </c>
      <c r="E9" s="7">
        <v>72</v>
      </c>
      <c r="F9" s="7">
        <v>92</v>
      </c>
      <c r="G9" s="7">
        <v>73</v>
      </c>
      <c r="H9" s="7" t="str">
        <f>IF(AND(Raw_Data345[[#This Row],[Math_Score]]&gt;=40,Raw_Data345[[#This Row],[Science_Score]]&gt;=40,Raw_Data345[[#This Row],[English_Score]]&gt;=40),"Pass","Fail")</f>
        <v>Pass</v>
      </c>
      <c r="I9" s="15">
        <f>SUM(Raw_Data345[[#This Row],[Math_Score]],Raw_Data345[[#This Row],[Science_Score]],Raw_Data345[[#This Row],[English_Score]])/300</f>
        <v>0.79</v>
      </c>
      <c r="J9" s="5" t="str" cm="1">
        <f t="array" ref="J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9" s="7">
        <f>SUM(Raw_Data345[[#This Row],[Math_Score]],Raw_Data345[[#This Row],[Science_Score]],Raw_Data345[[#This Row],[English_Score]])</f>
        <v>237</v>
      </c>
      <c r="L9" s="22">
        <f>Raw_Data345[[#This Row],[Total_score]]/3</f>
        <v>79</v>
      </c>
      <c r="M9" s="26">
        <f>_xlfn.RANK.EQ(Raw_Data345[[#This Row],[Average_score]],Raw_Data345[[Student_ID]:[Average_score]],1)</f>
        <v>533</v>
      </c>
      <c r="N9" s="24" t="str" cm="1">
        <f t="array" ref="N9">_xlfn.IFS(Raw_Data345[[#This Row],[Attendance_%]]&gt;=90,"Excellent",AND(Raw_Data345[[#This Row],[Attendance_%]]&gt;=75, Raw_Data345[[#This Row],[Attendance_%]]&lt;90),"Good",Raw_Data345[[#This Row],[Attendance_%]]&lt;75,"Low")</f>
        <v>Good</v>
      </c>
      <c r="U9" s="30"/>
      <c r="V9" s="34"/>
      <c r="W9" s="34"/>
      <c r="X9" s="34"/>
      <c r="Z9" s="34"/>
    </row>
    <row r="10" spans="1:26" x14ac:dyDescent="0.9">
      <c r="A10" s="5" t="s">
        <v>17</v>
      </c>
      <c r="B10" s="6" t="s">
        <v>8</v>
      </c>
      <c r="C10" s="7">
        <v>18</v>
      </c>
      <c r="D10" s="8">
        <v>77.3</v>
      </c>
      <c r="E10" s="7">
        <v>68</v>
      </c>
      <c r="F10" s="7">
        <v>71</v>
      </c>
      <c r="G10" s="7">
        <v>67</v>
      </c>
      <c r="H10" s="7" t="str">
        <f>IF(AND(Raw_Data345[[#This Row],[Math_Score]]&gt;=40,Raw_Data345[[#This Row],[Science_Score]]&gt;=40,Raw_Data345[[#This Row],[English_Score]]&gt;=40),"Pass","Fail")</f>
        <v>Pass</v>
      </c>
      <c r="I10" s="15">
        <f>SUM(Raw_Data345[[#This Row],[Math_Score]],Raw_Data345[[#This Row],[Science_Score]],Raw_Data345[[#This Row],[English_Score]])/300</f>
        <v>0.68666666666666665</v>
      </c>
      <c r="J10" s="5" t="str" cm="1">
        <f t="array" ref="J1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10" s="7">
        <f>SUM(Raw_Data345[[#This Row],[Math_Score]],Raw_Data345[[#This Row],[Science_Score]],Raw_Data345[[#This Row],[English_Score]])</f>
        <v>206</v>
      </c>
      <c r="L10" s="22">
        <f>Raw_Data345[[#This Row],[Total_score]]/3</f>
        <v>68.666666666666671</v>
      </c>
      <c r="M10" s="26">
        <f>_xlfn.RANK.EQ(Raw_Data345[[#This Row],[Average_score]],Raw_Data345[[Student_ID]:[Average_score]],1)</f>
        <v>392</v>
      </c>
      <c r="N10" s="24" t="str" cm="1">
        <f t="array" ref="N10">_xlfn.IFS(Raw_Data345[[#This Row],[Attendance_%]]&gt;=90,"Excellent",AND(Raw_Data345[[#This Row],[Attendance_%]]&gt;=75, Raw_Data345[[#This Row],[Attendance_%]]&lt;90),"Good",Raw_Data345[[#This Row],[Attendance_%]]&lt;75,"Low")</f>
        <v>Good</v>
      </c>
      <c r="U10" s="34"/>
      <c r="V10" s="34"/>
      <c r="W10" s="34"/>
      <c r="X10" s="34"/>
      <c r="Z10" s="34"/>
    </row>
    <row r="11" spans="1:26" x14ac:dyDescent="0.9">
      <c r="A11" s="5" t="s">
        <v>18</v>
      </c>
      <c r="B11" s="6" t="s">
        <v>11</v>
      </c>
      <c r="C11" s="7">
        <v>22</v>
      </c>
      <c r="D11" s="8">
        <v>87.4</v>
      </c>
      <c r="E11" s="7">
        <v>74</v>
      </c>
      <c r="F11" s="7">
        <v>84</v>
      </c>
      <c r="G11" s="7">
        <v>68</v>
      </c>
      <c r="H11" s="7" t="str">
        <f>IF(AND(Raw_Data345[[#This Row],[Math_Score]]&gt;=40,Raw_Data345[[#This Row],[Science_Score]]&gt;=40,Raw_Data345[[#This Row],[English_Score]]&gt;=40),"Pass","Fail")</f>
        <v>Pass</v>
      </c>
      <c r="I11" s="15">
        <f>SUM(Raw_Data345[[#This Row],[Math_Score]],Raw_Data345[[#This Row],[Science_Score]],Raw_Data345[[#This Row],[English_Score]])/300</f>
        <v>0.7533333333333333</v>
      </c>
      <c r="J11" s="5" t="str" cm="1">
        <f t="array" ref="J1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11" s="7">
        <f>SUM(Raw_Data345[[#This Row],[Math_Score]],Raw_Data345[[#This Row],[Science_Score]],Raw_Data345[[#This Row],[English_Score]])</f>
        <v>226</v>
      </c>
      <c r="L11" s="22">
        <f>Raw_Data345[[#This Row],[Total_score]]/3</f>
        <v>75.333333333333329</v>
      </c>
      <c r="M11" s="26">
        <f>_xlfn.RANK.EQ(Raw_Data345[[#This Row],[Average_score]],Raw_Data345[[Student_ID]:[Average_score]],1)</f>
        <v>481</v>
      </c>
      <c r="N11" s="24" t="str" cm="1">
        <f t="array" ref="N11">_xlfn.IFS(Raw_Data345[[#This Row],[Attendance_%]]&gt;=90,"Excellent",AND(Raw_Data345[[#This Row],[Attendance_%]]&gt;=75, Raw_Data345[[#This Row],[Attendance_%]]&lt;90),"Good",Raw_Data345[[#This Row],[Attendance_%]]&lt;75,"Low")</f>
        <v>Good</v>
      </c>
      <c r="U11" s="30"/>
      <c r="V11" s="34"/>
      <c r="X11" s="34"/>
      <c r="Z11" s="34"/>
    </row>
    <row r="12" spans="1:26" x14ac:dyDescent="0.9">
      <c r="A12" s="5" t="s">
        <v>19</v>
      </c>
      <c r="B12" s="6" t="s">
        <v>11</v>
      </c>
      <c r="C12" s="7">
        <v>22</v>
      </c>
      <c r="D12" s="8">
        <v>77.400000000000006</v>
      </c>
      <c r="E12" s="7">
        <v>46</v>
      </c>
      <c r="F12" s="7">
        <v>46</v>
      </c>
      <c r="G12" s="7">
        <v>27</v>
      </c>
      <c r="H12" s="7" t="str">
        <f>IF(AND(Raw_Data345[[#This Row],[Math_Score]]&gt;=40,Raw_Data345[[#This Row],[Science_Score]]&gt;=40,Raw_Data345[[#This Row],[English_Score]]&gt;=40),"Pass","Fail")</f>
        <v>Fail</v>
      </c>
      <c r="I12" s="15">
        <f>SUM(Raw_Data345[[#This Row],[Math_Score]],Raw_Data345[[#This Row],[Science_Score]],Raw_Data345[[#This Row],[English_Score]])/300</f>
        <v>0.39666666666666667</v>
      </c>
      <c r="J12" s="5" t="str" cm="1">
        <f t="array" ref="J1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Fail</v>
      </c>
      <c r="K12" s="7">
        <f>SUM(Raw_Data345[[#This Row],[Math_Score]],Raw_Data345[[#This Row],[Science_Score]],Raw_Data345[[#This Row],[English_Score]])</f>
        <v>119</v>
      </c>
      <c r="L12" s="22">
        <f>Raw_Data345[[#This Row],[Total_score]]/3</f>
        <v>39.666666666666664</v>
      </c>
      <c r="M12" s="26">
        <f>_xlfn.RANK.EQ(Raw_Data345[[#This Row],[Average_score]],Raw_Data345[[Student_ID]:[Average_score]],1)</f>
        <v>205</v>
      </c>
      <c r="N12" s="24" t="str" cm="1">
        <f t="array" ref="N12">_xlfn.IFS(Raw_Data345[[#This Row],[Attendance_%]]&gt;=90,"Excellent",AND(Raw_Data345[[#This Row],[Attendance_%]]&gt;=75, Raw_Data345[[#This Row],[Attendance_%]]&lt;90),"Good",Raw_Data345[[#This Row],[Attendance_%]]&lt;75,"Low")</f>
        <v>Good</v>
      </c>
      <c r="U12" s="34"/>
      <c r="V12" s="34"/>
      <c r="X12" s="34"/>
      <c r="Z12" s="34"/>
    </row>
    <row r="13" spans="1:26" x14ac:dyDescent="0.9">
      <c r="A13" s="5" t="s">
        <v>20</v>
      </c>
      <c r="B13" s="6" t="s">
        <v>8</v>
      </c>
      <c r="C13" s="7">
        <v>18</v>
      </c>
      <c r="D13" s="8">
        <v>77.3</v>
      </c>
      <c r="E13" s="7">
        <v>77</v>
      </c>
      <c r="F13" s="7">
        <v>77</v>
      </c>
      <c r="G13" s="7">
        <v>75</v>
      </c>
      <c r="H13" s="7" t="str">
        <f>IF(AND(Raw_Data345[[#This Row],[Math_Score]]&gt;=40,Raw_Data345[[#This Row],[Science_Score]]&gt;=40,Raw_Data345[[#This Row],[English_Score]]&gt;=40),"Pass","Fail")</f>
        <v>Pass</v>
      </c>
      <c r="I13" s="15">
        <f>SUM(Raw_Data345[[#This Row],[Math_Score]],Raw_Data345[[#This Row],[Science_Score]],Raw_Data345[[#This Row],[English_Score]])/300</f>
        <v>0.76333333333333331</v>
      </c>
      <c r="J13" s="5" t="str" cm="1">
        <f t="array" ref="J1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13" s="7">
        <f>SUM(Raw_Data345[[#This Row],[Math_Score]],Raw_Data345[[#This Row],[Science_Score]],Raw_Data345[[#This Row],[English_Score]])</f>
        <v>229</v>
      </c>
      <c r="L13" s="22">
        <f>Raw_Data345[[#This Row],[Total_score]]/3</f>
        <v>76.333333333333329</v>
      </c>
      <c r="M13" s="26">
        <f>_xlfn.RANK.EQ(Raw_Data345[[#This Row],[Average_score]],Raw_Data345[[Student_ID]:[Average_score]],1)</f>
        <v>499</v>
      </c>
      <c r="N13" s="24" t="str" cm="1">
        <f t="array" ref="N13">_xlfn.IFS(Raw_Data345[[#This Row],[Attendance_%]]&gt;=90,"Excellent",AND(Raw_Data345[[#This Row],[Attendance_%]]&gt;=75, Raw_Data345[[#This Row],[Attendance_%]]&lt;90),"Good",Raw_Data345[[#This Row],[Attendance_%]]&lt;75,"Low")</f>
        <v>Good</v>
      </c>
      <c r="U13" s="30"/>
      <c r="X13" s="34"/>
    </row>
    <row r="14" spans="1:26" x14ac:dyDescent="0.9">
      <c r="A14" s="5" t="s">
        <v>21</v>
      </c>
      <c r="B14" s="6" t="s">
        <v>11</v>
      </c>
      <c r="C14" s="7">
        <v>22</v>
      </c>
      <c r="D14" s="8">
        <v>84.4</v>
      </c>
      <c r="E14" s="7">
        <v>68</v>
      </c>
      <c r="F14" s="7">
        <v>80</v>
      </c>
      <c r="G14" s="7">
        <v>76</v>
      </c>
      <c r="H14" s="7" t="str">
        <f>IF(AND(Raw_Data345[[#This Row],[Math_Score]]&gt;=40,Raw_Data345[[#This Row],[Science_Score]]&gt;=40,Raw_Data345[[#This Row],[English_Score]]&gt;=40),"Pass","Fail")</f>
        <v>Pass</v>
      </c>
      <c r="I14" s="15">
        <f>SUM(Raw_Data345[[#This Row],[Math_Score]],Raw_Data345[[#This Row],[Science_Score]],Raw_Data345[[#This Row],[English_Score]])/300</f>
        <v>0.7466666666666667</v>
      </c>
      <c r="J14" s="5" t="str" cm="1">
        <f t="array" ref="J1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14" s="7">
        <f>SUM(Raw_Data345[[#This Row],[Math_Score]],Raw_Data345[[#This Row],[Science_Score]],Raw_Data345[[#This Row],[English_Score]])</f>
        <v>224</v>
      </c>
      <c r="L14" s="22">
        <f>Raw_Data345[[#This Row],[Total_score]]/3</f>
        <v>74.666666666666671</v>
      </c>
      <c r="M14" s="26">
        <f>_xlfn.RANK.EQ(Raw_Data345[[#This Row],[Average_score]],Raw_Data345[[Student_ID]:[Average_score]],1)</f>
        <v>462</v>
      </c>
      <c r="N14" s="24" t="str" cm="1">
        <f t="array" ref="N14">_xlfn.IFS(Raw_Data345[[#This Row],[Attendance_%]]&gt;=90,"Excellent",AND(Raw_Data345[[#This Row],[Attendance_%]]&gt;=75, Raw_Data345[[#This Row],[Attendance_%]]&lt;90),"Good",Raw_Data345[[#This Row],[Attendance_%]]&lt;75,"Low")</f>
        <v>Good</v>
      </c>
      <c r="X14" s="34"/>
    </row>
    <row r="15" spans="1:26" x14ac:dyDescent="0.9">
      <c r="A15" s="5" t="s">
        <v>22</v>
      </c>
      <c r="B15" s="6" t="s">
        <v>8</v>
      </c>
      <c r="C15" s="7">
        <v>22</v>
      </c>
      <c r="D15" s="8">
        <v>62.9</v>
      </c>
      <c r="E15" s="7">
        <v>100</v>
      </c>
      <c r="F15" s="7">
        <v>93</v>
      </c>
      <c r="G15" s="7">
        <v>94</v>
      </c>
      <c r="H15" s="7" t="str">
        <f>IF(AND(Raw_Data345[[#This Row],[Math_Score]]&gt;=40,Raw_Data345[[#This Row],[Science_Score]]&gt;=40,Raw_Data345[[#This Row],[English_Score]]&gt;=40),"Pass","Fail")</f>
        <v>Pass</v>
      </c>
      <c r="I15" s="15">
        <f>SUM(Raw_Data345[[#This Row],[Math_Score]],Raw_Data345[[#This Row],[Science_Score]],Raw_Data345[[#This Row],[English_Score]])/300</f>
        <v>0.95666666666666667</v>
      </c>
      <c r="J15" s="5" t="str" cm="1">
        <f t="array" ref="J1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15" s="7">
        <f>SUM(Raw_Data345[[#This Row],[Math_Score]],Raw_Data345[[#This Row],[Science_Score]],Raw_Data345[[#This Row],[English_Score]])</f>
        <v>287</v>
      </c>
      <c r="L15" s="22">
        <f>Raw_Data345[[#This Row],[Total_score]]/3</f>
        <v>95.666666666666671</v>
      </c>
      <c r="M15" s="26">
        <f>_xlfn.RANK.EQ(Raw_Data345[[#This Row],[Average_score]],Raw_Data345[[Student_ID]:[Average_score]],1)</f>
        <v>674</v>
      </c>
      <c r="N15" s="24" t="str" cm="1">
        <f t="array" ref="N15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16" spans="1:26" x14ac:dyDescent="0.9">
      <c r="A16" s="5" t="s">
        <v>23</v>
      </c>
      <c r="B16" s="6" t="s">
        <v>11</v>
      </c>
      <c r="C16" s="7">
        <v>22</v>
      </c>
      <c r="D16" s="8">
        <v>64.8</v>
      </c>
      <c r="E16" s="7">
        <v>60</v>
      </c>
      <c r="F16" s="7">
        <v>51</v>
      </c>
      <c r="G16" s="7">
        <v>65</v>
      </c>
      <c r="H16" s="7" t="str">
        <f>IF(AND(Raw_Data345[[#This Row],[Math_Score]]&gt;=40,Raw_Data345[[#This Row],[Science_Score]]&gt;=40,Raw_Data345[[#This Row],[English_Score]]&gt;=40),"Pass","Fail")</f>
        <v>Pass</v>
      </c>
      <c r="I16" s="15">
        <f>SUM(Raw_Data345[[#This Row],[Math_Score]],Raw_Data345[[#This Row],[Science_Score]],Raw_Data345[[#This Row],[English_Score]])/300</f>
        <v>0.58666666666666667</v>
      </c>
      <c r="J16" s="5" t="str" cm="1">
        <f t="array" ref="J1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16" s="7">
        <f>SUM(Raw_Data345[[#This Row],[Math_Score]],Raw_Data345[[#This Row],[Science_Score]],Raw_Data345[[#This Row],[English_Score]])</f>
        <v>176</v>
      </c>
      <c r="L16" s="22">
        <f>Raw_Data345[[#This Row],[Total_score]]/3</f>
        <v>58.666666666666664</v>
      </c>
      <c r="M16" s="26">
        <f>_xlfn.RANK.EQ(Raw_Data345[[#This Row],[Average_score]],Raw_Data345[[Student_ID]:[Average_score]],1)</f>
        <v>280</v>
      </c>
      <c r="N16" s="24" t="str" cm="1">
        <f t="array" ref="N16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17" spans="1:14" x14ac:dyDescent="0.9">
      <c r="A17" s="5" t="s">
        <v>24</v>
      </c>
      <c r="B17" s="6" t="s">
        <v>8</v>
      </c>
      <c r="C17" s="7">
        <v>20</v>
      </c>
      <c r="D17" s="8">
        <v>76.400000000000006</v>
      </c>
      <c r="E17" s="7">
        <v>80</v>
      </c>
      <c r="F17" s="7">
        <v>68</v>
      </c>
      <c r="G17" s="7">
        <v>76</v>
      </c>
      <c r="H17" s="7" t="str">
        <f>IF(AND(Raw_Data345[[#This Row],[Math_Score]]&gt;=40,Raw_Data345[[#This Row],[Science_Score]]&gt;=40,Raw_Data345[[#This Row],[English_Score]]&gt;=40),"Pass","Fail")</f>
        <v>Pass</v>
      </c>
      <c r="I17" s="15">
        <f>SUM(Raw_Data345[[#This Row],[Math_Score]],Raw_Data345[[#This Row],[Science_Score]],Raw_Data345[[#This Row],[English_Score]])/300</f>
        <v>0.7466666666666667</v>
      </c>
      <c r="J17" s="5" t="str" cm="1">
        <f t="array" ref="J1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17" s="7">
        <f>SUM(Raw_Data345[[#This Row],[Math_Score]],Raw_Data345[[#This Row],[Science_Score]],Raw_Data345[[#This Row],[English_Score]])</f>
        <v>224</v>
      </c>
      <c r="L17" s="22">
        <f>Raw_Data345[[#This Row],[Total_score]]/3</f>
        <v>74.666666666666671</v>
      </c>
      <c r="M17" s="26">
        <f>_xlfn.RANK.EQ(Raw_Data345[[#This Row],[Average_score]],Raw_Data345[[Student_ID]:[Average_score]],1)</f>
        <v>462</v>
      </c>
      <c r="N17" s="24" t="str" cm="1">
        <f t="array" ref="N17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18" spans="1:14" x14ac:dyDescent="0.9">
      <c r="A18" s="5" t="s">
        <v>25</v>
      </c>
      <c r="B18" s="6" t="s">
        <v>11</v>
      </c>
      <c r="C18" s="7">
        <v>21</v>
      </c>
      <c r="D18" s="8">
        <v>71.900000000000006</v>
      </c>
      <c r="E18" s="7">
        <v>64</v>
      </c>
      <c r="F18" s="7">
        <v>78</v>
      </c>
      <c r="G18" s="7">
        <v>62</v>
      </c>
      <c r="H18" s="7" t="str">
        <f>IF(AND(Raw_Data345[[#This Row],[Math_Score]]&gt;=40,Raw_Data345[[#This Row],[Science_Score]]&gt;=40,Raw_Data345[[#This Row],[English_Score]]&gt;=40),"Pass","Fail")</f>
        <v>Pass</v>
      </c>
      <c r="I18" s="15">
        <f>SUM(Raw_Data345[[#This Row],[Math_Score]],Raw_Data345[[#This Row],[Science_Score]],Raw_Data345[[#This Row],[English_Score]])/300</f>
        <v>0.68</v>
      </c>
      <c r="J18" s="5" t="str" cm="1">
        <f t="array" ref="J1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18" s="7">
        <f>SUM(Raw_Data345[[#This Row],[Math_Score]],Raw_Data345[[#This Row],[Science_Score]],Raw_Data345[[#This Row],[English_Score]])</f>
        <v>204</v>
      </c>
      <c r="L18" s="22">
        <f>Raw_Data345[[#This Row],[Total_score]]/3</f>
        <v>68</v>
      </c>
      <c r="M18" s="26">
        <f>_xlfn.RANK.EQ(Raw_Data345[[#This Row],[Average_score]],Raw_Data345[[Student_ID]:[Average_score]],1)</f>
        <v>378</v>
      </c>
      <c r="N18" s="24" t="str" cm="1">
        <f t="array" ref="N18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19" spans="1:14" x14ac:dyDescent="0.9">
      <c r="A19" s="5" t="s">
        <v>26</v>
      </c>
      <c r="B19" s="6" t="s">
        <v>8</v>
      </c>
      <c r="C19" s="7">
        <v>19</v>
      </c>
      <c r="D19" s="8">
        <v>85.1</v>
      </c>
      <c r="E19" s="7">
        <v>52</v>
      </c>
      <c r="F19" s="7">
        <v>64</v>
      </c>
      <c r="G19" s="7">
        <v>55</v>
      </c>
      <c r="H19" s="7" t="str">
        <f>IF(AND(Raw_Data345[[#This Row],[Math_Score]]&gt;=40,Raw_Data345[[#This Row],[Science_Score]]&gt;=40,Raw_Data345[[#This Row],[English_Score]]&gt;=40),"Pass","Fail")</f>
        <v>Pass</v>
      </c>
      <c r="I19" s="15">
        <f>SUM(Raw_Data345[[#This Row],[Math_Score]],Raw_Data345[[#This Row],[Science_Score]],Raw_Data345[[#This Row],[English_Score]])/300</f>
        <v>0.56999999999999995</v>
      </c>
      <c r="J19" s="5" t="str" cm="1">
        <f t="array" ref="J1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19" s="7">
        <f>SUM(Raw_Data345[[#This Row],[Math_Score]],Raw_Data345[[#This Row],[Science_Score]],Raw_Data345[[#This Row],[English_Score]])</f>
        <v>171</v>
      </c>
      <c r="L19" s="22">
        <f>Raw_Data345[[#This Row],[Total_score]]/3</f>
        <v>57</v>
      </c>
      <c r="M19" s="26">
        <f>_xlfn.RANK.EQ(Raw_Data345[[#This Row],[Average_score]],Raw_Data345[[Student_ID]:[Average_score]],1)</f>
        <v>269</v>
      </c>
      <c r="N19" s="24" t="str" cm="1">
        <f t="array" ref="N1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20" spans="1:14" x14ac:dyDescent="0.9">
      <c r="A20" s="5" t="s">
        <v>27</v>
      </c>
      <c r="B20" s="6" t="s">
        <v>11</v>
      </c>
      <c r="C20" s="7">
        <v>20</v>
      </c>
      <c r="D20" s="8">
        <v>72.900000000000006</v>
      </c>
      <c r="E20" s="7">
        <v>98</v>
      </c>
      <c r="F20" s="7">
        <v>75</v>
      </c>
      <c r="G20" s="7">
        <v>86</v>
      </c>
      <c r="H20" s="7" t="str">
        <f>IF(AND(Raw_Data345[[#This Row],[Math_Score]]&gt;=40,Raw_Data345[[#This Row],[Science_Score]]&gt;=40,Raw_Data345[[#This Row],[English_Score]]&gt;=40),"Pass","Fail")</f>
        <v>Pass</v>
      </c>
      <c r="I20" s="15">
        <f>SUM(Raw_Data345[[#This Row],[Math_Score]],Raw_Data345[[#This Row],[Science_Score]],Raw_Data345[[#This Row],[English_Score]])/300</f>
        <v>0.86333333333333329</v>
      </c>
      <c r="J20" s="5" t="str" cm="1">
        <f t="array" ref="J2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20" s="7">
        <f>SUM(Raw_Data345[[#This Row],[Math_Score]],Raw_Data345[[#This Row],[Science_Score]],Raw_Data345[[#This Row],[English_Score]])</f>
        <v>259</v>
      </c>
      <c r="L20" s="22">
        <f>Raw_Data345[[#This Row],[Total_score]]/3</f>
        <v>86.333333333333329</v>
      </c>
      <c r="M20" s="26">
        <f>_xlfn.RANK.EQ(Raw_Data345[[#This Row],[Average_score]],Raw_Data345[[Student_ID]:[Average_score]],1)</f>
        <v>623</v>
      </c>
      <c r="N20" s="24" t="str" cm="1">
        <f t="array" ref="N20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21" spans="1:14" x14ac:dyDescent="0.9">
      <c r="A21" s="5" t="s">
        <v>28</v>
      </c>
      <c r="B21" s="6" t="s">
        <v>8</v>
      </c>
      <c r="C21" s="7">
        <v>22</v>
      </c>
      <c r="D21" s="8">
        <v>67.900000000000006</v>
      </c>
      <c r="E21" s="7">
        <v>84</v>
      </c>
      <c r="F21" s="7">
        <v>70</v>
      </c>
      <c r="G21" s="7">
        <v>77</v>
      </c>
      <c r="H21" s="7" t="str">
        <f>IF(AND(Raw_Data345[[#This Row],[Math_Score]]&gt;=40,Raw_Data345[[#This Row],[Science_Score]]&gt;=40,Raw_Data345[[#This Row],[English_Score]]&gt;=40),"Pass","Fail")</f>
        <v>Pass</v>
      </c>
      <c r="I21" s="15">
        <f>SUM(Raw_Data345[[#This Row],[Math_Score]],Raw_Data345[[#This Row],[Science_Score]],Raw_Data345[[#This Row],[English_Score]])/300</f>
        <v>0.77</v>
      </c>
      <c r="J21" s="5" t="str" cm="1">
        <f t="array" ref="J2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21" s="7">
        <f>SUM(Raw_Data345[[#This Row],[Math_Score]],Raw_Data345[[#This Row],[Science_Score]],Raw_Data345[[#This Row],[English_Score]])</f>
        <v>231</v>
      </c>
      <c r="L21" s="22">
        <f>Raw_Data345[[#This Row],[Total_score]]/3</f>
        <v>77</v>
      </c>
      <c r="M21" s="26">
        <f>_xlfn.RANK.EQ(Raw_Data345[[#This Row],[Average_score]],Raw_Data345[[Student_ID]:[Average_score]],1)</f>
        <v>504</v>
      </c>
      <c r="N21" s="24" t="str" cm="1">
        <f t="array" ref="N21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22" spans="1:14" x14ac:dyDescent="0.9">
      <c r="A22" s="5" t="s">
        <v>29</v>
      </c>
      <c r="B22" s="6" t="s">
        <v>8</v>
      </c>
      <c r="C22" s="7">
        <v>18</v>
      </c>
      <c r="D22" s="8">
        <v>96.7</v>
      </c>
      <c r="E22" s="7">
        <v>69</v>
      </c>
      <c r="F22" s="7">
        <v>68</v>
      </c>
      <c r="G22" s="7">
        <v>100</v>
      </c>
      <c r="H22" s="7" t="str">
        <f>IF(AND(Raw_Data345[[#This Row],[Math_Score]]&gt;=40,Raw_Data345[[#This Row],[Science_Score]]&gt;=40,Raw_Data345[[#This Row],[English_Score]]&gt;=40),"Pass","Fail")</f>
        <v>Pass</v>
      </c>
      <c r="I22" s="15">
        <f>SUM(Raw_Data345[[#This Row],[Math_Score]],Raw_Data345[[#This Row],[Science_Score]],Raw_Data345[[#This Row],[English_Score]])/300</f>
        <v>0.79</v>
      </c>
      <c r="J22" s="5" t="str" cm="1">
        <f t="array" ref="J2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22" s="7">
        <f>SUM(Raw_Data345[[#This Row],[Math_Score]],Raw_Data345[[#This Row],[Science_Score]],Raw_Data345[[#This Row],[English_Score]])</f>
        <v>237</v>
      </c>
      <c r="L22" s="22">
        <f>Raw_Data345[[#This Row],[Total_score]]/3</f>
        <v>79</v>
      </c>
      <c r="M22" s="26">
        <f>_xlfn.RANK.EQ(Raw_Data345[[#This Row],[Average_score]],Raw_Data345[[Student_ID]:[Average_score]],1)</f>
        <v>533</v>
      </c>
      <c r="N22" s="24" t="str" cm="1">
        <f t="array" ref="N22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23" spans="1:14" x14ac:dyDescent="0.9">
      <c r="A23" s="5" t="s">
        <v>30</v>
      </c>
      <c r="B23" s="6" t="s">
        <v>11</v>
      </c>
      <c r="C23" s="7">
        <v>22</v>
      </c>
      <c r="D23" s="8">
        <v>79.7</v>
      </c>
      <c r="E23" s="7">
        <v>55</v>
      </c>
      <c r="F23" s="7">
        <v>70</v>
      </c>
      <c r="G23" s="7">
        <v>73</v>
      </c>
      <c r="H23" s="7" t="str">
        <f>IF(AND(Raw_Data345[[#This Row],[Math_Score]]&gt;=40,Raw_Data345[[#This Row],[Science_Score]]&gt;=40,Raw_Data345[[#This Row],[English_Score]]&gt;=40),"Pass","Fail")</f>
        <v>Pass</v>
      </c>
      <c r="I23" s="15">
        <f>SUM(Raw_Data345[[#This Row],[Math_Score]],Raw_Data345[[#This Row],[Science_Score]],Raw_Data345[[#This Row],[English_Score]])/300</f>
        <v>0.66</v>
      </c>
      <c r="J23" s="5" t="str" cm="1">
        <f t="array" ref="J2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23" s="7">
        <f>SUM(Raw_Data345[[#This Row],[Math_Score]],Raw_Data345[[#This Row],[Science_Score]],Raw_Data345[[#This Row],[English_Score]])</f>
        <v>198</v>
      </c>
      <c r="L23" s="22">
        <f>Raw_Data345[[#This Row],[Total_score]]/3</f>
        <v>66</v>
      </c>
      <c r="M23" s="26">
        <f>_xlfn.RANK.EQ(Raw_Data345[[#This Row],[Average_score]],Raw_Data345[[Student_ID]:[Average_score]],1)</f>
        <v>354</v>
      </c>
      <c r="N23" s="24" t="str" cm="1">
        <f t="array" ref="N2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24" spans="1:14" x14ac:dyDescent="0.9">
      <c r="A24" s="5" t="s">
        <v>31</v>
      </c>
      <c r="B24" s="6" t="s">
        <v>11</v>
      </c>
      <c r="C24" s="7">
        <v>21</v>
      </c>
      <c r="D24" s="8">
        <v>82.7</v>
      </c>
      <c r="E24" s="7">
        <v>99</v>
      </c>
      <c r="F24" s="7">
        <v>94</v>
      </c>
      <c r="G24" s="7">
        <v>96</v>
      </c>
      <c r="H24" s="7" t="str">
        <f>IF(AND(Raw_Data345[[#This Row],[Math_Score]]&gt;=40,Raw_Data345[[#This Row],[Science_Score]]&gt;=40,Raw_Data345[[#This Row],[English_Score]]&gt;=40),"Pass","Fail")</f>
        <v>Pass</v>
      </c>
      <c r="I24" s="15">
        <f>SUM(Raw_Data345[[#This Row],[Math_Score]],Raw_Data345[[#This Row],[Science_Score]],Raw_Data345[[#This Row],[English_Score]])/300</f>
        <v>0.96333333333333337</v>
      </c>
      <c r="J24" s="5" t="str" cm="1">
        <f t="array" ref="J2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24" s="7">
        <f>SUM(Raw_Data345[[#This Row],[Math_Score]],Raw_Data345[[#This Row],[Science_Score]],Raw_Data345[[#This Row],[English_Score]])</f>
        <v>289</v>
      </c>
      <c r="L24" s="22">
        <f>Raw_Data345[[#This Row],[Total_score]]/3</f>
        <v>96.333333333333329</v>
      </c>
      <c r="M24" s="26">
        <f>_xlfn.RANK.EQ(Raw_Data345[[#This Row],[Average_score]],Raw_Data345[[Student_ID]:[Average_score]],1)</f>
        <v>679</v>
      </c>
      <c r="N24" s="24" t="str" cm="1">
        <f t="array" ref="N2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25" spans="1:14" x14ac:dyDescent="0.9">
      <c r="A25" s="5" t="s">
        <v>32</v>
      </c>
      <c r="B25" s="6" t="s">
        <v>8</v>
      </c>
      <c r="C25" s="7">
        <v>22</v>
      </c>
      <c r="D25" s="8">
        <v>67.8</v>
      </c>
      <c r="E25" s="7">
        <v>38</v>
      </c>
      <c r="F25" s="7">
        <v>46</v>
      </c>
      <c r="G25" s="7">
        <v>44</v>
      </c>
      <c r="H25" s="7" t="str">
        <f>IF(AND(Raw_Data345[[#This Row],[Math_Score]]&gt;=40,Raw_Data345[[#This Row],[Science_Score]]&gt;=40,Raw_Data345[[#This Row],[English_Score]]&gt;=40),"Pass","Fail")</f>
        <v>Fail</v>
      </c>
      <c r="I25" s="45">
        <f>SUM(Raw_Data345[[#This Row],[Math_Score]],Raw_Data345[[#This Row],[Science_Score]],Raw_Data345[[#This Row],[English_Score]])/300</f>
        <v>0.42666666666666669</v>
      </c>
      <c r="J25" s="5" t="str" cm="1">
        <f t="array" ref="J2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Fail</v>
      </c>
      <c r="K25" s="7">
        <f>SUM(Raw_Data345[[#This Row],[Math_Score]],Raw_Data345[[#This Row],[Science_Score]],Raw_Data345[[#This Row],[English_Score]])</f>
        <v>128</v>
      </c>
      <c r="L25" s="22">
        <f>Raw_Data345[[#This Row],[Total_score]]/3</f>
        <v>42.666666666666664</v>
      </c>
      <c r="M25" s="26">
        <f>_xlfn.RANK.EQ(Raw_Data345[[#This Row],[Average_score]],Raw_Data345[[Student_ID]:[Average_score]],1)</f>
        <v>209</v>
      </c>
      <c r="N25" s="24" t="str" cm="1">
        <f t="array" ref="N25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26" spans="1:14" x14ac:dyDescent="0.9">
      <c r="A26" s="5" t="s">
        <v>33</v>
      </c>
      <c r="B26" s="6" t="s">
        <v>11</v>
      </c>
      <c r="C26" s="7">
        <v>18</v>
      </c>
      <c r="D26" s="8">
        <v>76.599999999999994</v>
      </c>
      <c r="E26" s="7">
        <v>83</v>
      </c>
      <c r="F26" s="7">
        <v>76</v>
      </c>
      <c r="G26" s="7">
        <v>72</v>
      </c>
      <c r="H26" s="7" t="str">
        <f>IF(AND(Raw_Data345[[#This Row],[Math_Score]]&gt;=40,Raw_Data345[[#This Row],[Science_Score]]&gt;=40,Raw_Data345[[#This Row],[English_Score]]&gt;=40),"Pass","Fail")</f>
        <v>Pass</v>
      </c>
      <c r="I26" s="15">
        <f>SUM(Raw_Data345[[#This Row],[Math_Score]],Raw_Data345[[#This Row],[Science_Score]],Raw_Data345[[#This Row],[English_Score]])/300</f>
        <v>0.77</v>
      </c>
      <c r="J26" s="5" t="str" cm="1">
        <f t="array" ref="J2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26" s="7">
        <f>SUM(Raw_Data345[[#This Row],[Math_Score]],Raw_Data345[[#This Row],[Science_Score]],Raw_Data345[[#This Row],[English_Score]])</f>
        <v>231</v>
      </c>
      <c r="L26" s="22">
        <f>Raw_Data345[[#This Row],[Total_score]]/3</f>
        <v>77</v>
      </c>
      <c r="M26" s="26">
        <f>_xlfn.RANK.EQ(Raw_Data345[[#This Row],[Average_score]],Raw_Data345[[Student_ID]:[Average_score]],1)</f>
        <v>504</v>
      </c>
      <c r="N26" s="24" t="str" cm="1">
        <f t="array" ref="N26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27" spans="1:14" x14ac:dyDescent="0.9">
      <c r="A27" s="5" t="s">
        <v>34</v>
      </c>
      <c r="B27" s="6" t="s">
        <v>8</v>
      </c>
      <c r="C27" s="7">
        <v>21</v>
      </c>
      <c r="D27" s="8">
        <v>83.1</v>
      </c>
      <c r="E27" s="7">
        <v>100</v>
      </c>
      <c r="F27" s="7">
        <v>76</v>
      </c>
      <c r="G27" s="7">
        <v>90</v>
      </c>
      <c r="H27" s="7" t="str">
        <f>IF(AND(Raw_Data345[[#This Row],[Math_Score]]&gt;=40,Raw_Data345[[#This Row],[Science_Score]]&gt;=40,Raw_Data345[[#This Row],[English_Score]]&gt;=40),"Pass","Fail")</f>
        <v>Pass</v>
      </c>
      <c r="I27" s="15">
        <f>SUM(Raw_Data345[[#This Row],[Math_Score]],Raw_Data345[[#This Row],[Science_Score]],Raw_Data345[[#This Row],[English_Score]])/300</f>
        <v>0.88666666666666671</v>
      </c>
      <c r="J27" s="5" t="str" cm="1">
        <f t="array" ref="J2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27" s="7">
        <f>SUM(Raw_Data345[[#This Row],[Math_Score]],Raw_Data345[[#This Row],[Science_Score]],Raw_Data345[[#This Row],[English_Score]])</f>
        <v>266</v>
      </c>
      <c r="L27" s="22">
        <f>Raw_Data345[[#This Row],[Total_score]]/3</f>
        <v>88.666666666666671</v>
      </c>
      <c r="M27" s="26">
        <f>_xlfn.RANK.EQ(Raw_Data345[[#This Row],[Average_score]],Raw_Data345[[Student_ID]:[Average_score]],1)</f>
        <v>636</v>
      </c>
      <c r="N27" s="24" t="str" cm="1">
        <f t="array" ref="N27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28" spans="1:14" x14ac:dyDescent="0.9">
      <c r="A28" s="5" t="s">
        <v>35</v>
      </c>
      <c r="B28" s="6" t="s">
        <v>11</v>
      </c>
      <c r="C28" s="7">
        <v>22</v>
      </c>
      <c r="D28" s="8">
        <v>70.5</v>
      </c>
      <c r="E28" s="7">
        <v>48</v>
      </c>
      <c r="F28" s="7">
        <v>48</v>
      </c>
      <c r="G28" s="7">
        <v>58</v>
      </c>
      <c r="H28" s="7" t="str">
        <f>IF(AND(Raw_Data345[[#This Row],[Math_Score]]&gt;=40,Raw_Data345[[#This Row],[Science_Score]]&gt;=40,Raw_Data345[[#This Row],[English_Score]]&gt;=40),"Pass","Fail")</f>
        <v>Pass</v>
      </c>
      <c r="I28" s="46">
        <f>SUM(Raw_Data345[[#This Row],[Math_Score]],Raw_Data345[[#This Row],[Science_Score]],Raw_Data345[[#This Row],[English_Score]])/300</f>
        <v>0.51333333333333331</v>
      </c>
      <c r="J28" s="5" t="str" cm="1">
        <f t="array" ref="J2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28" s="7">
        <f>SUM(Raw_Data345[[#This Row],[Math_Score]],Raw_Data345[[#This Row],[Science_Score]],Raw_Data345[[#This Row],[English_Score]])</f>
        <v>154</v>
      </c>
      <c r="L28" s="22">
        <f>Raw_Data345[[#This Row],[Total_score]]/3</f>
        <v>51.333333333333336</v>
      </c>
      <c r="M28" s="26">
        <f>_xlfn.RANK.EQ(Raw_Data345[[#This Row],[Average_score]],Raw_Data345[[Student_ID]:[Average_score]],1)</f>
        <v>236</v>
      </c>
      <c r="N28" s="24" t="str" cm="1">
        <f t="array" ref="N28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29" spans="1:14" x14ac:dyDescent="0.9">
      <c r="A29" s="5" t="s">
        <v>36</v>
      </c>
      <c r="B29" s="6" t="s">
        <v>8</v>
      </c>
      <c r="C29" s="7">
        <v>21</v>
      </c>
      <c r="D29" s="8">
        <v>85.8</v>
      </c>
      <c r="E29" s="7">
        <v>65</v>
      </c>
      <c r="F29" s="7">
        <v>75</v>
      </c>
      <c r="G29" s="7">
        <v>44</v>
      </c>
      <c r="H29" s="7" t="str">
        <f>IF(AND(Raw_Data345[[#This Row],[Math_Score]]&gt;=40,Raw_Data345[[#This Row],[Science_Score]]&gt;=40,Raw_Data345[[#This Row],[English_Score]]&gt;=40),"Pass","Fail")</f>
        <v>Pass</v>
      </c>
      <c r="I29" s="15">
        <f>SUM(Raw_Data345[[#This Row],[Math_Score]],Raw_Data345[[#This Row],[Science_Score]],Raw_Data345[[#This Row],[English_Score]])/300</f>
        <v>0.61333333333333329</v>
      </c>
      <c r="J29" s="5" t="str" cm="1">
        <f t="array" ref="J2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29" s="7">
        <f>SUM(Raw_Data345[[#This Row],[Math_Score]],Raw_Data345[[#This Row],[Science_Score]],Raw_Data345[[#This Row],[English_Score]])</f>
        <v>184</v>
      </c>
      <c r="L29" s="22">
        <f>Raw_Data345[[#This Row],[Total_score]]/3</f>
        <v>61.333333333333336</v>
      </c>
      <c r="M29" s="26">
        <f>_xlfn.RANK.EQ(Raw_Data345[[#This Row],[Average_score]],Raw_Data345[[Student_ID]:[Average_score]],1)</f>
        <v>305</v>
      </c>
      <c r="N29" s="24" t="str" cm="1">
        <f t="array" ref="N2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0" spans="1:14" x14ac:dyDescent="0.9">
      <c r="A30" s="5" t="s">
        <v>37</v>
      </c>
      <c r="B30" s="6" t="s">
        <v>8</v>
      </c>
      <c r="C30" s="7">
        <v>19</v>
      </c>
      <c r="D30" s="8">
        <v>76</v>
      </c>
      <c r="E30" s="7">
        <v>51</v>
      </c>
      <c r="F30" s="7">
        <v>77</v>
      </c>
      <c r="G30" s="7">
        <v>67</v>
      </c>
      <c r="H30" s="7" t="str">
        <f>IF(AND(Raw_Data345[[#This Row],[Math_Score]]&gt;=40,Raw_Data345[[#This Row],[Science_Score]]&gt;=40,Raw_Data345[[#This Row],[English_Score]]&gt;=40),"Pass","Fail")</f>
        <v>Pass</v>
      </c>
      <c r="I30" s="15">
        <f>SUM(Raw_Data345[[#This Row],[Math_Score]],Raw_Data345[[#This Row],[Science_Score]],Raw_Data345[[#This Row],[English_Score]])/300</f>
        <v>0.65</v>
      </c>
      <c r="J30" s="5" t="str" cm="1">
        <f t="array" ref="J3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30" s="7">
        <f>SUM(Raw_Data345[[#This Row],[Math_Score]],Raw_Data345[[#This Row],[Science_Score]],Raw_Data345[[#This Row],[English_Score]])</f>
        <v>195</v>
      </c>
      <c r="L30" s="22">
        <f>Raw_Data345[[#This Row],[Total_score]]/3</f>
        <v>65</v>
      </c>
      <c r="M30" s="26">
        <f>_xlfn.RANK.EQ(Raw_Data345[[#This Row],[Average_score]],Raw_Data345[[Student_ID]:[Average_score]],1)</f>
        <v>342</v>
      </c>
      <c r="N30" s="24" t="str" cm="1">
        <f t="array" ref="N3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1" spans="1:14" x14ac:dyDescent="0.9">
      <c r="A31" s="5" t="s">
        <v>38</v>
      </c>
      <c r="B31" s="6" t="s">
        <v>8</v>
      </c>
      <c r="C31" s="7">
        <v>19</v>
      </c>
      <c r="D31" s="8">
        <v>79.099999999999994</v>
      </c>
      <c r="E31" s="7">
        <v>80</v>
      </c>
      <c r="F31" s="7">
        <v>65</v>
      </c>
      <c r="G31" s="7">
        <v>62</v>
      </c>
      <c r="H31" s="7" t="str">
        <f>IF(AND(Raw_Data345[[#This Row],[Math_Score]]&gt;=40,Raw_Data345[[#This Row],[Science_Score]]&gt;=40,Raw_Data345[[#This Row],[English_Score]]&gt;=40),"Pass","Fail")</f>
        <v>Pass</v>
      </c>
      <c r="I31" s="15">
        <f>SUM(Raw_Data345[[#This Row],[Math_Score]],Raw_Data345[[#This Row],[Science_Score]],Raw_Data345[[#This Row],[English_Score]])/300</f>
        <v>0.69</v>
      </c>
      <c r="J31" s="5" t="str" cm="1">
        <f t="array" ref="J3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31" s="7">
        <f>SUM(Raw_Data345[[#This Row],[Math_Score]],Raw_Data345[[#This Row],[Science_Score]],Raw_Data345[[#This Row],[English_Score]])</f>
        <v>207</v>
      </c>
      <c r="L31" s="22">
        <f>Raw_Data345[[#This Row],[Total_score]]/3</f>
        <v>69</v>
      </c>
      <c r="M31" s="26">
        <f>_xlfn.RANK.EQ(Raw_Data345[[#This Row],[Average_score]],Raw_Data345[[Student_ID]:[Average_score]],1)</f>
        <v>395</v>
      </c>
      <c r="N31" s="24" t="str" cm="1">
        <f t="array" ref="N31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2" spans="1:14" x14ac:dyDescent="0.9">
      <c r="A32" s="5" t="s">
        <v>39</v>
      </c>
      <c r="B32" s="6" t="s">
        <v>8</v>
      </c>
      <c r="C32" s="7">
        <v>22</v>
      </c>
      <c r="D32" s="8">
        <v>76</v>
      </c>
      <c r="E32" s="7">
        <v>47</v>
      </c>
      <c r="F32" s="7">
        <v>48</v>
      </c>
      <c r="G32" s="7">
        <v>39</v>
      </c>
      <c r="H32" s="7" t="str">
        <f>IF(AND(Raw_Data345[[#This Row],[Math_Score]]&gt;=40,Raw_Data345[[#This Row],[Science_Score]]&gt;=40,Raw_Data345[[#This Row],[English_Score]]&gt;=40),"Pass","Fail")</f>
        <v>Fail</v>
      </c>
      <c r="I32" s="15">
        <f>SUM(Raw_Data345[[#This Row],[Math_Score]],Raw_Data345[[#This Row],[Science_Score]],Raw_Data345[[#This Row],[English_Score]])/300</f>
        <v>0.44666666666666666</v>
      </c>
      <c r="J32" s="5" t="str" cm="1">
        <f t="array" ref="J3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Fail</v>
      </c>
      <c r="K32" s="7">
        <f>SUM(Raw_Data345[[#This Row],[Math_Score]],Raw_Data345[[#This Row],[Science_Score]],Raw_Data345[[#This Row],[English_Score]])</f>
        <v>134</v>
      </c>
      <c r="L32" s="22">
        <f>Raw_Data345[[#This Row],[Total_score]]/3</f>
        <v>44.666666666666664</v>
      </c>
      <c r="M32" s="26">
        <f>_xlfn.RANK.EQ(Raw_Data345[[#This Row],[Average_score]],Raw_Data345[[Student_ID]:[Average_score]],1)</f>
        <v>214</v>
      </c>
      <c r="N32" s="24" t="str" cm="1">
        <f t="array" ref="N3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3" spans="1:14" x14ac:dyDescent="0.9">
      <c r="A33" s="5" t="s">
        <v>40</v>
      </c>
      <c r="B33" s="6" t="s">
        <v>8</v>
      </c>
      <c r="C33" s="7">
        <v>21</v>
      </c>
      <c r="D33" s="8">
        <v>100</v>
      </c>
      <c r="E33" s="7">
        <v>85</v>
      </c>
      <c r="F33" s="7">
        <v>83</v>
      </c>
      <c r="G33" s="7">
        <v>85</v>
      </c>
      <c r="H33" s="7" t="str">
        <f>IF(AND(Raw_Data345[[#This Row],[Math_Score]]&gt;=40,Raw_Data345[[#This Row],[Science_Score]]&gt;=40,Raw_Data345[[#This Row],[English_Score]]&gt;=40),"Pass","Fail")</f>
        <v>Pass</v>
      </c>
      <c r="I33" s="15">
        <f>SUM(Raw_Data345[[#This Row],[Math_Score]],Raw_Data345[[#This Row],[Science_Score]],Raw_Data345[[#This Row],[English_Score]])/300</f>
        <v>0.84333333333333338</v>
      </c>
      <c r="J33" s="5" t="str" cm="1">
        <f t="array" ref="J3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33" s="7">
        <f>SUM(Raw_Data345[[#This Row],[Math_Score]],Raw_Data345[[#This Row],[Science_Score]],Raw_Data345[[#This Row],[English_Score]])</f>
        <v>253</v>
      </c>
      <c r="L33" s="22">
        <f>Raw_Data345[[#This Row],[Total_score]]/3</f>
        <v>84.333333333333329</v>
      </c>
      <c r="M33" s="26">
        <f>_xlfn.RANK.EQ(Raw_Data345[[#This Row],[Average_score]],Raw_Data345[[Student_ID]:[Average_score]],1)</f>
        <v>595</v>
      </c>
      <c r="N33" s="24" t="str" cm="1">
        <f t="array" ref="N33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34" spans="1:14" x14ac:dyDescent="0.9">
      <c r="A34" s="5" t="s">
        <v>41</v>
      </c>
      <c r="B34" s="6" t="s">
        <v>8</v>
      </c>
      <c r="C34" s="7">
        <v>18</v>
      </c>
      <c r="D34" s="8">
        <v>81.900000000000006</v>
      </c>
      <c r="E34" s="7">
        <v>63</v>
      </c>
      <c r="F34" s="7">
        <v>53</v>
      </c>
      <c r="G34" s="7">
        <v>50</v>
      </c>
      <c r="H34" s="7" t="str">
        <f>IF(AND(Raw_Data345[[#This Row],[Math_Score]]&gt;=40,Raw_Data345[[#This Row],[Science_Score]]&gt;=40,Raw_Data345[[#This Row],[English_Score]]&gt;=40),"Pass","Fail")</f>
        <v>Pass</v>
      </c>
      <c r="I34" s="15">
        <f>SUM(Raw_Data345[[#This Row],[Math_Score]],Raw_Data345[[#This Row],[Science_Score]],Raw_Data345[[#This Row],[English_Score]])/300</f>
        <v>0.55333333333333334</v>
      </c>
      <c r="J34" s="5" t="str" cm="1">
        <f t="array" ref="J3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34" s="7">
        <f>SUM(Raw_Data345[[#This Row],[Math_Score]],Raw_Data345[[#This Row],[Science_Score]],Raw_Data345[[#This Row],[English_Score]])</f>
        <v>166</v>
      </c>
      <c r="L34" s="22">
        <f>Raw_Data345[[#This Row],[Total_score]]/3</f>
        <v>55.333333333333336</v>
      </c>
      <c r="M34" s="26">
        <f>_xlfn.RANK.EQ(Raw_Data345[[#This Row],[Average_score]],Raw_Data345[[Student_ID]:[Average_score]],1)</f>
        <v>257</v>
      </c>
      <c r="N34" s="24" t="str" cm="1">
        <f t="array" ref="N3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5" spans="1:14" x14ac:dyDescent="0.9">
      <c r="A35" s="5" t="s">
        <v>42</v>
      </c>
      <c r="B35" s="6" t="s">
        <v>11</v>
      </c>
      <c r="C35" s="7">
        <v>22</v>
      </c>
      <c r="D35" s="8">
        <v>71.400000000000006</v>
      </c>
      <c r="E35" s="7">
        <v>85</v>
      </c>
      <c r="F35" s="7">
        <v>56</v>
      </c>
      <c r="G35" s="7">
        <v>76</v>
      </c>
      <c r="H35" s="7" t="str">
        <f>IF(AND(Raw_Data345[[#This Row],[Math_Score]]&gt;=40,Raw_Data345[[#This Row],[Science_Score]]&gt;=40,Raw_Data345[[#This Row],[English_Score]]&gt;=40),"Pass","Fail")</f>
        <v>Pass</v>
      </c>
      <c r="I35" s="15">
        <f>SUM(Raw_Data345[[#This Row],[Math_Score]],Raw_Data345[[#This Row],[Science_Score]],Raw_Data345[[#This Row],[English_Score]])/300</f>
        <v>0.72333333333333338</v>
      </c>
      <c r="J35" s="5" t="str" cm="1">
        <f t="array" ref="J3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35" s="7">
        <f>SUM(Raw_Data345[[#This Row],[Math_Score]],Raw_Data345[[#This Row],[Science_Score]],Raw_Data345[[#This Row],[English_Score]])</f>
        <v>217</v>
      </c>
      <c r="L35" s="22">
        <f>Raw_Data345[[#This Row],[Total_score]]/3</f>
        <v>72.333333333333329</v>
      </c>
      <c r="M35" s="26">
        <f>_xlfn.RANK.EQ(Raw_Data345[[#This Row],[Average_score]],Raw_Data345[[Student_ID]:[Average_score]],1)</f>
        <v>433</v>
      </c>
      <c r="N35" s="24" t="str" cm="1">
        <f t="array" ref="N35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36" spans="1:14" x14ac:dyDescent="0.9">
      <c r="A36" s="5" t="s">
        <v>43</v>
      </c>
      <c r="B36" s="6" t="s">
        <v>11</v>
      </c>
      <c r="C36" s="7">
        <v>19</v>
      </c>
      <c r="D36" s="8">
        <v>90.2</v>
      </c>
      <c r="E36" s="7">
        <v>59</v>
      </c>
      <c r="F36" s="7">
        <v>60</v>
      </c>
      <c r="G36" s="7">
        <v>86</v>
      </c>
      <c r="H36" s="7" t="str">
        <f>IF(AND(Raw_Data345[[#This Row],[Math_Score]]&gt;=40,Raw_Data345[[#This Row],[Science_Score]]&gt;=40,Raw_Data345[[#This Row],[English_Score]]&gt;=40),"Pass","Fail")</f>
        <v>Pass</v>
      </c>
      <c r="I36" s="15">
        <f>SUM(Raw_Data345[[#This Row],[Math_Score]],Raw_Data345[[#This Row],[Science_Score]],Raw_Data345[[#This Row],[English_Score]])/300</f>
        <v>0.68333333333333335</v>
      </c>
      <c r="J36" s="5" t="str" cm="1">
        <f t="array" ref="J3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36" s="7">
        <f>SUM(Raw_Data345[[#This Row],[Math_Score]],Raw_Data345[[#This Row],[Science_Score]],Raw_Data345[[#This Row],[English_Score]])</f>
        <v>205</v>
      </c>
      <c r="L36" s="22">
        <f>Raw_Data345[[#This Row],[Total_score]]/3</f>
        <v>68.333333333333329</v>
      </c>
      <c r="M36" s="26">
        <f>_xlfn.RANK.EQ(Raw_Data345[[#This Row],[Average_score]],Raw_Data345[[Student_ID]:[Average_score]],1)</f>
        <v>390</v>
      </c>
      <c r="N36" s="24" t="str" cm="1">
        <f t="array" ref="N36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37" spans="1:14" x14ac:dyDescent="0.9">
      <c r="A37" s="5" t="s">
        <v>44</v>
      </c>
      <c r="B37" s="6" t="s">
        <v>11</v>
      </c>
      <c r="C37" s="7">
        <v>19</v>
      </c>
      <c r="D37" s="8">
        <v>69.8</v>
      </c>
      <c r="E37" s="7">
        <v>87</v>
      </c>
      <c r="F37" s="7">
        <v>87</v>
      </c>
      <c r="G37" s="7">
        <v>73</v>
      </c>
      <c r="H37" s="7" t="str">
        <f>IF(AND(Raw_Data345[[#This Row],[Math_Score]]&gt;=40,Raw_Data345[[#This Row],[Science_Score]]&gt;=40,Raw_Data345[[#This Row],[English_Score]]&gt;=40),"Pass","Fail")</f>
        <v>Pass</v>
      </c>
      <c r="I37" s="15">
        <f>SUM(Raw_Data345[[#This Row],[Math_Score]],Raw_Data345[[#This Row],[Science_Score]],Raw_Data345[[#This Row],[English_Score]])/300</f>
        <v>0.82333333333333336</v>
      </c>
      <c r="J37" s="5" t="str" cm="1">
        <f t="array" ref="J3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37" s="7">
        <f>SUM(Raw_Data345[[#This Row],[Math_Score]],Raw_Data345[[#This Row],[Science_Score]],Raw_Data345[[#This Row],[English_Score]])</f>
        <v>247</v>
      </c>
      <c r="L37" s="22">
        <f>Raw_Data345[[#This Row],[Total_score]]/3</f>
        <v>82.333333333333329</v>
      </c>
      <c r="M37" s="26">
        <f>_xlfn.RANK.EQ(Raw_Data345[[#This Row],[Average_score]],Raw_Data345[[Student_ID]:[Average_score]],1)</f>
        <v>572</v>
      </c>
      <c r="N37" s="24" t="str" cm="1">
        <f t="array" ref="N37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38" spans="1:14" x14ac:dyDescent="0.9">
      <c r="A38" s="5" t="s">
        <v>45</v>
      </c>
      <c r="B38" s="6" t="s">
        <v>8</v>
      </c>
      <c r="C38" s="7">
        <v>22</v>
      </c>
      <c r="D38" s="8">
        <v>84.1</v>
      </c>
      <c r="E38" s="7">
        <v>67</v>
      </c>
      <c r="F38" s="7">
        <v>70</v>
      </c>
      <c r="G38" s="7">
        <v>62</v>
      </c>
      <c r="H38" s="7" t="str">
        <f>IF(AND(Raw_Data345[[#This Row],[Math_Score]]&gt;=40,Raw_Data345[[#This Row],[Science_Score]]&gt;=40,Raw_Data345[[#This Row],[English_Score]]&gt;=40),"Pass","Fail")</f>
        <v>Pass</v>
      </c>
      <c r="I38" s="15">
        <f>SUM(Raw_Data345[[#This Row],[Math_Score]],Raw_Data345[[#This Row],[Science_Score]],Raw_Data345[[#This Row],[English_Score]])/300</f>
        <v>0.66333333333333333</v>
      </c>
      <c r="J38" s="5" t="str" cm="1">
        <f t="array" ref="J3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38" s="7">
        <f>SUM(Raw_Data345[[#This Row],[Math_Score]],Raw_Data345[[#This Row],[Science_Score]],Raw_Data345[[#This Row],[English_Score]])</f>
        <v>199</v>
      </c>
      <c r="L38" s="22">
        <f>Raw_Data345[[#This Row],[Total_score]]/3</f>
        <v>66.333333333333329</v>
      </c>
      <c r="M38" s="26">
        <f>_xlfn.RANK.EQ(Raw_Data345[[#This Row],[Average_score]],Raw_Data345[[Student_ID]:[Average_score]],1)</f>
        <v>361</v>
      </c>
      <c r="N38" s="24" t="str" cm="1">
        <f t="array" ref="N38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39" spans="1:14" x14ac:dyDescent="0.9">
      <c r="A39" s="5" t="s">
        <v>46</v>
      </c>
      <c r="B39" s="6" t="s">
        <v>8</v>
      </c>
      <c r="C39" s="7">
        <v>21</v>
      </c>
      <c r="D39" s="8">
        <v>62.4</v>
      </c>
      <c r="E39" s="7">
        <v>68</v>
      </c>
      <c r="F39" s="7">
        <v>45</v>
      </c>
      <c r="G39" s="7">
        <v>58</v>
      </c>
      <c r="H39" s="7" t="str">
        <f>IF(AND(Raw_Data345[[#This Row],[Math_Score]]&gt;=40,Raw_Data345[[#This Row],[Science_Score]]&gt;=40,Raw_Data345[[#This Row],[English_Score]]&gt;=40),"Pass","Fail")</f>
        <v>Pass</v>
      </c>
      <c r="I39" s="15">
        <f>SUM(Raw_Data345[[#This Row],[Math_Score]],Raw_Data345[[#This Row],[Science_Score]],Raw_Data345[[#This Row],[English_Score]])/300</f>
        <v>0.56999999999999995</v>
      </c>
      <c r="J39" s="5" t="str" cm="1">
        <f t="array" ref="J3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39" s="7">
        <f>SUM(Raw_Data345[[#This Row],[Math_Score]],Raw_Data345[[#This Row],[Science_Score]],Raw_Data345[[#This Row],[English_Score]])</f>
        <v>171</v>
      </c>
      <c r="L39" s="22">
        <f>Raw_Data345[[#This Row],[Total_score]]/3</f>
        <v>57</v>
      </c>
      <c r="M39" s="26">
        <f>_xlfn.RANK.EQ(Raw_Data345[[#This Row],[Average_score]],Raw_Data345[[Student_ID]:[Average_score]],1)</f>
        <v>269</v>
      </c>
      <c r="N39" s="24" t="str" cm="1">
        <f t="array" ref="N39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40" spans="1:14" x14ac:dyDescent="0.9">
      <c r="A40" s="5" t="s">
        <v>47</v>
      </c>
      <c r="B40" s="6" t="s">
        <v>8</v>
      </c>
      <c r="C40" s="7">
        <v>19</v>
      </c>
      <c r="D40" s="8">
        <v>68.7</v>
      </c>
      <c r="E40" s="7">
        <v>86</v>
      </c>
      <c r="F40" s="7">
        <v>73</v>
      </c>
      <c r="G40" s="7">
        <v>72</v>
      </c>
      <c r="H40" s="7" t="str">
        <f>IF(AND(Raw_Data345[[#This Row],[Math_Score]]&gt;=40,Raw_Data345[[#This Row],[Science_Score]]&gt;=40,Raw_Data345[[#This Row],[English_Score]]&gt;=40),"Pass","Fail")</f>
        <v>Pass</v>
      </c>
      <c r="I40" s="15">
        <f>SUM(Raw_Data345[[#This Row],[Math_Score]],Raw_Data345[[#This Row],[Science_Score]],Raw_Data345[[#This Row],[English_Score]])/300</f>
        <v>0.77</v>
      </c>
      <c r="J40" s="5" t="str" cm="1">
        <f t="array" ref="J4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40" s="7">
        <f>SUM(Raw_Data345[[#This Row],[Math_Score]],Raw_Data345[[#This Row],[Science_Score]],Raw_Data345[[#This Row],[English_Score]])</f>
        <v>231</v>
      </c>
      <c r="L40" s="22">
        <f>Raw_Data345[[#This Row],[Total_score]]/3</f>
        <v>77</v>
      </c>
      <c r="M40" s="26">
        <f>_xlfn.RANK.EQ(Raw_Data345[[#This Row],[Average_score]],Raw_Data345[[Student_ID]:[Average_score]],1)</f>
        <v>504</v>
      </c>
      <c r="N40" s="24" t="str" cm="1">
        <f t="array" ref="N40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41" spans="1:14" x14ac:dyDescent="0.9">
      <c r="A41" s="5" t="s">
        <v>48</v>
      </c>
      <c r="B41" s="6" t="s">
        <v>8</v>
      </c>
      <c r="C41" s="7">
        <v>21</v>
      </c>
      <c r="D41" s="8">
        <v>84</v>
      </c>
      <c r="E41" s="7">
        <v>52</v>
      </c>
      <c r="F41" s="7">
        <v>54</v>
      </c>
      <c r="G41" s="7">
        <v>64</v>
      </c>
      <c r="H41" s="7" t="str">
        <f>IF(AND(Raw_Data345[[#This Row],[Math_Score]]&gt;=40,Raw_Data345[[#This Row],[Science_Score]]&gt;=40,Raw_Data345[[#This Row],[English_Score]]&gt;=40),"Pass","Fail")</f>
        <v>Pass</v>
      </c>
      <c r="I41" s="15">
        <f>SUM(Raw_Data345[[#This Row],[Math_Score]],Raw_Data345[[#This Row],[Science_Score]],Raw_Data345[[#This Row],[English_Score]])/300</f>
        <v>0.56666666666666665</v>
      </c>
      <c r="J41" s="5" t="str" cm="1">
        <f t="array" ref="J4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41" s="7">
        <f>SUM(Raw_Data345[[#This Row],[Math_Score]],Raw_Data345[[#This Row],[Science_Score]],Raw_Data345[[#This Row],[English_Score]])</f>
        <v>170</v>
      </c>
      <c r="L41" s="22">
        <f>Raw_Data345[[#This Row],[Total_score]]/3</f>
        <v>56.666666666666664</v>
      </c>
      <c r="M41" s="26">
        <f>_xlfn.RANK.EQ(Raw_Data345[[#This Row],[Average_score]],Raw_Data345[[Student_ID]:[Average_score]],1)</f>
        <v>266</v>
      </c>
      <c r="N41" s="24" t="str" cm="1">
        <f t="array" ref="N41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2" spans="1:14" x14ac:dyDescent="0.9">
      <c r="A42" s="5" t="s">
        <v>49</v>
      </c>
      <c r="B42" s="6" t="s">
        <v>11</v>
      </c>
      <c r="C42" s="7">
        <v>19</v>
      </c>
      <c r="D42" s="8">
        <v>89.4</v>
      </c>
      <c r="E42" s="7">
        <v>70</v>
      </c>
      <c r="F42" s="7">
        <v>64</v>
      </c>
      <c r="G42" s="7">
        <v>86</v>
      </c>
      <c r="H42" s="7" t="str">
        <f>IF(AND(Raw_Data345[[#This Row],[Math_Score]]&gt;=40,Raw_Data345[[#This Row],[Science_Score]]&gt;=40,Raw_Data345[[#This Row],[English_Score]]&gt;=40),"Pass","Fail")</f>
        <v>Pass</v>
      </c>
      <c r="I42" s="15">
        <f>SUM(Raw_Data345[[#This Row],[Math_Score]],Raw_Data345[[#This Row],[Science_Score]],Raw_Data345[[#This Row],[English_Score]])/300</f>
        <v>0.73333333333333328</v>
      </c>
      <c r="J42" s="5" t="str" cm="1">
        <f t="array" ref="J4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42" s="7">
        <f>SUM(Raw_Data345[[#This Row],[Math_Score]],Raw_Data345[[#This Row],[Science_Score]],Raw_Data345[[#This Row],[English_Score]])</f>
        <v>220</v>
      </c>
      <c r="L42" s="22">
        <f>Raw_Data345[[#This Row],[Total_score]]/3</f>
        <v>73.333333333333329</v>
      </c>
      <c r="M42" s="26">
        <f>_xlfn.RANK.EQ(Raw_Data345[[#This Row],[Average_score]],Raw_Data345[[Student_ID]:[Average_score]],1)</f>
        <v>452</v>
      </c>
      <c r="N42" s="24" t="str" cm="1">
        <f t="array" ref="N4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3" spans="1:14" x14ac:dyDescent="0.9">
      <c r="A43" s="5" t="s">
        <v>50</v>
      </c>
      <c r="B43" s="6" t="s">
        <v>11</v>
      </c>
      <c r="C43" s="7">
        <v>19</v>
      </c>
      <c r="D43" s="8">
        <v>83.7</v>
      </c>
      <c r="E43" s="7">
        <v>99</v>
      </c>
      <c r="F43" s="7">
        <v>89</v>
      </c>
      <c r="G43" s="7">
        <v>94</v>
      </c>
      <c r="H43" s="7" t="str">
        <f>IF(AND(Raw_Data345[[#This Row],[Math_Score]]&gt;=40,Raw_Data345[[#This Row],[Science_Score]]&gt;=40,Raw_Data345[[#This Row],[English_Score]]&gt;=40),"Pass","Fail")</f>
        <v>Pass</v>
      </c>
      <c r="I43" s="15">
        <f>SUM(Raw_Data345[[#This Row],[Math_Score]],Raw_Data345[[#This Row],[Science_Score]],Raw_Data345[[#This Row],[English_Score]])/300</f>
        <v>0.94</v>
      </c>
      <c r="J43" s="5" t="str" cm="1">
        <f t="array" ref="J4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43" s="7">
        <f>SUM(Raw_Data345[[#This Row],[Math_Score]],Raw_Data345[[#This Row],[Science_Score]],Raw_Data345[[#This Row],[English_Score]])</f>
        <v>282</v>
      </c>
      <c r="L43" s="22">
        <f>Raw_Data345[[#This Row],[Total_score]]/3</f>
        <v>94</v>
      </c>
      <c r="M43" s="26">
        <f>_xlfn.RANK.EQ(Raw_Data345[[#This Row],[Average_score]],Raw_Data345[[Student_ID]:[Average_score]],1)</f>
        <v>666</v>
      </c>
      <c r="N43" s="24" t="str" cm="1">
        <f t="array" ref="N4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4" spans="1:14" x14ac:dyDescent="0.9">
      <c r="A44" s="5" t="s">
        <v>51</v>
      </c>
      <c r="B44" s="6" t="s">
        <v>8</v>
      </c>
      <c r="C44" s="7">
        <v>20</v>
      </c>
      <c r="D44" s="8">
        <v>80.8</v>
      </c>
      <c r="E44" s="7">
        <v>33</v>
      </c>
      <c r="F44" s="7">
        <v>56</v>
      </c>
      <c r="G44" s="7">
        <v>46</v>
      </c>
      <c r="H44" s="7" t="str">
        <f>IF(AND(Raw_Data345[[#This Row],[Math_Score]]&gt;=40,Raw_Data345[[#This Row],[Science_Score]]&gt;=40,Raw_Data345[[#This Row],[English_Score]]&gt;=40),"Pass","Fail")</f>
        <v>Fail</v>
      </c>
      <c r="I44" s="15">
        <f>SUM(Raw_Data345[[#This Row],[Math_Score]],Raw_Data345[[#This Row],[Science_Score]],Raw_Data345[[#This Row],[English_Score]])/300</f>
        <v>0.45</v>
      </c>
      <c r="J44" s="5" t="str" cm="1">
        <f t="array" ref="J4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Fail</v>
      </c>
      <c r="K44" s="7">
        <f>SUM(Raw_Data345[[#This Row],[Math_Score]],Raw_Data345[[#This Row],[Science_Score]],Raw_Data345[[#This Row],[English_Score]])</f>
        <v>135</v>
      </c>
      <c r="L44" s="22">
        <f>Raw_Data345[[#This Row],[Total_score]]/3</f>
        <v>45</v>
      </c>
      <c r="M44" s="26">
        <f>_xlfn.RANK.EQ(Raw_Data345[[#This Row],[Average_score]],Raw_Data345[[Student_ID]:[Average_score]],1)</f>
        <v>215</v>
      </c>
      <c r="N44" s="24" t="str" cm="1">
        <f t="array" ref="N4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5" spans="1:14" x14ac:dyDescent="0.9">
      <c r="A45" s="5" t="s">
        <v>52</v>
      </c>
      <c r="B45" s="6" t="s">
        <v>11</v>
      </c>
      <c r="C45" s="7">
        <v>19</v>
      </c>
      <c r="D45" s="8">
        <v>79</v>
      </c>
      <c r="E45" s="7">
        <v>86</v>
      </c>
      <c r="F45" s="7">
        <v>67</v>
      </c>
      <c r="G45" s="7">
        <v>92</v>
      </c>
      <c r="H45" s="7" t="str">
        <f>IF(AND(Raw_Data345[[#This Row],[Math_Score]]&gt;=40,Raw_Data345[[#This Row],[Science_Score]]&gt;=40,Raw_Data345[[#This Row],[English_Score]]&gt;=40),"Pass","Fail")</f>
        <v>Pass</v>
      </c>
      <c r="I45" s="15">
        <f>SUM(Raw_Data345[[#This Row],[Math_Score]],Raw_Data345[[#This Row],[Science_Score]],Raw_Data345[[#This Row],[English_Score]])/300</f>
        <v>0.81666666666666665</v>
      </c>
      <c r="J45" s="5" t="str" cm="1">
        <f t="array" ref="J4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45" s="7">
        <f>SUM(Raw_Data345[[#This Row],[Math_Score]],Raw_Data345[[#This Row],[Science_Score]],Raw_Data345[[#This Row],[English_Score]])</f>
        <v>245</v>
      </c>
      <c r="L45" s="22">
        <f>Raw_Data345[[#This Row],[Total_score]]/3</f>
        <v>81.666666666666671</v>
      </c>
      <c r="M45" s="26">
        <f>_xlfn.RANK.EQ(Raw_Data345[[#This Row],[Average_score]],Raw_Data345[[Student_ID]:[Average_score]],1)</f>
        <v>563</v>
      </c>
      <c r="N45" s="24" t="str" cm="1">
        <f t="array" ref="N45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6" spans="1:14" x14ac:dyDescent="0.9">
      <c r="A46" s="5" t="s">
        <v>53</v>
      </c>
      <c r="B46" s="6" t="s">
        <v>11</v>
      </c>
      <c r="C46" s="7">
        <v>18</v>
      </c>
      <c r="D46" s="8">
        <v>67.2</v>
      </c>
      <c r="E46" s="7">
        <v>66</v>
      </c>
      <c r="F46" s="7">
        <v>85</v>
      </c>
      <c r="G46" s="7">
        <v>55</v>
      </c>
      <c r="H46" s="7" t="str">
        <f>IF(AND(Raw_Data345[[#This Row],[Math_Score]]&gt;=40,Raw_Data345[[#This Row],[Science_Score]]&gt;=40,Raw_Data345[[#This Row],[English_Score]]&gt;=40),"Pass","Fail")</f>
        <v>Pass</v>
      </c>
      <c r="I46" s="15">
        <f>SUM(Raw_Data345[[#This Row],[Math_Score]],Raw_Data345[[#This Row],[Science_Score]],Raw_Data345[[#This Row],[English_Score]])/300</f>
        <v>0.68666666666666665</v>
      </c>
      <c r="J46" s="5" t="str" cm="1">
        <f t="array" ref="J4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46" s="7">
        <f>SUM(Raw_Data345[[#This Row],[Math_Score]],Raw_Data345[[#This Row],[Science_Score]],Raw_Data345[[#This Row],[English_Score]])</f>
        <v>206</v>
      </c>
      <c r="L46" s="22">
        <f>Raw_Data345[[#This Row],[Total_score]]/3</f>
        <v>68.666666666666671</v>
      </c>
      <c r="M46" s="26">
        <f>_xlfn.RANK.EQ(Raw_Data345[[#This Row],[Average_score]],Raw_Data345[[Student_ID]:[Average_score]],1)</f>
        <v>392</v>
      </c>
      <c r="N46" s="24" t="str" cm="1">
        <f t="array" ref="N46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47" spans="1:14" x14ac:dyDescent="0.9">
      <c r="A47" s="5" t="s">
        <v>54</v>
      </c>
      <c r="B47" s="6" t="s">
        <v>8</v>
      </c>
      <c r="C47" s="7">
        <v>22</v>
      </c>
      <c r="D47" s="8">
        <v>74.8</v>
      </c>
      <c r="E47" s="7">
        <v>78</v>
      </c>
      <c r="F47" s="7">
        <v>73</v>
      </c>
      <c r="G47" s="7">
        <v>70</v>
      </c>
      <c r="H47" s="7" t="str">
        <f>IF(AND(Raw_Data345[[#This Row],[Math_Score]]&gt;=40,Raw_Data345[[#This Row],[Science_Score]]&gt;=40,Raw_Data345[[#This Row],[English_Score]]&gt;=40),"Pass","Fail")</f>
        <v>Pass</v>
      </c>
      <c r="I47" s="15">
        <f>SUM(Raw_Data345[[#This Row],[Math_Score]],Raw_Data345[[#This Row],[Science_Score]],Raw_Data345[[#This Row],[English_Score]])/300</f>
        <v>0.73666666666666669</v>
      </c>
      <c r="J47" s="5" t="str" cm="1">
        <f t="array" ref="J4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47" s="7">
        <f>SUM(Raw_Data345[[#This Row],[Math_Score]],Raw_Data345[[#This Row],[Science_Score]],Raw_Data345[[#This Row],[English_Score]])</f>
        <v>221</v>
      </c>
      <c r="L47" s="22">
        <f>Raw_Data345[[#This Row],[Total_score]]/3</f>
        <v>73.666666666666671</v>
      </c>
      <c r="M47" s="26">
        <f>_xlfn.RANK.EQ(Raw_Data345[[#This Row],[Average_score]],Raw_Data345[[Student_ID]:[Average_score]],1)</f>
        <v>454</v>
      </c>
      <c r="N47" s="24" t="str" cm="1">
        <f t="array" ref="N47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48" spans="1:14" x14ac:dyDescent="0.9">
      <c r="A48" s="5" t="s">
        <v>55</v>
      </c>
      <c r="B48" s="6" t="s">
        <v>11</v>
      </c>
      <c r="C48" s="7">
        <v>22</v>
      </c>
      <c r="D48" s="8">
        <v>77.400000000000006</v>
      </c>
      <c r="E48" s="7">
        <v>48</v>
      </c>
      <c r="F48" s="7">
        <v>48</v>
      </c>
      <c r="G48" s="7">
        <v>57</v>
      </c>
      <c r="H48" s="7" t="str">
        <f>IF(AND(Raw_Data345[[#This Row],[Math_Score]]&gt;=40,Raw_Data345[[#This Row],[Science_Score]]&gt;=40,Raw_Data345[[#This Row],[English_Score]]&gt;=40),"Pass","Fail")</f>
        <v>Pass</v>
      </c>
      <c r="I48" s="15">
        <f>SUM(Raw_Data345[[#This Row],[Math_Score]],Raw_Data345[[#This Row],[Science_Score]],Raw_Data345[[#This Row],[English_Score]])/300</f>
        <v>0.51</v>
      </c>
      <c r="J48" s="5" t="str" cm="1">
        <f t="array" ref="J4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48" s="7">
        <f>SUM(Raw_Data345[[#This Row],[Math_Score]],Raw_Data345[[#This Row],[Science_Score]],Raw_Data345[[#This Row],[English_Score]])</f>
        <v>153</v>
      </c>
      <c r="L48" s="22">
        <f>Raw_Data345[[#This Row],[Total_score]]/3</f>
        <v>51</v>
      </c>
      <c r="M48" s="26">
        <f>_xlfn.RANK.EQ(Raw_Data345[[#This Row],[Average_score]],Raw_Data345[[Student_ID]:[Average_score]],1)</f>
        <v>233</v>
      </c>
      <c r="N48" s="24" t="str" cm="1">
        <f t="array" ref="N48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49" spans="1:14" x14ac:dyDescent="0.9">
      <c r="A49" s="5" t="s">
        <v>56</v>
      </c>
      <c r="B49" s="6" t="s">
        <v>8</v>
      </c>
      <c r="C49" s="7">
        <v>21</v>
      </c>
      <c r="D49" s="8">
        <v>92.6</v>
      </c>
      <c r="E49" s="7">
        <v>58</v>
      </c>
      <c r="F49" s="7">
        <v>52</v>
      </c>
      <c r="G49" s="7">
        <v>60</v>
      </c>
      <c r="H49" s="7" t="str">
        <f>IF(AND(Raw_Data345[[#This Row],[Math_Score]]&gt;=40,Raw_Data345[[#This Row],[Science_Score]]&gt;=40,Raw_Data345[[#This Row],[English_Score]]&gt;=40),"Pass","Fail")</f>
        <v>Pass</v>
      </c>
      <c r="I49" s="15">
        <f>SUM(Raw_Data345[[#This Row],[Math_Score]],Raw_Data345[[#This Row],[Science_Score]],Raw_Data345[[#This Row],[English_Score]])/300</f>
        <v>0.56666666666666665</v>
      </c>
      <c r="J49" s="5" t="str" cm="1">
        <f t="array" ref="J4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49" s="7">
        <f>SUM(Raw_Data345[[#This Row],[Math_Score]],Raw_Data345[[#This Row],[Science_Score]],Raw_Data345[[#This Row],[English_Score]])</f>
        <v>170</v>
      </c>
      <c r="L49" s="22">
        <f>Raw_Data345[[#This Row],[Total_score]]/3</f>
        <v>56.666666666666664</v>
      </c>
      <c r="M49" s="26">
        <f>_xlfn.RANK.EQ(Raw_Data345[[#This Row],[Average_score]],Raw_Data345[[Student_ID]:[Average_score]],1)</f>
        <v>266</v>
      </c>
      <c r="N49" s="24" t="str" cm="1">
        <f t="array" ref="N49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50" spans="1:14" x14ac:dyDescent="0.9">
      <c r="A50" s="5" t="s">
        <v>57</v>
      </c>
      <c r="B50" s="6" t="s">
        <v>11</v>
      </c>
      <c r="C50" s="7">
        <v>19</v>
      </c>
      <c r="D50" s="8">
        <v>85.4</v>
      </c>
      <c r="E50" s="7">
        <v>90</v>
      </c>
      <c r="F50" s="7">
        <v>69</v>
      </c>
      <c r="G50" s="7">
        <v>83</v>
      </c>
      <c r="H50" s="7" t="str">
        <f>IF(AND(Raw_Data345[[#This Row],[Math_Score]]&gt;=40,Raw_Data345[[#This Row],[Science_Score]]&gt;=40,Raw_Data345[[#This Row],[English_Score]]&gt;=40),"Pass","Fail")</f>
        <v>Pass</v>
      </c>
      <c r="I50" s="15">
        <f>SUM(Raw_Data345[[#This Row],[Math_Score]],Raw_Data345[[#This Row],[Science_Score]],Raw_Data345[[#This Row],[English_Score]])/300</f>
        <v>0.80666666666666664</v>
      </c>
      <c r="J50" s="5" t="str" cm="1">
        <f t="array" ref="J5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50" s="7">
        <f>SUM(Raw_Data345[[#This Row],[Math_Score]],Raw_Data345[[#This Row],[Science_Score]],Raw_Data345[[#This Row],[English_Score]])</f>
        <v>242</v>
      </c>
      <c r="L50" s="22">
        <f>Raw_Data345[[#This Row],[Total_score]]/3</f>
        <v>80.666666666666671</v>
      </c>
      <c r="M50" s="26">
        <f>_xlfn.RANK.EQ(Raw_Data345[[#This Row],[Average_score]],Raw_Data345[[Student_ID]:[Average_score]],1)</f>
        <v>554</v>
      </c>
      <c r="N50" s="24" t="str" cm="1">
        <f t="array" ref="N5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51" spans="1:14" x14ac:dyDescent="0.9">
      <c r="A51" s="5" t="s">
        <v>58</v>
      </c>
      <c r="B51" s="6" t="s">
        <v>8</v>
      </c>
      <c r="C51" s="7">
        <v>18</v>
      </c>
      <c r="D51" s="8">
        <v>64.400000000000006</v>
      </c>
      <c r="E51" s="7">
        <v>75</v>
      </c>
      <c r="F51" s="7">
        <v>61</v>
      </c>
      <c r="G51" s="7">
        <v>82</v>
      </c>
      <c r="H51" s="7" t="str">
        <f>IF(AND(Raw_Data345[[#This Row],[Math_Score]]&gt;=40,Raw_Data345[[#This Row],[Science_Score]]&gt;=40,Raw_Data345[[#This Row],[English_Score]]&gt;=40),"Pass","Fail")</f>
        <v>Pass</v>
      </c>
      <c r="I51" s="15">
        <f>SUM(Raw_Data345[[#This Row],[Math_Score]],Raw_Data345[[#This Row],[Science_Score]],Raw_Data345[[#This Row],[English_Score]])/300</f>
        <v>0.72666666666666668</v>
      </c>
      <c r="J51" s="5" t="str" cm="1">
        <f t="array" ref="J5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51" s="7">
        <f>SUM(Raw_Data345[[#This Row],[Math_Score]],Raw_Data345[[#This Row],[Science_Score]],Raw_Data345[[#This Row],[English_Score]])</f>
        <v>218</v>
      </c>
      <c r="L51" s="22">
        <f>Raw_Data345[[#This Row],[Total_score]]/3</f>
        <v>72.666666666666671</v>
      </c>
      <c r="M51" s="26">
        <f>_xlfn.RANK.EQ(Raw_Data345[[#This Row],[Average_score]],Raw_Data345[[Student_ID]:[Average_score]],1)</f>
        <v>436</v>
      </c>
      <c r="N51" s="24" t="str" cm="1">
        <f t="array" ref="N51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52" spans="1:14" x14ac:dyDescent="0.9">
      <c r="A52" s="5" t="s">
        <v>59</v>
      </c>
      <c r="B52" s="6" t="s">
        <v>8</v>
      </c>
      <c r="C52" s="7">
        <v>21</v>
      </c>
      <c r="D52" s="8">
        <v>85.2</v>
      </c>
      <c r="E52" s="7">
        <v>79</v>
      </c>
      <c r="F52" s="7">
        <v>60</v>
      </c>
      <c r="G52" s="7">
        <v>75</v>
      </c>
      <c r="H52" s="7" t="str">
        <f>IF(AND(Raw_Data345[[#This Row],[Math_Score]]&gt;=40,Raw_Data345[[#This Row],[Science_Score]]&gt;=40,Raw_Data345[[#This Row],[English_Score]]&gt;=40),"Pass","Fail")</f>
        <v>Pass</v>
      </c>
      <c r="I52" s="15">
        <f>SUM(Raw_Data345[[#This Row],[Math_Score]],Raw_Data345[[#This Row],[Science_Score]],Raw_Data345[[#This Row],[English_Score]])/300</f>
        <v>0.71333333333333337</v>
      </c>
      <c r="J52" s="5" t="str" cm="1">
        <f t="array" ref="J5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52" s="7">
        <f>SUM(Raw_Data345[[#This Row],[Math_Score]],Raw_Data345[[#This Row],[Science_Score]],Raw_Data345[[#This Row],[English_Score]])</f>
        <v>214</v>
      </c>
      <c r="L52" s="22">
        <f>Raw_Data345[[#This Row],[Total_score]]/3</f>
        <v>71.333333333333329</v>
      </c>
      <c r="M52" s="26">
        <f>_xlfn.RANK.EQ(Raw_Data345[[#This Row],[Average_score]],Raw_Data345[[Student_ID]:[Average_score]],1)</f>
        <v>421</v>
      </c>
      <c r="N52" s="24" t="str" cm="1">
        <f t="array" ref="N5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53" spans="1:14" x14ac:dyDescent="0.9">
      <c r="A53" s="5" t="s">
        <v>60</v>
      </c>
      <c r="B53" s="6" t="s">
        <v>8</v>
      </c>
      <c r="C53" s="7">
        <v>20</v>
      </c>
      <c r="D53" s="8">
        <v>78.099999999999994</v>
      </c>
      <c r="E53" s="7">
        <v>74</v>
      </c>
      <c r="F53" s="7">
        <v>70</v>
      </c>
      <c r="G53" s="7">
        <v>75</v>
      </c>
      <c r="H53" s="7" t="str">
        <f>IF(AND(Raw_Data345[[#This Row],[Math_Score]]&gt;=40,Raw_Data345[[#This Row],[Science_Score]]&gt;=40,Raw_Data345[[#This Row],[English_Score]]&gt;=40),"Pass","Fail")</f>
        <v>Pass</v>
      </c>
      <c r="I53" s="15">
        <f>SUM(Raw_Data345[[#This Row],[Math_Score]],Raw_Data345[[#This Row],[Science_Score]],Raw_Data345[[#This Row],[English_Score]])/300</f>
        <v>0.73</v>
      </c>
      <c r="J53" s="5" t="str" cm="1">
        <f t="array" ref="J5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53" s="7">
        <f>SUM(Raw_Data345[[#This Row],[Math_Score]],Raw_Data345[[#This Row],[Science_Score]],Raw_Data345[[#This Row],[English_Score]])</f>
        <v>219</v>
      </c>
      <c r="L53" s="22">
        <f>Raw_Data345[[#This Row],[Total_score]]/3</f>
        <v>73</v>
      </c>
      <c r="M53" s="26">
        <f>_xlfn.RANK.EQ(Raw_Data345[[#This Row],[Average_score]],Raw_Data345[[Student_ID]:[Average_score]],1)</f>
        <v>440</v>
      </c>
      <c r="N53" s="24" t="str" cm="1">
        <f t="array" ref="N5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54" spans="1:14" x14ac:dyDescent="0.9">
      <c r="A54" s="5" t="s">
        <v>61</v>
      </c>
      <c r="B54" s="6" t="s">
        <v>8</v>
      </c>
      <c r="C54" s="7">
        <v>21</v>
      </c>
      <c r="D54" s="8">
        <v>75.2</v>
      </c>
      <c r="E54" s="7">
        <v>47</v>
      </c>
      <c r="F54" s="7">
        <v>59</v>
      </c>
      <c r="G54" s="7">
        <v>56</v>
      </c>
      <c r="H54" s="7" t="str">
        <f>IF(AND(Raw_Data345[[#This Row],[Math_Score]]&gt;=40,Raw_Data345[[#This Row],[Science_Score]]&gt;=40,Raw_Data345[[#This Row],[English_Score]]&gt;=40),"Pass","Fail")</f>
        <v>Pass</v>
      </c>
      <c r="I54" s="15">
        <f>SUM(Raw_Data345[[#This Row],[Math_Score]],Raw_Data345[[#This Row],[Science_Score]],Raw_Data345[[#This Row],[English_Score]])/300</f>
        <v>0.54</v>
      </c>
      <c r="J54" s="5" t="str" cm="1">
        <f t="array" ref="J5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54" s="7">
        <f>SUM(Raw_Data345[[#This Row],[Math_Score]],Raw_Data345[[#This Row],[Science_Score]],Raw_Data345[[#This Row],[English_Score]])</f>
        <v>162</v>
      </c>
      <c r="L54" s="22">
        <f>Raw_Data345[[#This Row],[Total_score]]/3</f>
        <v>54</v>
      </c>
      <c r="M54" s="26">
        <f>_xlfn.RANK.EQ(Raw_Data345[[#This Row],[Average_score]],Raw_Data345[[Student_ID]:[Average_score]],1)</f>
        <v>247</v>
      </c>
      <c r="N54" s="24" t="str" cm="1">
        <f t="array" ref="N5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55" spans="1:14" x14ac:dyDescent="0.9">
      <c r="A55" s="5" t="s">
        <v>62</v>
      </c>
      <c r="B55" s="6" t="s">
        <v>11</v>
      </c>
      <c r="C55" s="7">
        <v>21</v>
      </c>
      <c r="D55" s="8">
        <v>88.1</v>
      </c>
      <c r="E55" s="7">
        <v>68</v>
      </c>
      <c r="F55" s="7">
        <v>53</v>
      </c>
      <c r="G55" s="7">
        <v>81</v>
      </c>
      <c r="H55" s="7" t="str">
        <f>IF(AND(Raw_Data345[[#This Row],[Math_Score]]&gt;=40,Raw_Data345[[#This Row],[Science_Score]]&gt;=40,Raw_Data345[[#This Row],[English_Score]]&gt;=40),"Pass","Fail")</f>
        <v>Pass</v>
      </c>
      <c r="I55" s="15">
        <f>SUM(Raw_Data345[[#This Row],[Math_Score]],Raw_Data345[[#This Row],[Science_Score]],Raw_Data345[[#This Row],[English_Score]])/300</f>
        <v>0.67333333333333334</v>
      </c>
      <c r="J55" s="5" t="str" cm="1">
        <f t="array" ref="J5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55" s="7">
        <f>SUM(Raw_Data345[[#This Row],[Math_Score]],Raw_Data345[[#This Row],[Science_Score]],Raw_Data345[[#This Row],[English_Score]])</f>
        <v>202</v>
      </c>
      <c r="L55" s="22">
        <f>Raw_Data345[[#This Row],[Total_score]]/3</f>
        <v>67.333333333333329</v>
      </c>
      <c r="M55" s="26">
        <f>_xlfn.RANK.EQ(Raw_Data345[[#This Row],[Average_score]],Raw_Data345[[Student_ID]:[Average_score]],1)</f>
        <v>373</v>
      </c>
      <c r="N55" s="24" t="str" cm="1">
        <f t="array" ref="N55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56" spans="1:14" x14ac:dyDescent="0.9">
      <c r="A56" s="5" t="s">
        <v>63</v>
      </c>
      <c r="B56" s="6" t="s">
        <v>8</v>
      </c>
      <c r="C56" s="7">
        <v>19</v>
      </c>
      <c r="D56" s="8">
        <v>92.3</v>
      </c>
      <c r="E56" s="7">
        <v>75</v>
      </c>
      <c r="F56" s="7">
        <v>75</v>
      </c>
      <c r="G56" s="7">
        <v>76</v>
      </c>
      <c r="H56" s="7" t="str">
        <f>IF(AND(Raw_Data345[[#This Row],[Math_Score]]&gt;=40,Raw_Data345[[#This Row],[Science_Score]]&gt;=40,Raw_Data345[[#This Row],[English_Score]]&gt;=40),"Pass","Fail")</f>
        <v>Pass</v>
      </c>
      <c r="I56" s="15">
        <f>SUM(Raw_Data345[[#This Row],[Math_Score]],Raw_Data345[[#This Row],[Science_Score]],Raw_Data345[[#This Row],[English_Score]])/300</f>
        <v>0.7533333333333333</v>
      </c>
      <c r="J56" s="5" t="str" cm="1">
        <f t="array" ref="J5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56" s="7">
        <f>SUM(Raw_Data345[[#This Row],[Math_Score]],Raw_Data345[[#This Row],[Science_Score]],Raw_Data345[[#This Row],[English_Score]])</f>
        <v>226</v>
      </c>
      <c r="L56" s="22">
        <f>Raw_Data345[[#This Row],[Total_score]]/3</f>
        <v>75.333333333333329</v>
      </c>
      <c r="M56" s="26">
        <f>_xlfn.RANK.EQ(Raw_Data345[[#This Row],[Average_score]],Raw_Data345[[Student_ID]:[Average_score]],1)</f>
        <v>481</v>
      </c>
      <c r="N56" s="24" t="str" cm="1">
        <f t="array" ref="N56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57" spans="1:14" x14ac:dyDescent="0.9">
      <c r="A57" s="5" t="s">
        <v>64</v>
      </c>
      <c r="B57" s="6" t="s">
        <v>8</v>
      </c>
      <c r="C57" s="7">
        <v>20</v>
      </c>
      <c r="D57" s="8">
        <v>91.3</v>
      </c>
      <c r="E57" s="7">
        <v>70</v>
      </c>
      <c r="F57" s="7">
        <v>64</v>
      </c>
      <c r="G57" s="7">
        <v>64</v>
      </c>
      <c r="H57" s="7" t="str">
        <f>IF(AND(Raw_Data345[[#This Row],[Math_Score]]&gt;=40,Raw_Data345[[#This Row],[Science_Score]]&gt;=40,Raw_Data345[[#This Row],[English_Score]]&gt;=40),"Pass","Fail")</f>
        <v>Pass</v>
      </c>
      <c r="I57" s="15">
        <f>SUM(Raw_Data345[[#This Row],[Math_Score]],Raw_Data345[[#This Row],[Science_Score]],Raw_Data345[[#This Row],[English_Score]])/300</f>
        <v>0.66</v>
      </c>
      <c r="J57" s="5" t="str" cm="1">
        <f t="array" ref="J5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57" s="7">
        <f>SUM(Raw_Data345[[#This Row],[Math_Score]],Raw_Data345[[#This Row],[Science_Score]],Raw_Data345[[#This Row],[English_Score]])</f>
        <v>198</v>
      </c>
      <c r="L57" s="22">
        <f>Raw_Data345[[#This Row],[Total_score]]/3</f>
        <v>66</v>
      </c>
      <c r="M57" s="26">
        <f>_xlfn.RANK.EQ(Raw_Data345[[#This Row],[Average_score]],Raw_Data345[[Student_ID]:[Average_score]],1)</f>
        <v>354</v>
      </c>
      <c r="N57" s="24" t="str" cm="1">
        <f t="array" ref="N57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58" spans="1:14" x14ac:dyDescent="0.9">
      <c r="A58" s="5" t="s">
        <v>65</v>
      </c>
      <c r="B58" s="6" t="s">
        <v>8</v>
      </c>
      <c r="C58" s="7">
        <v>21</v>
      </c>
      <c r="D58" s="8">
        <v>73.599999999999994</v>
      </c>
      <c r="E58" s="7">
        <v>91</v>
      </c>
      <c r="F58" s="7">
        <v>93</v>
      </c>
      <c r="G58" s="7">
        <v>95</v>
      </c>
      <c r="H58" s="7" t="str">
        <f>IF(AND(Raw_Data345[[#This Row],[Math_Score]]&gt;=40,Raw_Data345[[#This Row],[Science_Score]]&gt;=40,Raw_Data345[[#This Row],[English_Score]]&gt;=40),"Pass","Fail")</f>
        <v>Pass</v>
      </c>
      <c r="I58" s="15">
        <f>SUM(Raw_Data345[[#This Row],[Math_Score]],Raw_Data345[[#This Row],[Science_Score]],Raw_Data345[[#This Row],[English_Score]])/300</f>
        <v>0.93</v>
      </c>
      <c r="J58" s="5" t="str" cm="1">
        <f t="array" ref="J5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58" s="7">
        <f>SUM(Raw_Data345[[#This Row],[Math_Score]],Raw_Data345[[#This Row],[Science_Score]],Raw_Data345[[#This Row],[English_Score]])</f>
        <v>279</v>
      </c>
      <c r="L58" s="22">
        <f>Raw_Data345[[#This Row],[Total_score]]/3</f>
        <v>93</v>
      </c>
      <c r="M58" s="26">
        <f>_xlfn.RANK.EQ(Raw_Data345[[#This Row],[Average_score]],Raw_Data345[[Student_ID]:[Average_score]],1)</f>
        <v>662</v>
      </c>
      <c r="N58" s="24" t="str" cm="1">
        <f t="array" ref="N58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59" spans="1:14" x14ac:dyDescent="0.9">
      <c r="A59" s="5" t="s">
        <v>66</v>
      </c>
      <c r="B59" s="6" t="s">
        <v>11</v>
      </c>
      <c r="C59" s="7">
        <v>18</v>
      </c>
      <c r="D59" s="8">
        <v>78.900000000000006</v>
      </c>
      <c r="E59" s="7">
        <v>84</v>
      </c>
      <c r="F59" s="7">
        <v>84</v>
      </c>
      <c r="G59" s="7">
        <v>85</v>
      </c>
      <c r="H59" s="7" t="str">
        <f>IF(AND(Raw_Data345[[#This Row],[Math_Score]]&gt;=40,Raw_Data345[[#This Row],[Science_Score]]&gt;=40,Raw_Data345[[#This Row],[English_Score]]&gt;=40),"Pass","Fail")</f>
        <v>Pass</v>
      </c>
      <c r="I59" s="15">
        <f>SUM(Raw_Data345[[#This Row],[Math_Score]],Raw_Data345[[#This Row],[Science_Score]],Raw_Data345[[#This Row],[English_Score]])/300</f>
        <v>0.84333333333333338</v>
      </c>
      <c r="J59" s="5" t="str" cm="1">
        <f t="array" ref="J5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59" s="7">
        <f>SUM(Raw_Data345[[#This Row],[Math_Score]],Raw_Data345[[#This Row],[Science_Score]],Raw_Data345[[#This Row],[English_Score]])</f>
        <v>253</v>
      </c>
      <c r="L59" s="22">
        <f>Raw_Data345[[#This Row],[Total_score]]/3</f>
        <v>84.333333333333329</v>
      </c>
      <c r="M59" s="26">
        <f>_xlfn.RANK.EQ(Raw_Data345[[#This Row],[Average_score]],Raw_Data345[[Student_ID]:[Average_score]],1)</f>
        <v>595</v>
      </c>
      <c r="N59" s="24" t="str" cm="1">
        <f t="array" ref="N5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60" spans="1:14" x14ac:dyDescent="0.9">
      <c r="A60" s="5" t="s">
        <v>67</v>
      </c>
      <c r="B60" s="6" t="s">
        <v>8</v>
      </c>
      <c r="C60" s="7">
        <v>18</v>
      </c>
      <c r="D60" s="8">
        <v>85.3</v>
      </c>
      <c r="E60" s="7">
        <v>62</v>
      </c>
      <c r="F60" s="7">
        <v>63</v>
      </c>
      <c r="G60" s="7">
        <v>41</v>
      </c>
      <c r="H60" s="7" t="str">
        <f>IF(AND(Raw_Data345[[#This Row],[Math_Score]]&gt;=40,Raw_Data345[[#This Row],[Science_Score]]&gt;=40,Raw_Data345[[#This Row],[English_Score]]&gt;=40),"Pass","Fail")</f>
        <v>Pass</v>
      </c>
      <c r="I60" s="15">
        <f>SUM(Raw_Data345[[#This Row],[Math_Score]],Raw_Data345[[#This Row],[Science_Score]],Raw_Data345[[#This Row],[English_Score]])/300</f>
        <v>0.55333333333333334</v>
      </c>
      <c r="J60" s="5" t="str" cm="1">
        <f t="array" ref="J6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60" s="7">
        <f>SUM(Raw_Data345[[#This Row],[Math_Score]],Raw_Data345[[#This Row],[Science_Score]],Raw_Data345[[#This Row],[English_Score]])</f>
        <v>166</v>
      </c>
      <c r="L60" s="22">
        <f>Raw_Data345[[#This Row],[Total_score]]/3</f>
        <v>55.333333333333336</v>
      </c>
      <c r="M60" s="26">
        <f>_xlfn.RANK.EQ(Raw_Data345[[#This Row],[Average_score]],Raw_Data345[[Student_ID]:[Average_score]],1)</f>
        <v>257</v>
      </c>
      <c r="N60" s="24" t="str" cm="1">
        <f t="array" ref="N6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61" spans="1:14" x14ac:dyDescent="0.9">
      <c r="A61" s="5" t="s">
        <v>68</v>
      </c>
      <c r="B61" s="6" t="s">
        <v>11</v>
      </c>
      <c r="C61" s="7">
        <v>22</v>
      </c>
      <c r="D61" s="8">
        <v>91.8</v>
      </c>
      <c r="E61" s="7">
        <v>82</v>
      </c>
      <c r="F61" s="7">
        <v>74</v>
      </c>
      <c r="G61" s="7">
        <v>86</v>
      </c>
      <c r="H61" s="7" t="str">
        <f>IF(AND(Raw_Data345[[#This Row],[Math_Score]]&gt;=40,Raw_Data345[[#This Row],[Science_Score]]&gt;=40,Raw_Data345[[#This Row],[English_Score]]&gt;=40),"Pass","Fail")</f>
        <v>Pass</v>
      </c>
      <c r="I61" s="15">
        <f>SUM(Raw_Data345[[#This Row],[Math_Score]],Raw_Data345[[#This Row],[Science_Score]],Raw_Data345[[#This Row],[English_Score]])/300</f>
        <v>0.80666666666666664</v>
      </c>
      <c r="J61" s="5" t="str" cm="1">
        <f t="array" ref="J6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61" s="7">
        <f>SUM(Raw_Data345[[#This Row],[Math_Score]],Raw_Data345[[#This Row],[Science_Score]],Raw_Data345[[#This Row],[English_Score]])</f>
        <v>242</v>
      </c>
      <c r="L61" s="22">
        <f>Raw_Data345[[#This Row],[Total_score]]/3</f>
        <v>80.666666666666671</v>
      </c>
      <c r="M61" s="26">
        <f>_xlfn.RANK.EQ(Raw_Data345[[#This Row],[Average_score]],Raw_Data345[[Student_ID]:[Average_score]],1)</f>
        <v>554</v>
      </c>
      <c r="N61" s="24" t="str" cm="1">
        <f t="array" ref="N61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62" spans="1:14" x14ac:dyDescent="0.9">
      <c r="A62" s="5" t="s">
        <v>69</v>
      </c>
      <c r="B62" s="6" t="s">
        <v>8</v>
      </c>
      <c r="C62" s="7">
        <v>20</v>
      </c>
      <c r="D62" s="8">
        <v>77.2</v>
      </c>
      <c r="E62" s="7">
        <v>78</v>
      </c>
      <c r="F62" s="7">
        <v>49</v>
      </c>
      <c r="G62" s="7">
        <v>56</v>
      </c>
      <c r="H62" s="7" t="str">
        <f>IF(AND(Raw_Data345[[#This Row],[Math_Score]]&gt;=40,Raw_Data345[[#This Row],[Science_Score]]&gt;=40,Raw_Data345[[#This Row],[English_Score]]&gt;=40),"Pass","Fail")</f>
        <v>Pass</v>
      </c>
      <c r="I62" s="15">
        <f>SUM(Raw_Data345[[#This Row],[Math_Score]],Raw_Data345[[#This Row],[Science_Score]],Raw_Data345[[#This Row],[English_Score]])/300</f>
        <v>0.61</v>
      </c>
      <c r="J62" s="5" t="str" cm="1">
        <f t="array" ref="J6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62" s="7">
        <f>SUM(Raw_Data345[[#This Row],[Math_Score]],Raw_Data345[[#This Row],[Science_Score]],Raw_Data345[[#This Row],[English_Score]])</f>
        <v>183</v>
      </c>
      <c r="L62" s="22">
        <f>Raw_Data345[[#This Row],[Total_score]]/3</f>
        <v>61</v>
      </c>
      <c r="M62" s="26">
        <f>_xlfn.RANK.EQ(Raw_Data345[[#This Row],[Average_score]],Raw_Data345[[Student_ID]:[Average_score]],1)</f>
        <v>301</v>
      </c>
      <c r="N62" s="24" t="str" cm="1">
        <f t="array" ref="N6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63" spans="1:14" x14ac:dyDescent="0.9">
      <c r="A63" s="5" t="s">
        <v>70</v>
      </c>
      <c r="B63" s="6" t="s">
        <v>11</v>
      </c>
      <c r="C63" s="7">
        <v>20</v>
      </c>
      <c r="D63" s="8">
        <v>80.099999999999994</v>
      </c>
      <c r="E63" s="7">
        <v>83</v>
      </c>
      <c r="F63" s="7">
        <v>83</v>
      </c>
      <c r="G63" s="7">
        <v>88</v>
      </c>
      <c r="H63" s="7" t="str">
        <f>IF(AND(Raw_Data345[[#This Row],[Math_Score]]&gt;=40,Raw_Data345[[#This Row],[Science_Score]]&gt;=40,Raw_Data345[[#This Row],[English_Score]]&gt;=40),"Pass","Fail")</f>
        <v>Pass</v>
      </c>
      <c r="I63" s="15">
        <f>SUM(Raw_Data345[[#This Row],[Math_Score]],Raw_Data345[[#This Row],[Science_Score]],Raw_Data345[[#This Row],[English_Score]])/300</f>
        <v>0.84666666666666668</v>
      </c>
      <c r="J63" s="5" t="str" cm="1">
        <f t="array" ref="J6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63" s="7">
        <f>SUM(Raw_Data345[[#This Row],[Math_Score]],Raw_Data345[[#This Row],[Science_Score]],Raw_Data345[[#This Row],[English_Score]])</f>
        <v>254</v>
      </c>
      <c r="L63" s="22">
        <f>Raw_Data345[[#This Row],[Total_score]]/3</f>
        <v>84.666666666666671</v>
      </c>
      <c r="M63" s="26">
        <f>_xlfn.RANK.EQ(Raw_Data345[[#This Row],[Average_score]],Raw_Data345[[Student_ID]:[Average_score]],1)</f>
        <v>599</v>
      </c>
      <c r="N63" s="24" t="str" cm="1">
        <f t="array" ref="N6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64" spans="1:14" x14ac:dyDescent="0.9">
      <c r="A64" s="5" t="s">
        <v>71</v>
      </c>
      <c r="B64" s="6" t="s">
        <v>11</v>
      </c>
      <c r="C64" s="7">
        <v>22</v>
      </c>
      <c r="D64" s="8">
        <v>70.900000000000006</v>
      </c>
      <c r="E64" s="7">
        <v>77</v>
      </c>
      <c r="F64" s="7">
        <v>74</v>
      </c>
      <c r="G64" s="7">
        <v>80</v>
      </c>
      <c r="H64" s="7" t="str">
        <f>IF(AND(Raw_Data345[[#This Row],[Math_Score]]&gt;=40,Raw_Data345[[#This Row],[Science_Score]]&gt;=40,Raw_Data345[[#This Row],[English_Score]]&gt;=40),"Pass","Fail")</f>
        <v>Pass</v>
      </c>
      <c r="I64" s="15">
        <f>SUM(Raw_Data345[[#This Row],[Math_Score]],Raw_Data345[[#This Row],[Science_Score]],Raw_Data345[[#This Row],[English_Score]])/300</f>
        <v>0.77</v>
      </c>
      <c r="J64" s="5" t="str" cm="1">
        <f t="array" ref="J6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64" s="7">
        <f>SUM(Raw_Data345[[#This Row],[Math_Score]],Raw_Data345[[#This Row],[Science_Score]],Raw_Data345[[#This Row],[English_Score]])</f>
        <v>231</v>
      </c>
      <c r="L64" s="22">
        <f>Raw_Data345[[#This Row],[Total_score]]/3</f>
        <v>77</v>
      </c>
      <c r="M64" s="26">
        <f>_xlfn.RANK.EQ(Raw_Data345[[#This Row],[Average_score]],Raw_Data345[[Student_ID]:[Average_score]],1)</f>
        <v>504</v>
      </c>
      <c r="N64" s="24" t="str" cm="1">
        <f t="array" ref="N64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65" spans="1:14" x14ac:dyDescent="0.9">
      <c r="A65" s="5" t="s">
        <v>72</v>
      </c>
      <c r="B65" s="6" t="s">
        <v>8</v>
      </c>
      <c r="C65" s="7">
        <v>21</v>
      </c>
      <c r="D65" s="8">
        <v>70</v>
      </c>
      <c r="E65" s="7">
        <v>73</v>
      </c>
      <c r="F65" s="7">
        <v>44</v>
      </c>
      <c r="G65" s="7">
        <v>68</v>
      </c>
      <c r="H65" s="7" t="str">
        <f>IF(AND(Raw_Data345[[#This Row],[Math_Score]]&gt;=40,Raw_Data345[[#This Row],[Science_Score]]&gt;=40,Raw_Data345[[#This Row],[English_Score]]&gt;=40),"Pass","Fail")</f>
        <v>Pass</v>
      </c>
      <c r="I65" s="15">
        <f>SUM(Raw_Data345[[#This Row],[Math_Score]],Raw_Data345[[#This Row],[Science_Score]],Raw_Data345[[#This Row],[English_Score]])/300</f>
        <v>0.6166666666666667</v>
      </c>
      <c r="J65" s="5" t="str" cm="1">
        <f t="array" ref="J6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65" s="7">
        <f>SUM(Raw_Data345[[#This Row],[Math_Score]],Raw_Data345[[#This Row],[Science_Score]],Raw_Data345[[#This Row],[English_Score]])</f>
        <v>185</v>
      </c>
      <c r="L65" s="22">
        <f>Raw_Data345[[#This Row],[Total_score]]/3</f>
        <v>61.666666666666664</v>
      </c>
      <c r="M65" s="26">
        <f>_xlfn.RANK.EQ(Raw_Data345[[#This Row],[Average_score]],Raw_Data345[[Student_ID]:[Average_score]],1)</f>
        <v>307</v>
      </c>
      <c r="N65" s="24" t="str" cm="1">
        <f t="array" ref="N65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66" spans="1:14" x14ac:dyDescent="0.9">
      <c r="A66" s="5" t="s">
        <v>73</v>
      </c>
      <c r="B66" s="6" t="s">
        <v>11</v>
      </c>
      <c r="C66" s="7">
        <v>20</v>
      </c>
      <c r="D66" s="8">
        <v>90.1</v>
      </c>
      <c r="E66" s="7">
        <v>96</v>
      </c>
      <c r="F66" s="7">
        <v>100</v>
      </c>
      <c r="G66" s="7">
        <v>81</v>
      </c>
      <c r="H66" s="7" t="str">
        <f>IF(AND(Raw_Data345[[#This Row],[Math_Score]]&gt;=40,Raw_Data345[[#This Row],[Science_Score]]&gt;=40,Raw_Data345[[#This Row],[English_Score]]&gt;=40),"Pass","Fail")</f>
        <v>Pass</v>
      </c>
      <c r="I66" s="15">
        <f>SUM(Raw_Data345[[#This Row],[Math_Score]],Raw_Data345[[#This Row],[Science_Score]],Raw_Data345[[#This Row],[English_Score]])/300</f>
        <v>0.92333333333333334</v>
      </c>
      <c r="J66" s="5" t="str" cm="1">
        <f t="array" ref="J6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66" s="7">
        <f>SUM(Raw_Data345[[#This Row],[Math_Score]],Raw_Data345[[#This Row],[Science_Score]],Raw_Data345[[#This Row],[English_Score]])</f>
        <v>277</v>
      </c>
      <c r="L66" s="22">
        <f>Raw_Data345[[#This Row],[Total_score]]/3</f>
        <v>92.333333333333329</v>
      </c>
      <c r="M66" s="26">
        <f>_xlfn.RANK.EQ(Raw_Data345[[#This Row],[Average_score]],Raw_Data345[[Student_ID]:[Average_score]],1)</f>
        <v>660</v>
      </c>
      <c r="N66" s="24" t="str" cm="1">
        <f t="array" ref="N66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67" spans="1:14" x14ac:dyDescent="0.9">
      <c r="A67" s="5" t="s">
        <v>74</v>
      </c>
      <c r="B67" s="6" t="s">
        <v>8</v>
      </c>
      <c r="C67" s="7">
        <v>18</v>
      </c>
      <c r="D67" s="8">
        <v>95.6</v>
      </c>
      <c r="E67" s="7">
        <v>97</v>
      </c>
      <c r="F67" s="7">
        <v>76</v>
      </c>
      <c r="G67" s="7">
        <v>64</v>
      </c>
      <c r="H67" s="7" t="str">
        <f>IF(AND(Raw_Data345[[#This Row],[Math_Score]]&gt;=40,Raw_Data345[[#This Row],[Science_Score]]&gt;=40,Raw_Data345[[#This Row],[English_Score]]&gt;=40),"Pass","Fail")</f>
        <v>Pass</v>
      </c>
      <c r="I67" s="15">
        <f>SUM(Raw_Data345[[#This Row],[Math_Score]],Raw_Data345[[#This Row],[Science_Score]],Raw_Data345[[#This Row],[English_Score]])/300</f>
        <v>0.79</v>
      </c>
      <c r="J67" s="5" t="str" cm="1">
        <f t="array" ref="J6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67" s="7">
        <f>SUM(Raw_Data345[[#This Row],[Math_Score]],Raw_Data345[[#This Row],[Science_Score]],Raw_Data345[[#This Row],[English_Score]])</f>
        <v>237</v>
      </c>
      <c r="L67" s="22">
        <f>Raw_Data345[[#This Row],[Total_score]]/3</f>
        <v>79</v>
      </c>
      <c r="M67" s="26">
        <f>_xlfn.RANK.EQ(Raw_Data345[[#This Row],[Average_score]],Raw_Data345[[Student_ID]:[Average_score]],1)</f>
        <v>533</v>
      </c>
      <c r="N67" s="24" t="str" cm="1">
        <f t="array" ref="N67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68" spans="1:14" x14ac:dyDescent="0.9">
      <c r="A68" s="5" t="s">
        <v>75</v>
      </c>
      <c r="B68" s="6" t="s">
        <v>8</v>
      </c>
      <c r="C68" s="7">
        <v>18</v>
      </c>
      <c r="D68" s="8">
        <v>81.3</v>
      </c>
      <c r="E68" s="7">
        <v>79</v>
      </c>
      <c r="F68" s="7">
        <v>73</v>
      </c>
      <c r="G68" s="7">
        <v>90</v>
      </c>
      <c r="H68" s="7" t="str">
        <f>IF(AND(Raw_Data345[[#This Row],[Math_Score]]&gt;=40,Raw_Data345[[#This Row],[Science_Score]]&gt;=40,Raw_Data345[[#This Row],[English_Score]]&gt;=40),"Pass","Fail")</f>
        <v>Pass</v>
      </c>
      <c r="I68" s="15">
        <f>SUM(Raw_Data345[[#This Row],[Math_Score]],Raw_Data345[[#This Row],[Science_Score]],Raw_Data345[[#This Row],[English_Score]])/300</f>
        <v>0.80666666666666664</v>
      </c>
      <c r="J68" s="5" t="str" cm="1">
        <f t="array" ref="J6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68" s="7">
        <f>SUM(Raw_Data345[[#This Row],[Math_Score]],Raw_Data345[[#This Row],[Science_Score]],Raw_Data345[[#This Row],[English_Score]])</f>
        <v>242</v>
      </c>
      <c r="L68" s="22">
        <f>Raw_Data345[[#This Row],[Total_score]]/3</f>
        <v>80.666666666666671</v>
      </c>
      <c r="M68" s="26">
        <f>_xlfn.RANK.EQ(Raw_Data345[[#This Row],[Average_score]],Raw_Data345[[Student_ID]:[Average_score]],1)</f>
        <v>554</v>
      </c>
      <c r="N68" s="24" t="str" cm="1">
        <f t="array" ref="N68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69" spans="1:14" x14ac:dyDescent="0.9">
      <c r="A69" s="5" t="s">
        <v>76</v>
      </c>
      <c r="B69" s="6" t="s">
        <v>8</v>
      </c>
      <c r="C69" s="7">
        <v>19</v>
      </c>
      <c r="D69" s="8">
        <v>92</v>
      </c>
      <c r="E69" s="7">
        <v>100</v>
      </c>
      <c r="F69" s="7">
        <v>75</v>
      </c>
      <c r="G69" s="7">
        <v>91</v>
      </c>
      <c r="H69" s="7" t="str">
        <f>IF(AND(Raw_Data345[[#This Row],[Math_Score]]&gt;=40,Raw_Data345[[#This Row],[Science_Score]]&gt;=40,Raw_Data345[[#This Row],[English_Score]]&gt;=40),"Pass","Fail")</f>
        <v>Pass</v>
      </c>
      <c r="I69" s="15">
        <f>SUM(Raw_Data345[[#This Row],[Math_Score]],Raw_Data345[[#This Row],[Science_Score]],Raw_Data345[[#This Row],[English_Score]])/300</f>
        <v>0.88666666666666671</v>
      </c>
      <c r="J69" s="5" t="str" cm="1">
        <f t="array" ref="J6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69" s="7">
        <f>SUM(Raw_Data345[[#This Row],[Math_Score]],Raw_Data345[[#This Row],[Science_Score]],Raw_Data345[[#This Row],[English_Score]])</f>
        <v>266</v>
      </c>
      <c r="L69" s="22">
        <f>Raw_Data345[[#This Row],[Total_score]]/3</f>
        <v>88.666666666666671</v>
      </c>
      <c r="M69" s="26">
        <f>_xlfn.RANK.EQ(Raw_Data345[[#This Row],[Average_score]],Raw_Data345[[Student_ID]:[Average_score]],1)</f>
        <v>636</v>
      </c>
      <c r="N69" s="24" t="str" cm="1">
        <f t="array" ref="N69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70" spans="1:14" x14ac:dyDescent="0.9">
      <c r="A70" s="5" t="s">
        <v>77</v>
      </c>
      <c r="B70" s="6" t="s">
        <v>11</v>
      </c>
      <c r="C70" s="7">
        <v>20</v>
      </c>
      <c r="D70" s="8">
        <v>85.6</v>
      </c>
      <c r="E70" s="7">
        <v>56</v>
      </c>
      <c r="F70" s="7">
        <v>75</v>
      </c>
      <c r="G70" s="7">
        <v>57</v>
      </c>
      <c r="H70" s="7" t="str">
        <f>IF(AND(Raw_Data345[[#This Row],[Math_Score]]&gt;=40,Raw_Data345[[#This Row],[Science_Score]]&gt;=40,Raw_Data345[[#This Row],[English_Score]]&gt;=40),"Pass","Fail")</f>
        <v>Pass</v>
      </c>
      <c r="I70" s="15">
        <f>SUM(Raw_Data345[[#This Row],[Math_Score]],Raw_Data345[[#This Row],[Science_Score]],Raw_Data345[[#This Row],[English_Score]])/300</f>
        <v>0.62666666666666671</v>
      </c>
      <c r="J70" s="5" t="str" cm="1">
        <f t="array" ref="J7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70" s="7">
        <f>SUM(Raw_Data345[[#This Row],[Math_Score]],Raw_Data345[[#This Row],[Science_Score]],Raw_Data345[[#This Row],[English_Score]])</f>
        <v>188</v>
      </c>
      <c r="L70" s="22">
        <f>Raw_Data345[[#This Row],[Total_score]]/3</f>
        <v>62.666666666666664</v>
      </c>
      <c r="M70" s="26">
        <f>_xlfn.RANK.EQ(Raw_Data345[[#This Row],[Average_score]],Raw_Data345[[Student_ID]:[Average_score]],1)</f>
        <v>322</v>
      </c>
      <c r="N70" s="24" t="str" cm="1">
        <f t="array" ref="N7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71" spans="1:14" x14ac:dyDescent="0.9">
      <c r="A71" s="5" t="s">
        <v>78</v>
      </c>
      <c r="B71" s="6" t="s">
        <v>11</v>
      </c>
      <c r="C71" s="7">
        <v>21</v>
      </c>
      <c r="D71" s="8">
        <v>75.5</v>
      </c>
      <c r="E71" s="7">
        <v>66</v>
      </c>
      <c r="F71" s="7">
        <v>48</v>
      </c>
      <c r="G71" s="7">
        <v>61</v>
      </c>
      <c r="H71" s="7" t="str">
        <f>IF(AND(Raw_Data345[[#This Row],[Math_Score]]&gt;=40,Raw_Data345[[#This Row],[Science_Score]]&gt;=40,Raw_Data345[[#This Row],[English_Score]]&gt;=40),"Pass","Fail")</f>
        <v>Pass</v>
      </c>
      <c r="I71" s="15">
        <f>SUM(Raw_Data345[[#This Row],[Math_Score]],Raw_Data345[[#This Row],[Science_Score]],Raw_Data345[[#This Row],[English_Score]])/300</f>
        <v>0.58333333333333337</v>
      </c>
      <c r="J71" s="5" t="str" cm="1">
        <f t="array" ref="J7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71" s="7">
        <f>SUM(Raw_Data345[[#This Row],[Math_Score]],Raw_Data345[[#This Row],[Science_Score]],Raw_Data345[[#This Row],[English_Score]])</f>
        <v>175</v>
      </c>
      <c r="L71" s="22">
        <f>Raw_Data345[[#This Row],[Total_score]]/3</f>
        <v>58.333333333333336</v>
      </c>
      <c r="M71" s="26">
        <f>_xlfn.RANK.EQ(Raw_Data345[[#This Row],[Average_score]],Raw_Data345[[Student_ID]:[Average_score]],1)</f>
        <v>279</v>
      </c>
      <c r="N71" s="24" t="str" cm="1">
        <f t="array" ref="N71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72" spans="1:14" x14ac:dyDescent="0.9">
      <c r="A72" s="5" t="s">
        <v>79</v>
      </c>
      <c r="B72" s="6" t="s">
        <v>8</v>
      </c>
      <c r="C72" s="7">
        <v>22</v>
      </c>
      <c r="D72" s="8">
        <v>85.6</v>
      </c>
      <c r="E72" s="7">
        <v>60</v>
      </c>
      <c r="F72" s="7">
        <v>60</v>
      </c>
      <c r="G72" s="7">
        <v>60</v>
      </c>
      <c r="H72" s="7" t="str">
        <f>IF(AND(Raw_Data345[[#This Row],[Math_Score]]&gt;=40,Raw_Data345[[#This Row],[Science_Score]]&gt;=40,Raw_Data345[[#This Row],[English_Score]]&gt;=40),"Pass","Fail")</f>
        <v>Pass</v>
      </c>
      <c r="I72" s="15">
        <f>SUM(Raw_Data345[[#This Row],[Math_Score]],Raw_Data345[[#This Row],[Science_Score]],Raw_Data345[[#This Row],[English_Score]])/300</f>
        <v>0.6</v>
      </c>
      <c r="J72" s="5" t="str" cm="1">
        <f t="array" ref="J7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72" s="7">
        <f>SUM(Raw_Data345[[#This Row],[Math_Score]],Raw_Data345[[#This Row],[Science_Score]],Raw_Data345[[#This Row],[English_Score]])</f>
        <v>180</v>
      </c>
      <c r="L72" s="22">
        <f>Raw_Data345[[#This Row],[Total_score]]/3</f>
        <v>60</v>
      </c>
      <c r="M72" s="26">
        <f>_xlfn.RANK.EQ(Raw_Data345[[#This Row],[Average_score]],Raw_Data345[[Student_ID]:[Average_score]],1)</f>
        <v>289</v>
      </c>
      <c r="N72" s="24" t="str" cm="1">
        <f t="array" ref="N7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73" spans="1:14" x14ac:dyDescent="0.9">
      <c r="A73" s="5" t="s">
        <v>80</v>
      </c>
      <c r="B73" s="6" t="s">
        <v>8</v>
      </c>
      <c r="C73" s="7">
        <v>22</v>
      </c>
      <c r="D73" s="8">
        <v>97.4</v>
      </c>
      <c r="E73" s="7">
        <v>54</v>
      </c>
      <c r="F73" s="7">
        <v>73</v>
      </c>
      <c r="G73" s="7">
        <v>74</v>
      </c>
      <c r="H73" s="7" t="str">
        <f>IF(AND(Raw_Data345[[#This Row],[Math_Score]]&gt;=40,Raw_Data345[[#This Row],[Science_Score]]&gt;=40,Raw_Data345[[#This Row],[English_Score]]&gt;=40),"Pass","Fail")</f>
        <v>Pass</v>
      </c>
      <c r="I73" s="15">
        <f>SUM(Raw_Data345[[#This Row],[Math_Score]],Raw_Data345[[#This Row],[Science_Score]],Raw_Data345[[#This Row],[English_Score]])/300</f>
        <v>0.67</v>
      </c>
      <c r="J73" s="5" t="str" cm="1">
        <f t="array" ref="J7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73" s="7">
        <f>SUM(Raw_Data345[[#This Row],[Math_Score]],Raw_Data345[[#This Row],[Science_Score]],Raw_Data345[[#This Row],[English_Score]])</f>
        <v>201</v>
      </c>
      <c r="L73" s="22">
        <f>Raw_Data345[[#This Row],[Total_score]]/3</f>
        <v>67</v>
      </c>
      <c r="M73" s="26">
        <f>_xlfn.RANK.EQ(Raw_Data345[[#This Row],[Average_score]],Raw_Data345[[Student_ID]:[Average_score]],1)</f>
        <v>362</v>
      </c>
      <c r="N73" s="24" t="str" cm="1">
        <f t="array" ref="N73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74" spans="1:14" x14ac:dyDescent="0.9">
      <c r="A74" s="5" t="s">
        <v>81</v>
      </c>
      <c r="B74" s="6" t="s">
        <v>11</v>
      </c>
      <c r="C74" s="7">
        <v>21</v>
      </c>
      <c r="D74" s="8">
        <v>81.599999999999994</v>
      </c>
      <c r="E74" s="7">
        <v>79</v>
      </c>
      <c r="F74" s="7">
        <v>59</v>
      </c>
      <c r="G74" s="7">
        <v>78</v>
      </c>
      <c r="H74" s="7" t="str">
        <f>IF(AND(Raw_Data345[[#This Row],[Math_Score]]&gt;=40,Raw_Data345[[#This Row],[Science_Score]]&gt;=40,Raw_Data345[[#This Row],[English_Score]]&gt;=40),"Pass","Fail")</f>
        <v>Pass</v>
      </c>
      <c r="I74" s="15">
        <f>SUM(Raw_Data345[[#This Row],[Math_Score]],Raw_Data345[[#This Row],[Science_Score]],Raw_Data345[[#This Row],[English_Score]])/300</f>
        <v>0.72</v>
      </c>
      <c r="J74" s="5" t="str" cm="1">
        <f t="array" ref="J7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74" s="7">
        <f>SUM(Raw_Data345[[#This Row],[Math_Score]],Raw_Data345[[#This Row],[Science_Score]],Raw_Data345[[#This Row],[English_Score]])</f>
        <v>216</v>
      </c>
      <c r="L74" s="22">
        <f>Raw_Data345[[#This Row],[Total_score]]/3</f>
        <v>72</v>
      </c>
      <c r="M74" s="26">
        <f>_xlfn.RANK.EQ(Raw_Data345[[#This Row],[Average_score]],Raw_Data345[[Student_ID]:[Average_score]],1)</f>
        <v>424</v>
      </c>
      <c r="N74" s="24" t="str" cm="1">
        <f t="array" ref="N7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75" spans="1:14" x14ac:dyDescent="0.9">
      <c r="A75" s="5" t="s">
        <v>82</v>
      </c>
      <c r="B75" s="6" t="s">
        <v>8</v>
      </c>
      <c r="C75" s="7">
        <v>19</v>
      </c>
      <c r="D75" s="8">
        <v>97.6</v>
      </c>
      <c r="E75" s="7">
        <v>64</v>
      </c>
      <c r="F75" s="7">
        <v>79</v>
      </c>
      <c r="G75" s="7">
        <v>82</v>
      </c>
      <c r="H75" s="7" t="str">
        <f>IF(AND(Raw_Data345[[#This Row],[Math_Score]]&gt;=40,Raw_Data345[[#This Row],[Science_Score]]&gt;=40,Raw_Data345[[#This Row],[English_Score]]&gt;=40),"Pass","Fail")</f>
        <v>Pass</v>
      </c>
      <c r="I75" s="15">
        <f>SUM(Raw_Data345[[#This Row],[Math_Score]],Raw_Data345[[#This Row],[Science_Score]],Raw_Data345[[#This Row],[English_Score]])/300</f>
        <v>0.75</v>
      </c>
      <c r="J75" s="5" t="str" cm="1">
        <f t="array" ref="J7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75" s="7">
        <f>SUM(Raw_Data345[[#This Row],[Math_Score]],Raw_Data345[[#This Row],[Science_Score]],Raw_Data345[[#This Row],[English_Score]])</f>
        <v>225</v>
      </c>
      <c r="L75" s="22">
        <f>Raw_Data345[[#This Row],[Total_score]]/3</f>
        <v>75</v>
      </c>
      <c r="M75" s="26">
        <f>_xlfn.RANK.EQ(Raw_Data345[[#This Row],[Average_score]],Raw_Data345[[Student_ID]:[Average_score]],1)</f>
        <v>465</v>
      </c>
      <c r="N75" s="24" t="str" cm="1">
        <f t="array" ref="N75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76" spans="1:14" x14ac:dyDescent="0.9">
      <c r="A76" s="5" t="s">
        <v>83</v>
      </c>
      <c r="B76" s="6" t="s">
        <v>8</v>
      </c>
      <c r="C76" s="7">
        <v>22</v>
      </c>
      <c r="D76" s="8">
        <v>55.8</v>
      </c>
      <c r="E76" s="7">
        <v>48</v>
      </c>
      <c r="F76" s="7">
        <v>77</v>
      </c>
      <c r="G76" s="7">
        <v>59</v>
      </c>
      <c r="H76" s="7" t="str">
        <f>IF(AND(Raw_Data345[[#This Row],[Math_Score]]&gt;=40,Raw_Data345[[#This Row],[Science_Score]]&gt;=40,Raw_Data345[[#This Row],[English_Score]]&gt;=40),"Pass","Fail")</f>
        <v>Pass</v>
      </c>
      <c r="I76" s="15">
        <f>SUM(Raw_Data345[[#This Row],[Math_Score]],Raw_Data345[[#This Row],[Science_Score]],Raw_Data345[[#This Row],[English_Score]])/300</f>
        <v>0.61333333333333329</v>
      </c>
      <c r="J76" s="5" t="str" cm="1">
        <f t="array" ref="J7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76" s="7">
        <f>SUM(Raw_Data345[[#This Row],[Math_Score]],Raw_Data345[[#This Row],[Science_Score]],Raw_Data345[[#This Row],[English_Score]])</f>
        <v>184</v>
      </c>
      <c r="L76" s="22">
        <f>Raw_Data345[[#This Row],[Total_score]]/3</f>
        <v>61.333333333333336</v>
      </c>
      <c r="M76" s="26">
        <f>_xlfn.RANK.EQ(Raw_Data345[[#This Row],[Average_score]],Raw_Data345[[Student_ID]:[Average_score]],1)</f>
        <v>305</v>
      </c>
      <c r="N76" s="24" t="str" cm="1">
        <f t="array" ref="N76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77" spans="1:14" x14ac:dyDescent="0.9">
      <c r="A77" s="5" t="s">
        <v>84</v>
      </c>
      <c r="B77" s="6" t="s">
        <v>8</v>
      </c>
      <c r="C77" s="7">
        <v>20</v>
      </c>
      <c r="D77" s="8">
        <v>90.2</v>
      </c>
      <c r="E77" s="7">
        <v>87</v>
      </c>
      <c r="F77" s="7">
        <v>59</v>
      </c>
      <c r="G77" s="7">
        <v>87</v>
      </c>
      <c r="H77" s="7" t="str">
        <f>IF(AND(Raw_Data345[[#This Row],[Math_Score]]&gt;=40,Raw_Data345[[#This Row],[Science_Score]]&gt;=40,Raw_Data345[[#This Row],[English_Score]]&gt;=40),"Pass","Fail")</f>
        <v>Pass</v>
      </c>
      <c r="I77" s="15">
        <f>SUM(Raw_Data345[[#This Row],[Math_Score]],Raw_Data345[[#This Row],[Science_Score]],Raw_Data345[[#This Row],[English_Score]])/300</f>
        <v>0.77666666666666662</v>
      </c>
      <c r="J77" s="5" t="str" cm="1">
        <f t="array" ref="J7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77" s="7">
        <f>SUM(Raw_Data345[[#This Row],[Math_Score]],Raw_Data345[[#This Row],[Science_Score]],Raw_Data345[[#This Row],[English_Score]])</f>
        <v>233</v>
      </c>
      <c r="L77" s="22">
        <f>Raw_Data345[[#This Row],[Total_score]]/3</f>
        <v>77.666666666666671</v>
      </c>
      <c r="M77" s="26">
        <f>_xlfn.RANK.EQ(Raw_Data345[[#This Row],[Average_score]],Raw_Data345[[Student_ID]:[Average_score]],1)</f>
        <v>521</v>
      </c>
      <c r="N77" s="24" t="str" cm="1">
        <f t="array" ref="N77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78" spans="1:14" x14ac:dyDescent="0.9">
      <c r="A78" s="5" t="s">
        <v>85</v>
      </c>
      <c r="B78" s="6" t="s">
        <v>11</v>
      </c>
      <c r="C78" s="7">
        <v>19</v>
      </c>
      <c r="D78" s="8">
        <v>82.9</v>
      </c>
      <c r="E78" s="7">
        <v>76</v>
      </c>
      <c r="F78" s="7">
        <v>62</v>
      </c>
      <c r="G78" s="7">
        <v>73</v>
      </c>
      <c r="H78" s="7" t="str">
        <f>IF(AND(Raw_Data345[[#This Row],[Math_Score]]&gt;=40,Raw_Data345[[#This Row],[Science_Score]]&gt;=40,Raw_Data345[[#This Row],[English_Score]]&gt;=40),"Pass","Fail")</f>
        <v>Pass</v>
      </c>
      <c r="I78" s="15">
        <f>SUM(Raw_Data345[[#This Row],[Math_Score]],Raw_Data345[[#This Row],[Science_Score]],Raw_Data345[[#This Row],[English_Score]])/300</f>
        <v>0.70333333333333337</v>
      </c>
      <c r="J78" s="5" t="str" cm="1">
        <f t="array" ref="J7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78" s="7">
        <f>SUM(Raw_Data345[[#This Row],[Math_Score]],Raw_Data345[[#This Row],[Science_Score]],Raw_Data345[[#This Row],[English_Score]])</f>
        <v>211</v>
      </c>
      <c r="L78" s="22">
        <f>Raw_Data345[[#This Row],[Total_score]]/3</f>
        <v>70.333333333333329</v>
      </c>
      <c r="M78" s="26">
        <f>_xlfn.RANK.EQ(Raw_Data345[[#This Row],[Average_score]],Raw_Data345[[Student_ID]:[Average_score]],1)</f>
        <v>416</v>
      </c>
      <c r="N78" s="24" t="str" cm="1">
        <f t="array" ref="N78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79" spans="1:14" x14ac:dyDescent="0.9">
      <c r="A79" s="5" t="s">
        <v>86</v>
      </c>
      <c r="B79" s="6" t="s">
        <v>11</v>
      </c>
      <c r="C79" s="7">
        <v>20</v>
      </c>
      <c r="D79" s="8">
        <v>79</v>
      </c>
      <c r="E79" s="7">
        <v>96</v>
      </c>
      <c r="F79" s="7">
        <v>77</v>
      </c>
      <c r="G79" s="7">
        <v>93</v>
      </c>
      <c r="H79" s="7" t="str">
        <f>IF(AND(Raw_Data345[[#This Row],[Math_Score]]&gt;=40,Raw_Data345[[#This Row],[Science_Score]]&gt;=40,Raw_Data345[[#This Row],[English_Score]]&gt;=40),"Pass","Fail")</f>
        <v>Pass</v>
      </c>
      <c r="I79" s="15">
        <f>SUM(Raw_Data345[[#This Row],[Math_Score]],Raw_Data345[[#This Row],[Science_Score]],Raw_Data345[[#This Row],[English_Score]])/300</f>
        <v>0.88666666666666671</v>
      </c>
      <c r="J79" s="5" t="str" cm="1">
        <f t="array" ref="J7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79" s="7">
        <f>SUM(Raw_Data345[[#This Row],[Math_Score]],Raw_Data345[[#This Row],[Science_Score]],Raw_Data345[[#This Row],[English_Score]])</f>
        <v>266</v>
      </c>
      <c r="L79" s="22">
        <f>Raw_Data345[[#This Row],[Total_score]]/3</f>
        <v>88.666666666666671</v>
      </c>
      <c r="M79" s="26">
        <f>_xlfn.RANK.EQ(Raw_Data345[[#This Row],[Average_score]],Raw_Data345[[Student_ID]:[Average_score]],1)</f>
        <v>636</v>
      </c>
      <c r="N79" s="24" t="str" cm="1">
        <f t="array" ref="N7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0" spans="1:14" x14ac:dyDescent="0.9">
      <c r="A80" s="5" t="s">
        <v>87</v>
      </c>
      <c r="B80" s="6" t="s">
        <v>11</v>
      </c>
      <c r="C80" s="7">
        <v>18</v>
      </c>
      <c r="D80" s="8">
        <v>82.9</v>
      </c>
      <c r="E80" s="7">
        <v>75</v>
      </c>
      <c r="F80" s="7">
        <v>64</v>
      </c>
      <c r="G80" s="7">
        <v>62</v>
      </c>
      <c r="H80" s="7" t="str">
        <f>IF(AND(Raw_Data345[[#This Row],[Math_Score]]&gt;=40,Raw_Data345[[#This Row],[Science_Score]]&gt;=40,Raw_Data345[[#This Row],[English_Score]]&gt;=40),"Pass","Fail")</f>
        <v>Pass</v>
      </c>
      <c r="I80" s="15">
        <f>SUM(Raw_Data345[[#This Row],[Math_Score]],Raw_Data345[[#This Row],[Science_Score]],Raw_Data345[[#This Row],[English_Score]])/300</f>
        <v>0.67</v>
      </c>
      <c r="J80" s="5" t="str" cm="1">
        <f t="array" ref="J8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80" s="7">
        <f>SUM(Raw_Data345[[#This Row],[Math_Score]],Raw_Data345[[#This Row],[Science_Score]],Raw_Data345[[#This Row],[English_Score]])</f>
        <v>201</v>
      </c>
      <c r="L80" s="22">
        <f>Raw_Data345[[#This Row],[Total_score]]/3</f>
        <v>67</v>
      </c>
      <c r="M80" s="26">
        <f>_xlfn.RANK.EQ(Raw_Data345[[#This Row],[Average_score]],Raw_Data345[[Student_ID]:[Average_score]],1)</f>
        <v>362</v>
      </c>
      <c r="N80" s="24" t="str" cm="1">
        <f t="array" ref="N8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1" spans="1:14" x14ac:dyDescent="0.9">
      <c r="A81" s="5" t="s">
        <v>88</v>
      </c>
      <c r="B81" s="6" t="s">
        <v>8</v>
      </c>
      <c r="C81" s="7">
        <v>19</v>
      </c>
      <c r="D81" s="8">
        <v>62.1</v>
      </c>
      <c r="E81" s="7">
        <v>100</v>
      </c>
      <c r="F81" s="7">
        <v>94</v>
      </c>
      <c r="G81" s="7">
        <v>94</v>
      </c>
      <c r="H81" s="7" t="str">
        <f>IF(AND(Raw_Data345[[#This Row],[Math_Score]]&gt;=40,Raw_Data345[[#This Row],[Science_Score]]&gt;=40,Raw_Data345[[#This Row],[English_Score]]&gt;=40),"Pass","Fail")</f>
        <v>Pass</v>
      </c>
      <c r="I81" s="15">
        <f>SUM(Raw_Data345[[#This Row],[Math_Score]],Raw_Data345[[#This Row],[Science_Score]],Raw_Data345[[#This Row],[English_Score]])/300</f>
        <v>0.96</v>
      </c>
      <c r="J81" s="5" t="str" cm="1">
        <f t="array" ref="J8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A+</v>
      </c>
      <c r="K81" s="7">
        <f>SUM(Raw_Data345[[#This Row],[Math_Score]],Raw_Data345[[#This Row],[Science_Score]],Raw_Data345[[#This Row],[English_Score]])</f>
        <v>288</v>
      </c>
      <c r="L81" s="22">
        <f>Raw_Data345[[#This Row],[Total_score]]/3</f>
        <v>96</v>
      </c>
      <c r="M81" s="26">
        <f>_xlfn.RANK.EQ(Raw_Data345[[#This Row],[Average_score]],Raw_Data345[[Student_ID]:[Average_score]],1)</f>
        <v>675</v>
      </c>
      <c r="N81" s="24" t="str" cm="1">
        <f t="array" ref="N81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82" spans="1:14" x14ac:dyDescent="0.9">
      <c r="A82" s="5" t="s">
        <v>89</v>
      </c>
      <c r="B82" s="6" t="s">
        <v>8</v>
      </c>
      <c r="C82" s="7">
        <v>22</v>
      </c>
      <c r="D82" s="8">
        <v>79.8</v>
      </c>
      <c r="E82" s="7">
        <v>84</v>
      </c>
      <c r="F82" s="7">
        <v>66</v>
      </c>
      <c r="G82" s="7">
        <v>83</v>
      </c>
      <c r="H82" s="7" t="str">
        <f>IF(AND(Raw_Data345[[#This Row],[Math_Score]]&gt;=40,Raw_Data345[[#This Row],[Science_Score]]&gt;=40,Raw_Data345[[#This Row],[English_Score]]&gt;=40),"Pass","Fail")</f>
        <v>Pass</v>
      </c>
      <c r="I82" s="15">
        <f>SUM(Raw_Data345[[#This Row],[Math_Score]],Raw_Data345[[#This Row],[Science_Score]],Raw_Data345[[#This Row],[English_Score]])/300</f>
        <v>0.77666666666666662</v>
      </c>
      <c r="J82" s="5" t="str" cm="1">
        <f t="array" ref="J8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82" s="7">
        <f>SUM(Raw_Data345[[#This Row],[Math_Score]],Raw_Data345[[#This Row],[Science_Score]],Raw_Data345[[#This Row],[English_Score]])</f>
        <v>233</v>
      </c>
      <c r="L82" s="22">
        <f>Raw_Data345[[#This Row],[Total_score]]/3</f>
        <v>77.666666666666671</v>
      </c>
      <c r="M82" s="26">
        <f>_xlfn.RANK.EQ(Raw_Data345[[#This Row],[Average_score]],Raw_Data345[[Student_ID]:[Average_score]],1)</f>
        <v>521</v>
      </c>
      <c r="N82" s="24" t="str" cm="1">
        <f t="array" ref="N8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3" spans="1:14" x14ac:dyDescent="0.9">
      <c r="A83" s="5" t="s">
        <v>90</v>
      </c>
      <c r="B83" s="6" t="s">
        <v>8</v>
      </c>
      <c r="C83" s="7">
        <v>19</v>
      </c>
      <c r="D83" s="8">
        <v>85.6</v>
      </c>
      <c r="E83" s="7">
        <v>60</v>
      </c>
      <c r="F83" s="7">
        <v>54</v>
      </c>
      <c r="G83" s="7">
        <v>73</v>
      </c>
      <c r="H83" s="7" t="str">
        <f>IF(AND(Raw_Data345[[#This Row],[Math_Score]]&gt;=40,Raw_Data345[[#This Row],[Science_Score]]&gt;=40,Raw_Data345[[#This Row],[English_Score]]&gt;=40),"Pass","Fail")</f>
        <v>Pass</v>
      </c>
      <c r="I83" s="15">
        <f>SUM(Raw_Data345[[#This Row],[Math_Score]],Raw_Data345[[#This Row],[Science_Score]],Raw_Data345[[#This Row],[English_Score]])/300</f>
        <v>0.62333333333333329</v>
      </c>
      <c r="J83" s="5" t="str" cm="1">
        <f t="array" ref="J8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83" s="7">
        <f>SUM(Raw_Data345[[#This Row],[Math_Score]],Raw_Data345[[#This Row],[Science_Score]],Raw_Data345[[#This Row],[English_Score]])</f>
        <v>187</v>
      </c>
      <c r="L83" s="22">
        <f>Raw_Data345[[#This Row],[Total_score]]/3</f>
        <v>62.333333333333336</v>
      </c>
      <c r="M83" s="26">
        <f>_xlfn.RANK.EQ(Raw_Data345[[#This Row],[Average_score]],Raw_Data345[[Student_ID]:[Average_score]],1)</f>
        <v>320</v>
      </c>
      <c r="N83" s="24" t="str" cm="1">
        <f t="array" ref="N83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4" spans="1:14" x14ac:dyDescent="0.9">
      <c r="A84" s="5" t="s">
        <v>91</v>
      </c>
      <c r="B84" s="6" t="s">
        <v>11</v>
      </c>
      <c r="C84" s="7">
        <v>19</v>
      </c>
      <c r="D84" s="8">
        <v>96.8</v>
      </c>
      <c r="E84" s="7">
        <v>62</v>
      </c>
      <c r="F84" s="7">
        <v>54</v>
      </c>
      <c r="G84" s="7">
        <v>72</v>
      </c>
      <c r="H84" s="7" t="str">
        <f>IF(AND(Raw_Data345[[#This Row],[Math_Score]]&gt;=40,Raw_Data345[[#This Row],[Science_Score]]&gt;=40,Raw_Data345[[#This Row],[English_Score]]&gt;=40),"Pass","Fail")</f>
        <v>Pass</v>
      </c>
      <c r="I84" s="15">
        <f>SUM(Raw_Data345[[#This Row],[Math_Score]],Raw_Data345[[#This Row],[Science_Score]],Raw_Data345[[#This Row],[English_Score]])/300</f>
        <v>0.62666666666666671</v>
      </c>
      <c r="J84" s="5" t="str" cm="1">
        <f t="array" ref="J8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84" s="7">
        <f>SUM(Raw_Data345[[#This Row],[Math_Score]],Raw_Data345[[#This Row],[Science_Score]],Raw_Data345[[#This Row],[English_Score]])</f>
        <v>188</v>
      </c>
      <c r="L84" s="22">
        <f>Raw_Data345[[#This Row],[Total_score]]/3</f>
        <v>62.666666666666664</v>
      </c>
      <c r="M84" s="26">
        <f>_xlfn.RANK.EQ(Raw_Data345[[#This Row],[Average_score]],Raw_Data345[[Student_ID]:[Average_score]],1)</f>
        <v>322</v>
      </c>
      <c r="N84" s="24" t="str" cm="1">
        <f t="array" ref="N84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85" spans="1:14" x14ac:dyDescent="0.9">
      <c r="A85" s="5" t="s">
        <v>92</v>
      </c>
      <c r="B85" s="6" t="s">
        <v>8</v>
      </c>
      <c r="C85" s="7">
        <v>19</v>
      </c>
      <c r="D85" s="8">
        <v>76.8</v>
      </c>
      <c r="E85" s="7">
        <v>72</v>
      </c>
      <c r="F85" s="7">
        <v>70</v>
      </c>
      <c r="G85" s="7">
        <v>76</v>
      </c>
      <c r="H85" s="7" t="str">
        <f>IF(AND(Raw_Data345[[#This Row],[Math_Score]]&gt;=40,Raw_Data345[[#This Row],[Science_Score]]&gt;=40,Raw_Data345[[#This Row],[English_Score]]&gt;=40),"Pass","Fail")</f>
        <v>Pass</v>
      </c>
      <c r="I85" s="15">
        <f>SUM(Raw_Data345[[#This Row],[Math_Score]],Raw_Data345[[#This Row],[Science_Score]],Raw_Data345[[#This Row],[English_Score]])/300</f>
        <v>0.72666666666666668</v>
      </c>
      <c r="J85" s="5" t="str" cm="1">
        <f t="array" ref="J8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85" s="7">
        <f>SUM(Raw_Data345[[#This Row],[Math_Score]],Raw_Data345[[#This Row],[Science_Score]],Raw_Data345[[#This Row],[English_Score]])</f>
        <v>218</v>
      </c>
      <c r="L85" s="22">
        <f>Raw_Data345[[#This Row],[Total_score]]/3</f>
        <v>72.666666666666671</v>
      </c>
      <c r="M85" s="26">
        <f>_xlfn.RANK.EQ(Raw_Data345[[#This Row],[Average_score]],Raw_Data345[[Student_ID]:[Average_score]],1)</f>
        <v>436</v>
      </c>
      <c r="N85" s="24" t="str" cm="1">
        <f t="array" ref="N85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6" spans="1:14" x14ac:dyDescent="0.9">
      <c r="A86" s="5" t="s">
        <v>93</v>
      </c>
      <c r="B86" s="6" t="s">
        <v>8</v>
      </c>
      <c r="C86" s="7">
        <v>19</v>
      </c>
      <c r="D86" s="8">
        <v>73.900000000000006</v>
      </c>
      <c r="E86" s="7">
        <v>68</v>
      </c>
      <c r="F86" s="7">
        <v>65</v>
      </c>
      <c r="G86" s="7">
        <v>62</v>
      </c>
      <c r="H86" s="7" t="str">
        <f>IF(AND(Raw_Data345[[#This Row],[Math_Score]]&gt;=40,Raw_Data345[[#This Row],[Science_Score]]&gt;=40,Raw_Data345[[#This Row],[English_Score]]&gt;=40),"Pass","Fail")</f>
        <v>Pass</v>
      </c>
      <c r="I86" s="15">
        <f>SUM(Raw_Data345[[#This Row],[Math_Score]],Raw_Data345[[#This Row],[Science_Score]],Raw_Data345[[#This Row],[English_Score]])/300</f>
        <v>0.65</v>
      </c>
      <c r="J86" s="5" t="str" cm="1">
        <f t="array" ref="J8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86" s="7">
        <f>SUM(Raw_Data345[[#This Row],[Math_Score]],Raw_Data345[[#This Row],[Science_Score]],Raw_Data345[[#This Row],[English_Score]])</f>
        <v>195</v>
      </c>
      <c r="L86" s="22">
        <f>Raw_Data345[[#This Row],[Total_score]]/3</f>
        <v>65</v>
      </c>
      <c r="M86" s="26">
        <f>_xlfn.RANK.EQ(Raw_Data345[[#This Row],[Average_score]],Raw_Data345[[Student_ID]:[Average_score]],1)</f>
        <v>342</v>
      </c>
      <c r="N86" s="24" t="str" cm="1">
        <f t="array" ref="N86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87" spans="1:14" x14ac:dyDescent="0.9">
      <c r="A87" s="5" t="s">
        <v>94</v>
      </c>
      <c r="B87" s="6" t="s">
        <v>8</v>
      </c>
      <c r="C87" s="7">
        <v>20</v>
      </c>
      <c r="D87" s="8">
        <v>77</v>
      </c>
      <c r="E87" s="7">
        <v>68</v>
      </c>
      <c r="F87" s="7">
        <v>84</v>
      </c>
      <c r="G87" s="7">
        <v>82</v>
      </c>
      <c r="H87" s="7" t="str">
        <f>IF(AND(Raw_Data345[[#This Row],[Math_Score]]&gt;=40,Raw_Data345[[#This Row],[Science_Score]]&gt;=40,Raw_Data345[[#This Row],[English_Score]]&gt;=40),"Pass","Fail")</f>
        <v>Pass</v>
      </c>
      <c r="I87" s="15">
        <f>SUM(Raw_Data345[[#This Row],[Math_Score]],Raw_Data345[[#This Row],[Science_Score]],Raw_Data345[[#This Row],[English_Score]])/300</f>
        <v>0.78</v>
      </c>
      <c r="J87" s="5" t="str" cm="1">
        <f t="array" ref="J8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87" s="7">
        <f>SUM(Raw_Data345[[#This Row],[Math_Score]],Raw_Data345[[#This Row],[Science_Score]],Raw_Data345[[#This Row],[English_Score]])</f>
        <v>234</v>
      </c>
      <c r="L87" s="22">
        <f>Raw_Data345[[#This Row],[Total_score]]/3</f>
        <v>78</v>
      </c>
      <c r="M87" s="26">
        <f>_xlfn.RANK.EQ(Raw_Data345[[#This Row],[Average_score]],Raw_Data345[[Student_ID]:[Average_score]],1)</f>
        <v>523</v>
      </c>
      <c r="N87" s="24" t="str" cm="1">
        <f t="array" ref="N87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88" spans="1:14" x14ac:dyDescent="0.9">
      <c r="A88" s="5" t="s">
        <v>95</v>
      </c>
      <c r="B88" s="6" t="s">
        <v>8</v>
      </c>
      <c r="C88" s="7">
        <v>18</v>
      </c>
      <c r="D88" s="8">
        <v>91.2</v>
      </c>
      <c r="E88" s="7">
        <v>83</v>
      </c>
      <c r="F88" s="7">
        <v>87</v>
      </c>
      <c r="G88" s="7">
        <v>72</v>
      </c>
      <c r="H88" s="7" t="str">
        <f>IF(AND(Raw_Data345[[#This Row],[Math_Score]]&gt;=40,Raw_Data345[[#This Row],[Science_Score]]&gt;=40,Raw_Data345[[#This Row],[English_Score]]&gt;=40),"Pass","Fail")</f>
        <v>Pass</v>
      </c>
      <c r="I88" s="15">
        <f>SUM(Raw_Data345[[#This Row],[Math_Score]],Raw_Data345[[#This Row],[Science_Score]],Raw_Data345[[#This Row],[English_Score]])/300</f>
        <v>0.80666666666666664</v>
      </c>
      <c r="J88" s="5" t="str" cm="1">
        <f t="array" ref="J8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88" s="7">
        <f>SUM(Raw_Data345[[#This Row],[Math_Score]],Raw_Data345[[#This Row],[Science_Score]],Raw_Data345[[#This Row],[English_Score]])</f>
        <v>242</v>
      </c>
      <c r="L88" s="22">
        <f>Raw_Data345[[#This Row],[Total_score]]/3</f>
        <v>80.666666666666671</v>
      </c>
      <c r="M88" s="26">
        <f>_xlfn.RANK.EQ(Raw_Data345[[#This Row],[Average_score]],Raw_Data345[[Student_ID]:[Average_score]],1)</f>
        <v>554</v>
      </c>
      <c r="N88" s="24" t="str" cm="1">
        <f t="array" ref="N88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89" spans="1:14" x14ac:dyDescent="0.9">
      <c r="A89" s="5" t="s">
        <v>96</v>
      </c>
      <c r="B89" s="6" t="s">
        <v>11</v>
      </c>
      <c r="C89" s="7">
        <v>21</v>
      </c>
      <c r="D89" s="8">
        <v>85.3</v>
      </c>
      <c r="E89" s="7">
        <v>70</v>
      </c>
      <c r="F89" s="7">
        <v>75</v>
      </c>
      <c r="G89" s="7">
        <v>65</v>
      </c>
      <c r="H89" s="7" t="str">
        <f>IF(AND(Raw_Data345[[#This Row],[Math_Score]]&gt;=40,Raw_Data345[[#This Row],[Science_Score]]&gt;=40,Raw_Data345[[#This Row],[English_Score]]&gt;=40),"Pass","Fail")</f>
        <v>Pass</v>
      </c>
      <c r="I89" s="15">
        <f>SUM(Raw_Data345[[#This Row],[Math_Score]],Raw_Data345[[#This Row],[Science_Score]],Raw_Data345[[#This Row],[English_Score]])/300</f>
        <v>0.7</v>
      </c>
      <c r="J89" s="5" t="str" cm="1">
        <f t="array" ref="J8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89" s="7">
        <f>SUM(Raw_Data345[[#This Row],[Math_Score]],Raw_Data345[[#This Row],[Science_Score]],Raw_Data345[[#This Row],[English_Score]])</f>
        <v>210</v>
      </c>
      <c r="L89" s="22">
        <f>Raw_Data345[[#This Row],[Total_score]]/3</f>
        <v>70</v>
      </c>
      <c r="M89" s="26">
        <f>_xlfn.RANK.EQ(Raw_Data345[[#This Row],[Average_score]],Raw_Data345[[Student_ID]:[Average_score]],1)</f>
        <v>402</v>
      </c>
      <c r="N89" s="24" t="str" cm="1">
        <f t="array" ref="N8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0" spans="1:14" x14ac:dyDescent="0.9">
      <c r="A90" s="5" t="s">
        <v>97</v>
      </c>
      <c r="B90" s="6" t="s">
        <v>11</v>
      </c>
      <c r="C90" s="7">
        <v>19</v>
      </c>
      <c r="D90" s="8">
        <v>76.7</v>
      </c>
      <c r="E90" s="7">
        <v>61</v>
      </c>
      <c r="F90" s="7">
        <v>49</v>
      </c>
      <c r="G90" s="7">
        <v>72</v>
      </c>
      <c r="H90" s="7" t="str">
        <f>IF(AND(Raw_Data345[[#This Row],[Math_Score]]&gt;=40,Raw_Data345[[#This Row],[Science_Score]]&gt;=40,Raw_Data345[[#This Row],[English_Score]]&gt;=40),"Pass","Fail")</f>
        <v>Pass</v>
      </c>
      <c r="I90" s="15">
        <f>SUM(Raw_Data345[[#This Row],[Math_Score]],Raw_Data345[[#This Row],[Science_Score]],Raw_Data345[[#This Row],[English_Score]])/300</f>
        <v>0.60666666666666669</v>
      </c>
      <c r="J90" s="5" t="str" cm="1">
        <f t="array" ref="J9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90" s="7">
        <f>SUM(Raw_Data345[[#This Row],[Math_Score]],Raw_Data345[[#This Row],[Science_Score]],Raw_Data345[[#This Row],[English_Score]])</f>
        <v>182</v>
      </c>
      <c r="L90" s="22">
        <f>Raw_Data345[[#This Row],[Total_score]]/3</f>
        <v>60.666666666666664</v>
      </c>
      <c r="M90" s="26">
        <f>_xlfn.RANK.EQ(Raw_Data345[[#This Row],[Average_score]],Raw_Data345[[Student_ID]:[Average_score]],1)</f>
        <v>300</v>
      </c>
      <c r="N90" s="24" t="str" cm="1">
        <f t="array" ref="N9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1" spans="1:14" x14ac:dyDescent="0.9">
      <c r="A91" s="5" t="s">
        <v>98</v>
      </c>
      <c r="B91" s="6" t="s">
        <v>8</v>
      </c>
      <c r="C91" s="7">
        <v>22</v>
      </c>
      <c r="D91" s="8">
        <v>87.1</v>
      </c>
      <c r="E91" s="7">
        <v>57</v>
      </c>
      <c r="F91" s="7">
        <v>52</v>
      </c>
      <c r="G91" s="7">
        <v>59</v>
      </c>
      <c r="H91" s="7" t="str">
        <f>IF(AND(Raw_Data345[[#This Row],[Math_Score]]&gt;=40,Raw_Data345[[#This Row],[Science_Score]]&gt;=40,Raw_Data345[[#This Row],[English_Score]]&gt;=40),"Pass","Fail")</f>
        <v>Pass</v>
      </c>
      <c r="I91" s="15">
        <f>SUM(Raw_Data345[[#This Row],[Math_Score]],Raw_Data345[[#This Row],[Science_Score]],Raw_Data345[[#This Row],[English_Score]])/300</f>
        <v>0.56000000000000005</v>
      </c>
      <c r="J91" s="5" t="str" cm="1">
        <f t="array" ref="J9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91" s="7">
        <f>SUM(Raw_Data345[[#This Row],[Math_Score]],Raw_Data345[[#This Row],[Science_Score]],Raw_Data345[[#This Row],[English_Score]])</f>
        <v>168</v>
      </c>
      <c r="L91" s="22">
        <f>Raw_Data345[[#This Row],[Total_score]]/3</f>
        <v>56</v>
      </c>
      <c r="M91" s="26">
        <f>_xlfn.RANK.EQ(Raw_Data345[[#This Row],[Average_score]],Raw_Data345[[Student_ID]:[Average_score]],1)</f>
        <v>260</v>
      </c>
      <c r="N91" s="24" t="str" cm="1">
        <f t="array" ref="N91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2" spans="1:14" x14ac:dyDescent="0.9">
      <c r="A92" s="5" t="s">
        <v>99</v>
      </c>
      <c r="B92" s="6" t="s">
        <v>11</v>
      </c>
      <c r="C92" s="7">
        <v>19</v>
      </c>
      <c r="D92" s="8">
        <v>83</v>
      </c>
      <c r="E92" s="7">
        <v>44</v>
      </c>
      <c r="F92" s="7">
        <v>85</v>
      </c>
      <c r="G92" s="7">
        <v>64</v>
      </c>
      <c r="H92" s="7" t="str">
        <f>IF(AND(Raw_Data345[[#This Row],[Math_Score]]&gt;=40,Raw_Data345[[#This Row],[Science_Score]]&gt;=40,Raw_Data345[[#This Row],[English_Score]]&gt;=40),"Pass","Fail")</f>
        <v>Pass</v>
      </c>
      <c r="I92" s="15">
        <f>SUM(Raw_Data345[[#This Row],[Math_Score]],Raw_Data345[[#This Row],[Science_Score]],Raw_Data345[[#This Row],[English_Score]])/300</f>
        <v>0.64333333333333331</v>
      </c>
      <c r="J92" s="5" t="str" cm="1">
        <f t="array" ref="J92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92" s="7">
        <f>SUM(Raw_Data345[[#This Row],[Math_Score]],Raw_Data345[[#This Row],[Science_Score]],Raw_Data345[[#This Row],[English_Score]])</f>
        <v>193</v>
      </c>
      <c r="L92" s="22">
        <f>Raw_Data345[[#This Row],[Total_score]]/3</f>
        <v>64.333333333333329</v>
      </c>
      <c r="M92" s="26">
        <f>_xlfn.RANK.EQ(Raw_Data345[[#This Row],[Average_score]],Raw_Data345[[Student_ID]:[Average_score]],1)</f>
        <v>338</v>
      </c>
      <c r="N92" s="24" t="str" cm="1">
        <f t="array" ref="N92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3" spans="1:14" x14ac:dyDescent="0.9">
      <c r="A93" s="5" t="s">
        <v>100</v>
      </c>
      <c r="B93" s="6" t="s">
        <v>11</v>
      </c>
      <c r="C93" s="7">
        <v>22</v>
      </c>
      <c r="D93" s="8">
        <v>91.7</v>
      </c>
      <c r="E93" s="7">
        <v>76</v>
      </c>
      <c r="F93" s="7">
        <v>92</v>
      </c>
      <c r="G93" s="7">
        <v>92</v>
      </c>
      <c r="H93" s="7" t="str">
        <f>IF(AND(Raw_Data345[[#This Row],[Math_Score]]&gt;=40,Raw_Data345[[#This Row],[Science_Score]]&gt;=40,Raw_Data345[[#This Row],[English_Score]]&gt;=40),"Pass","Fail")</f>
        <v>Pass</v>
      </c>
      <c r="I93" s="15">
        <f>SUM(Raw_Data345[[#This Row],[Math_Score]],Raw_Data345[[#This Row],[Science_Score]],Raw_Data345[[#This Row],[English_Score]])/300</f>
        <v>0.8666666666666667</v>
      </c>
      <c r="J93" s="5" t="str" cm="1">
        <f t="array" ref="J93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A</v>
      </c>
      <c r="K93" s="7">
        <f>SUM(Raw_Data345[[#This Row],[Math_Score]],Raw_Data345[[#This Row],[Science_Score]],Raw_Data345[[#This Row],[English_Score]])</f>
        <v>260</v>
      </c>
      <c r="L93" s="22">
        <f>Raw_Data345[[#This Row],[Total_score]]/3</f>
        <v>86.666666666666671</v>
      </c>
      <c r="M93" s="26">
        <f>_xlfn.RANK.EQ(Raw_Data345[[#This Row],[Average_score]],Raw_Data345[[Student_ID]:[Average_score]],1)</f>
        <v>624</v>
      </c>
      <c r="N93" s="24" t="str" cm="1">
        <f t="array" ref="N93">_xlfn.IFS(Raw_Data345[[#This Row],[Attendance_%]]&gt;=90,"Excellent",AND(Raw_Data345[[#This Row],[Attendance_%]]&gt;=75, Raw_Data345[[#This Row],[Attendance_%]]&lt;90),"Good",Raw_Data345[[#This Row],[Attendance_%]]&lt;75,"Low")</f>
        <v>Excellent</v>
      </c>
    </row>
    <row r="94" spans="1:14" x14ac:dyDescent="0.9">
      <c r="A94" s="5" t="s">
        <v>101</v>
      </c>
      <c r="B94" s="6" t="s">
        <v>8</v>
      </c>
      <c r="C94" s="7">
        <v>20</v>
      </c>
      <c r="D94" s="8">
        <v>75</v>
      </c>
      <c r="E94" s="7">
        <v>70</v>
      </c>
      <c r="F94" s="7">
        <v>65</v>
      </c>
      <c r="G94" s="7">
        <v>82</v>
      </c>
      <c r="H94" s="7" t="str">
        <f>IF(AND(Raw_Data345[[#This Row],[Math_Score]]&gt;=40,Raw_Data345[[#This Row],[Science_Score]]&gt;=40,Raw_Data345[[#This Row],[English_Score]]&gt;=40),"Pass","Fail")</f>
        <v>Pass</v>
      </c>
      <c r="I94" s="15">
        <f>SUM(Raw_Data345[[#This Row],[Math_Score]],Raw_Data345[[#This Row],[Science_Score]],Raw_Data345[[#This Row],[English_Score]])/300</f>
        <v>0.72333333333333338</v>
      </c>
      <c r="J94" s="5" t="str" cm="1">
        <f t="array" ref="J94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94" s="7">
        <f>SUM(Raw_Data345[[#This Row],[Math_Score]],Raw_Data345[[#This Row],[Science_Score]],Raw_Data345[[#This Row],[English_Score]])</f>
        <v>217</v>
      </c>
      <c r="L94" s="22">
        <f>Raw_Data345[[#This Row],[Total_score]]/3</f>
        <v>72.333333333333329</v>
      </c>
      <c r="M94" s="26">
        <f>_xlfn.RANK.EQ(Raw_Data345[[#This Row],[Average_score]],Raw_Data345[[Student_ID]:[Average_score]],1)</f>
        <v>433</v>
      </c>
      <c r="N94" s="24" t="str" cm="1">
        <f t="array" ref="N94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5" spans="1:14" x14ac:dyDescent="0.9">
      <c r="A95" s="5" t="s">
        <v>102</v>
      </c>
      <c r="B95" s="6" t="s">
        <v>8</v>
      </c>
      <c r="C95" s="7">
        <v>22</v>
      </c>
      <c r="D95" s="8">
        <v>78.7</v>
      </c>
      <c r="E95" s="7">
        <v>54</v>
      </c>
      <c r="F95" s="7">
        <v>67</v>
      </c>
      <c r="G95" s="7">
        <v>52</v>
      </c>
      <c r="H95" s="7" t="str">
        <f>IF(AND(Raw_Data345[[#This Row],[Math_Score]]&gt;=40,Raw_Data345[[#This Row],[Science_Score]]&gt;=40,Raw_Data345[[#This Row],[English_Score]]&gt;=40),"Pass","Fail")</f>
        <v>Pass</v>
      </c>
      <c r="I95" s="15">
        <f>SUM(Raw_Data345[[#This Row],[Math_Score]],Raw_Data345[[#This Row],[Science_Score]],Raw_Data345[[#This Row],[English_Score]])/300</f>
        <v>0.57666666666666666</v>
      </c>
      <c r="J95" s="5" t="str" cm="1">
        <f t="array" ref="J95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95" s="7">
        <f>SUM(Raw_Data345[[#This Row],[Math_Score]],Raw_Data345[[#This Row],[Science_Score]],Raw_Data345[[#This Row],[English_Score]])</f>
        <v>173</v>
      </c>
      <c r="L95" s="22">
        <f>Raw_Data345[[#This Row],[Total_score]]/3</f>
        <v>57.666666666666664</v>
      </c>
      <c r="M95" s="26">
        <f>_xlfn.RANK.EQ(Raw_Data345[[#This Row],[Average_score]],Raw_Data345[[Student_ID]:[Average_score]],1)</f>
        <v>275</v>
      </c>
      <c r="N95" s="24" t="str" cm="1">
        <f t="array" ref="N95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6" spans="1:14" x14ac:dyDescent="0.9">
      <c r="A96" s="5" t="s">
        <v>103</v>
      </c>
      <c r="B96" s="6" t="s">
        <v>11</v>
      </c>
      <c r="C96" s="7">
        <v>21</v>
      </c>
      <c r="D96" s="8">
        <v>78.099999999999994</v>
      </c>
      <c r="E96" s="7">
        <v>74</v>
      </c>
      <c r="F96" s="7">
        <v>66</v>
      </c>
      <c r="G96" s="7">
        <v>69</v>
      </c>
      <c r="H96" s="7" t="str">
        <f>IF(AND(Raw_Data345[[#This Row],[Math_Score]]&gt;=40,Raw_Data345[[#This Row],[Science_Score]]&gt;=40,Raw_Data345[[#This Row],[English_Score]]&gt;=40),"Pass","Fail")</f>
        <v>Pass</v>
      </c>
      <c r="I96" s="15">
        <f>SUM(Raw_Data345[[#This Row],[Math_Score]],Raw_Data345[[#This Row],[Science_Score]],Raw_Data345[[#This Row],[English_Score]])/300</f>
        <v>0.69666666666666666</v>
      </c>
      <c r="J96" s="5" t="str" cm="1">
        <f t="array" ref="J96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96" s="7">
        <f>SUM(Raw_Data345[[#This Row],[Math_Score]],Raw_Data345[[#This Row],[Science_Score]],Raw_Data345[[#This Row],[English_Score]])</f>
        <v>209</v>
      </c>
      <c r="L96" s="22">
        <f>Raw_Data345[[#This Row],[Total_score]]/3</f>
        <v>69.666666666666671</v>
      </c>
      <c r="M96" s="26">
        <f>_xlfn.RANK.EQ(Raw_Data345[[#This Row],[Average_score]],Raw_Data345[[Student_ID]:[Average_score]],1)</f>
        <v>400</v>
      </c>
      <c r="N96" s="24" t="str" cm="1">
        <f t="array" ref="N96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7" spans="1:14" x14ac:dyDescent="0.9">
      <c r="A97" s="5" t="s">
        <v>104</v>
      </c>
      <c r="B97" s="6" t="s">
        <v>8</v>
      </c>
      <c r="C97" s="7">
        <v>18</v>
      </c>
      <c r="D97" s="8">
        <v>67.400000000000006</v>
      </c>
      <c r="E97" s="7">
        <v>73</v>
      </c>
      <c r="F97" s="7">
        <v>62</v>
      </c>
      <c r="G97" s="7">
        <v>67</v>
      </c>
      <c r="H97" s="7" t="str">
        <f>IF(AND(Raw_Data345[[#This Row],[Math_Score]]&gt;=40,Raw_Data345[[#This Row],[Science_Score]]&gt;=40,Raw_Data345[[#This Row],[English_Score]]&gt;=40),"Pass","Fail")</f>
        <v>Pass</v>
      </c>
      <c r="I97" s="15">
        <f>SUM(Raw_Data345[[#This Row],[Math_Score]],Raw_Data345[[#This Row],[Science_Score]],Raw_Data345[[#This Row],[English_Score]])/300</f>
        <v>0.67333333333333334</v>
      </c>
      <c r="J97" s="5" t="str" cm="1">
        <f t="array" ref="J97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97" s="7">
        <f>SUM(Raw_Data345[[#This Row],[Math_Score]],Raw_Data345[[#This Row],[Science_Score]],Raw_Data345[[#This Row],[English_Score]])</f>
        <v>202</v>
      </c>
      <c r="L97" s="22">
        <f>Raw_Data345[[#This Row],[Total_score]]/3</f>
        <v>67.333333333333329</v>
      </c>
      <c r="M97" s="26">
        <f>_xlfn.RANK.EQ(Raw_Data345[[#This Row],[Average_score]],Raw_Data345[[Student_ID]:[Average_score]],1)</f>
        <v>373</v>
      </c>
      <c r="N97" s="24" t="str" cm="1">
        <f t="array" ref="N97">_xlfn.IFS(Raw_Data345[[#This Row],[Attendance_%]]&gt;=90,"Excellent",AND(Raw_Data345[[#This Row],[Attendance_%]]&gt;=75, Raw_Data345[[#This Row],[Attendance_%]]&lt;90),"Good",Raw_Data345[[#This Row],[Attendance_%]]&lt;75,"Low")</f>
        <v>Low</v>
      </c>
    </row>
    <row r="98" spans="1:14" x14ac:dyDescent="0.9">
      <c r="A98" s="5" t="s">
        <v>105</v>
      </c>
      <c r="B98" s="6" t="s">
        <v>11</v>
      </c>
      <c r="C98" s="7">
        <v>22</v>
      </c>
      <c r="D98" s="8">
        <v>85</v>
      </c>
      <c r="E98" s="7">
        <v>75</v>
      </c>
      <c r="F98" s="7">
        <v>72</v>
      </c>
      <c r="G98" s="7">
        <v>70</v>
      </c>
      <c r="H98" s="7" t="str">
        <f>IF(AND(Raw_Data345[[#This Row],[Math_Score]]&gt;=40,Raw_Data345[[#This Row],[Science_Score]]&gt;=40,Raw_Data345[[#This Row],[English_Score]]&gt;=40),"Pass","Fail")</f>
        <v>Pass</v>
      </c>
      <c r="I98" s="15">
        <f>SUM(Raw_Data345[[#This Row],[Math_Score]],Raw_Data345[[#This Row],[Science_Score]],Raw_Data345[[#This Row],[English_Score]])/300</f>
        <v>0.72333333333333338</v>
      </c>
      <c r="J98" s="5" t="str" cm="1">
        <f t="array" ref="J98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98" s="7">
        <f>SUM(Raw_Data345[[#This Row],[Math_Score]],Raw_Data345[[#This Row],[Science_Score]],Raw_Data345[[#This Row],[English_Score]])</f>
        <v>217</v>
      </c>
      <c r="L98" s="22">
        <f>Raw_Data345[[#This Row],[Total_score]]/3</f>
        <v>72.333333333333329</v>
      </c>
      <c r="M98" s="26">
        <f>_xlfn.RANK.EQ(Raw_Data345[[#This Row],[Average_score]],Raw_Data345[[Student_ID]:[Average_score]],1)</f>
        <v>433</v>
      </c>
      <c r="N98" s="24" t="str" cm="1">
        <f t="array" ref="N98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99" spans="1:14" x14ac:dyDescent="0.9">
      <c r="A99" s="5" t="s">
        <v>106</v>
      </c>
      <c r="B99" s="6" t="s">
        <v>8</v>
      </c>
      <c r="C99" s="7">
        <v>22</v>
      </c>
      <c r="D99" s="8">
        <v>84.6</v>
      </c>
      <c r="E99" s="7">
        <v>76</v>
      </c>
      <c r="F99" s="7">
        <v>60</v>
      </c>
      <c r="G99" s="7">
        <v>82</v>
      </c>
      <c r="H99" s="7" t="str">
        <f>IF(AND(Raw_Data345[[#This Row],[Math_Score]]&gt;=40,Raw_Data345[[#This Row],[Science_Score]]&gt;=40,Raw_Data345[[#This Row],[English_Score]]&gt;=40),"Pass","Fail")</f>
        <v>Pass</v>
      </c>
      <c r="I99" s="15">
        <f>SUM(Raw_Data345[[#This Row],[Math_Score]],Raw_Data345[[#This Row],[Science_Score]],Raw_Data345[[#This Row],[English_Score]])/300</f>
        <v>0.72666666666666668</v>
      </c>
      <c r="J99" s="5" t="str" cm="1">
        <f t="array" ref="J99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B</v>
      </c>
      <c r="K99" s="7">
        <f>SUM(Raw_Data345[[#This Row],[Math_Score]],Raw_Data345[[#This Row],[Science_Score]],Raw_Data345[[#This Row],[English_Score]])</f>
        <v>218</v>
      </c>
      <c r="L99" s="22">
        <f>Raw_Data345[[#This Row],[Total_score]]/3</f>
        <v>72.666666666666671</v>
      </c>
      <c r="M99" s="26">
        <f>_xlfn.RANK.EQ(Raw_Data345[[#This Row],[Average_score]],Raw_Data345[[Student_ID]:[Average_score]],1)</f>
        <v>436</v>
      </c>
      <c r="N99" s="24" t="str" cm="1">
        <f t="array" ref="N99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100" spans="1:14" x14ac:dyDescent="0.9">
      <c r="A100" s="5" t="s">
        <v>107</v>
      </c>
      <c r="B100" s="6" t="s">
        <v>11</v>
      </c>
      <c r="C100" s="7">
        <v>18</v>
      </c>
      <c r="D100" s="8">
        <v>82.1</v>
      </c>
      <c r="E100" s="7">
        <v>69</v>
      </c>
      <c r="F100" s="7">
        <v>52</v>
      </c>
      <c r="G100" s="7">
        <v>84</v>
      </c>
      <c r="H100" s="7" t="str">
        <f>IF(AND(Raw_Data345[[#This Row],[Math_Score]]&gt;=40,Raw_Data345[[#This Row],[Science_Score]]&gt;=40,Raw_Data345[[#This Row],[English_Score]]&gt;=40),"Pass","Fail")</f>
        <v>Pass</v>
      </c>
      <c r="I100" s="15">
        <f>SUM(Raw_Data345[[#This Row],[Math_Score]],Raw_Data345[[#This Row],[Science_Score]],Raw_Data345[[#This Row],[English_Score]])/300</f>
        <v>0.68333333333333335</v>
      </c>
      <c r="J100" s="5" t="str" cm="1">
        <f t="array" ref="J100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C</v>
      </c>
      <c r="K100" s="7">
        <f>SUM(Raw_Data345[[#This Row],[Math_Score]],Raw_Data345[[#This Row],[Science_Score]],Raw_Data345[[#This Row],[English_Score]])</f>
        <v>205</v>
      </c>
      <c r="L100" s="22">
        <f>Raw_Data345[[#This Row],[Total_score]]/3</f>
        <v>68.333333333333329</v>
      </c>
      <c r="M100" s="26">
        <f>_xlfn.RANK.EQ(Raw_Data345[[#This Row],[Average_score]],Raw_Data345[[Student_ID]:[Average_score]],1)</f>
        <v>390</v>
      </c>
      <c r="N100" s="24" t="str" cm="1">
        <f t="array" ref="N100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101" spans="1:14" x14ac:dyDescent="0.9">
      <c r="A101" s="5" t="s">
        <v>108</v>
      </c>
      <c r="B101" s="6" t="s">
        <v>8</v>
      </c>
      <c r="C101" s="7">
        <v>21</v>
      </c>
      <c r="D101" s="8">
        <v>79.7</v>
      </c>
      <c r="E101" s="7">
        <v>42</v>
      </c>
      <c r="F101" s="7">
        <v>63</v>
      </c>
      <c r="G101" s="7">
        <v>65</v>
      </c>
      <c r="H101" s="7" t="str">
        <f>IF(AND(Raw_Data345[[#This Row],[Math_Score]]&gt;=40,Raw_Data345[[#This Row],[Science_Score]]&gt;=40,Raw_Data345[[#This Row],[English_Score]]&gt;=40),"Pass","Fail")</f>
        <v>Pass</v>
      </c>
      <c r="I101" s="15">
        <f>SUM(Raw_Data345[[#This Row],[Math_Score]],Raw_Data345[[#This Row],[Science_Score]],Raw_Data345[[#This Row],[English_Score]])/300</f>
        <v>0.56666666666666665</v>
      </c>
      <c r="J101" s="5" t="str" cm="1">
        <f t="array" ref="J101">_xlfn.IFS(Raw_Data345[[#This Row],[Result]]="Fail","Fail", Raw_Data345[[#This Row],[Percentage]]&gt;=0.9,"A+", Raw_Data345[[#This Row],[Percentage]]&gt;=0.8,"A", Raw_Data345[[#This Row],[Percentage]]&gt;=0.7,"B", Raw_Data345[[#This Row],[Percentage]]&gt;=0.6,"C", Raw_Data345[[#This Row],[Percentage]]&gt;=0.5,"D", TRUE,"F")</f>
        <v>D</v>
      </c>
      <c r="K101" s="7">
        <f>SUM(Raw_Data345[[#This Row],[Math_Score]],Raw_Data345[[#This Row],[Science_Score]],Raw_Data345[[#This Row],[English_Score]])</f>
        <v>170</v>
      </c>
      <c r="L101" s="8">
        <f>Raw_Data345[[#This Row],[Total_score]]/3</f>
        <v>56.666666666666664</v>
      </c>
      <c r="M101" s="26">
        <f>_xlfn.RANK.EQ(Raw_Data345[[#This Row],[Average_score]],Raw_Data345[[Student_ID]:[Average_score]],1)</f>
        <v>266</v>
      </c>
      <c r="N101" s="24" t="str" cm="1">
        <f t="array" ref="N101">_xlfn.IFS(Raw_Data345[[#This Row],[Attendance_%]]&gt;=90,"Excellent",AND(Raw_Data345[[#This Row],[Attendance_%]]&gt;=75, Raw_Data345[[#This Row],[Attendance_%]]&lt;90),"Good",Raw_Data345[[#This Row],[Attendance_%]]&lt;75,"Low")</f>
        <v>Good</v>
      </c>
    </row>
    <row r="102" spans="1:14" x14ac:dyDescent="0.9">
      <c r="D102" s="8" t="s">
        <v>120</v>
      </c>
      <c r="E102" s="53" t="s">
        <v>137</v>
      </c>
      <c r="F102" s="54"/>
      <c r="G102" s="54"/>
    </row>
    <row r="103" spans="1:14" x14ac:dyDescent="0.9">
      <c r="D103" s="8">
        <f>COUNTIF(Raw_Data345[Attendance_%],"&lt;75.00")</f>
        <v>21</v>
      </c>
      <c r="E103" s="3">
        <f>AVERAGE(Raw_Data345[Math_Score])</f>
        <v>71.209999999999994</v>
      </c>
      <c r="F103" s="3">
        <f>AVERAGE(Raw_Data345[Science_Score])</f>
        <v>68.64</v>
      </c>
      <c r="G103" s="3">
        <f>AVERAGE(Raw_Data345[English_Score])</f>
        <v>71.61</v>
      </c>
      <c r="H103">
        <f>COUNTIF(Raw_Data345[Result],"Fail")</f>
        <v>4</v>
      </c>
      <c r="K103" s="3">
        <f>MAX(Raw_Data345[Total_score])</f>
        <v>296</v>
      </c>
      <c r="L103" s="2">
        <f>AVERAGE(Raw_Data345[Average_score])</f>
        <v>70.486666666666693</v>
      </c>
    </row>
    <row r="105" spans="1:14" x14ac:dyDescent="0.9">
      <c r="K105" s="2"/>
    </row>
  </sheetData>
  <mergeCells count="1">
    <mergeCell ref="E102:G102"/>
  </mergeCells>
  <conditionalFormatting sqref="A2:H101 J2:N101">
    <cfRule type="top10" dxfId="4" priority="8" percent="1" rank="10"/>
  </conditionalFormatting>
  <conditionalFormatting sqref="A2:N101">
    <cfRule type="expression" dxfId="3" priority="5">
      <formula>$N2 = "Low"</formula>
    </cfRule>
  </conditionalFormatting>
  <conditionalFormatting sqref="K1:K1048576">
    <cfRule type="top10" dxfId="2" priority="4" rank="1"/>
  </conditionalFormatting>
  <conditionalFormatting sqref="L1:L101">
    <cfRule type="top10" priority="3" bottom="1" rank="1"/>
  </conditionalFormatting>
  <conditionalFormatting sqref="E2:G101">
    <cfRule type="top10" dxfId="1" priority="2" bottom="1" rank="1"/>
  </conditionalFormatting>
  <conditionalFormatting sqref="L1:L1048576">
    <cfRule type="cellIs" dxfId="0" priority="1" operator="between">
      <formula>40</formula>
      <formula>49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F447-4327-4F83-9A8F-75599E241A45}">
  <dimension ref="A1:AA103"/>
  <sheetViews>
    <sheetView tabSelected="1" workbookViewId="0">
      <selection activeCell="O5" sqref="O5"/>
    </sheetView>
  </sheetViews>
  <sheetFormatPr defaultRowHeight="27" x14ac:dyDescent="0.9"/>
  <cols>
    <col min="1" max="1" width="11.5" style="1" bestFit="1" customWidth="1"/>
    <col min="2" max="2" width="8.09765625" style="4" bestFit="1" customWidth="1"/>
    <col min="3" max="3" width="4.69921875" style="3" bestFit="1" customWidth="1"/>
    <col min="4" max="4" width="15.5" style="2" bestFit="1" customWidth="1"/>
    <col min="5" max="5" width="12.3984375" style="3" bestFit="1" customWidth="1"/>
    <col min="6" max="6" width="15.3984375" style="3" bestFit="1" customWidth="1"/>
    <col min="7" max="7" width="14.796875" style="3" bestFit="1" customWidth="1"/>
    <col min="8" max="8" width="11.8984375" style="16" bestFit="1" customWidth="1"/>
    <col min="9" max="9" width="12.09765625" style="1" bestFit="1" customWidth="1"/>
    <col min="10" max="10" width="15.3984375" style="3" bestFit="1" customWidth="1"/>
    <col min="11" max="11" width="7" style="2" bestFit="1" customWidth="1"/>
    <col min="12" max="12" width="8.09765625" style="2" bestFit="1" customWidth="1"/>
    <col min="13" max="13" width="5.8984375" style="2" bestFit="1" customWidth="1"/>
    <col min="14" max="14" width="21.8984375" bestFit="1" customWidth="1"/>
    <col min="15" max="15" width="15.5" customWidth="1"/>
    <col min="16" max="16" width="8.19921875" customWidth="1"/>
    <col min="21" max="21" width="9.8984375" customWidth="1"/>
    <col min="24" max="24" width="18.5" bestFit="1" customWidth="1"/>
    <col min="25" max="25" width="19" bestFit="1" customWidth="1"/>
    <col min="26" max="26" width="11.796875" customWidth="1"/>
    <col min="27" max="27" width="23.09765625" customWidth="1"/>
    <col min="28" max="92" width="3.8984375" bestFit="1" customWidth="1"/>
    <col min="93" max="93" width="11.796875" bestFit="1" customWidth="1"/>
  </cols>
  <sheetData>
    <row r="1" spans="1:27" x14ac:dyDescent="0.9">
      <c r="A1" s="6" t="s">
        <v>0</v>
      </c>
      <c r="B1" s="6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13" t="s">
        <v>111</v>
      </c>
      <c r="I1" s="17" t="s">
        <v>112</v>
      </c>
      <c r="J1" s="20" t="s">
        <v>113</v>
      </c>
      <c r="K1" s="59" t="s">
        <v>109</v>
      </c>
      <c r="L1" s="10" t="s">
        <v>110</v>
      </c>
      <c r="M1" s="25" t="s">
        <v>114</v>
      </c>
      <c r="N1" s="23" t="s">
        <v>115</v>
      </c>
    </row>
    <row r="2" spans="1:27" x14ac:dyDescent="0.9">
      <c r="A2" s="5" t="s">
        <v>7</v>
      </c>
      <c r="B2" s="6" t="s">
        <v>8</v>
      </c>
      <c r="C2" s="7">
        <v>18</v>
      </c>
      <c r="D2" s="8">
        <v>87</v>
      </c>
      <c r="E2" s="7">
        <v>60</v>
      </c>
      <c r="F2" s="7">
        <v>41</v>
      </c>
      <c r="G2" s="7">
        <v>57</v>
      </c>
      <c r="H2" s="14">
        <f>SUM(Raw_Data34[[#This Row],[Math_Score]],Raw_Data34[[#This Row],[Science_Score]],Raw_Data34[[#This Row],[English_Score]])/300</f>
        <v>0.52666666666666662</v>
      </c>
      <c r="I2" s="11">
        <f>SUM(Raw_Data34[[#This Row],[Math_Score]],Raw_Data34[[#This Row],[Science_Score]],Raw_Data34[[#This Row],[English_Score]])</f>
        <v>158</v>
      </c>
      <c r="J2" s="21">
        <f>Raw_Data34[[#This Row],[Total_score]]/3</f>
        <v>52.666666666666664</v>
      </c>
      <c r="K2" s="21" t="str">
        <f>IF(Raw_Data34[[#This Row],[Average_score]]&gt;=40,"Pass","Fail")</f>
        <v>Pass</v>
      </c>
      <c r="L2" s="21" t="str" cm="1">
        <f t="array" ref="L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2" s="26">
        <f>_xlfn.RANK.EQ(Raw_Data34[[#This Row],[Average_score]],Raw_Data34[[Student_ID]:[Average_score]],1)</f>
        <v>243</v>
      </c>
      <c r="N2" s="24" t="str" cm="1">
        <f t="array" ref="N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3" spans="1:27" x14ac:dyDescent="0.9">
      <c r="A3" s="5" t="s">
        <v>9</v>
      </c>
      <c r="B3" s="6" t="s">
        <v>8</v>
      </c>
      <c r="C3" s="7">
        <v>21</v>
      </c>
      <c r="D3" s="8">
        <v>80.599999999999994</v>
      </c>
      <c r="E3" s="7">
        <v>59</v>
      </c>
      <c r="F3" s="7">
        <v>68</v>
      </c>
      <c r="G3" s="7">
        <v>67</v>
      </c>
      <c r="H3" s="15">
        <f>SUM(Raw_Data34[[#This Row],[Math_Score]],Raw_Data34[[#This Row],[Science_Score]],Raw_Data34[[#This Row],[English_Score]])/300</f>
        <v>0.64666666666666661</v>
      </c>
      <c r="I3" s="7">
        <f>SUM(Raw_Data34[[#This Row],[Math_Score]],Raw_Data34[[#This Row],[Science_Score]],Raw_Data34[[#This Row],[English_Score]])</f>
        <v>194</v>
      </c>
      <c r="J3" s="22">
        <f>Raw_Data34[[#This Row],[Total_score]]/3</f>
        <v>64.666666666666671</v>
      </c>
      <c r="K3" s="22" t="str">
        <f>IF(Raw_Data34[[#This Row],[Average_score]]&gt;=40,"Pass","Fail")</f>
        <v>Pass</v>
      </c>
      <c r="L3" s="22" t="str" cm="1">
        <f t="array" ref="L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3" s="26">
        <f>_xlfn.RANK.EQ(Raw_Data34[[#This Row],[Average_score]],Raw_Data34[[Student_ID]:[Average_score]],1)</f>
        <v>340</v>
      </c>
      <c r="N3" s="24" t="str" cm="1">
        <f t="array" ref="N3">_xlfn.IFS(Raw_Data34[[#This Row],[Attendance_%]]&gt;=90,"Excellent",AND(Raw_Data34[[#This Row],[Attendance_%]]&gt;=75, Raw_Data34[[#This Row],[Attendance_%]]&lt;90),"Good",Raw_Data34[[#This Row],[Attendance_%]]&lt;75,"Low")</f>
        <v>Good</v>
      </c>
      <c r="V3" s="32" t="s">
        <v>116</v>
      </c>
      <c r="W3" s="33"/>
      <c r="X3" s="33"/>
    </row>
    <row r="4" spans="1:27" x14ac:dyDescent="0.9">
      <c r="A4" s="5" t="s">
        <v>10</v>
      </c>
      <c r="B4" s="6" t="s">
        <v>11</v>
      </c>
      <c r="C4" s="7">
        <v>22</v>
      </c>
      <c r="D4" s="8">
        <v>88.5</v>
      </c>
      <c r="E4" s="7">
        <v>53</v>
      </c>
      <c r="F4" s="7">
        <v>76</v>
      </c>
      <c r="G4" s="7">
        <v>67</v>
      </c>
      <c r="H4" s="15">
        <f>SUM(Raw_Data34[[#This Row],[Math_Score]],Raw_Data34[[#This Row],[Science_Score]],Raw_Data34[[#This Row],[English_Score]])/300</f>
        <v>0.65333333333333332</v>
      </c>
      <c r="I4" s="7">
        <f>SUM(Raw_Data34[[#This Row],[Math_Score]],Raw_Data34[[#This Row],[Science_Score]],Raw_Data34[[#This Row],[English_Score]])</f>
        <v>196</v>
      </c>
      <c r="J4" s="22">
        <f>Raw_Data34[[#This Row],[Total_score]]/3</f>
        <v>65.333333333333329</v>
      </c>
      <c r="K4" s="22" t="str">
        <f>IF(Raw_Data34[[#This Row],[Average_score]]&gt;=40,"Pass","Fail")</f>
        <v>Pass</v>
      </c>
      <c r="L4" s="22" t="str" cm="1">
        <f t="array" ref="L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4" s="26">
        <f>_xlfn.RANK.EQ(Raw_Data34[[#This Row],[Average_score]],Raw_Data34[[Student_ID]:[Average_score]],1)</f>
        <v>353</v>
      </c>
      <c r="N4" s="24" t="str" cm="1">
        <f t="array" ref="N4">_xlfn.IFS(Raw_Data34[[#This Row],[Attendance_%]]&gt;=90,"Excellent",AND(Raw_Data34[[#This Row],[Attendance_%]]&gt;=75, Raw_Data34[[#This Row],[Attendance_%]]&lt;90),"Good",Raw_Data34[[#This Row],[Attendance_%]]&lt;75,"Low")</f>
        <v>Good</v>
      </c>
      <c r="T4" s="34"/>
      <c r="U4" s="34"/>
      <c r="V4" s="34"/>
      <c r="W4" s="34"/>
      <c r="X4" s="34"/>
      <c r="Y4" s="34"/>
      <c r="Z4" s="34"/>
    </row>
    <row r="5" spans="1:27" x14ac:dyDescent="0.9">
      <c r="A5" s="5" t="s">
        <v>12</v>
      </c>
      <c r="B5" s="6" t="s">
        <v>8</v>
      </c>
      <c r="C5" s="7">
        <v>18</v>
      </c>
      <c r="D5" s="8">
        <v>97.2</v>
      </c>
      <c r="E5" s="7">
        <v>55</v>
      </c>
      <c r="F5" s="7">
        <v>78</v>
      </c>
      <c r="G5" s="7">
        <v>65</v>
      </c>
      <c r="H5" s="15">
        <f>SUM(Raw_Data34[[#This Row],[Math_Score]],Raw_Data34[[#This Row],[Science_Score]],Raw_Data34[[#This Row],[English_Score]])/300</f>
        <v>0.66</v>
      </c>
      <c r="I5" s="7">
        <f>SUM(Raw_Data34[[#This Row],[Math_Score]],Raw_Data34[[#This Row],[Science_Score]],Raw_Data34[[#This Row],[English_Score]])</f>
        <v>198</v>
      </c>
      <c r="J5" s="22">
        <f>Raw_Data34[[#This Row],[Total_score]]/3</f>
        <v>66</v>
      </c>
      <c r="K5" s="22" t="str">
        <f>IF(Raw_Data34[[#This Row],[Average_score]]&gt;=40,"Pass","Fail")</f>
        <v>Pass</v>
      </c>
      <c r="L5" s="22" t="str" cm="1">
        <f t="array" ref="L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5" s="26">
        <f>_xlfn.RANK.EQ(Raw_Data34[[#This Row],[Average_score]],Raw_Data34[[Student_ID]:[Average_score]],1)</f>
        <v>354</v>
      </c>
      <c r="N5" s="24" t="str" cm="1">
        <f t="array" ref="N5">_xlfn.IFS(Raw_Data34[[#This Row],[Attendance_%]]&gt;=90,"Excellent",AND(Raw_Data34[[#This Row],[Attendance_%]]&gt;=75, Raw_Data34[[#This Row],[Attendance_%]]&lt;90),"Good",Raw_Data34[[#This Row],[Attendance_%]]&lt;75,"Low")</f>
        <v>Excellent</v>
      </c>
      <c r="T5" s="30"/>
      <c r="U5" s="30"/>
      <c r="V5" s="35" t="s">
        <v>117</v>
      </c>
      <c r="W5" s="35"/>
      <c r="X5" s="35"/>
      <c r="Y5" s="35"/>
      <c r="Z5" s="35"/>
    </row>
    <row r="6" spans="1:27" x14ac:dyDescent="0.9">
      <c r="A6" s="5" t="s">
        <v>13</v>
      </c>
      <c r="B6" s="6" t="s">
        <v>11</v>
      </c>
      <c r="C6" s="7">
        <v>19</v>
      </c>
      <c r="D6" s="8">
        <v>79.7</v>
      </c>
      <c r="E6" s="7">
        <v>62</v>
      </c>
      <c r="F6" s="7">
        <v>59</v>
      </c>
      <c r="G6" s="7">
        <v>65</v>
      </c>
      <c r="H6" s="15">
        <f>SUM(Raw_Data34[[#This Row],[Math_Score]],Raw_Data34[[#This Row],[Science_Score]],Raw_Data34[[#This Row],[English_Score]])/300</f>
        <v>0.62</v>
      </c>
      <c r="I6" s="7">
        <f>SUM(Raw_Data34[[#This Row],[Math_Score]],Raw_Data34[[#This Row],[Science_Score]],Raw_Data34[[#This Row],[English_Score]])</f>
        <v>186</v>
      </c>
      <c r="J6" s="22">
        <f>Raw_Data34[[#This Row],[Total_score]]/3</f>
        <v>62</v>
      </c>
      <c r="K6" s="22" t="str">
        <f>IF(Raw_Data34[[#This Row],[Average_score]]&gt;=40,"Pass","Fail")</f>
        <v>Pass</v>
      </c>
      <c r="L6" s="22" t="str" cm="1">
        <f t="array" ref="L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6" s="26">
        <f>_xlfn.RANK.EQ(Raw_Data34[[#This Row],[Average_score]],Raw_Data34[[Student_ID]:[Average_score]],1)</f>
        <v>308</v>
      </c>
      <c r="N6" s="24" t="str" cm="1">
        <f t="array" ref="N6">_xlfn.IFS(Raw_Data34[[#This Row],[Attendance_%]]&gt;=90,"Excellent",AND(Raw_Data34[[#This Row],[Attendance_%]]&gt;=75, Raw_Data34[[#This Row],[Attendance_%]]&lt;90),"Good",Raw_Data34[[#This Row],[Attendance_%]]&lt;75,"Low")</f>
        <v>Good</v>
      </c>
      <c r="U6" s="29" t="s">
        <v>118</v>
      </c>
      <c r="V6" s="29"/>
      <c r="W6" s="29"/>
      <c r="X6" s="29"/>
      <c r="Y6" s="29"/>
      <c r="Z6" s="29"/>
      <c r="AA6" s="29"/>
    </row>
    <row r="7" spans="1:27" x14ac:dyDescent="0.9">
      <c r="A7" s="5" t="s">
        <v>14</v>
      </c>
      <c r="B7" s="6" t="s">
        <v>11</v>
      </c>
      <c r="C7" s="7">
        <v>19</v>
      </c>
      <c r="D7" s="8">
        <v>79.7</v>
      </c>
      <c r="E7" s="7">
        <v>85</v>
      </c>
      <c r="F7" s="7">
        <v>70</v>
      </c>
      <c r="G7" s="7">
        <v>71</v>
      </c>
      <c r="H7" s="15">
        <f>SUM(Raw_Data34[[#This Row],[Math_Score]],Raw_Data34[[#This Row],[Science_Score]],Raw_Data34[[#This Row],[English_Score]])/300</f>
        <v>0.7533333333333333</v>
      </c>
      <c r="I7" s="7">
        <f>SUM(Raw_Data34[[#This Row],[Math_Score]],Raw_Data34[[#This Row],[Science_Score]],Raw_Data34[[#This Row],[English_Score]])</f>
        <v>226</v>
      </c>
      <c r="J7" s="22">
        <f>Raw_Data34[[#This Row],[Total_score]]/3</f>
        <v>75.333333333333329</v>
      </c>
      <c r="K7" s="22" t="str">
        <f>IF(Raw_Data34[[#This Row],[Average_score]]&gt;=40,"Pass","Fail")</f>
        <v>Pass</v>
      </c>
      <c r="L7" s="22" t="str" cm="1">
        <f t="array" ref="L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7" s="26">
        <f>_xlfn.RANK.EQ(Raw_Data34[[#This Row],[Average_score]],Raw_Data34[[Student_ID]:[Average_score]],1)</f>
        <v>481</v>
      </c>
      <c r="N7" s="24" t="str" cm="1">
        <f t="array" ref="N7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" spans="1:27" x14ac:dyDescent="0.9">
      <c r="A8" s="5" t="s">
        <v>15</v>
      </c>
      <c r="B8" s="6" t="s">
        <v>11</v>
      </c>
      <c r="C8" s="7">
        <v>18</v>
      </c>
      <c r="D8" s="8">
        <v>97.8</v>
      </c>
      <c r="E8" s="7">
        <v>100</v>
      </c>
      <c r="F8" s="7">
        <v>99</v>
      </c>
      <c r="G8" s="7">
        <v>97</v>
      </c>
      <c r="H8" s="15">
        <f>SUM(Raw_Data34[[#This Row],[Math_Score]],Raw_Data34[[#This Row],[Science_Score]],Raw_Data34[[#This Row],[English_Score]])/300</f>
        <v>0.98666666666666669</v>
      </c>
      <c r="I8" s="7">
        <f>SUM(Raw_Data34[[#This Row],[Math_Score]],Raw_Data34[[#This Row],[Science_Score]],Raw_Data34[[#This Row],[English_Score]])</f>
        <v>296</v>
      </c>
      <c r="J8" s="22">
        <f>Raw_Data34[[#This Row],[Total_score]]/3</f>
        <v>98.666666666666671</v>
      </c>
      <c r="K8" s="22" t="str">
        <f>IF(Raw_Data34[[#This Row],[Average_score]]&gt;=40,"Pass","Fail")</f>
        <v>Pass</v>
      </c>
      <c r="L8" s="22" t="str" cm="1">
        <f t="array" ref="L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8" s="26">
        <f>_xlfn.RANK.EQ(Raw_Data34[[#This Row],[Average_score]],Raw_Data34[[Student_ID]:[Average_score]],1)</f>
        <v>689</v>
      </c>
      <c r="N8" s="24" t="str" cm="1">
        <f t="array" ref="N8">_xlfn.IFS(Raw_Data34[[#This Row],[Attendance_%]]&gt;=90,"Excellent",AND(Raw_Data34[[#This Row],[Attendance_%]]&gt;=75, Raw_Data34[[#This Row],[Attendance_%]]&lt;90),"Good",Raw_Data34[[#This Row],[Attendance_%]]&lt;75,"Low")</f>
        <v>Excellent</v>
      </c>
      <c r="U8" s="27" t="s">
        <v>119</v>
      </c>
      <c r="V8" s="28"/>
      <c r="W8" s="28"/>
      <c r="X8" s="28"/>
      <c r="Y8" s="28"/>
      <c r="Z8" s="28"/>
    </row>
    <row r="9" spans="1:27" x14ac:dyDescent="0.9">
      <c r="A9" s="5" t="s">
        <v>16</v>
      </c>
      <c r="B9" s="6" t="s">
        <v>8</v>
      </c>
      <c r="C9" s="7">
        <v>19</v>
      </c>
      <c r="D9" s="8">
        <v>89.7</v>
      </c>
      <c r="E9" s="7">
        <v>72</v>
      </c>
      <c r="F9" s="7">
        <v>92</v>
      </c>
      <c r="G9" s="7">
        <v>73</v>
      </c>
      <c r="H9" s="15">
        <f>SUM(Raw_Data34[[#This Row],[Math_Score]],Raw_Data34[[#This Row],[Science_Score]],Raw_Data34[[#This Row],[English_Score]])/300</f>
        <v>0.79</v>
      </c>
      <c r="I9" s="7">
        <f>SUM(Raw_Data34[[#This Row],[Math_Score]],Raw_Data34[[#This Row],[Science_Score]],Raw_Data34[[#This Row],[English_Score]])</f>
        <v>237</v>
      </c>
      <c r="J9" s="22">
        <f>Raw_Data34[[#This Row],[Total_score]]/3</f>
        <v>79</v>
      </c>
      <c r="K9" s="22" t="str">
        <f>IF(Raw_Data34[[#This Row],[Average_score]]&gt;=40,"Pass","Fail")</f>
        <v>Pass</v>
      </c>
      <c r="L9" s="22" t="str" cm="1">
        <f t="array" ref="L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9" s="26">
        <f>_xlfn.RANK.EQ(Raw_Data34[[#This Row],[Average_score]],Raw_Data34[[Student_ID]:[Average_score]],1)</f>
        <v>533</v>
      </c>
      <c r="N9" s="24" t="str" cm="1">
        <f t="array" ref="N9">_xlfn.IFS(Raw_Data34[[#This Row],[Attendance_%]]&gt;=90,"Excellent",AND(Raw_Data34[[#This Row],[Attendance_%]]&gt;=75, Raw_Data34[[#This Row],[Attendance_%]]&lt;90),"Good",Raw_Data34[[#This Row],[Attendance_%]]&lt;75,"Low")</f>
        <v>Good</v>
      </c>
      <c r="W9" s="36" t="s">
        <v>115</v>
      </c>
      <c r="X9" s="24" t="s">
        <v>124</v>
      </c>
    </row>
    <row r="10" spans="1:27" x14ac:dyDescent="0.9">
      <c r="A10" s="5" t="s">
        <v>17</v>
      </c>
      <c r="B10" s="6" t="s">
        <v>8</v>
      </c>
      <c r="C10" s="7">
        <v>18</v>
      </c>
      <c r="D10" s="8">
        <v>77.3</v>
      </c>
      <c r="E10" s="7">
        <v>68</v>
      </c>
      <c r="F10" s="7">
        <v>71</v>
      </c>
      <c r="G10" s="7">
        <v>67</v>
      </c>
      <c r="H10" s="15">
        <f>SUM(Raw_Data34[[#This Row],[Math_Score]],Raw_Data34[[#This Row],[Science_Score]],Raw_Data34[[#This Row],[English_Score]])/300</f>
        <v>0.68666666666666665</v>
      </c>
      <c r="I10" s="7">
        <f>SUM(Raw_Data34[[#This Row],[Math_Score]],Raw_Data34[[#This Row],[Science_Score]],Raw_Data34[[#This Row],[English_Score]])</f>
        <v>206</v>
      </c>
      <c r="J10" s="22">
        <f>Raw_Data34[[#This Row],[Total_score]]/3</f>
        <v>68.666666666666671</v>
      </c>
      <c r="K10" s="22" t="str">
        <f>IF(Raw_Data34[[#This Row],[Average_score]]&gt;=40,"Pass","Fail")</f>
        <v>Pass</v>
      </c>
      <c r="L10" s="22" t="str" cm="1">
        <f t="array" ref="L1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10" s="26">
        <f>_xlfn.RANK.EQ(Raw_Data34[[#This Row],[Average_score]],Raw_Data34[[Student_ID]:[Average_score]],1)</f>
        <v>392</v>
      </c>
      <c r="N10" s="24" t="str" cm="1">
        <f t="array" ref="N10">_xlfn.IFS(Raw_Data34[[#This Row],[Attendance_%]]&gt;=90,"Excellent",AND(Raw_Data34[[#This Row],[Attendance_%]]&gt;=75, Raw_Data34[[#This Row],[Attendance_%]]&lt;90),"Good",Raw_Data34[[#This Row],[Attendance_%]]&lt;75,"Low")</f>
        <v>Good</v>
      </c>
      <c r="U10" s="30"/>
      <c r="V10" s="31"/>
      <c r="W10" s="31"/>
      <c r="X10" s="31"/>
      <c r="Y10" s="31"/>
      <c r="Z10" s="31"/>
    </row>
    <row r="11" spans="1:27" x14ac:dyDescent="0.9">
      <c r="A11" s="5" t="s">
        <v>18</v>
      </c>
      <c r="B11" s="6" t="s">
        <v>11</v>
      </c>
      <c r="C11" s="7">
        <v>22</v>
      </c>
      <c r="D11" s="8">
        <v>87.4</v>
      </c>
      <c r="E11" s="7">
        <v>74</v>
      </c>
      <c r="F11" s="7">
        <v>84</v>
      </c>
      <c r="G11" s="7">
        <v>68</v>
      </c>
      <c r="H11" s="15">
        <f>SUM(Raw_Data34[[#This Row],[Math_Score]],Raw_Data34[[#This Row],[Science_Score]],Raw_Data34[[#This Row],[English_Score]])/300</f>
        <v>0.7533333333333333</v>
      </c>
      <c r="I11" s="7">
        <f>SUM(Raw_Data34[[#This Row],[Math_Score]],Raw_Data34[[#This Row],[Science_Score]],Raw_Data34[[#This Row],[English_Score]])</f>
        <v>226</v>
      </c>
      <c r="J11" s="22">
        <f>Raw_Data34[[#This Row],[Total_score]]/3</f>
        <v>75.333333333333329</v>
      </c>
      <c r="K11" s="22" t="str">
        <f>IF(Raw_Data34[[#This Row],[Average_score]]&gt;=40,"Pass","Fail")</f>
        <v>Pass</v>
      </c>
      <c r="L11" s="22" t="str" cm="1">
        <f t="array" ref="L1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11" s="26">
        <f>_xlfn.RANK.EQ(Raw_Data34[[#This Row],[Average_score]],Raw_Data34[[Student_ID]:[Average_score]],1)</f>
        <v>481</v>
      </c>
      <c r="N11" s="24" t="str" cm="1">
        <f t="array" ref="N11">_xlfn.IFS(Raw_Data34[[#This Row],[Attendance_%]]&gt;=90,"Excellent",AND(Raw_Data34[[#This Row],[Attendance_%]]&gt;=75, Raw_Data34[[#This Row],[Attendance_%]]&lt;90),"Good",Raw_Data34[[#This Row],[Attendance_%]]&lt;75,"Low")</f>
        <v>Good</v>
      </c>
      <c r="W11" s="36" t="s">
        <v>121</v>
      </c>
      <c r="X11" s="24" t="s">
        <v>126</v>
      </c>
    </row>
    <row r="12" spans="1:27" x14ac:dyDescent="0.9">
      <c r="A12" s="5" t="s">
        <v>19</v>
      </c>
      <c r="B12" s="6" t="s">
        <v>11</v>
      </c>
      <c r="C12" s="7">
        <v>22</v>
      </c>
      <c r="D12" s="8">
        <v>77.400000000000006</v>
      </c>
      <c r="E12" s="7">
        <v>46</v>
      </c>
      <c r="F12" s="7">
        <v>46</v>
      </c>
      <c r="G12" s="7">
        <v>27</v>
      </c>
      <c r="H12" s="15">
        <f>SUM(Raw_Data34[[#This Row],[Math_Score]],Raw_Data34[[#This Row],[Science_Score]],Raw_Data34[[#This Row],[English_Score]])/300</f>
        <v>0.39666666666666667</v>
      </c>
      <c r="I12" s="7">
        <f>SUM(Raw_Data34[[#This Row],[Math_Score]],Raw_Data34[[#This Row],[Science_Score]],Raw_Data34[[#This Row],[English_Score]])</f>
        <v>119</v>
      </c>
      <c r="J12" s="22">
        <f>Raw_Data34[[#This Row],[Total_score]]/3</f>
        <v>39.666666666666664</v>
      </c>
      <c r="K12" s="22" t="str">
        <f>IF(Raw_Data34[[#This Row],[Average_score]]&gt;=40,"Pass","Fail")</f>
        <v>Fail</v>
      </c>
      <c r="L12" s="22" t="str" cm="1">
        <f t="array" ref="L1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Fail</v>
      </c>
      <c r="M12" s="26">
        <f>_xlfn.RANK.EQ(Raw_Data34[[#This Row],[Average_score]],Raw_Data34[[Student_ID]:[Average_score]],1)</f>
        <v>205</v>
      </c>
      <c r="N12" s="24" t="str" cm="1">
        <f t="array" ref="N12">_xlfn.IFS(Raw_Data34[[#This Row],[Attendance_%]]&gt;=90,"Excellent",AND(Raw_Data34[[#This Row],[Attendance_%]]&gt;=75, Raw_Data34[[#This Row],[Attendance_%]]&lt;90),"Good",Raw_Data34[[#This Row],[Attendance_%]]&lt;75,"Low")</f>
        <v>Good</v>
      </c>
      <c r="W12" s="37">
        <v>55.8</v>
      </c>
      <c r="X12" s="7">
        <v>184</v>
      </c>
    </row>
    <row r="13" spans="1:27" x14ac:dyDescent="0.9">
      <c r="A13" s="5" t="s">
        <v>20</v>
      </c>
      <c r="B13" s="6" t="s">
        <v>8</v>
      </c>
      <c r="C13" s="7">
        <v>18</v>
      </c>
      <c r="D13" s="8">
        <v>77.3</v>
      </c>
      <c r="E13" s="7">
        <v>77</v>
      </c>
      <c r="F13" s="7">
        <v>77</v>
      </c>
      <c r="G13" s="7">
        <v>75</v>
      </c>
      <c r="H13" s="15">
        <f>SUM(Raw_Data34[[#This Row],[Math_Score]],Raw_Data34[[#This Row],[Science_Score]],Raw_Data34[[#This Row],[English_Score]])/300</f>
        <v>0.76333333333333331</v>
      </c>
      <c r="I13" s="7">
        <f>SUM(Raw_Data34[[#This Row],[Math_Score]],Raw_Data34[[#This Row],[Science_Score]],Raw_Data34[[#This Row],[English_Score]])</f>
        <v>229</v>
      </c>
      <c r="J13" s="22">
        <f>Raw_Data34[[#This Row],[Total_score]]/3</f>
        <v>76.333333333333329</v>
      </c>
      <c r="K13" s="22" t="str">
        <f>IF(Raw_Data34[[#This Row],[Average_score]]&gt;=40,"Pass","Fail")</f>
        <v>Pass</v>
      </c>
      <c r="L13" s="22" t="str" cm="1">
        <f t="array" ref="L1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13" s="26">
        <f>_xlfn.RANK.EQ(Raw_Data34[[#This Row],[Average_score]],Raw_Data34[[Student_ID]:[Average_score]],1)</f>
        <v>499</v>
      </c>
      <c r="N13" s="24" t="str" cm="1">
        <f t="array" ref="N13">_xlfn.IFS(Raw_Data34[[#This Row],[Attendance_%]]&gt;=90,"Excellent",AND(Raw_Data34[[#This Row],[Attendance_%]]&gt;=75, Raw_Data34[[#This Row],[Attendance_%]]&lt;90),"Good",Raw_Data34[[#This Row],[Attendance_%]]&lt;75,"Low")</f>
        <v>Good</v>
      </c>
      <c r="W13" s="37">
        <v>62.1</v>
      </c>
      <c r="X13" s="7">
        <v>288</v>
      </c>
    </row>
    <row r="14" spans="1:27" x14ac:dyDescent="0.9">
      <c r="A14" s="5" t="s">
        <v>21</v>
      </c>
      <c r="B14" s="6" t="s">
        <v>11</v>
      </c>
      <c r="C14" s="7">
        <v>22</v>
      </c>
      <c r="D14" s="8">
        <v>84.4</v>
      </c>
      <c r="E14" s="7">
        <v>68</v>
      </c>
      <c r="F14" s="7">
        <v>80</v>
      </c>
      <c r="G14" s="7">
        <v>76</v>
      </c>
      <c r="H14" s="15">
        <f>SUM(Raw_Data34[[#This Row],[Math_Score]],Raw_Data34[[#This Row],[Science_Score]],Raw_Data34[[#This Row],[English_Score]])/300</f>
        <v>0.7466666666666667</v>
      </c>
      <c r="I14" s="7">
        <f>SUM(Raw_Data34[[#This Row],[Math_Score]],Raw_Data34[[#This Row],[Science_Score]],Raw_Data34[[#This Row],[English_Score]])</f>
        <v>224</v>
      </c>
      <c r="J14" s="22">
        <f>Raw_Data34[[#This Row],[Total_score]]/3</f>
        <v>74.666666666666671</v>
      </c>
      <c r="K14" s="22" t="str">
        <f>IF(Raw_Data34[[#This Row],[Average_score]]&gt;=40,"Pass","Fail")</f>
        <v>Pass</v>
      </c>
      <c r="L14" s="22" t="str" cm="1">
        <f t="array" ref="L1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14" s="26">
        <f>_xlfn.RANK.EQ(Raw_Data34[[#This Row],[Average_score]],Raw_Data34[[Student_ID]:[Average_score]],1)</f>
        <v>462</v>
      </c>
      <c r="N14" s="24" t="str" cm="1">
        <f t="array" ref="N14">_xlfn.IFS(Raw_Data34[[#This Row],[Attendance_%]]&gt;=90,"Excellent",AND(Raw_Data34[[#This Row],[Attendance_%]]&gt;=75, Raw_Data34[[#This Row],[Attendance_%]]&lt;90),"Good",Raw_Data34[[#This Row],[Attendance_%]]&lt;75,"Low")</f>
        <v>Good</v>
      </c>
      <c r="W14" s="37">
        <v>62.4</v>
      </c>
      <c r="X14" s="7">
        <v>171</v>
      </c>
    </row>
    <row r="15" spans="1:27" x14ac:dyDescent="0.9">
      <c r="A15" s="5" t="s">
        <v>22</v>
      </c>
      <c r="B15" s="6" t="s">
        <v>8</v>
      </c>
      <c r="C15" s="7">
        <v>22</v>
      </c>
      <c r="D15" s="8">
        <v>62.9</v>
      </c>
      <c r="E15" s="7">
        <v>100</v>
      </c>
      <c r="F15" s="7">
        <v>93</v>
      </c>
      <c r="G15" s="7">
        <v>94</v>
      </c>
      <c r="H15" s="15">
        <f>SUM(Raw_Data34[[#This Row],[Math_Score]],Raw_Data34[[#This Row],[Science_Score]],Raw_Data34[[#This Row],[English_Score]])/300</f>
        <v>0.95666666666666667</v>
      </c>
      <c r="I15" s="7">
        <f>SUM(Raw_Data34[[#This Row],[Math_Score]],Raw_Data34[[#This Row],[Science_Score]],Raw_Data34[[#This Row],[English_Score]])</f>
        <v>287</v>
      </c>
      <c r="J15" s="22">
        <f>Raw_Data34[[#This Row],[Total_score]]/3</f>
        <v>95.666666666666671</v>
      </c>
      <c r="K15" s="22" t="str">
        <f>IF(Raw_Data34[[#This Row],[Average_score]]&gt;=40,"Pass","Fail")</f>
        <v>Pass</v>
      </c>
      <c r="L15" s="22" t="str" cm="1">
        <f t="array" ref="L1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15" s="26">
        <f>_xlfn.RANK.EQ(Raw_Data34[[#This Row],[Average_score]],Raw_Data34[[Student_ID]:[Average_score]],1)</f>
        <v>674</v>
      </c>
      <c r="N15" s="24" t="str" cm="1">
        <f t="array" ref="N15">_xlfn.IFS(Raw_Data34[[#This Row],[Attendance_%]]&gt;=90,"Excellent",AND(Raw_Data34[[#This Row],[Attendance_%]]&gt;=75, Raw_Data34[[#This Row],[Attendance_%]]&lt;90),"Good",Raw_Data34[[#This Row],[Attendance_%]]&lt;75,"Low")</f>
        <v>Low</v>
      </c>
      <c r="W15" s="37">
        <v>62.9</v>
      </c>
      <c r="X15" s="7">
        <v>287</v>
      </c>
    </row>
    <row r="16" spans="1:27" x14ac:dyDescent="0.9">
      <c r="A16" s="5" t="s">
        <v>23</v>
      </c>
      <c r="B16" s="6" t="s">
        <v>11</v>
      </c>
      <c r="C16" s="7">
        <v>22</v>
      </c>
      <c r="D16" s="8">
        <v>64.8</v>
      </c>
      <c r="E16" s="7">
        <v>60</v>
      </c>
      <c r="F16" s="7">
        <v>51</v>
      </c>
      <c r="G16" s="7">
        <v>65</v>
      </c>
      <c r="H16" s="15">
        <f>SUM(Raw_Data34[[#This Row],[Math_Score]],Raw_Data34[[#This Row],[Science_Score]],Raw_Data34[[#This Row],[English_Score]])/300</f>
        <v>0.58666666666666667</v>
      </c>
      <c r="I16" s="7">
        <f>SUM(Raw_Data34[[#This Row],[Math_Score]],Raw_Data34[[#This Row],[Science_Score]],Raw_Data34[[#This Row],[English_Score]])</f>
        <v>176</v>
      </c>
      <c r="J16" s="22">
        <f>Raw_Data34[[#This Row],[Total_score]]/3</f>
        <v>58.666666666666664</v>
      </c>
      <c r="K16" s="22" t="str">
        <f>IF(Raw_Data34[[#This Row],[Average_score]]&gt;=40,"Pass","Fail")</f>
        <v>Pass</v>
      </c>
      <c r="L16" s="22" t="str" cm="1">
        <f t="array" ref="L1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16" s="26">
        <f>_xlfn.RANK.EQ(Raw_Data34[[#This Row],[Average_score]],Raw_Data34[[Student_ID]:[Average_score]],1)</f>
        <v>280</v>
      </c>
      <c r="N16" s="24" t="str" cm="1">
        <f t="array" ref="N16">_xlfn.IFS(Raw_Data34[[#This Row],[Attendance_%]]&gt;=90,"Excellent",AND(Raw_Data34[[#This Row],[Attendance_%]]&gt;=75, Raw_Data34[[#This Row],[Attendance_%]]&lt;90),"Good",Raw_Data34[[#This Row],[Attendance_%]]&lt;75,"Low")</f>
        <v>Low</v>
      </c>
      <c r="W16" s="37">
        <v>64.400000000000006</v>
      </c>
      <c r="X16" s="7">
        <v>218</v>
      </c>
    </row>
    <row r="17" spans="1:24" x14ac:dyDescent="0.9">
      <c r="A17" s="5" t="s">
        <v>24</v>
      </c>
      <c r="B17" s="6" t="s">
        <v>8</v>
      </c>
      <c r="C17" s="7">
        <v>20</v>
      </c>
      <c r="D17" s="8">
        <v>76.400000000000006</v>
      </c>
      <c r="E17" s="7">
        <v>80</v>
      </c>
      <c r="F17" s="7">
        <v>68</v>
      </c>
      <c r="G17" s="7">
        <v>76</v>
      </c>
      <c r="H17" s="15">
        <f>SUM(Raw_Data34[[#This Row],[Math_Score]],Raw_Data34[[#This Row],[Science_Score]],Raw_Data34[[#This Row],[English_Score]])/300</f>
        <v>0.7466666666666667</v>
      </c>
      <c r="I17" s="7">
        <f>SUM(Raw_Data34[[#This Row],[Math_Score]],Raw_Data34[[#This Row],[Science_Score]],Raw_Data34[[#This Row],[English_Score]])</f>
        <v>224</v>
      </c>
      <c r="J17" s="22">
        <f>Raw_Data34[[#This Row],[Total_score]]/3</f>
        <v>74.666666666666671</v>
      </c>
      <c r="K17" s="22" t="str">
        <f>IF(Raw_Data34[[#This Row],[Average_score]]&gt;=40,"Pass","Fail")</f>
        <v>Pass</v>
      </c>
      <c r="L17" s="22" t="str" cm="1">
        <f t="array" ref="L1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17" s="26">
        <f>_xlfn.RANK.EQ(Raw_Data34[[#This Row],[Average_score]],Raw_Data34[[Student_ID]:[Average_score]],1)</f>
        <v>462</v>
      </c>
      <c r="N17" s="24" t="str" cm="1">
        <f t="array" ref="N17">_xlfn.IFS(Raw_Data34[[#This Row],[Attendance_%]]&gt;=90,"Excellent",AND(Raw_Data34[[#This Row],[Attendance_%]]&gt;=75, Raw_Data34[[#This Row],[Attendance_%]]&lt;90),"Good",Raw_Data34[[#This Row],[Attendance_%]]&lt;75,"Low")</f>
        <v>Good</v>
      </c>
      <c r="W17" s="37">
        <v>64.8</v>
      </c>
      <c r="X17" s="7">
        <v>176</v>
      </c>
    </row>
    <row r="18" spans="1:24" x14ac:dyDescent="0.9">
      <c r="A18" s="5" t="s">
        <v>25</v>
      </c>
      <c r="B18" s="6" t="s">
        <v>11</v>
      </c>
      <c r="C18" s="7">
        <v>21</v>
      </c>
      <c r="D18" s="8">
        <v>71.900000000000006</v>
      </c>
      <c r="E18" s="7">
        <v>64</v>
      </c>
      <c r="F18" s="7">
        <v>78</v>
      </c>
      <c r="G18" s="7">
        <v>62</v>
      </c>
      <c r="H18" s="15">
        <f>SUM(Raw_Data34[[#This Row],[Math_Score]],Raw_Data34[[#This Row],[Science_Score]],Raw_Data34[[#This Row],[English_Score]])/300</f>
        <v>0.68</v>
      </c>
      <c r="I18" s="7">
        <f>SUM(Raw_Data34[[#This Row],[Math_Score]],Raw_Data34[[#This Row],[Science_Score]],Raw_Data34[[#This Row],[English_Score]])</f>
        <v>204</v>
      </c>
      <c r="J18" s="22">
        <f>Raw_Data34[[#This Row],[Total_score]]/3</f>
        <v>68</v>
      </c>
      <c r="K18" s="22" t="str">
        <f>IF(Raw_Data34[[#This Row],[Average_score]]&gt;=40,"Pass","Fail")</f>
        <v>Pass</v>
      </c>
      <c r="L18" s="22" t="str" cm="1">
        <f t="array" ref="L1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18" s="26">
        <f>_xlfn.RANK.EQ(Raw_Data34[[#This Row],[Average_score]],Raw_Data34[[Student_ID]:[Average_score]],1)</f>
        <v>378</v>
      </c>
      <c r="N18" s="24" t="str" cm="1">
        <f t="array" ref="N18">_xlfn.IFS(Raw_Data34[[#This Row],[Attendance_%]]&gt;=90,"Excellent",AND(Raw_Data34[[#This Row],[Attendance_%]]&gt;=75, Raw_Data34[[#This Row],[Attendance_%]]&lt;90),"Good",Raw_Data34[[#This Row],[Attendance_%]]&lt;75,"Low")</f>
        <v>Low</v>
      </c>
      <c r="W18" s="37">
        <v>67.2</v>
      </c>
      <c r="X18" s="7">
        <v>206</v>
      </c>
    </row>
    <row r="19" spans="1:24" x14ac:dyDescent="0.9">
      <c r="A19" s="5" t="s">
        <v>26</v>
      </c>
      <c r="B19" s="6" t="s">
        <v>8</v>
      </c>
      <c r="C19" s="7">
        <v>19</v>
      </c>
      <c r="D19" s="8">
        <v>85.1</v>
      </c>
      <c r="E19" s="7">
        <v>52</v>
      </c>
      <c r="F19" s="7">
        <v>64</v>
      </c>
      <c r="G19" s="7">
        <v>55</v>
      </c>
      <c r="H19" s="15">
        <f>SUM(Raw_Data34[[#This Row],[Math_Score]],Raw_Data34[[#This Row],[Science_Score]],Raw_Data34[[#This Row],[English_Score]])/300</f>
        <v>0.56999999999999995</v>
      </c>
      <c r="I19" s="7">
        <f>SUM(Raw_Data34[[#This Row],[Math_Score]],Raw_Data34[[#This Row],[Science_Score]],Raw_Data34[[#This Row],[English_Score]])</f>
        <v>171</v>
      </c>
      <c r="J19" s="22">
        <f>Raw_Data34[[#This Row],[Total_score]]/3</f>
        <v>57</v>
      </c>
      <c r="K19" s="22" t="str">
        <f>IF(Raw_Data34[[#This Row],[Average_score]]&gt;=40,"Pass","Fail")</f>
        <v>Pass</v>
      </c>
      <c r="L19" s="22" t="str" cm="1">
        <f t="array" ref="L1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19" s="26">
        <f>_xlfn.RANK.EQ(Raw_Data34[[#This Row],[Average_score]],Raw_Data34[[Student_ID]:[Average_score]],1)</f>
        <v>269</v>
      </c>
      <c r="N19" s="24" t="str" cm="1">
        <f t="array" ref="N19">_xlfn.IFS(Raw_Data34[[#This Row],[Attendance_%]]&gt;=90,"Excellent",AND(Raw_Data34[[#This Row],[Attendance_%]]&gt;=75, Raw_Data34[[#This Row],[Attendance_%]]&lt;90),"Good",Raw_Data34[[#This Row],[Attendance_%]]&lt;75,"Low")</f>
        <v>Good</v>
      </c>
      <c r="W19" s="37">
        <v>67.400000000000006</v>
      </c>
      <c r="X19" s="7">
        <v>202</v>
      </c>
    </row>
    <row r="20" spans="1:24" x14ac:dyDescent="0.9">
      <c r="A20" s="5" t="s">
        <v>27</v>
      </c>
      <c r="B20" s="6" t="s">
        <v>11</v>
      </c>
      <c r="C20" s="7">
        <v>20</v>
      </c>
      <c r="D20" s="8">
        <v>72.900000000000006</v>
      </c>
      <c r="E20" s="7">
        <v>98</v>
      </c>
      <c r="F20" s="7">
        <v>75</v>
      </c>
      <c r="G20" s="7">
        <v>86</v>
      </c>
      <c r="H20" s="15">
        <f>SUM(Raw_Data34[[#This Row],[Math_Score]],Raw_Data34[[#This Row],[Science_Score]],Raw_Data34[[#This Row],[English_Score]])/300</f>
        <v>0.86333333333333329</v>
      </c>
      <c r="I20" s="7">
        <f>SUM(Raw_Data34[[#This Row],[Math_Score]],Raw_Data34[[#This Row],[Science_Score]],Raw_Data34[[#This Row],[English_Score]])</f>
        <v>259</v>
      </c>
      <c r="J20" s="22">
        <f>Raw_Data34[[#This Row],[Total_score]]/3</f>
        <v>86.333333333333329</v>
      </c>
      <c r="K20" s="22" t="str">
        <f>IF(Raw_Data34[[#This Row],[Average_score]]&gt;=40,"Pass","Fail")</f>
        <v>Pass</v>
      </c>
      <c r="L20" s="22" t="str" cm="1">
        <f t="array" ref="L2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20" s="26">
        <f>_xlfn.RANK.EQ(Raw_Data34[[#This Row],[Average_score]],Raw_Data34[[Student_ID]:[Average_score]],1)</f>
        <v>623</v>
      </c>
      <c r="N20" s="24" t="str" cm="1">
        <f t="array" ref="N20">_xlfn.IFS(Raw_Data34[[#This Row],[Attendance_%]]&gt;=90,"Excellent",AND(Raw_Data34[[#This Row],[Attendance_%]]&gt;=75, Raw_Data34[[#This Row],[Attendance_%]]&lt;90),"Good",Raw_Data34[[#This Row],[Attendance_%]]&lt;75,"Low")</f>
        <v>Low</v>
      </c>
      <c r="W20" s="37">
        <v>67.8</v>
      </c>
      <c r="X20" s="7">
        <v>128</v>
      </c>
    </row>
    <row r="21" spans="1:24" x14ac:dyDescent="0.9">
      <c r="A21" s="5" t="s">
        <v>28</v>
      </c>
      <c r="B21" s="6" t="s">
        <v>8</v>
      </c>
      <c r="C21" s="7">
        <v>22</v>
      </c>
      <c r="D21" s="8">
        <v>67.900000000000006</v>
      </c>
      <c r="E21" s="7">
        <v>84</v>
      </c>
      <c r="F21" s="7">
        <v>70</v>
      </c>
      <c r="G21" s="7">
        <v>77</v>
      </c>
      <c r="H21" s="15">
        <f>SUM(Raw_Data34[[#This Row],[Math_Score]],Raw_Data34[[#This Row],[Science_Score]],Raw_Data34[[#This Row],[English_Score]])/300</f>
        <v>0.77</v>
      </c>
      <c r="I21" s="7">
        <f>SUM(Raw_Data34[[#This Row],[Math_Score]],Raw_Data34[[#This Row],[Science_Score]],Raw_Data34[[#This Row],[English_Score]])</f>
        <v>231</v>
      </c>
      <c r="J21" s="22">
        <f>Raw_Data34[[#This Row],[Total_score]]/3</f>
        <v>77</v>
      </c>
      <c r="K21" s="22" t="str">
        <f>IF(Raw_Data34[[#This Row],[Average_score]]&gt;=40,"Pass","Fail")</f>
        <v>Pass</v>
      </c>
      <c r="L21" s="22" t="str" cm="1">
        <f t="array" ref="L2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21" s="26">
        <f>_xlfn.RANK.EQ(Raw_Data34[[#This Row],[Average_score]],Raw_Data34[[Student_ID]:[Average_score]],1)</f>
        <v>504</v>
      </c>
      <c r="N21" s="24" t="str" cm="1">
        <f t="array" ref="N21">_xlfn.IFS(Raw_Data34[[#This Row],[Attendance_%]]&gt;=90,"Excellent",AND(Raw_Data34[[#This Row],[Attendance_%]]&gt;=75, Raw_Data34[[#This Row],[Attendance_%]]&lt;90),"Good",Raw_Data34[[#This Row],[Attendance_%]]&lt;75,"Low")</f>
        <v>Low</v>
      </c>
      <c r="W21" s="37">
        <v>67.900000000000006</v>
      </c>
      <c r="X21" s="7">
        <v>231</v>
      </c>
    </row>
    <row r="22" spans="1:24" x14ac:dyDescent="0.9">
      <c r="A22" s="5" t="s">
        <v>29</v>
      </c>
      <c r="B22" s="6" t="s">
        <v>8</v>
      </c>
      <c r="C22" s="7">
        <v>18</v>
      </c>
      <c r="D22" s="8">
        <v>96.7</v>
      </c>
      <c r="E22" s="7">
        <v>69</v>
      </c>
      <c r="F22" s="7">
        <v>68</v>
      </c>
      <c r="G22" s="7">
        <v>100</v>
      </c>
      <c r="H22" s="15">
        <f>SUM(Raw_Data34[[#This Row],[Math_Score]],Raw_Data34[[#This Row],[Science_Score]],Raw_Data34[[#This Row],[English_Score]])/300</f>
        <v>0.79</v>
      </c>
      <c r="I22" s="7">
        <f>SUM(Raw_Data34[[#This Row],[Math_Score]],Raw_Data34[[#This Row],[Science_Score]],Raw_Data34[[#This Row],[English_Score]])</f>
        <v>237</v>
      </c>
      <c r="J22" s="22">
        <f>Raw_Data34[[#This Row],[Total_score]]/3</f>
        <v>79</v>
      </c>
      <c r="K22" s="22" t="str">
        <f>IF(Raw_Data34[[#This Row],[Average_score]]&gt;=40,"Pass","Fail")</f>
        <v>Pass</v>
      </c>
      <c r="L22" s="22" t="str" cm="1">
        <f t="array" ref="L2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22" s="26">
        <f>_xlfn.RANK.EQ(Raw_Data34[[#This Row],[Average_score]],Raw_Data34[[Student_ID]:[Average_score]],1)</f>
        <v>533</v>
      </c>
      <c r="N22" s="24" t="str" cm="1">
        <f t="array" ref="N22">_xlfn.IFS(Raw_Data34[[#This Row],[Attendance_%]]&gt;=90,"Excellent",AND(Raw_Data34[[#This Row],[Attendance_%]]&gt;=75, Raw_Data34[[#This Row],[Attendance_%]]&lt;90),"Good",Raw_Data34[[#This Row],[Attendance_%]]&lt;75,"Low")</f>
        <v>Excellent</v>
      </c>
      <c r="W22" s="37">
        <v>68.7</v>
      </c>
      <c r="X22" s="7">
        <v>231</v>
      </c>
    </row>
    <row r="23" spans="1:24" x14ac:dyDescent="0.9">
      <c r="A23" s="5" t="s">
        <v>30</v>
      </c>
      <c r="B23" s="6" t="s">
        <v>11</v>
      </c>
      <c r="C23" s="7">
        <v>22</v>
      </c>
      <c r="D23" s="8">
        <v>79.7</v>
      </c>
      <c r="E23" s="7">
        <v>55</v>
      </c>
      <c r="F23" s="7">
        <v>70</v>
      </c>
      <c r="G23" s="7">
        <v>73</v>
      </c>
      <c r="H23" s="15">
        <f>SUM(Raw_Data34[[#This Row],[Math_Score]],Raw_Data34[[#This Row],[Science_Score]],Raw_Data34[[#This Row],[English_Score]])/300</f>
        <v>0.66</v>
      </c>
      <c r="I23" s="7">
        <f>SUM(Raw_Data34[[#This Row],[Math_Score]],Raw_Data34[[#This Row],[Science_Score]],Raw_Data34[[#This Row],[English_Score]])</f>
        <v>198</v>
      </c>
      <c r="J23" s="22">
        <f>Raw_Data34[[#This Row],[Total_score]]/3</f>
        <v>66</v>
      </c>
      <c r="K23" s="22" t="str">
        <f>IF(Raw_Data34[[#This Row],[Average_score]]&gt;=40,"Pass","Fail")</f>
        <v>Pass</v>
      </c>
      <c r="L23" s="22" t="str" cm="1">
        <f t="array" ref="L2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23" s="26">
        <f>_xlfn.RANK.EQ(Raw_Data34[[#This Row],[Average_score]],Raw_Data34[[Student_ID]:[Average_score]],1)</f>
        <v>354</v>
      </c>
      <c r="N23" s="24" t="str" cm="1">
        <f t="array" ref="N23">_xlfn.IFS(Raw_Data34[[#This Row],[Attendance_%]]&gt;=90,"Excellent",AND(Raw_Data34[[#This Row],[Attendance_%]]&gt;=75, Raw_Data34[[#This Row],[Attendance_%]]&lt;90),"Good",Raw_Data34[[#This Row],[Attendance_%]]&lt;75,"Low")</f>
        <v>Good</v>
      </c>
      <c r="W23" s="37">
        <v>69.8</v>
      </c>
      <c r="X23" s="7">
        <v>247</v>
      </c>
    </row>
    <row r="24" spans="1:24" x14ac:dyDescent="0.9">
      <c r="A24" s="5" t="s">
        <v>31</v>
      </c>
      <c r="B24" s="6" t="s">
        <v>11</v>
      </c>
      <c r="C24" s="7">
        <v>21</v>
      </c>
      <c r="D24" s="8">
        <v>82.7</v>
      </c>
      <c r="E24" s="7">
        <v>99</v>
      </c>
      <c r="F24" s="7">
        <v>94</v>
      </c>
      <c r="G24" s="7">
        <v>96</v>
      </c>
      <c r="H24" s="15">
        <f>SUM(Raw_Data34[[#This Row],[Math_Score]],Raw_Data34[[#This Row],[Science_Score]],Raw_Data34[[#This Row],[English_Score]])/300</f>
        <v>0.96333333333333337</v>
      </c>
      <c r="I24" s="7">
        <f>SUM(Raw_Data34[[#This Row],[Math_Score]],Raw_Data34[[#This Row],[Science_Score]],Raw_Data34[[#This Row],[English_Score]])</f>
        <v>289</v>
      </c>
      <c r="J24" s="22">
        <f>Raw_Data34[[#This Row],[Total_score]]/3</f>
        <v>96.333333333333329</v>
      </c>
      <c r="K24" s="22" t="str">
        <f>IF(Raw_Data34[[#This Row],[Average_score]]&gt;=40,"Pass","Fail")</f>
        <v>Pass</v>
      </c>
      <c r="L24" s="22" t="str" cm="1">
        <f t="array" ref="L2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24" s="26">
        <f>_xlfn.RANK.EQ(Raw_Data34[[#This Row],[Average_score]],Raw_Data34[[Student_ID]:[Average_score]],1)</f>
        <v>679</v>
      </c>
      <c r="N24" s="24" t="str" cm="1">
        <f t="array" ref="N24">_xlfn.IFS(Raw_Data34[[#This Row],[Attendance_%]]&gt;=90,"Excellent",AND(Raw_Data34[[#This Row],[Attendance_%]]&gt;=75, Raw_Data34[[#This Row],[Attendance_%]]&lt;90),"Good",Raw_Data34[[#This Row],[Attendance_%]]&lt;75,"Low")</f>
        <v>Good</v>
      </c>
      <c r="W24" s="37">
        <v>70</v>
      </c>
      <c r="X24" s="7">
        <v>185</v>
      </c>
    </row>
    <row r="25" spans="1:24" x14ac:dyDescent="0.9">
      <c r="A25" s="5" t="s">
        <v>32</v>
      </c>
      <c r="B25" s="6" t="s">
        <v>8</v>
      </c>
      <c r="C25" s="7">
        <v>22</v>
      </c>
      <c r="D25" s="8">
        <v>67.8</v>
      </c>
      <c r="E25" s="7">
        <v>38</v>
      </c>
      <c r="F25" s="7">
        <v>46</v>
      </c>
      <c r="G25" s="7">
        <v>44</v>
      </c>
      <c r="H25" s="15">
        <f>SUM(Raw_Data34[[#This Row],[Math_Score]],Raw_Data34[[#This Row],[Science_Score]],Raw_Data34[[#This Row],[English_Score]])/300</f>
        <v>0.42666666666666669</v>
      </c>
      <c r="I25" s="7">
        <f>SUM(Raw_Data34[[#This Row],[Math_Score]],Raw_Data34[[#This Row],[Science_Score]],Raw_Data34[[#This Row],[English_Score]])</f>
        <v>128</v>
      </c>
      <c r="J25" s="22">
        <f>Raw_Data34[[#This Row],[Total_score]]/3</f>
        <v>42.666666666666664</v>
      </c>
      <c r="K25" s="22" t="str">
        <f>IF(Raw_Data34[[#This Row],[Average_score]]&gt;=40,"Pass","Fail")</f>
        <v>Pass</v>
      </c>
      <c r="L25" s="22" t="str" cm="1">
        <f t="array" ref="L2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F</v>
      </c>
      <c r="M25" s="26">
        <f>_xlfn.RANK.EQ(Raw_Data34[[#This Row],[Average_score]],Raw_Data34[[Student_ID]:[Average_score]],1)</f>
        <v>209</v>
      </c>
      <c r="N25" s="24" t="str" cm="1">
        <f t="array" ref="N25">_xlfn.IFS(Raw_Data34[[#This Row],[Attendance_%]]&gt;=90,"Excellent",AND(Raw_Data34[[#This Row],[Attendance_%]]&gt;=75, Raw_Data34[[#This Row],[Attendance_%]]&lt;90),"Good",Raw_Data34[[#This Row],[Attendance_%]]&lt;75,"Low")</f>
        <v>Low</v>
      </c>
      <c r="W25" s="37">
        <v>70.5</v>
      </c>
      <c r="X25" s="7">
        <v>154</v>
      </c>
    </row>
    <row r="26" spans="1:24" x14ac:dyDescent="0.9">
      <c r="A26" s="5" t="s">
        <v>33</v>
      </c>
      <c r="B26" s="6" t="s">
        <v>11</v>
      </c>
      <c r="C26" s="7">
        <v>18</v>
      </c>
      <c r="D26" s="8">
        <v>76.599999999999994</v>
      </c>
      <c r="E26" s="7">
        <v>83</v>
      </c>
      <c r="F26" s="7">
        <v>76</v>
      </c>
      <c r="G26" s="7">
        <v>72</v>
      </c>
      <c r="H26" s="15">
        <f>SUM(Raw_Data34[[#This Row],[Math_Score]],Raw_Data34[[#This Row],[Science_Score]],Raw_Data34[[#This Row],[English_Score]])/300</f>
        <v>0.77</v>
      </c>
      <c r="I26" s="7">
        <f>SUM(Raw_Data34[[#This Row],[Math_Score]],Raw_Data34[[#This Row],[Science_Score]],Raw_Data34[[#This Row],[English_Score]])</f>
        <v>231</v>
      </c>
      <c r="J26" s="22">
        <f>Raw_Data34[[#This Row],[Total_score]]/3</f>
        <v>77</v>
      </c>
      <c r="K26" s="22" t="str">
        <f>IF(Raw_Data34[[#This Row],[Average_score]]&gt;=40,"Pass","Fail")</f>
        <v>Pass</v>
      </c>
      <c r="L26" s="22" t="str" cm="1">
        <f t="array" ref="L2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26" s="26">
        <f>_xlfn.RANK.EQ(Raw_Data34[[#This Row],[Average_score]],Raw_Data34[[Student_ID]:[Average_score]],1)</f>
        <v>504</v>
      </c>
      <c r="N26" s="24" t="str" cm="1">
        <f t="array" ref="N26">_xlfn.IFS(Raw_Data34[[#This Row],[Attendance_%]]&gt;=90,"Excellent",AND(Raw_Data34[[#This Row],[Attendance_%]]&gt;=75, Raw_Data34[[#This Row],[Attendance_%]]&lt;90),"Good",Raw_Data34[[#This Row],[Attendance_%]]&lt;75,"Low")</f>
        <v>Good</v>
      </c>
      <c r="W26" s="37">
        <v>70.900000000000006</v>
      </c>
      <c r="X26" s="7">
        <v>231</v>
      </c>
    </row>
    <row r="27" spans="1:24" x14ac:dyDescent="0.9">
      <c r="A27" s="5" t="s">
        <v>34</v>
      </c>
      <c r="B27" s="6" t="s">
        <v>8</v>
      </c>
      <c r="C27" s="7">
        <v>21</v>
      </c>
      <c r="D27" s="8">
        <v>83.1</v>
      </c>
      <c r="E27" s="7">
        <v>100</v>
      </c>
      <c r="F27" s="7">
        <v>76</v>
      </c>
      <c r="G27" s="7">
        <v>90</v>
      </c>
      <c r="H27" s="15">
        <f>SUM(Raw_Data34[[#This Row],[Math_Score]],Raw_Data34[[#This Row],[Science_Score]],Raw_Data34[[#This Row],[English_Score]])/300</f>
        <v>0.88666666666666671</v>
      </c>
      <c r="I27" s="7">
        <f>SUM(Raw_Data34[[#This Row],[Math_Score]],Raw_Data34[[#This Row],[Science_Score]],Raw_Data34[[#This Row],[English_Score]])</f>
        <v>266</v>
      </c>
      <c r="J27" s="22">
        <f>Raw_Data34[[#This Row],[Total_score]]/3</f>
        <v>88.666666666666671</v>
      </c>
      <c r="K27" s="22" t="str">
        <f>IF(Raw_Data34[[#This Row],[Average_score]]&gt;=40,"Pass","Fail")</f>
        <v>Pass</v>
      </c>
      <c r="L27" s="22" t="str" cm="1">
        <f t="array" ref="L2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27" s="26">
        <f>_xlfn.RANK.EQ(Raw_Data34[[#This Row],[Average_score]],Raw_Data34[[Student_ID]:[Average_score]],1)</f>
        <v>636</v>
      </c>
      <c r="N27" s="24" t="str" cm="1">
        <f t="array" ref="N27">_xlfn.IFS(Raw_Data34[[#This Row],[Attendance_%]]&gt;=90,"Excellent",AND(Raw_Data34[[#This Row],[Attendance_%]]&gt;=75, Raw_Data34[[#This Row],[Attendance_%]]&lt;90),"Good",Raw_Data34[[#This Row],[Attendance_%]]&lt;75,"Low")</f>
        <v>Good</v>
      </c>
      <c r="W27" s="37">
        <v>71.400000000000006</v>
      </c>
      <c r="X27" s="7">
        <v>217</v>
      </c>
    </row>
    <row r="28" spans="1:24" x14ac:dyDescent="0.9">
      <c r="A28" s="5" t="s">
        <v>35</v>
      </c>
      <c r="B28" s="6" t="s">
        <v>11</v>
      </c>
      <c r="C28" s="7">
        <v>22</v>
      </c>
      <c r="D28" s="8">
        <v>70.5</v>
      </c>
      <c r="E28" s="7">
        <v>48</v>
      </c>
      <c r="F28" s="7">
        <v>48</v>
      </c>
      <c r="G28" s="7">
        <v>58</v>
      </c>
      <c r="H28" s="15">
        <f>SUM(Raw_Data34[[#This Row],[Math_Score]],Raw_Data34[[#This Row],[Science_Score]],Raw_Data34[[#This Row],[English_Score]])/300</f>
        <v>0.51333333333333331</v>
      </c>
      <c r="I28" s="7">
        <f>SUM(Raw_Data34[[#This Row],[Math_Score]],Raw_Data34[[#This Row],[Science_Score]],Raw_Data34[[#This Row],[English_Score]])</f>
        <v>154</v>
      </c>
      <c r="J28" s="22">
        <f>Raw_Data34[[#This Row],[Total_score]]/3</f>
        <v>51.333333333333336</v>
      </c>
      <c r="K28" s="22" t="str">
        <f>IF(Raw_Data34[[#This Row],[Average_score]]&gt;=40,"Pass","Fail")</f>
        <v>Pass</v>
      </c>
      <c r="L28" s="22" t="str" cm="1">
        <f t="array" ref="L2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28" s="26">
        <f>_xlfn.RANK.EQ(Raw_Data34[[#This Row],[Average_score]],Raw_Data34[[Student_ID]:[Average_score]],1)</f>
        <v>236</v>
      </c>
      <c r="N28" s="24" t="str" cm="1">
        <f t="array" ref="N28">_xlfn.IFS(Raw_Data34[[#This Row],[Attendance_%]]&gt;=90,"Excellent",AND(Raw_Data34[[#This Row],[Attendance_%]]&gt;=75, Raw_Data34[[#This Row],[Attendance_%]]&lt;90),"Good",Raw_Data34[[#This Row],[Attendance_%]]&lt;75,"Low")</f>
        <v>Low</v>
      </c>
      <c r="W28" s="37">
        <v>71.900000000000006</v>
      </c>
      <c r="X28" s="7">
        <v>204</v>
      </c>
    </row>
    <row r="29" spans="1:24" x14ac:dyDescent="0.9">
      <c r="A29" s="5" t="s">
        <v>36</v>
      </c>
      <c r="B29" s="6" t="s">
        <v>8</v>
      </c>
      <c r="C29" s="7">
        <v>21</v>
      </c>
      <c r="D29" s="8">
        <v>85.8</v>
      </c>
      <c r="E29" s="7">
        <v>65</v>
      </c>
      <c r="F29" s="7">
        <v>75</v>
      </c>
      <c r="G29" s="7">
        <v>44</v>
      </c>
      <c r="H29" s="15">
        <f>SUM(Raw_Data34[[#This Row],[Math_Score]],Raw_Data34[[#This Row],[Science_Score]],Raw_Data34[[#This Row],[English_Score]])/300</f>
        <v>0.61333333333333329</v>
      </c>
      <c r="I29" s="7">
        <f>SUM(Raw_Data34[[#This Row],[Math_Score]],Raw_Data34[[#This Row],[Science_Score]],Raw_Data34[[#This Row],[English_Score]])</f>
        <v>184</v>
      </c>
      <c r="J29" s="22">
        <f>Raw_Data34[[#This Row],[Total_score]]/3</f>
        <v>61.333333333333336</v>
      </c>
      <c r="K29" s="22" t="str">
        <f>IF(Raw_Data34[[#This Row],[Average_score]]&gt;=40,"Pass","Fail")</f>
        <v>Pass</v>
      </c>
      <c r="L29" s="22" t="str" cm="1">
        <f t="array" ref="L2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29" s="26">
        <f>_xlfn.RANK.EQ(Raw_Data34[[#This Row],[Average_score]],Raw_Data34[[Student_ID]:[Average_score]],1)</f>
        <v>305</v>
      </c>
      <c r="N29" s="24" t="str" cm="1">
        <f t="array" ref="N29">_xlfn.IFS(Raw_Data34[[#This Row],[Attendance_%]]&gt;=90,"Excellent",AND(Raw_Data34[[#This Row],[Attendance_%]]&gt;=75, Raw_Data34[[#This Row],[Attendance_%]]&lt;90),"Good",Raw_Data34[[#This Row],[Attendance_%]]&lt;75,"Low")</f>
        <v>Good</v>
      </c>
      <c r="W29" s="37">
        <v>72.900000000000006</v>
      </c>
      <c r="X29" s="7">
        <v>259</v>
      </c>
    </row>
    <row r="30" spans="1:24" x14ac:dyDescent="0.9">
      <c r="A30" s="5" t="s">
        <v>37</v>
      </c>
      <c r="B30" s="6" t="s">
        <v>8</v>
      </c>
      <c r="C30" s="7">
        <v>19</v>
      </c>
      <c r="D30" s="8">
        <v>76</v>
      </c>
      <c r="E30" s="7">
        <v>51</v>
      </c>
      <c r="F30" s="7">
        <v>77</v>
      </c>
      <c r="G30" s="7">
        <v>67</v>
      </c>
      <c r="H30" s="15">
        <f>SUM(Raw_Data34[[#This Row],[Math_Score]],Raw_Data34[[#This Row],[Science_Score]],Raw_Data34[[#This Row],[English_Score]])/300</f>
        <v>0.65</v>
      </c>
      <c r="I30" s="7">
        <f>SUM(Raw_Data34[[#This Row],[Math_Score]],Raw_Data34[[#This Row],[Science_Score]],Raw_Data34[[#This Row],[English_Score]])</f>
        <v>195</v>
      </c>
      <c r="J30" s="22">
        <f>Raw_Data34[[#This Row],[Total_score]]/3</f>
        <v>65</v>
      </c>
      <c r="K30" s="22" t="str">
        <f>IF(Raw_Data34[[#This Row],[Average_score]]&gt;=40,"Pass","Fail")</f>
        <v>Pass</v>
      </c>
      <c r="L30" s="22" t="str" cm="1">
        <f t="array" ref="L3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30" s="26">
        <f>_xlfn.RANK.EQ(Raw_Data34[[#This Row],[Average_score]],Raw_Data34[[Student_ID]:[Average_score]],1)</f>
        <v>342</v>
      </c>
      <c r="N30" s="24" t="str" cm="1">
        <f t="array" ref="N30">_xlfn.IFS(Raw_Data34[[#This Row],[Attendance_%]]&gt;=90,"Excellent",AND(Raw_Data34[[#This Row],[Attendance_%]]&gt;=75, Raw_Data34[[#This Row],[Attendance_%]]&lt;90),"Good",Raw_Data34[[#This Row],[Attendance_%]]&lt;75,"Low")</f>
        <v>Good</v>
      </c>
      <c r="W30" s="37">
        <v>73.599999999999994</v>
      </c>
      <c r="X30" s="7">
        <v>279</v>
      </c>
    </row>
    <row r="31" spans="1:24" x14ac:dyDescent="0.9">
      <c r="A31" s="5" t="s">
        <v>38</v>
      </c>
      <c r="B31" s="6" t="s">
        <v>8</v>
      </c>
      <c r="C31" s="7">
        <v>19</v>
      </c>
      <c r="D31" s="8">
        <v>79.099999999999994</v>
      </c>
      <c r="E31" s="7">
        <v>80</v>
      </c>
      <c r="F31" s="7">
        <v>65</v>
      </c>
      <c r="G31" s="7">
        <v>62</v>
      </c>
      <c r="H31" s="15">
        <f>SUM(Raw_Data34[[#This Row],[Math_Score]],Raw_Data34[[#This Row],[Science_Score]],Raw_Data34[[#This Row],[English_Score]])/300</f>
        <v>0.69</v>
      </c>
      <c r="I31" s="7">
        <f>SUM(Raw_Data34[[#This Row],[Math_Score]],Raw_Data34[[#This Row],[Science_Score]],Raw_Data34[[#This Row],[English_Score]])</f>
        <v>207</v>
      </c>
      <c r="J31" s="22">
        <f>Raw_Data34[[#This Row],[Total_score]]/3</f>
        <v>69</v>
      </c>
      <c r="K31" s="22" t="str">
        <f>IF(Raw_Data34[[#This Row],[Average_score]]&gt;=40,"Pass","Fail")</f>
        <v>Pass</v>
      </c>
      <c r="L31" s="22" t="str" cm="1">
        <f t="array" ref="L3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31" s="26">
        <f>_xlfn.RANK.EQ(Raw_Data34[[#This Row],[Average_score]],Raw_Data34[[Student_ID]:[Average_score]],1)</f>
        <v>395</v>
      </c>
      <c r="N31" s="24" t="str" cm="1">
        <f t="array" ref="N31">_xlfn.IFS(Raw_Data34[[#This Row],[Attendance_%]]&gt;=90,"Excellent",AND(Raw_Data34[[#This Row],[Attendance_%]]&gt;=75, Raw_Data34[[#This Row],[Attendance_%]]&lt;90),"Good",Raw_Data34[[#This Row],[Attendance_%]]&lt;75,"Low")</f>
        <v>Good</v>
      </c>
      <c r="W31" s="37">
        <v>73.900000000000006</v>
      </c>
      <c r="X31" s="7">
        <v>195</v>
      </c>
    </row>
    <row r="32" spans="1:24" x14ac:dyDescent="0.9">
      <c r="A32" s="5" t="s">
        <v>39</v>
      </c>
      <c r="B32" s="6" t="s">
        <v>8</v>
      </c>
      <c r="C32" s="7">
        <v>22</v>
      </c>
      <c r="D32" s="8">
        <v>76</v>
      </c>
      <c r="E32" s="7">
        <v>47</v>
      </c>
      <c r="F32" s="7">
        <v>48</v>
      </c>
      <c r="G32" s="7">
        <v>39</v>
      </c>
      <c r="H32" s="15">
        <f>SUM(Raw_Data34[[#This Row],[Math_Score]],Raw_Data34[[#This Row],[Science_Score]],Raw_Data34[[#This Row],[English_Score]])/300</f>
        <v>0.44666666666666666</v>
      </c>
      <c r="I32" s="7">
        <f>SUM(Raw_Data34[[#This Row],[Math_Score]],Raw_Data34[[#This Row],[Science_Score]],Raw_Data34[[#This Row],[English_Score]])</f>
        <v>134</v>
      </c>
      <c r="J32" s="22">
        <f>Raw_Data34[[#This Row],[Total_score]]/3</f>
        <v>44.666666666666664</v>
      </c>
      <c r="K32" s="22" t="str">
        <f>IF(Raw_Data34[[#This Row],[Average_score]]&gt;=40,"Pass","Fail")</f>
        <v>Pass</v>
      </c>
      <c r="L32" s="22" t="str" cm="1">
        <f t="array" ref="L3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F</v>
      </c>
      <c r="M32" s="26">
        <f>_xlfn.RANK.EQ(Raw_Data34[[#This Row],[Average_score]],Raw_Data34[[Student_ID]:[Average_score]],1)</f>
        <v>214</v>
      </c>
      <c r="N32" s="24" t="str" cm="1">
        <f t="array" ref="N32">_xlfn.IFS(Raw_Data34[[#This Row],[Attendance_%]]&gt;=90,"Excellent",AND(Raw_Data34[[#This Row],[Attendance_%]]&gt;=75, Raw_Data34[[#This Row],[Attendance_%]]&lt;90),"Good",Raw_Data34[[#This Row],[Attendance_%]]&lt;75,"Low")</f>
        <v>Good</v>
      </c>
      <c r="W32" s="37">
        <v>74.8</v>
      </c>
      <c r="X32" s="7">
        <v>221</v>
      </c>
    </row>
    <row r="33" spans="1:24" x14ac:dyDescent="0.9">
      <c r="A33" s="5" t="s">
        <v>40</v>
      </c>
      <c r="B33" s="6" t="s">
        <v>8</v>
      </c>
      <c r="C33" s="7">
        <v>21</v>
      </c>
      <c r="D33" s="8">
        <v>100</v>
      </c>
      <c r="E33" s="7">
        <v>85</v>
      </c>
      <c r="F33" s="7">
        <v>83</v>
      </c>
      <c r="G33" s="7">
        <v>85</v>
      </c>
      <c r="H33" s="15">
        <f>SUM(Raw_Data34[[#This Row],[Math_Score]],Raw_Data34[[#This Row],[Science_Score]],Raw_Data34[[#This Row],[English_Score]])/300</f>
        <v>0.84333333333333338</v>
      </c>
      <c r="I33" s="7">
        <f>SUM(Raw_Data34[[#This Row],[Math_Score]],Raw_Data34[[#This Row],[Science_Score]],Raw_Data34[[#This Row],[English_Score]])</f>
        <v>253</v>
      </c>
      <c r="J33" s="22">
        <f>Raw_Data34[[#This Row],[Total_score]]/3</f>
        <v>84.333333333333329</v>
      </c>
      <c r="K33" s="22" t="str">
        <f>IF(Raw_Data34[[#This Row],[Average_score]]&gt;=40,"Pass","Fail")</f>
        <v>Pass</v>
      </c>
      <c r="L33" s="22" t="str" cm="1">
        <f t="array" ref="L3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33" s="26">
        <f>_xlfn.RANK.EQ(Raw_Data34[[#This Row],[Average_score]],Raw_Data34[[Student_ID]:[Average_score]],1)</f>
        <v>595</v>
      </c>
      <c r="N33" s="24" t="str" cm="1">
        <f t="array" ref="N33">_xlfn.IFS(Raw_Data34[[#This Row],[Attendance_%]]&gt;=90,"Excellent",AND(Raw_Data34[[#This Row],[Attendance_%]]&gt;=75, Raw_Data34[[#This Row],[Attendance_%]]&lt;90),"Good",Raw_Data34[[#This Row],[Attendance_%]]&lt;75,"Low")</f>
        <v>Excellent</v>
      </c>
      <c r="W33" s="37" t="s">
        <v>125</v>
      </c>
      <c r="X33" s="7">
        <v>4514</v>
      </c>
    </row>
    <row r="34" spans="1:24" x14ac:dyDescent="0.9">
      <c r="A34" s="5" t="s">
        <v>41</v>
      </c>
      <c r="B34" s="6" t="s">
        <v>8</v>
      </c>
      <c r="C34" s="7">
        <v>18</v>
      </c>
      <c r="D34" s="8">
        <v>81.900000000000006</v>
      </c>
      <c r="E34" s="7">
        <v>63</v>
      </c>
      <c r="F34" s="7">
        <v>53</v>
      </c>
      <c r="G34" s="7">
        <v>50</v>
      </c>
      <c r="H34" s="15">
        <f>SUM(Raw_Data34[[#This Row],[Math_Score]],Raw_Data34[[#This Row],[Science_Score]],Raw_Data34[[#This Row],[English_Score]])/300</f>
        <v>0.55333333333333334</v>
      </c>
      <c r="I34" s="7">
        <f>SUM(Raw_Data34[[#This Row],[Math_Score]],Raw_Data34[[#This Row],[Science_Score]],Raw_Data34[[#This Row],[English_Score]])</f>
        <v>166</v>
      </c>
      <c r="J34" s="22">
        <f>Raw_Data34[[#This Row],[Total_score]]/3</f>
        <v>55.333333333333336</v>
      </c>
      <c r="K34" s="22" t="str">
        <f>IF(Raw_Data34[[#This Row],[Average_score]]&gt;=40,"Pass","Fail")</f>
        <v>Pass</v>
      </c>
      <c r="L34" s="22" t="str" cm="1">
        <f t="array" ref="L3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34" s="26">
        <f>_xlfn.RANK.EQ(Raw_Data34[[#This Row],[Average_score]],Raw_Data34[[Student_ID]:[Average_score]],1)</f>
        <v>257</v>
      </c>
      <c r="N34" s="24" t="str" cm="1">
        <f t="array" ref="N34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35" spans="1:24" x14ac:dyDescent="0.9">
      <c r="A35" s="5" t="s">
        <v>42</v>
      </c>
      <c r="B35" s="6" t="s">
        <v>11</v>
      </c>
      <c r="C35" s="7">
        <v>22</v>
      </c>
      <c r="D35" s="8">
        <v>71.400000000000006</v>
      </c>
      <c r="E35" s="7">
        <v>85</v>
      </c>
      <c r="F35" s="7">
        <v>56</v>
      </c>
      <c r="G35" s="7">
        <v>76</v>
      </c>
      <c r="H35" s="15">
        <f>SUM(Raw_Data34[[#This Row],[Math_Score]],Raw_Data34[[#This Row],[Science_Score]],Raw_Data34[[#This Row],[English_Score]])/300</f>
        <v>0.72333333333333338</v>
      </c>
      <c r="I35" s="7">
        <f>SUM(Raw_Data34[[#This Row],[Math_Score]],Raw_Data34[[#This Row],[Science_Score]],Raw_Data34[[#This Row],[English_Score]])</f>
        <v>217</v>
      </c>
      <c r="J35" s="22">
        <f>Raw_Data34[[#This Row],[Total_score]]/3</f>
        <v>72.333333333333329</v>
      </c>
      <c r="K35" s="22" t="str">
        <f>IF(Raw_Data34[[#This Row],[Average_score]]&gt;=40,"Pass","Fail")</f>
        <v>Pass</v>
      </c>
      <c r="L35" s="22" t="str" cm="1">
        <f t="array" ref="L3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35" s="26">
        <f>_xlfn.RANK.EQ(Raw_Data34[[#This Row],[Average_score]],Raw_Data34[[Student_ID]:[Average_score]],1)</f>
        <v>433</v>
      </c>
      <c r="N35" s="24" t="str" cm="1">
        <f t="array" ref="N35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36" spans="1:24" x14ac:dyDescent="0.9">
      <c r="A36" s="5" t="s">
        <v>43</v>
      </c>
      <c r="B36" s="6" t="s">
        <v>11</v>
      </c>
      <c r="C36" s="7">
        <v>19</v>
      </c>
      <c r="D36" s="8">
        <v>90.2</v>
      </c>
      <c r="E36" s="7">
        <v>59</v>
      </c>
      <c r="F36" s="7">
        <v>60</v>
      </c>
      <c r="G36" s="7">
        <v>86</v>
      </c>
      <c r="H36" s="15">
        <f>SUM(Raw_Data34[[#This Row],[Math_Score]],Raw_Data34[[#This Row],[Science_Score]],Raw_Data34[[#This Row],[English_Score]])/300</f>
        <v>0.68333333333333335</v>
      </c>
      <c r="I36" s="7">
        <f>SUM(Raw_Data34[[#This Row],[Math_Score]],Raw_Data34[[#This Row],[Science_Score]],Raw_Data34[[#This Row],[English_Score]])</f>
        <v>205</v>
      </c>
      <c r="J36" s="22">
        <f>Raw_Data34[[#This Row],[Total_score]]/3</f>
        <v>68.333333333333329</v>
      </c>
      <c r="K36" s="22" t="str">
        <f>IF(Raw_Data34[[#This Row],[Average_score]]&gt;=40,"Pass","Fail")</f>
        <v>Pass</v>
      </c>
      <c r="L36" s="22" t="str" cm="1">
        <f t="array" ref="L3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36" s="26">
        <f>_xlfn.RANK.EQ(Raw_Data34[[#This Row],[Average_score]],Raw_Data34[[Student_ID]:[Average_score]],1)</f>
        <v>390</v>
      </c>
      <c r="N36" s="24" t="str" cm="1">
        <f t="array" ref="N36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37" spans="1:24" x14ac:dyDescent="0.9">
      <c r="A37" s="5" t="s">
        <v>44</v>
      </c>
      <c r="B37" s="6" t="s">
        <v>11</v>
      </c>
      <c r="C37" s="7">
        <v>19</v>
      </c>
      <c r="D37" s="8">
        <v>69.8</v>
      </c>
      <c r="E37" s="7">
        <v>87</v>
      </c>
      <c r="F37" s="7">
        <v>87</v>
      </c>
      <c r="G37" s="7">
        <v>73</v>
      </c>
      <c r="H37" s="15">
        <f>SUM(Raw_Data34[[#This Row],[Math_Score]],Raw_Data34[[#This Row],[Science_Score]],Raw_Data34[[#This Row],[English_Score]])/300</f>
        <v>0.82333333333333336</v>
      </c>
      <c r="I37" s="7">
        <f>SUM(Raw_Data34[[#This Row],[Math_Score]],Raw_Data34[[#This Row],[Science_Score]],Raw_Data34[[#This Row],[English_Score]])</f>
        <v>247</v>
      </c>
      <c r="J37" s="22">
        <f>Raw_Data34[[#This Row],[Total_score]]/3</f>
        <v>82.333333333333329</v>
      </c>
      <c r="K37" s="22" t="str">
        <f>IF(Raw_Data34[[#This Row],[Average_score]]&gt;=40,"Pass","Fail")</f>
        <v>Pass</v>
      </c>
      <c r="L37" s="22" t="str" cm="1">
        <f t="array" ref="L3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37" s="26">
        <f>_xlfn.RANK.EQ(Raw_Data34[[#This Row],[Average_score]],Raw_Data34[[Student_ID]:[Average_score]],1)</f>
        <v>572</v>
      </c>
      <c r="N37" s="24" t="str" cm="1">
        <f t="array" ref="N37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38" spans="1:24" x14ac:dyDescent="0.9">
      <c r="A38" s="5" t="s">
        <v>45</v>
      </c>
      <c r="B38" s="6" t="s">
        <v>8</v>
      </c>
      <c r="C38" s="7">
        <v>22</v>
      </c>
      <c r="D38" s="8">
        <v>84.1</v>
      </c>
      <c r="E38" s="7">
        <v>67</v>
      </c>
      <c r="F38" s="7">
        <v>70</v>
      </c>
      <c r="G38" s="7">
        <v>62</v>
      </c>
      <c r="H38" s="15">
        <f>SUM(Raw_Data34[[#This Row],[Math_Score]],Raw_Data34[[#This Row],[Science_Score]],Raw_Data34[[#This Row],[English_Score]])/300</f>
        <v>0.66333333333333333</v>
      </c>
      <c r="I38" s="7">
        <f>SUM(Raw_Data34[[#This Row],[Math_Score]],Raw_Data34[[#This Row],[Science_Score]],Raw_Data34[[#This Row],[English_Score]])</f>
        <v>199</v>
      </c>
      <c r="J38" s="22">
        <f>Raw_Data34[[#This Row],[Total_score]]/3</f>
        <v>66.333333333333329</v>
      </c>
      <c r="K38" s="22" t="str">
        <f>IF(Raw_Data34[[#This Row],[Average_score]]&gt;=40,"Pass","Fail")</f>
        <v>Pass</v>
      </c>
      <c r="L38" s="22" t="str" cm="1">
        <f t="array" ref="L3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38" s="26">
        <f>_xlfn.RANK.EQ(Raw_Data34[[#This Row],[Average_score]],Raw_Data34[[Student_ID]:[Average_score]],1)</f>
        <v>361</v>
      </c>
      <c r="N38" s="24" t="str" cm="1">
        <f t="array" ref="N38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39" spans="1:24" x14ac:dyDescent="0.9">
      <c r="A39" s="5" t="s">
        <v>46</v>
      </c>
      <c r="B39" s="6" t="s">
        <v>8</v>
      </c>
      <c r="C39" s="7">
        <v>21</v>
      </c>
      <c r="D39" s="8">
        <v>62.4</v>
      </c>
      <c r="E39" s="7">
        <v>68</v>
      </c>
      <c r="F39" s="7">
        <v>45</v>
      </c>
      <c r="G39" s="7">
        <v>58</v>
      </c>
      <c r="H39" s="15">
        <f>SUM(Raw_Data34[[#This Row],[Math_Score]],Raw_Data34[[#This Row],[Science_Score]],Raw_Data34[[#This Row],[English_Score]])/300</f>
        <v>0.56999999999999995</v>
      </c>
      <c r="I39" s="7">
        <f>SUM(Raw_Data34[[#This Row],[Math_Score]],Raw_Data34[[#This Row],[Science_Score]],Raw_Data34[[#This Row],[English_Score]])</f>
        <v>171</v>
      </c>
      <c r="J39" s="22">
        <f>Raw_Data34[[#This Row],[Total_score]]/3</f>
        <v>57</v>
      </c>
      <c r="K39" s="22" t="str">
        <f>IF(Raw_Data34[[#This Row],[Average_score]]&gt;=40,"Pass","Fail")</f>
        <v>Pass</v>
      </c>
      <c r="L39" s="22" t="str" cm="1">
        <f t="array" ref="L3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39" s="26">
        <f>_xlfn.RANK.EQ(Raw_Data34[[#This Row],[Average_score]],Raw_Data34[[Student_ID]:[Average_score]],1)</f>
        <v>269</v>
      </c>
      <c r="N39" s="24" t="str" cm="1">
        <f t="array" ref="N39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40" spans="1:24" x14ac:dyDescent="0.9">
      <c r="A40" s="5" t="s">
        <v>47</v>
      </c>
      <c r="B40" s="6" t="s">
        <v>8</v>
      </c>
      <c r="C40" s="7">
        <v>19</v>
      </c>
      <c r="D40" s="8">
        <v>68.7</v>
      </c>
      <c r="E40" s="7">
        <v>86</v>
      </c>
      <c r="F40" s="7">
        <v>73</v>
      </c>
      <c r="G40" s="7">
        <v>72</v>
      </c>
      <c r="H40" s="15">
        <f>SUM(Raw_Data34[[#This Row],[Math_Score]],Raw_Data34[[#This Row],[Science_Score]],Raw_Data34[[#This Row],[English_Score]])/300</f>
        <v>0.77</v>
      </c>
      <c r="I40" s="7">
        <f>SUM(Raw_Data34[[#This Row],[Math_Score]],Raw_Data34[[#This Row],[Science_Score]],Raw_Data34[[#This Row],[English_Score]])</f>
        <v>231</v>
      </c>
      <c r="J40" s="22">
        <f>Raw_Data34[[#This Row],[Total_score]]/3</f>
        <v>77</v>
      </c>
      <c r="K40" s="22" t="str">
        <f>IF(Raw_Data34[[#This Row],[Average_score]]&gt;=40,"Pass","Fail")</f>
        <v>Pass</v>
      </c>
      <c r="L40" s="22" t="str" cm="1">
        <f t="array" ref="L4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40" s="26">
        <f>_xlfn.RANK.EQ(Raw_Data34[[#This Row],[Average_score]],Raw_Data34[[Student_ID]:[Average_score]],1)</f>
        <v>504</v>
      </c>
      <c r="N40" s="24" t="str" cm="1">
        <f t="array" ref="N40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41" spans="1:24" x14ac:dyDescent="0.9">
      <c r="A41" s="5" t="s">
        <v>48</v>
      </c>
      <c r="B41" s="6" t="s">
        <v>8</v>
      </c>
      <c r="C41" s="7">
        <v>21</v>
      </c>
      <c r="D41" s="8">
        <v>84</v>
      </c>
      <c r="E41" s="7">
        <v>52</v>
      </c>
      <c r="F41" s="7">
        <v>54</v>
      </c>
      <c r="G41" s="7">
        <v>64</v>
      </c>
      <c r="H41" s="15">
        <f>SUM(Raw_Data34[[#This Row],[Math_Score]],Raw_Data34[[#This Row],[Science_Score]],Raw_Data34[[#This Row],[English_Score]])/300</f>
        <v>0.56666666666666665</v>
      </c>
      <c r="I41" s="7">
        <f>SUM(Raw_Data34[[#This Row],[Math_Score]],Raw_Data34[[#This Row],[Science_Score]],Raw_Data34[[#This Row],[English_Score]])</f>
        <v>170</v>
      </c>
      <c r="J41" s="22">
        <f>Raw_Data34[[#This Row],[Total_score]]/3</f>
        <v>56.666666666666664</v>
      </c>
      <c r="K41" s="22" t="str">
        <f>IF(Raw_Data34[[#This Row],[Average_score]]&gt;=40,"Pass","Fail")</f>
        <v>Pass</v>
      </c>
      <c r="L41" s="22" t="str" cm="1">
        <f t="array" ref="L4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41" s="26">
        <f>_xlfn.RANK.EQ(Raw_Data34[[#This Row],[Average_score]],Raw_Data34[[Student_ID]:[Average_score]],1)</f>
        <v>266</v>
      </c>
      <c r="N41" s="24" t="str" cm="1">
        <f t="array" ref="N41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2" spans="1:24" x14ac:dyDescent="0.9">
      <c r="A42" s="5" t="s">
        <v>49</v>
      </c>
      <c r="B42" s="6" t="s">
        <v>11</v>
      </c>
      <c r="C42" s="7">
        <v>19</v>
      </c>
      <c r="D42" s="8">
        <v>89.4</v>
      </c>
      <c r="E42" s="7">
        <v>70</v>
      </c>
      <c r="F42" s="7">
        <v>64</v>
      </c>
      <c r="G42" s="7">
        <v>86</v>
      </c>
      <c r="H42" s="15">
        <f>SUM(Raw_Data34[[#This Row],[Math_Score]],Raw_Data34[[#This Row],[Science_Score]],Raw_Data34[[#This Row],[English_Score]])/300</f>
        <v>0.73333333333333328</v>
      </c>
      <c r="I42" s="7">
        <f>SUM(Raw_Data34[[#This Row],[Math_Score]],Raw_Data34[[#This Row],[Science_Score]],Raw_Data34[[#This Row],[English_Score]])</f>
        <v>220</v>
      </c>
      <c r="J42" s="22">
        <f>Raw_Data34[[#This Row],[Total_score]]/3</f>
        <v>73.333333333333329</v>
      </c>
      <c r="K42" s="22" t="str">
        <f>IF(Raw_Data34[[#This Row],[Average_score]]&gt;=40,"Pass","Fail")</f>
        <v>Pass</v>
      </c>
      <c r="L42" s="22" t="str" cm="1">
        <f t="array" ref="L4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42" s="26">
        <f>_xlfn.RANK.EQ(Raw_Data34[[#This Row],[Average_score]],Raw_Data34[[Student_ID]:[Average_score]],1)</f>
        <v>452</v>
      </c>
      <c r="N42" s="24" t="str" cm="1">
        <f t="array" ref="N4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3" spans="1:24" x14ac:dyDescent="0.9">
      <c r="A43" s="5" t="s">
        <v>50</v>
      </c>
      <c r="B43" s="6" t="s">
        <v>11</v>
      </c>
      <c r="C43" s="7">
        <v>19</v>
      </c>
      <c r="D43" s="8">
        <v>83.7</v>
      </c>
      <c r="E43" s="7">
        <v>99</v>
      </c>
      <c r="F43" s="7">
        <v>89</v>
      </c>
      <c r="G43" s="7">
        <v>94</v>
      </c>
      <c r="H43" s="15">
        <f>SUM(Raw_Data34[[#This Row],[Math_Score]],Raw_Data34[[#This Row],[Science_Score]],Raw_Data34[[#This Row],[English_Score]])/300</f>
        <v>0.94</v>
      </c>
      <c r="I43" s="7">
        <f>SUM(Raw_Data34[[#This Row],[Math_Score]],Raw_Data34[[#This Row],[Science_Score]],Raw_Data34[[#This Row],[English_Score]])</f>
        <v>282</v>
      </c>
      <c r="J43" s="22">
        <f>Raw_Data34[[#This Row],[Total_score]]/3</f>
        <v>94</v>
      </c>
      <c r="K43" s="22" t="str">
        <f>IF(Raw_Data34[[#This Row],[Average_score]]&gt;=40,"Pass","Fail")</f>
        <v>Pass</v>
      </c>
      <c r="L43" s="22" t="str" cm="1">
        <f t="array" ref="L4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43" s="26">
        <f>_xlfn.RANK.EQ(Raw_Data34[[#This Row],[Average_score]],Raw_Data34[[Student_ID]:[Average_score]],1)</f>
        <v>666</v>
      </c>
      <c r="N43" s="24" t="str" cm="1">
        <f t="array" ref="N43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4" spans="1:24" x14ac:dyDescent="0.9">
      <c r="A44" s="5" t="s">
        <v>51</v>
      </c>
      <c r="B44" s="6" t="s">
        <v>8</v>
      </c>
      <c r="C44" s="7">
        <v>20</v>
      </c>
      <c r="D44" s="8">
        <v>80.8</v>
      </c>
      <c r="E44" s="7">
        <v>33</v>
      </c>
      <c r="F44" s="7">
        <v>56</v>
      </c>
      <c r="G44" s="7">
        <v>46</v>
      </c>
      <c r="H44" s="15">
        <f>SUM(Raw_Data34[[#This Row],[Math_Score]],Raw_Data34[[#This Row],[Science_Score]],Raw_Data34[[#This Row],[English_Score]])/300</f>
        <v>0.45</v>
      </c>
      <c r="I44" s="7">
        <f>SUM(Raw_Data34[[#This Row],[Math_Score]],Raw_Data34[[#This Row],[Science_Score]],Raw_Data34[[#This Row],[English_Score]])</f>
        <v>135</v>
      </c>
      <c r="J44" s="22">
        <f>Raw_Data34[[#This Row],[Total_score]]/3</f>
        <v>45</v>
      </c>
      <c r="K44" s="22" t="str">
        <f>IF(Raw_Data34[[#This Row],[Average_score]]&gt;=40,"Pass","Fail")</f>
        <v>Pass</v>
      </c>
      <c r="L44" s="22" t="str" cm="1">
        <f t="array" ref="L4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F</v>
      </c>
      <c r="M44" s="26">
        <f>_xlfn.RANK.EQ(Raw_Data34[[#This Row],[Average_score]],Raw_Data34[[Student_ID]:[Average_score]],1)</f>
        <v>215</v>
      </c>
      <c r="N44" s="24" t="str" cm="1">
        <f t="array" ref="N44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5" spans="1:24" x14ac:dyDescent="0.9">
      <c r="A45" s="5" t="s">
        <v>52</v>
      </c>
      <c r="B45" s="6" t="s">
        <v>11</v>
      </c>
      <c r="C45" s="7">
        <v>19</v>
      </c>
      <c r="D45" s="8">
        <v>79</v>
      </c>
      <c r="E45" s="7">
        <v>86</v>
      </c>
      <c r="F45" s="7">
        <v>67</v>
      </c>
      <c r="G45" s="7">
        <v>92</v>
      </c>
      <c r="H45" s="15">
        <f>SUM(Raw_Data34[[#This Row],[Math_Score]],Raw_Data34[[#This Row],[Science_Score]],Raw_Data34[[#This Row],[English_Score]])/300</f>
        <v>0.81666666666666665</v>
      </c>
      <c r="I45" s="7">
        <f>SUM(Raw_Data34[[#This Row],[Math_Score]],Raw_Data34[[#This Row],[Science_Score]],Raw_Data34[[#This Row],[English_Score]])</f>
        <v>245</v>
      </c>
      <c r="J45" s="22">
        <f>Raw_Data34[[#This Row],[Total_score]]/3</f>
        <v>81.666666666666671</v>
      </c>
      <c r="K45" s="22" t="str">
        <f>IF(Raw_Data34[[#This Row],[Average_score]]&gt;=40,"Pass","Fail")</f>
        <v>Pass</v>
      </c>
      <c r="L45" s="22" t="str" cm="1">
        <f t="array" ref="L4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45" s="26">
        <f>_xlfn.RANK.EQ(Raw_Data34[[#This Row],[Average_score]],Raw_Data34[[Student_ID]:[Average_score]],1)</f>
        <v>563</v>
      </c>
      <c r="N45" s="24" t="str" cm="1">
        <f t="array" ref="N45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6" spans="1:24" x14ac:dyDescent="0.9">
      <c r="A46" s="5" t="s">
        <v>53</v>
      </c>
      <c r="B46" s="6" t="s">
        <v>11</v>
      </c>
      <c r="C46" s="7">
        <v>18</v>
      </c>
      <c r="D46" s="8">
        <v>67.2</v>
      </c>
      <c r="E46" s="7">
        <v>66</v>
      </c>
      <c r="F46" s="7">
        <v>85</v>
      </c>
      <c r="G46" s="7">
        <v>55</v>
      </c>
      <c r="H46" s="15">
        <f>SUM(Raw_Data34[[#This Row],[Math_Score]],Raw_Data34[[#This Row],[Science_Score]],Raw_Data34[[#This Row],[English_Score]])/300</f>
        <v>0.68666666666666665</v>
      </c>
      <c r="I46" s="7">
        <f>SUM(Raw_Data34[[#This Row],[Math_Score]],Raw_Data34[[#This Row],[Science_Score]],Raw_Data34[[#This Row],[English_Score]])</f>
        <v>206</v>
      </c>
      <c r="J46" s="22">
        <f>Raw_Data34[[#This Row],[Total_score]]/3</f>
        <v>68.666666666666671</v>
      </c>
      <c r="K46" s="22" t="str">
        <f>IF(Raw_Data34[[#This Row],[Average_score]]&gt;=40,"Pass","Fail")</f>
        <v>Pass</v>
      </c>
      <c r="L46" s="22" t="str" cm="1">
        <f t="array" ref="L4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46" s="26">
        <f>_xlfn.RANK.EQ(Raw_Data34[[#This Row],[Average_score]],Raw_Data34[[Student_ID]:[Average_score]],1)</f>
        <v>392</v>
      </c>
      <c r="N46" s="24" t="str" cm="1">
        <f t="array" ref="N46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47" spans="1:24" x14ac:dyDescent="0.9">
      <c r="A47" s="5" t="s">
        <v>54</v>
      </c>
      <c r="B47" s="6" t="s">
        <v>8</v>
      </c>
      <c r="C47" s="7">
        <v>22</v>
      </c>
      <c r="D47" s="8">
        <v>74.8</v>
      </c>
      <c r="E47" s="7">
        <v>78</v>
      </c>
      <c r="F47" s="7">
        <v>73</v>
      </c>
      <c r="G47" s="7">
        <v>70</v>
      </c>
      <c r="H47" s="15">
        <f>SUM(Raw_Data34[[#This Row],[Math_Score]],Raw_Data34[[#This Row],[Science_Score]],Raw_Data34[[#This Row],[English_Score]])/300</f>
        <v>0.73666666666666669</v>
      </c>
      <c r="I47" s="7">
        <f>SUM(Raw_Data34[[#This Row],[Math_Score]],Raw_Data34[[#This Row],[Science_Score]],Raw_Data34[[#This Row],[English_Score]])</f>
        <v>221</v>
      </c>
      <c r="J47" s="22">
        <f>Raw_Data34[[#This Row],[Total_score]]/3</f>
        <v>73.666666666666671</v>
      </c>
      <c r="K47" s="22" t="str">
        <f>IF(Raw_Data34[[#This Row],[Average_score]]&gt;=40,"Pass","Fail")</f>
        <v>Pass</v>
      </c>
      <c r="L47" s="22" t="str" cm="1">
        <f t="array" ref="L4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47" s="26">
        <f>_xlfn.RANK.EQ(Raw_Data34[[#This Row],[Average_score]],Raw_Data34[[Student_ID]:[Average_score]],1)</f>
        <v>454</v>
      </c>
      <c r="N47" s="24" t="str" cm="1">
        <f t="array" ref="N47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48" spans="1:24" x14ac:dyDescent="0.9">
      <c r="A48" s="5" t="s">
        <v>55</v>
      </c>
      <c r="B48" s="6" t="s">
        <v>11</v>
      </c>
      <c r="C48" s="7">
        <v>22</v>
      </c>
      <c r="D48" s="8">
        <v>77.400000000000006</v>
      </c>
      <c r="E48" s="7">
        <v>48</v>
      </c>
      <c r="F48" s="7">
        <v>48</v>
      </c>
      <c r="G48" s="7">
        <v>57</v>
      </c>
      <c r="H48" s="15">
        <f>SUM(Raw_Data34[[#This Row],[Math_Score]],Raw_Data34[[#This Row],[Science_Score]],Raw_Data34[[#This Row],[English_Score]])/300</f>
        <v>0.51</v>
      </c>
      <c r="I48" s="7">
        <f>SUM(Raw_Data34[[#This Row],[Math_Score]],Raw_Data34[[#This Row],[Science_Score]],Raw_Data34[[#This Row],[English_Score]])</f>
        <v>153</v>
      </c>
      <c r="J48" s="22">
        <f>Raw_Data34[[#This Row],[Total_score]]/3</f>
        <v>51</v>
      </c>
      <c r="K48" s="22" t="str">
        <f>IF(Raw_Data34[[#This Row],[Average_score]]&gt;=40,"Pass","Fail")</f>
        <v>Pass</v>
      </c>
      <c r="L48" s="22" t="str" cm="1">
        <f t="array" ref="L4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48" s="26">
        <f>_xlfn.RANK.EQ(Raw_Data34[[#This Row],[Average_score]],Raw_Data34[[Student_ID]:[Average_score]],1)</f>
        <v>233</v>
      </c>
      <c r="N48" s="24" t="str" cm="1">
        <f t="array" ref="N48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49" spans="1:14" x14ac:dyDescent="0.9">
      <c r="A49" s="5" t="s">
        <v>56</v>
      </c>
      <c r="B49" s="6" t="s">
        <v>8</v>
      </c>
      <c r="C49" s="7">
        <v>21</v>
      </c>
      <c r="D49" s="8">
        <v>92.6</v>
      </c>
      <c r="E49" s="7">
        <v>58</v>
      </c>
      <c r="F49" s="7">
        <v>52</v>
      </c>
      <c r="G49" s="7">
        <v>60</v>
      </c>
      <c r="H49" s="15">
        <f>SUM(Raw_Data34[[#This Row],[Math_Score]],Raw_Data34[[#This Row],[Science_Score]],Raw_Data34[[#This Row],[English_Score]])/300</f>
        <v>0.56666666666666665</v>
      </c>
      <c r="I49" s="7">
        <f>SUM(Raw_Data34[[#This Row],[Math_Score]],Raw_Data34[[#This Row],[Science_Score]],Raw_Data34[[#This Row],[English_Score]])</f>
        <v>170</v>
      </c>
      <c r="J49" s="22">
        <f>Raw_Data34[[#This Row],[Total_score]]/3</f>
        <v>56.666666666666664</v>
      </c>
      <c r="K49" s="22" t="str">
        <f>IF(Raw_Data34[[#This Row],[Average_score]]&gt;=40,"Pass","Fail")</f>
        <v>Pass</v>
      </c>
      <c r="L49" s="22" t="str" cm="1">
        <f t="array" ref="L4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49" s="26">
        <f>_xlfn.RANK.EQ(Raw_Data34[[#This Row],[Average_score]],Raw_Data34[[Student_ID]:[Average_score]],1)</f>
        <v>266</v>
      </c>
      <c r="N49" s="24" t="str" cm="1">
        <f t="array" ref="N49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50" spans="1:14" x14ac:dyDescent="0.9">
      <c r="A50" s="5" t="s">
        <v>57</v>
      </c>
      <c r="B50" s="6" t="s">
        <v>11</v>
      </c>
      <c r="C50" s="7">
        <v>19</v>
      </c>
      <c r="D50" s="8">
        <v>85.4</v>
      </c>
      <c r="E50" s="7">
        <v>90</v>
      </c>
      <c r="F50" s="7">
        <v>69</v>
      </c>
      <c r="G50" s="7">
        <v>83</v>
      </c>
      <c r="H50" s="15">
        <f>SUM(Raw_Data34[[#This Row],[Math_Score]],Raw_Data34[[#This Row],[Science_Score]],Raw_Data34[[#This Row],[English_Score]])/300</f>
        <v>0.80666666666666664</v>
      </c>
      <c r="I50" s="7">
        <f>SUM(Raw_Data34[[#This Row],[Math_Score]],Raw_Data34[[#This Row],[Science_Score]],Raw_Data34[[#This Row],[English_Score]])</f>
        <v>242</v>
      </c>
      <c r="J50" s="22">
        <f>Raw_Data34[[#This Row],[Total_score]]/3</f>
        <v>80.666666666666671</v>
      </c>
      <c r="K50" s="22" t="str">
        <f>IF(Raw_Data34[[#This Row],[Average_score]]&gt;=40,"Pass","Fail")</f>
        <v>Pass</v>
      </c>
      <c r="L50" s="22" t="str" cm="1">
        <f t="array" ref="L5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50" s="26">
        <f>_xlfn.RANK.EQ(Raw_Data34[[#This Row],[Average_score]],Raw_Data34[[Student_ID]:[Average_score]],1)</f>
        <v>554</v>
      </c>
      <c r="N50" s="24" t="str" cm="1">
        <f t="array" ref="N5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51" spans="1:14" x14ac:dyDescent="0.9">
      <c r="A51" s="5" t="s">
        <v>58</v>
      </c>
      <c r="B51" s="6" t="s">
        <v>8</v>
      </c>
      <c r="C51" s="7">
        <v>18</v>
      </c>
      <c r="D51" s="8">
        <v>64.400000000000006</v>
      </c>
      <c r="E51" s="7">
        <v>75</v>
      </c>
      <c r="F51" s="7">
        <v>61</v>
      </c>
      <c r="G51" s="7">
        <v>82</v>
      </c>
      <c r="H51" s="15">
        <f>SUM(Raw_Data34[[#This Row],[Math_Score]],Raw_Data34[[#This Row],[Science_Score]],Raw_Data34[[#This Row],[English_Score]])/300</f>
        <v>0.72666666666666668</v>
      </c>
      <c r="I51" s="7">
        <f>SUM(Raw_Data34[[#This Row],[Math_Score]],Raw_Data34[[#This Row],[Science_Score]],Raw_Data34[[#This Row],[English_Score]])</f>
        <v>218</v>
      </c>
      <c r="J51" s="22">
        <f>Raw_Data34[[#This Row],[Total_score]]/3</f>
        <v>72.666666666666671</v>
      </c>
      <c r="K51" s="22" t="str">
        <f>IF(Raw_Data34[[#This Row],[Average_score]]&gt;=40,"Pass","Fail")</f>
        <v>Pass</v>
      </c>
      <c r="L51" s="22" t="str" cm="1">
        <f t="array" ref="L5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51" s="26">
        <f>_xlfn.RANK.EQ(Raw_Data34[[#This Row],[Average_score]],Raw_Data34[[Student_ID]:[Average_score]],1)</f>
        <v>436</v>
      </c>
      <c r="N51" s="24" t="str" cm="1">
        <f t="array" ref="N51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52" spans="1:14" x14ac:dyDescent="0.9">
      <c r="A52" s="5" t="s">
        <v>59</v>
      </c>
      <c r="B52" s="6" t="s">
        <v>8</v>
      </c>
      <c r="C52" s="7">
        <v>21</v>
      </c>
      <c r="D52" s="8">
        <v>85.2</v>
      </c>
      <c r="E52" s="7">
        <v>79</v>
      </c>
      <c r="F52" s="7">
        <v>60</v>
      </c>
      <c r="G52" s="7">
        <v>75</v>
      </c>
      <c r="H52" s="15">
        <f>SUM(Raw_Data34[[#This Row],[Math_Score]],Raw_Data34[[#This Row],[Science_Score]],Raw_Data34[[#This Row],[English_Score]])/300</f>
        <v>0.71333333333333337</v>
      </c>
      <c r="I52" s="7">
        <f>SUM(Raw_Data34[[#This Row],[Math_Score]],Raw_Data34[[#This Row],[Science_Score]],Raw_Data34[[#This Row],[English_Score]])</f>
        <v>214</v>
      </c>
      <c r="J52" s="22">
        <f>Raw_Data34[[#This Row],[Total_score]]/3</f>
        <v>71.333333333333329</v>
      </c>
      <c r="K52" s="22" t="str">
        <f>IF(Raw_Data34[[#This Row],[Average_score]]&gt;=40,"Pass","Fail")</f>
        <v>Pass</v>
      </c>
      <c r="L52" s="22" t="str" cm="1">
        <f t="array" ref="L5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52" s="26">
        <f>_xlfn.RANK.EQ(Raw_Data34[[#This Row],[Average_score]],Raw_Data34[[Student_ID]:[Average_score]],1)</f>
        <v>421</v>
      </c>
      <c r="N52" s="24" t="str" cm="1">
        <f t="array" ref="N5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53" spans="1:14" x14ac:dyDescent="0.9">
      <c r="A53" s="5" t="s">
        <v>60</v>
      </c>
      <c r="B53" s="6" t="s">
        <v>8</v>
      </c>
      <c r="C53" s="7">
        <v>20</v>
      </c>
      <c r="D53" s="8">
        <v>78.099999999999994</v>
      </c>
      <c r="E53" s="7">
        <v>74</v>
      </c>
      <c r="F53" s="7">
        <v>70</v>
      </c>
      <c r="G53" s="7">
        <v>75</v>
      </c>
      <c r="H53" s="15">
        <f>SUM(Raw_Data34[[#This Row],[Math_Score]],Raw_Data34[[#This Row],[Science_Score]],Raw_Data34[[#This Row],[English_Score]])/300</f>
        <v>0.73</v>
      </c>
      <c r="I53" s="7">
        <f>SUM(Raw_Data34[[#This Row],[Math_Score]],Raw_Data34[[#This Row],[Science_Score]],Raw_Data34[[#This Row],[English_Score]])</f>
        <v>219</v>
      </c>
      <c r="J53" s="22">
        <f>Raw_Data34[[#This Row],[Total_score]]/3</f>
        <v>73</v>
      </c>
      <c r="K53" s="22" t="str">
        <f>IF(Raw_Data34[[#This Row],[Average_score]]&gt;=40,"Pass","Fail")</f>
        <v>Pass</v>
      </c>
      <c r="L53" s="22" t="str" cm="1">
        <f t="array" ref="L5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53" s="26">
        <f>_xlfn.RANK.EQ(Raw_Data34[[#This Row],[Average_score]],Raw_Data34[[Student_ID]:[Average_score]],1)</f>
        <v>440</v>
      </c>
      <c r="N53" s="24" t="str" cm="1">
        <f t="array" ref="N53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54" spans="1:14" x14ac:dyDescent="0.9">
      <c r="A54" s="5" t="s">
        <v>61</v>
      </c>
      <c r="B54" s="6" t="s">
        <v>8</v>
      </c>
      <c r="C54" s="7">
        <v>21</v>
      </c>
      <c r="D54" s="8">
        <v>75.2</v>
      </c>
      <c r="E54" s="7">
        <v>47</v>
      </c>
      <c r="F54" s="7">
        <v>59</v>
      </c>
      <c r="G54" s="7">
        <v>56</v>
      </c>
      <c r="H54" s="15">
        <f>SUM(Raw_Data34[[#This Row],[Math_Score]],Raw_Data34[[#This Row],[Science_Score]],Raw_Data34[[#This Row],[English_Score]])/300</f>
        <v>0.54</v>
      </c>
      <c r="I54" s="7">
        <f>SUM(Raw_Data34[[#This Row],[Math_Score]],Raw_Data34[[#This Row],[Science_Score]],Raw_Data34[[#This Row],[English_Score]])</f>
        <v>162</v>
      </c>
      <c r="J54" s="22">
        <f>Raw_Data34[[#This Row],[Total_score]]/3</f>
        <v>54</v>
      </c>
      <c r="K54" s="22" t="str">
        <f>IF(Raw_Data34[[#This Row],[Average_score]]&gt;=40,"Pass","Fail")</f>
        <v>Pass</v>
      </c>
      <c r="L54" s="22" t="str" cm="1">
        <f t="array" ref="L5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54" s="26">
        <f>_xlfn.RANK.EQ(Raw_Data34[[#This Row],[Average_score]],Raw_Data34[[Student_ID]:[Average_score]],1)</f>
        <v>247</v>
      </c>
      <c r="N54" s="24" t="str" cm="1">
        <f t="array" ref="N54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55" spans="1:14" x14ac:dyDescent="0.9">
      <c r="A55" s="5" t="s">
        <v>62</v>
      </c>
      <c r="B55" s="6" t="s">
        <v>11</v>
      </c>
      <c r="C55" s="7">
        <v>21</v>
      </c>
      <c r="D55" s="8">
        <v>88.1</v>
      </c>
      <c r="E55" s="7">
        <v>68</v>
      </c>
      <c r="F55" s="7">
        <v>53</v>
      </c>
      <c r="G55" s="7">
        <v>81</v>
      </c>
      <c r="H55" s="15">
        <f>SUM(Raw_Data34[[#This Row],[Math_Score]],Raw_Data34[[#This Row],[Science_Score]],Raw_Data34[[#This Row],[English_Score]])/300</f>
        <v>0.67333333333333334</v>
      </c>
      <c r="I55" s="7">
        <f>SUM(Raw_Data34[[#This Row],[Math_Score]],Raw_Data34[[#This Row],[Science_Score]],Raw_Data34[[#This Row],[English_Score]])</f>
        <v>202</v>
      </c>
      <c r="J55" s="22">
        <f>Raw_Data34[[#This Row],[Total_score]]/3</f>
        <v>67.333333333333329</v>
      </c>
      <c r="K55" s="22" t="str">
        <f>IF(Raw_Data34[[#This Row],[Average_score]]&gt;=40,"Pass","Fail")</f>
        <v>Pass</v>
      </c>
      <c r="L55" s="22" t="str" cm="1">
        <f t="array" ref="L5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55" s="26">
        <f>_xlfn.RANK.EQ(Raw_Data34[[#This Row],[Average_score]],Raw_Data34[[Student_ID]:[Average_score]],1)</f>
        <v>373</v>
      </c>
      <c r="N55" s="24" t="str" cm="1">
        <f t="array" ref="N55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56" spans="1:14" x14ac:dyDescent="0.9">
      <c r="A56" s="5" t="s">
        <v>63</v>
      </c>
      <c r="B56" s="6" t="s">
        <v>8</v>
      </c>
      <c r="C56" s="7">
        <v>19</v>
      </c>
      <c r="D56" s="8">
        <v>92.3</v>
      </c>
      <c r="E56" s="7">
        <v>75</v>
      </c>
      <c r="F56" s="7">
        <v>75</v>
      </c>
      <c r="G56" s="7">
        <v>76</v>
      </c>
      <c r="H56" s="15">
        <f>SUM(Raw_Data34[[#This Row],[Math_Score]],Raw_Data34[[#This Row],[Science_Score]],Raw_Data34[[#This Row],[English_Score]])/300</f>
        <v>0.7533333333333333</v>
      </c>
      <c r="I56" s="7">
        <f>SUM(Raw_Data34[[#This Row],[Math_Score]],Raw_Data34[[#This Row],[Science_Score]],Raw_Data34[[#This Row],[English_Score]])</f>
        <v>226</v>
      </c>
      <c r="J56" s="22">
        <f>Raw_Data34[[#This Row],[Total_score]]/3</f>
        <v>75.333333333333329</v>
      </c>
      <c r="K56" s="22" t="str">
        <f>IF(Raw_Data34[[#This Row],[Average_score]]&gt;=40,"Pass","Fail")</f>
        <v>Pass</v>
      </c>
      <c r="L56" s="22" t="str" cm="1">
        <f t="array" ref="L5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56" s="26">
        <f>_xlfn.RANK.EQ(Raw_Data34[[#This Row],[Average_score]],Raw_Data34[[Student_ID]:[Average_score]],1)</f>
        <v>481</v>
      </c>
      <c r="N56" s="24" t="str" cm="1">
        <f t="array" ref="N56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57" spans="1:14" x14ac:dyDescent="0.9">
      <c r="A57" s="5" t="s">
        <v>64</v>
      </c>
      <c r="B57" s="6" t="s">
        <v>8</v>
      </c>
      <c r="C57" s="7">
        <v>20</v>
      </c>
      <c r="D57" s="8">
        <v>91.3</v>
      </c>
      <c r="E57" s="7">
        <v>70</v>
      </c>
      <c r="F57" s="7">
        <v>64</v>
      </c>
      <c r="G57" s="7">
        <v>64</v>
      </c>
      <c r="H57" s="15">
        <f>SUM(Raw_Data34[[#This Row],[Math_Score]],Raw_Data34[[#This Row],[Science_Score]],Raw_Data34[[#This Row],[English_Score]])/300</f>
        <v>0.66</v>
      </c>
      <c r="I57" s="7">
        <f>SUM(Raw_Data34[[#This Row],[Math_Score]],Raw_Data34[[#This Row],[Science_Score]],Raw_Data34[[#This Row],[English_Score]])</f>
        <v>198</v>
      </c>
      <c r="J57" s="22">
        <f>Raw_Data34[[#This Row],[Total_score]]/3</f>
        <v>66</v>
      </c>
      <c r="K57" s="22" t="str">
        <f>IF(Raw_Data34[[#This Row],[Average_score]]&gt;=40,"Pass","Fail")</f>
        <v>Pass</v>
      </c>
      <c r="L57" s="22" t="str" cm="1">
        <f t="array" ref="L5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57" s="26">
        <f>_xlfn.RANK.EQ(Raw_Data34[[#This Row],[Average_score]],Raw_Data34[[Student_ID]:[Average_score]],1)</f>
        <v>354</v>
      </c>
      <c r="N57" s="24" t="str" cm="1">
        <f t="array" ref="N57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58" spans="1:14" x14ac:dyDescent="0.9">
      <c r="A58" s="5" t="s">
        <v>65</v>
      </c>
      <c r="B58" s="6" t="s">
        <v>8</v>
      </c>
      <c r="C58" s="7">
        <v>21</v>
      </c>
      <c r="D58" s="8">
        <v>73.599999999999994</v>
      </c>
      <c r="E58" s="7">
        <v>91</v>
      </c>
      <c r="F58" s="7">
        <v>93</v>
      </c>
      <c r="G58" s="7">
        <v>95</v>
      </c>
      <c r="H58" s="15">
        <f>SUM(Raw_Data34[[#This Row],[Math_Score]],Raw_Data34[[#This Row],[Science_Score]],Raw_Data34[[#This Row],[English_Score]])/300</f>
        <v>0.93</v>
      </c>
      <c r="I58" s="7">
        <f>SUM(Raw_Data34[[#This Row],[Math_Score]],Raw_Data34[[#This Row],[Science_Score]],Raw_Data34[[#This Row],[English_Score]])</f>
        <v>279</v>
      </c>
      <c r="J58" s="22">
        <f>Raw_Data34[[#This Row],[Total_score]]/3</f>
        <v>93</v>
      </c>
      <c r="K58" s="22" t="str">
        <f>IF(Raw_Data34[[#This Row],[Average_score]]&gt;=40,"Pass","Fail")</f>
        <v>Pass</v>
      </c>
      <c r="L58" s="22" t="str" cm="1">
        <f t="array" ref="L5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58" s="26">
        <f>_xlfn.RANK.EQ(Raw_Data34[[#This Row],[Average_score]],Raw_Data34[[Student_ID]:[Average_score]],1)</f>
        <v>662</v>
      </c>
      <c r="N58" s="24" t="str" cm="1">
        <f t="array" ref="N58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59" spans="1:14" x14ac:dyDescent="0.9">
      <c r="A59" s="5" t="s">
        <v>66</v>
      </c>
      <c r="B59" s="6" t="s">
        <v>11</v>
      </c>
      <c r="C59" s="7">
        <v>18</v>
      </c>
      <c r="D59" s="8">
        <v>78.900000000000006</v>
      </c>
      <c r="E59" s="7">
        <v>84</v>
      </c>
      <c r="F59" s="7">
        <v>84</v>
      </c>
      <c r="G59" s="7">
        <v>85</v>
      </c>
      <c r="H59" s="15">
        <f>SUM(Raw_Data34[[#This Row],[Math_Score]],Raw_Data34[[#This Row],[Science_Score]],Raw_Data34[[#This Row],[English_Score]])/300</f>
        <v>0.84333333333333338</v>
      </c>
      <c r="I59" s="7">
        <f>SUM(Raw_Data34[[#This Row],[Math_Score]],Raw_Data34[[#This Row],[Science_Score]],Raw_Data34[[#This Row],[English_Score]])</f>
        <v>253</v>
      </c>
      <c r="J59" s="22">
        <f>Raw_Data34[[#This Row],[Total_score]]/3</f>
        <v>84.333333333333329</v>
      </c>
      <c r="K59" s="22" t="str">
        <f>IF(Raw_Data34[[#This Row],[Average_score]]&gt;=40,"Pass","Fail")</f>
        <v>Pass</v>
      </c>
      <c r="L59" s="22" t="str" cm="1">
        <f t="array" ref="L5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59" s="26">
        <f>_xlfn.RANK.EQ(Raw_Data34[[#This Row],[Average_score]],Raw_Data34[[Student_ID]:[Average_score]],1)</f>
        <v>595</v>
      </c>
      <c r="N59" s="24" t="str" cm="1">
        <f t="array" ref="N59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60" spans="1:14" x14ac:dyDescent="0.9">
      <c r="A60" s="5" t="s">
        <v>67</v>
      </c>
      <c r="B60" s="6" t="s">
        <v>8</v>
      </c>
      <c r="C60" s="7">
        <v>18</v>
      </c>
      <c r="D60" s="8">
        <v>85.3</v>
      </c>
      <c r="E60" s="7">
        <v>62</v>
      </c>
      <c r="F60" s="7">
        <v>63</v>
      </c>
      <c r="G60" s="7">
        <v>41</v>
      </c>
      <c r="H60" s="15">
        <f>SUM(Raw_Data34[[#This Row],[Math_Score]],Raw_Data34[[#This Row],[Science_Score]],Raw_Data34[[#This Row],[English_Score]])/300</f>
        <v>0.55333333333333334</v>
      </c>
      <c r="I60" s="7">
        <f>SUM(Raw_Data34[[#This Row],[Math_Score]],Raw_Data34[[#This Row],[Science_Score]],Raw_Data34[[#This Row],[English_Score]])</f>
        <v>166</v>
      </c>
      <c r="J60" s="22">
        <f>Raw_Data34[[#This Row],[Total_score]]/3</f>
        <v>55.333333333333336</v>
      </c>
      <c r="K60" s="22" t="str">
        <f>IF(Raw_Data34[[#This Row],[Average_score]]&gt;=40,"Pass","Fail")</f>
        <v>Pass</v>
      </c>
      <c r="L60" s="22" t="str" cm="1">
        <f t="array" ref="L6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60" s="26">
        <f>_xlfn.RANK.EQ(Raw_Data34[[#This Row],[Average_score]],Raw_Data34[[Student_ID]:[Average_score]],1)</f>
        <v>257</v>
      </c>
      <c r="N60" s="24" t="str" cm="1">
        <f t="array" ref="N6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61" spans="1:14" x14ac:dyDescent="0.9">
      <c r="A61" s="5" t="s">
        <v>68</v>
      </c>
      <c r="B61" s="6" t="s">
        <v>11</v>
      </c>
      <c r="C61" s="7">
        <v>22</v>
      </c>
      <c r="D61" s="8">
        <v>91.8</v>
      </c>
      <c r="E61" s="7">
        <v>82</v>
      </c>
      <c r="F61" s="7">
        <v>74</v>
      </c>
      <c r="G61" s="7">
        <v>86</v>
      </c>
      <c r="H61" s="15">
        <f>SUM(Raw_Data34[[#This Row],[Math_Score]],Raw_Data34[[#This Row],[Science_Score]],Raw_Data34[[#This Row],[English_Score]])/300</f>
        <v>0.80666666666666664</v>
      </c>
      <c r="I61" s="7">
        <f>SUM(Raw_Data34[[#This Row],[Math_Score]],Raw_Data34[[#This Row],[Science_Score]],Raw_Data34[[#This Row],[English_Score]])</f>
        <v>242</v>
      </c>
      <c r="J61" s="22">
        <f>Raw_Data34[[#This Row],[Total_score]]/3</f>
        <v>80.666666666666671</v>
      </c>
      <c r="K61" s="22" t="str">
        <f>IF(Raw_Data34[[#This Row],[Average_score]]&gt;=40,"Pass","Fail")</f>
        <v>Pass</v>
      </c>
      <c r="L61" s="22" t="str" cm="1">
        <f t="array" ref="L6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61" s="26">
        <f>_xlfn.RANK.EQ(Raw_Data34[[#This Row],[Average_score]],Raw_Data34[[Student_ID]:[Average_score]],1)</f>
        <v>554</v>
      </c>
      <c r="N61" s="24" t="str" cm="1">
        <f t="array" ref="N61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62" spans="1:14" x14ac:dyDescent="0.9">
      <c r="A62" s="5" t="s">
        <v>69</v>
      </c>
      <c r="B62" s="6" t="s">
        <v>8</v>
      </c>
      <c r="C62" s="7">
        <v>20</v>
      </c>
      <c r="D62" s="8">
        <v>77.2</v>
      </c>
      <c r="E62" s="7">
        <v>78</v>
      </c>
      <c r="F62" s="7">
        <v>49</v>
      </c>
      <c r="G62" s="7">
        <v>56</v>
      </c>
      <c r="H62" s="15">
        <f>SUM(Raw_Data34[[#This Row],[Math_Score]],Raw_Data34[[#This Row],[Science_Score]],Raw_Data34[[#This Row],[English_Score]])/300</f>
        <v>0.61</v>
      </c>
      <c r="I62" s="7">
        <f>SUM(Raw_Data34[[#This Row],[Math_Score]],Raw_Data34[[#This Row],[Science_Score]],Raw_Data34[[#This Row],[English_Score]])</f>
        <v>183</v>
      </c>
      <c r="J62" s="22">
        <f>Raw_Data34[[#This Row],[Total_score]]/3</f>
        <v>61</v>
      </c>
      <c r="K62" s="22" t="str">
        <f>IF(Raw_Data34[[#This Row],[Average_score]]&gt;=40,"Pass","Fail")</f>
        <v>Pass</v>
      </c>
      <c r="L62" s="22" t="str" cm="1">
        <f t="array" ref="L6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62" s="26">
        <f>_xlfn.RANK.EQ(Raw_Data34[[#This Row],[Average_score]],Raw_Data34[[Student_ID]:[Average_score]],1)</f>
        <v>301</v>
      </c>
      <c r="N62" s="24" t="str" cm="1">
        <f t="array" ref="N6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63" spans="1:14" x14ac:dyDescent="0.9">
      <c r="A63" s="5" t="s">
        <v>70</v>
      </c>
      <c r="B63" s="6" t="s">
        <v>11</v>
      </c>
      <c r="C63" s="7">
        <v>20</v>
      </c>
      <c r="D63" s="8">
        <v>80.099999999999994</v>
      </c>
      <c r="E63" s="7">
        <v>83</v>
      </c>
      <c r="F63" s="7">
        <v>83</v>
      </c>
      <c r="G63" s="7">
        <v>88</v>
      </c>
      <c r="H63" s="15">
        <f>SUM(Raw_Data34[[#This Row],[Math_Score]],Raw_Data34[[#This Row],[Science_Score]],Raw_Data34[[#This Row],[English_Score]])/300</f>
        <v>0.84666666666666668</v>
      </c>
      <c r="I63" s="7">
        <f>SUM(Raw_Data34[[#This Row],[Math_Score]],Raw_Data34[[#This Row],[Science_Score]],Raw_Data34[[#This Row],[English_Score]])</f>
        <v>254</v>
      </c>
      <c r="J63" s="22">
        <f>Raw_Data34[[#This Row],[Total_score]]/3</f>
        <v>84.666666666666671</v>
      </c>
      <c r="K63" s="22" t="str">
        <f>IF(Raw_Data34[[#This Row],[Average_score]]&gt;=40,"Pass","Fail")</f>
        <v>Pass</v>
      </c>
      <c r="L63" s="22" t="str" cm="1">
        <f t="array" ref="L6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63" s="26">
        <f>_xlfn.RANK.EQ(Raw_Data34[[#This Row],[Average_score]],Raw_Data34[[Student_ID]:[Average_score]],1)</f>
        <v>599</v>
      </c>
      <c r="N63" s="24" t="str" cm="1">
        <f t="array" ref="N63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64" spans="1:14" x14ac:dyDescent="0.9">
      <c r="A64" s="5" t="s">
        <v>71</v>
      </c>
      <c r="B64" s="6" t="s">
        <v>11</v>
      </c>
      <c r="C64" s="7">
        <v>22</v>
      </c>
      <c r="D64" s="8">
        <v>70.900000000000006</v>
      </c>
      <c r="E64" s="7">
        <v>77</v>
      </c>
      <c r="F64" s="7">
        <v>74</v>
      </c>
      <c r="G64" s="7">
        <v>80</v>
      </c>
      <c r="H64" s="15">
        <f>SUM(Raw_Data34[[#This Row],[Math_Score]],Raw_Data34[[#This Row],[Science_Score]],Raw_Data34[[#This Row],[English_Score]])/300</f>
        <v>0.77</v>
      </c>
      <c r="I64" s="7">
        <f>SUM(Raw_Data34[[#This Row],[Math_Score]],Raw_Data34[[#This Row],[Science_Score]],Raw_Data34[[#This Row],[English_Score]])</f>
        <v>231</v>
      </c>
      <c r="J64" s="22">
        <f>Raw_Data34[[#This Row],[Total_score]]/3</f>
        <v>77</v>
      </c>
      <c r="K64" s="22" t="str">
        <f>IF(Raw_Data34[[#This Row],[Average_score]]&gt;=40,"Pass","Fail")</f>
        <v>Pass</v>
      </c>
      <c r="L64" s="22" t="str" cm="1">
        <f t="array" ref="L6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64" s="26">
        <f>_xlfn.RANK.EQ(Raw_Data34[[#This Row],[Average_score]],Raw_Data34[[Student_ID]:[Average_score]],1)</f>
        <v>504</v>
      </c>
      <c r="N64" s="24" t="str" cm="1">
        <f t="array" ref="N64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65" spans="1:14" x14ac:dyDescent="0.9">
      <c r="A65" s="5" t="s">
        <v>72</v>
      </c>
      <c r="B65" s="6" t="s">
        <v>8</v>
      </c>
      <c r="C65" s="7">
        <v>21</v>
      </c>
      <c r="D65" s="8">
        <v>70</v>
      </c>
      <c r="E65" s="7">
        <v>73</v>
      </c>
      <c r="F65" s="7">
        <v>44</v>
      </c>
      <c r="G65" s="7">
        <v>68</v>
      </c>
      <c r="H65" s="15">
        <f>SUM(Raw_Data34[[#This Row],[Math_Score]],Raw_Data34[[#This Row],[Science_Score]],Raw_Data34[[#This Row],[English_Score]])/300</f>
        <v>0.6166666666666667</v>
      </c>
      <c r="I65" s="7">
        <f>SUM(Raw_Data34[[#This Row],[Math_Score]],Raw_Data34[[#This Row],[Science_Score]],Raw_Data34[[#This Row],[English_Score]])</f>
        <v>185</v>
      </c>
      <c r="J65" s="22">
        <f>Raw_Data34[[#This Row],[Total_score]]/3</f>
        <v>61.666666666666664</v>
      </c>
      <c r="K65" s="22" t="str">
        <f>IF(Raw_Data34[[#This Row],[Average_score]]&gt;=40,"Pass","Fail")</f>
        <v>Pass</v>
      </c>
      <c r="L65" s="22" t="str" cm="1">
        <f t="array" ref="L6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65" s="26">
        <f>_xlfn.RANK.EQ(Raw_Data34[[#This Row],[Average_score]],Raw_Data34[[Student_ID]:[Average_score]],1)</f>
        <v>307</v>
      </c>
      <c r="N65" s="24" t="str" cm="1">
        <f t="array" ref="N65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66" spans="1:14" x14ac:dyDescent="0.9">
      <c r="A66" s="5" t="s">
        <v>73</v>
      </c>
      <c r="B66" s="6" t="s">
        <v>11</v>
      </c>
      <c r="C66" s="7">
        <v>20</v>
      </c>
      <c r="D66" s="8">
        <v>90.1</v>
      </c>
      <c r="E66" s="7">
        <v>96</v>
      </c>
      <c r="F66" s="7">
        <v>100</v>
      </c>
      <c r="G66" s="7">
        <v>81</v>
      </c>
      <c r="H66" s="15">
        <f>SUM(Raw_Data34[[#This Row],[Math_Score]],Raw_Data34[[#This Row],[Science_Score]],Raw_Data34[[#This Row],[English_Score]])/300</f>
        <v>0.92333333333333334</v>
      </c>
      <c r="I66" s="7">
        <f>SUM(Raw_Data34[[#This Row],[Math_Score]],Raw_Data34[[#This Row],[Science_Score]],Raw_Data34[[#This Row],[English_Score]])</f>
        <v>277</v>
      </c>
      <c r="J66" s="22">
        <f>Raw_Data34[[#This Row],[Total_score]]/3</f>
        <v>92.333333333333329</v>
      </c>
      <c r="K66" s="22" t="str">
        <f>IF(Raw_Data34[[#This Row],[Average_score]]&gt;=40,"Pass","Fail")</f>
        <v>Pass</v>
      </c>
      <c r="L66" s="22" t="str" cm="1">
        <f t="array" ref="L6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66" s="26">
        <f>_xlfn.RANK.EQ(Raw_Data34[[#This Row],[Average_score]],Raw_Data34[[Student_ID]:[Average_score]],1)</f>
        <v>660</v>
      </c>
      <c r="N66" s="24" t="str" cm="1">
        <f t="array" ref="N66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67" spans="1:14" x14ac:dyDescent="0.9">
      <c r="A67" s="5" t="s">
        <v>74</v>
      </c>
      <c r="B67" s="6" t="s">
        <v>8</v>
      </c>
      <c r="C67" s="7">
        <v>18</v>
      </c>
      <c r="D67" s="8">
        <v>95.6</v>
      </c>
      <c r="E67" s="7">
        <v>97</v>
      </c>
      <c r="F67" s="7">
        <v>76</v>
      </c>
      <c r="G67" s="7">
        <v>64</v>
      </c>
      <c r="H67" s="15">
        <f>SUM(Raw_Data34[[#This Row],[Math_Score]],Raw_Data34[[#This Row],[Science_Score]],Raw_Data34[[#This Row],[English_Score]])/300</f>
        <v>0.79</v>
      </c>
      <c r="I67" s="7">
        <f>SUM(Raw_Data34[[#This Row],[Math_Score]],Raw_Data34[[#This Row],[Science_Score]],Raw_Data34[[#This Row],[English_Score]])</f>
        <v>237</v>
      </c>
      <c r="J67" s="22">
        <f>Raw_Data34[[#This Row],[Total_score]]/3</f>
        <v>79</v>
      </c>
      <c r="K67" s="22" t="str">
        <f>IF(Raw_Data34[[#This Row],[Average_score]]&gt;=40,"Pass","Fail")</f>
        <v>Pass</v>
      </c>
      <c r="L67" s="22" t="str" cm="1">
        <f t="array" ref="L6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67" s="26">
        <f>_xlfn.RANK.EQ(Raw_Data34[[#This Row],[Average_score]],Raw_Data34[[Student_ID]:[Average_score]],1)</f>
        <v>533</v>
      </c>
      <c r="N67" s="24" t="str" cm="1">
        <f t="array" ref="N67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68" spans="1:14" x14ac:dyDescent="0.9">
      <c r="A68" s="5" t="s">
        <v>75</v>
      </c>
      <c r="B68" s="6" t="s">
        <v>8</v>
      </c>
      <c r="C68" s="7">
        <v>18</v>
      </c>
      <c r="D68" s="8">
        <v>81.3</v>
      </c>
      <c r="E68" s="7">
        <v>79</v>
      </c>
      <c r="F68" s="7">
        <v>73</v>
      </c>
      <c r="G68" s="7">
        <v>90</v>
      </c>
      <c r="H68" s="15">
        <f>SUM(Raw_Data34[[#This Row],[Math_Score]],Raw_Data34[[#This Row],[Science_Score]],Raw_Data34[[#This Row],[English_Score]])/300</f>
        <v>0.80666666666666664</v>
      </c>
      <c r="I68" s="7">
        <f>SUM(Raw_Data34[[#This Row],[Math_Score]],Raw_Data34[[#This Row],[Science_Score]],Raw_Data34[[#This Row],[English_Score]])</f>
        <v>242</v>
      </c>
      <c r="J68" s="22">
        <f>Raw_Data34[[#This Row],[Total_score]]/3</f>
        <v>80.666666666666671</v>
      </c>
      <c r="K68" s="22" t="str">
        <f>IF(Raw_Data34[[#This Row],[Average_score]]&gt;=40,"Pass","Fail")</f>
        <v>Pass</v>
      </c>
      <c r="L68" s="22" t="str" cm="1">
        <f t="array" ref="L6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68" s="26">
        <f>_xlfn.RANK.EQ(Raw_Data34[[#This Row],[Average_score]],Raw_Data34[[Student_ID]:[Average_score]],1)</f>
        <v>554</v>
      </c>
      <c r="N68" s="24" t="str" cm="1">
        <f t="array" ref="N68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69" spans="1:14" x14ac:dyDescent="0.9">
      <c r="A69" s="5" t="s">
        <v>76</v>
      </c>
      <c r="B69" s="6" t="s">
        <v>8</v>
      </c>
      <c r="C69" s="7">
        <v>19</v>
      </c>
      <c r="D69" s="8">
        <v>92</v>
      </c>
      <c r="E69" s="7">
        <v>100</v>
      </c>
      <c r="F69" s="7">
        <v>75</v>
      </c>
      <c r="G69" s="7">
        <v>91</v>
      </c>
      <c r="H69" s="15">
        <f>SUM(Raw_Data34[[#This Row],[Math_Score]],Raw_Data34[[#This Row],[Science_Score]],Raw_Data34[[#This Row],[English_Score]])/300</f>
        <v>0.88666666666666671</v>
      </c>
      <c r="I69" s="7">
        <f>SUM(Raw_Data34[[#This Row],[Math_Score]],Raw_Data34[[#This Row],[Science_Score]],Raw_Data34[[#This Row],[English_Score]])</f>
        <v>266</v>
      </c>
      <c r="J69" s="22">
        <f>Raw_Data34[[#This Row],[Total_score]]/3</f>
        <v>88.666666666666671</v>
      </c>
      <c r="K69" s="22" t="str">
        <f>IF(Raw_Data34[[#This Row],[Average_score]]&gt;=40,"Pass","Fail")</f>
        <v>Pass</v>
      </c>
      <c r="L69" s="22" t="str" cm="1">
        <f t="array" ref="L6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69" s="26">
        <f>_xlfn.RANK.EQ(Raw_Data34[[#This Row],[Average_score]],Raw_Data34[[Student_ID]:[Average_score]],1)</f>
        <v>636</v>
      </c>
      <c r="N69" s="24" t="str" cm="1">
        <f t="array" ref="N69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70" spans="1:14" x14ac:dyDescent="0.9">
      <c r="A70" s="5" t="s">
        <v>77</v>
      </c>
      <c r="B70" s="6" t="s">
        <v>11</v>
      </c>
      <c r="C70" s="7">
        <v>20</v>
      </c>
      <c r="D70" s="8">
        <v>85.6</v>
      </c>
      <c r="E70" s="7">
        <v>56</v>
      </c>
      <c r="F70" s="7">
        <v>75</v>
      </c>
      <c r="G70" s="7">
        <v>57</v>
      </c>
      <c r="H70" s="15">
        <f>SUM(Raw_Data34[[#This Row],[Math_Score]],Raw_Data34[[#This Row],[Science_Score]],Raw_Data34[[#This Row],[English_Score]])/300</f>
        <v>0.62666666666666671</v>
      </c>
      <c r="I70" s="7">
        <f>SUM(Raw_Data34[[#This Row],[Math_Score]],Raw_Data34[[#This Row],[Science_Score]],Raw_Data34[[#This Row],[English_Score]])</f>
        <v>188</v>
      </c>
      <c r="J70" s="22">
        <f>Raw_Data34[[#This Row],[Total_score]]/3</f>
        <v>62.666666666666664</v>
      </c>
      <c r="K70" s="22" t="str">
        <f>IF(Raw_Data34[[#This Row],[Average_score]]&gt;=40,"Pass","Fail")</f>
        <v>Pass</v>
      </c>
      <c r="L70" s="22" t="str" cm="1">
        <f t="array" ref="L7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70" s="26">
        <f>_xlfn.RANK.EQ(Raw_Data34[[#This Row],[Average_score]],Raw_Data34[[Student_ID]:[Average_score]],1)</f>
        <v>322</v>
      </c>
      <c r="N70" s="24" t="str" cm="1">
        <f t="array" ref="N7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71" spans="1:14" x14ac:dyDescent="0.9">
      <c r="A71" s="5" t="s">
        <v>78</v>
      </c>
      <c r="B71" s="6" t="s">
        <v>11</v>
      </c>
      <c r="C71" s="7">
        <v>21</v>
      </c>
      <c r="D71" s="8">
        <v>75.5</v>
      </c>
      <c r="E71" s="7">
        <v>66</v>
      </c>
      <c r="F71" s="7">
        <v>48</v>
      </c>
      <c r="G71" s="7">
        <v>61</v>
      </c>
      <c r="H71" s="15">
        <f>SUM(Raw_Data34[[#This Row],[Math_Score]],Raw_Data34[[#This Row],[Science_Score]],Raw_Data34[[#This Row],[English_Score]])/300</f>
        <v>0.58333333333333337</v>
      </c>
      <c r="I71" s="7">
        <f>SUM(Raw_Data34[[#This Row],[Math_Score]],Raw_Data34[[#This Row],[Science_Score]],Raw_Data34[[#This Row],[English_Score]])</f>
        <v>175</v>
      </c>
      <c r="J71" s="22">
        <f>Raw_Data34[[#This Row],[Total_score]]/3</f>
        <v>58.333333333333336</v>
      </c>
      <c r="K71" s="22" t="str">
        <f>IF(Raw_Data34[[#This Row],[Average_score]]&gt;=40,"Pass","Fail")</f>
        <v>Pass</v>
      </c>
      <c r="L71" s="22" t="str" cm="1">
        <f t="array" ref="L7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71" s="26">
        <f>_xlfn.RANK.EQ(Raw_Data34[[#This Row],[Average_score]],Raw_Data34[[Student_ID]:[Average_score]],1)</f>
        <v>279</v>
      </c>
      <c r="N71" s="24" t="str" cm="1">
        <f t="array" ref="N71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72" spans="1:14" x14ac:dyDescent="0.9">
      <c r="A72" s="5" t="s">
        <v>79</v>
      </c>
      <c r="B72" s="6" t="s">
        <v>8</v>
      </c>
      <c r="C72" s="7">
        <v>22</v>
      </c>
      <c r="D72" s="8">
        <v>85.6</v>
      </c>
      <c r="E72" s="7">
        <v>60</v>
      </c>
      <c r="F72" s="7">
        <v>60</v>
      </c>
      <c r="G72" s="7">
        <v>60</v>
      </c>
      <c r="H72" s="15">
        <f>SUM(Raw_Data34[[#This Row],[Math_Score]],Raw_Data34[[#This Row],[Science_Score]],Raw_Data34[[#This Row],[English_Score]])/300</f>
        <v>0.6</v>
      </c>
      <c r="I72" s="7">
        <f>SUM(Raw_Data34[[#This Row],[Math_Score]],Raw_Data34[[#This Row],[Science_Score]],Raw_Data34[[#This Row],[English_Score]])</f>
        <v>180</v>
      </c>
      <c r="J72" s="22">
        <f>Raw_Data34[[#This Row],[Total_score]]/3</f>
        <v>60</v>
      </c>
      <c r="K72" s="22" t="str">
        <f>IF(Raw_Data34[[#This Row],[Average_score]]&gt;=40,"Pass","Fail")</f>
        <v>Pass</v>
      </c>
      <c r="L72" s="22" t="str" cm="1">
        <f t="array" ref="L7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72" s="26">
        <f>_xlfn.RANK.EQ(Raw_Data34[[#This Row],[Average_score]],Raw_Data34[[Student_ID]:[Average_score]],1)</f>
        <v>289</v>
      </c>
      <c r="N72" s="24" t="str" cm="1">
        <f t="array" ref="N7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73" spans="1:14" x14ac:dyDescent="0.9">
      <c r="A73" s="5" t="s">
        <v>80</v>
      </c>
      <c r="B73" s="6" t="s">
        <v>8</v>
      </c>
      <c r="C73" s="7">
        <v>22</v>
      </c>
      <c r="D73" s="8">
        <v>97.4</v>
      </c>
      <c r="E73" s="7">
        <v>54</v>
      </c>
      <c r="F73" s="7">
        <v>73</v>
      </c>
      <c r="G73" s="7">
        <v>74</v>
      </c>
      <c r="H73" s="15">
        <f>SUM(Raw_Data34[[#This Row],[Math_Score]],Raw_Data34[[#This Row],[Science_Score]],Raw_Data34[[#This Row],[English_Score]])/300</f>
        <v>0.67</v>
      </c>
      <c r="I73" s="7">
        <f>SUM(Raw_Data34[[#This Row],[Math_Score]],Raw_Data34[[#This Row],[Science_Score]],Raw_Data34[[#This Row],[English_Score]])</f>
        <v>201</v>
      </c>
      <c r="J73" s="22">
        <f>Raw_Data34[[#This Row],[Total_score]]/3</f>
        <v>67</v>
      </c>
      <c r="K73" s="22" t="str">
        <f>IF(Raw_Data34[[#This Row],[Average_score]]&gt;=40,"Pass","Fail")</f>
        <v>Pass</v>
      </c>
      <c r="L73" s="22" t="str" cm="1">
        <f t="array" ref="L7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73" s="26">
        <f>_xlfn.RANK.EQ(Raw_Data34[[#This Row],[Average_score]],Raw_Data34[[Student_ID]:[Average_score]],1)</f>
        <v>362</v>
      </c>
      <c r="N73" s="24" t="str" cm="1">
        <f t="array" ref="N73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74" spans="1:14" x14ac:dyDescent="0.9">
      <c r="A74" s="5" t="s">
        <v>81</v>
      </c>
      <c r="B74" s="6" t="s">
        <v>11</v>
      </c>
      <c r="C74" s="7">
        <v>21</v>
      </c>
      <c r="D74" s="8">
        <v>81.599999999999994</v>
      </c>
      <c r="E74" s="7">
        <v>79</v>
      </c>
      <c r="F74" s="7">
        <v>59</v>
      </c>
      <c r="G74" s="7">
        <v>78</v>
      </c>
      <c r="H74" s="15">
        <f>SUM(Raw_Data34[[#This Row],[Math_Score]],Raw_Data34[[#This Row],[Science_Score]],Raw_Data34[[#This Row],[English_Score]])/300</f>
        <v>0.72</v>
      </c>
      <c r="I74" s="7">
        <f>SUM(Raw_Data34[[#This Row],[Math_Score]],Raw_Data34[[#This Row],[Science_Score]],Raw_Data34[[#This Row],[English_Score]])</f>
        <v>216</v>
      </c>
      <c r="J74" s="22">
        <f>Raw_Data34[[#This Row],[Total_score]]/3</f>
        <v>72</v>
      </c>
      <c r="K74" s="22" t="str">
        <f>IF(Raw_Data34[[#This Row],[Average_score]]&gt;=40,"Pass","Fail")</f>
        <v>Pass</v>
      </c>
      <c r="L74" s="22" t="str" cm="1">
        <f t="array" ref="L7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74" s="26">
        <f>_xlfn.RANK.EQ(Raw_Data34[[#This Row],[Average_score]],Raw_Data34[[Student_ID]:[Average_score]],1)</f>
        <v>424</v>
      </c>
      <c r="N74" s="24" t="str" cm="1">
        <f t="array" ref="N74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75" spans="1:14" x14ac:dyDescent="0.9">
      <c r="A75" s="5" t="s">
        <v>82</v>
      </c>
      <c r="B75" s="6" t="s">
        <v>8</v>
      </c>
      <c r="C75" s="7">
        <v>19</v>
      </c>
      <c r="D75" s="8">
        <v>97.6</v>
      </c>
      <c r="E75" s="7">
        <v>64</v>
      </c>
      <c r="F75" s="7">
        <v>79</v>
      </c>
      <c r="G75" s="7">
        <v>82</v>
      </c>
      <c r="H75" s="15">
        <f>SUM(Raw_Data34[[#This Row],[Math_Score]],Raw_Data34[[#This Row],[Science_Score]],Raw_Data34[[#This Row],[English_Score]])/300</f>
        <v>0.75</v>
      </c>
      <c r="I75" s="7">
        <f>SUM(Raw_Data34[[#This Row],[Math_Score]],Raw_Data34[[#This Row],[Science_Score]],Raw_Data34[[#This Row],[English_Score]])</f>
        <v>225</v>
      </c>
      <c r="J75" s="22">
        <f>Raw_Data34[[#This Row],[Total_score]]/3</f>
        <v>75</v>
      </c>
      <c r="K75" s="22" t="str">
        <f>IF(Raw_Data34[[#This Row],[Average_score]]&gt;=40,"Pass","Fail")</f>
        <v>Pass</v>
      </c>
      <c r="L75" s="22" t="str" cm="1">
        <f t="array" ref="L7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75" s="26">
        <f>_xlfn.RANK.EQ(Raw_Data34[[#This Row],[Average_score]],Raw_Data34[[Student_ID]:[Average_score]],1)</f>
        <v>465</v>
      </c>
      <c r="N75" s="24" t="str" cm="1">
        <f t="array" ref="N75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76" spans="1:14" x14ac:dyDescent="0.9">
      <c r="A76" s="5" t="s">
        <v>83</v>
      </c>
      <c r="B76" s="6" t="s">
        <v>8</v>
      </c>
      <c r="C76" s="7">
        <v>22</v>
      </c>
      <c r="D76" s="8">
        <v>55.8</v>
      </c>
      <c r="E76" s="7">
        <v>48</v>
      </c>
      <c r="F76" s="7">
        <v>77</v>
      </c>
      <c r="G76" s="7">
        <v>59</v>
      </c>
      <c r="H76" s="15">
        <f>SUM(Raw_Data34[[#This Row],[Math_Score]],Raw_Data34[[#This Row],[Science_Score]],Raw_Data34[[#This Row],[English_Score]])/300</f>
        <v>0.61333333333333329</v>
      </c>
      <c r="I76" s="7">
        <f>SUM(Raw_Data34[[#This Row],[Math_Score]],Raw_Data34[[#This Row],[Science_Score]],Raw_Data34[[#This Row],[English_Score]])</f>
        <v>184</v>
      </c>
      <c r="J76" s="22">
        <f>Raw_Data34[[#This Row],[Total_score]]/3</f>
        <v>61.333333333333336</v>
      </c>
      <c r="K76" s="22" t="str">
        <f>IF(Raw_Data34[[#This Row],[Average_score]]&gt;=40,"Pass","Fail")</f>
        <v>Pass</v>
      </c>
      <c r="L76" s="22" t="str" cm="1">
        <f t="array" ref="L7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76" s="26">
        <f>_xlfn.RANK.EQ(Raw_Data34[[#This Row],[Average_score]],Raw_Data34[[Student_ID]:[Average_score]],1)</f>
        <v>305</v>
      </c>
      <c r="N76" s="24" t="str" cm="1">
        <f t="array" ref="N76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77" spans="1:14" x14ac:dyDescent="0.9">
      <c r="A77" s="5" t="s">
        <v>84</v>
      </c>
      <c r="B77" s="6" t="s">
        <v>8</v>
      </c>
      <c r="C77" s="7">
        <v>20</v>
      </c>
      <c r="D77" s="8">
        <v>90.2</v>
      </c>
      <c r="E77" s="7">
        <v>87</v>
      </c>
      <c r="F77" s="7">
        <v>59</v>
      </c>
      <c r="G77" s="7">
        <v>87</v>
      </c>
      <c r="H77" s="15">
        <f>SUM(Raw_Data34[[#This Row],[Math_Score]],Raw_Data34[[#This Row],[Science_Score]],Raw_Data34[[#This Row],[English_Score]])/300</f>
        <v>0.77666666666666662</v>
      </c>
      <c r="I77" s="7">
        <f>SUM(Raw_Data34[[#This Row],[Math_Score]],Raw_Data34[[#This Row],[Science_Score]],Raw_Data34[[#This Row],[English_Score]])</f>
        <v>233</v>
      </c>
      <c r="J77" s="22">
        <f>Raw_Data34[[#This Row],[Total_score]]/3</f>
        <v>77.666666666666671</v>
      </c>
      <c r="K77" s="22" t="str">
        <f>IF(Raw_Data34[[#This Row],[Average_score]]&gt;=40,"Pass","Fail")</f>
        <v>Pass</v>
      </c>
      <c r="L77" s="22" t="str" cm="1">
        <f t="array" ref="L7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77" s="26">
        <f>_xlfn.RANK.EQ(Raw_Data34[[#This Row],[Average_score]],Raw_Data34[[Student_ID]:[Average_score]],1)</f>
        <v>521</v>
      </c>
      <c r="N77" s="24" t="str" cm="1">
        <f t="array" ref="N77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78" spans="1:14" x14ac:dyDescent="0.9">
      <c r="A78" s="5" t="s">
        <v>85</v>
      </c>
      <c r="B78" s="6" t="s">
        <v>11</v>
      </c>
      <c r="C78" s="7">
        <v>19</v>
      </c>
      <c r="D78" s="8">
        <v>82.9</v>
      </c>
      <c r="E78" s="7">
        <v>76</v>
      </c>
      <c r="F78" s="7">
        <v>62</v>
      </c>
      <c r="G78" s="7">
        <v>73</v>
      </c>
      <c r="H78" s="15">
        <f>SUM(Raw_Data34[[#This Row],[Math_Score]],Raw_Data34[[#This Row],[Science_Score]],Raw_Data34[[#This Row],[English_Score]])/300</f>
        <v>0.70333333333333337</v>
      </c>
      <c r="I78" s="7">
        <f>SUM(Raw_Data34[[#This Row],[Math_Score]],Raw_Data34[[#This Row],[Science_Score]],Raw_Data34[[#This Row],[English_Score]])</f>
        <v>211</v>
      </c>
      <c r="J78" s="22">
        <f>Raw_Data34[[#This Row],[Total_score]]/3</f>
        <v>70.333333333333329</v>
      </c>
      <c r="K78" s="22" t="str">
        <f>IF(Raw_Data34[[#This Row],[Average_score]]&gt;=40,"Pass","Fail")</f>
        <v>Pass</v>
      </c>
      <c r="L78" s="22" t="str" cm="1">
        <f t="array" ref="L7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78" s="26">
        <f>_xlfn.RANK.EQ(Raw_Data34[[#This Row],[Average_score]],Raw_Data34[[Student_ID]:[Average_score]],1)</f>
        <v>416</v>
      </c>
      <c r="N78" s="24" t="str" cm="1">
        <f t="array" ref="N78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79" spans="1:14" x14ac:dyDescent="0.9">
      <c r="A79" s="5" t="s">
        <v>86</v>
      </c>
      <c r="B79" s="6" t="s">
        <v>11</v>
      </c>
      <c r="C79" s="7">
        <v>20</v>
      </c>
      <c r="D79" s="8">
        <v>79</v>
      </c>
      <c r="E79" s="7">
        <v>96</v>
      </c>
      <c r="F79" s="7">
        <v>77</v>
      </c>
      <c r="G79" s="7">
        <v>93</v>
      </c>
      <c r="H79" s="15">
        <f>SUM(Raw_Data34[[#This Row],[Math_Score]],Raw_Data34[[#This Row],[Science_Score]],Raw_Data34[[#This Row],[English_Score]])/300</f>
        <v>0.88666666666666671</v>
      </c>
      <c r="I79" s="7">
        <f>SUM(Raw_Data34[[#This Row],[Math_Score]],Raw_Data34[[#This Row],[Science_Score]],Raw_Data34[[#This Row],[English_Score]])</f>
        <v>266</v>
      </c>
      <c r="J79" s="22">
        <f>Raw_Data34[[#This Row],[Total_score]]/3</f>
        <v>88.666666666666671</v>
      </c>
      <c r="K79" s="22" t="str">
        <f>IF(Raw_Data34[[#This Row],[Average_score]]&gt;=40,"Pass","Fail")</f>
        <v>Pass</v>
      </c>
      <c r="L79" s="22" t="str" cm="1">
        <f t="array" ref="L7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79" s="26">
        <f>_xlfn.RANK.EQ(Raw_Data34[[#This Row],[Average_score]],Raw_Data34[[Student_ID]:[Average_score]],1)</f>
        <v>636</v>
      </c>
      <c r="N79" s="24" t="str" cm="1">
        <f t="array" ref="N79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0" spans="1:14" x14ac:dyDescent="0.9">
      <c r="A80" s="5" t="s">
        <v>87</v>
      </c>
      <c r="B80" s="6" t="s">
        <v>11</v>
      </c>
      <c r="C80" s="7">
        <v>18</v>
      </c>
      <c r="D80" s="8">
        <v>82.9</v>
      </c>
      <c r="E80" s="7">
        <v>75</v>
      </c>
      <c r="F80" s="7">
        <v>64</v>
      </c>
      <c r="G80" s="7">
        <v>62</v>
      </c>
      <c r="H80" s="15">
        <f>SUM(Raw_Data34[[#This Row],[Math_Score]],Raw_Data34[[#This Row],[Science_Score]],Raw_Data34[[#This Row],[English_Score]])/300</f>
        <v>0.67</v>
      </c>
      <c r="I80" s="7">
        <f>SUM(Raw_Data34[[#This Row],[Math_Score]],Raw_Data34[[#This Row],[Science_Score]],Raw_Data34[[#This Row],[English_Score]])</f>
        <v>201</v>
      </c>
      <c r="J80" s="22">
        <f>Raw_Data34[[#This Row],[Total_score]]/3</f>
        <v>67</v>
      </c>
      <c r="K80" s="22" t="str">
        <f>IF(Raw_Data34[[#This Row],[Average_score]]&gt;=40,"Pass","Fail")</f>
        <v>Pass</v>
      </c>
      <c r="L80" s="22" t="str" cm="1">
        <f t="array" ref="L8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80" s="26">
        <f>_xlfn.RANK.EQ(Raw_Data34[[#This Row],[Average_score]],Raw_Data34[[Student_ID]:[Average_score]],1)</f>
        <v>362</v>
      </c>
      <c r="N80" s="24" t="str" cm="1">
        <f t="array" ref="N8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1" spans="1:14" x14ac:dyDescent="0.9">
      <c r="A81" s="5" t="s">
        <v>88</v>
      </c>
      <c r="B81" s="6" t="s">
        <v>8</v>
      </c>
      <c r="C81" s="7">
        <v>19</v>
      </c>
      <c r="D81" s="8">
        <v>62.1</v>
      </c>
      <c r="E81" s="7">
        <v>100</v>
      </c>
      <c r="F81" s="7">
        <v>94</v>
      </c>
      <c r="G81" s="7">
        <v>94</v>
      </c>
      <c r="H81" s="15">
        <f>SUM(Raw_Data34[[#This Row],[Math_Score]],Raw_Data34[[#This Row],[Science_Score]],Raw_Data34[[#This Row],[English_Score]])/300</f>
        <v>0.96</v>
      </c>
      <c r="I81" s="7">
        <f>SUM(Raw_Data34[[#This Row],[Math_Score]],Raw_Data34[[#This Row],[Science_Score]],Raw_Data34[[#This Row],[English_Score]])</f>
        <v>288</v>
      </c>
      <c r="J81" s="22">
        <f>Raw_Data34[[#This Row],[Total_score]]/3</f>
        <v>96</v>
      </c>
      <c r="K81" s="22" t="str">
        <f>IF(Raw_Data34[[#This Row],[Average_score]]&gt;=40,"Pass","Fail")</f>
        <v>Pass</v>
      </c>
      <c r="L81" s="22" t="str" cm="1">
        <f t="array" ref="L8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A+</v>
      </c>
      <c r="M81" s="26">
        <f>_xlfn.RANK.EQ(Raw_Data34[[#This Row],[Average_score]],Raw_Data34[[Student_ID]:[Average_score]],1)</f>
        <v>675</v>
      </c>
      <c r="N81" s="24" t="str" cm="1">
        <f t="array" ref="N81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82" spans="1:14" x14ac:dyDescent="0.9">
      <c r="A82" s="5" t="s">
        <v>89</v>
      </c>
      <c r="B82" s="6" t="s">
        <v>8</v>
      </c>
      <c r="C82" s="7">
        <v>22</v>
      </c>
      <c r="D82" s="8">
        <v>79.8</v>
      </c>
      <c r="E82" s="7">
        <v>84</v>
      </c>
      <c r="F82" s="7">
        <v>66</v>
      </c>
      <c r="G82" s="7">
        <v>83</v>
      </c>
      <c r="H82" s="15">
        <f>SUM(Raw_Data34[[#This Row],[Math_Score]],Raw_Data34[[#This Row],[Science_Score]],Raw_Data34[[#This Row],[English_Score]])/300</f>
        <v>0.77666666666666662</v>
      </c>
      <c r="I82" s="7">
        <f>SUM(Raw_Data34[[#This Row],[Math_Score]],Raw_Data34[[#This Row],[Science_Score]],Raw_Data34[[#This Row],[English_Score]])</f>
        <v>233</v>
      </c>
      <c r="J82" s="22">
        <f>Raw_Data34[[#This Row],[Total_score]]/3</f>
        <v>77.666666666666671</v>
      </c>
      <c r="K82" s="22" t="str">
        <f>IF(Raw_Data34[[#This Row],[Average_score]]&gt;=40,"Pass","Fail")</f>
        <v>Pass</v>
      </c>
      <c r="L82" s="22" t="str" cm="1">
        <f t="array" ref="L8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82" s="26">
        <f>_xlfn.RANK.EQ(Raw_Data34[[#This Row],[Average_score]],Raw_Data34[[Student_ID]:[Average_score]],1)</f>
        <v>521</v>
      </c>
      <c r="N82" s="24" t="str" cm="1">
        <f t="array" ref="N8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3" spans="1:14" x14ac:dyDescent="0.9">
      <c r="A83" s="5" t="s">
        <v>90</v>
      </c>
      <c r="B83" s="6" t="s">
        <v>8</v>
      </c>
      <c r="C83" s="7">
        <v>19</v>
      </c>
      <c r="D83" s="8">
        <v>85.6</v>
      </c>
      <c r="E83" s="7">
        <v>60</v>
      </c>
      <c r="F83" s="7">
        <v>54</v>
      </c>
      <c r="G83" s="7">
        <v>73</v>
      </c>
      <c r="H83" s="15">
        <f>SUM(Raw_Data34[[#This Row],[Math_Score]],Raw_Data34[[#This Row],[Science_Score]],Raw_Data34[[#This Row],[English_Score]])/300</f>
        <v>0.62333333333333329</v>
      </c>
      <c r="I83" s="7">
        <f>SUM(Raw_Data34[[#This Row],[Math_Score]],Raw_Data34[[#This Row],[Science_Score]],Raw_Data34[[#This Row],[English_Score]])</f>
        <v>187</v>
      </c>
      <c r="J83" s="22">
        <f>Raw_Data34[[#This Row],[Total_score]]/3</f>
        <v>62.333333333333336</v>
      </c>
      <c r="K83" s="22" t="str">
        <f>IF(Raw_Data34[[#This Row],[Average_score]]&gt;=40,"Pass","Fail")</f>
        <v>Pass</v>
      </c>
      <c r="L83" s="22" t="str" cm="1">
        <f t="array" ref="L8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83" s="26">
        <f>_xlfn.RANK.EQ(Raw_Data34[[#This Row],[Average_score]],Raw_Data34[[Student_ID]:[Average_score]],1)</f>
        <v>320</v>
      </c>
      <c r="N83" s="24" t="str" cm="1">
        <f t="array" ref="N83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4" spans="1:14" x14ac:dyDescent="0.9">
      <c r="A84" s="5" t="s">
        <v>91</v>
      </c>
      <c r="B84" s="6" t="s">
        <v>11</v>
      </c>
      <c r="C84" s="7">
        <v>19</v>
      </c>
      <c r="D84" s="8">
        <v>96.8</v>
      </c>
      <c r="E84" s="7">
        <v>62</v>
      </c>
      <c r="F84" s="7">
        <v>54</v>
      </c>
      <c r="G84" s="7">
        <v>72</v>
      </c>
      <c r="H84" s="15">
        <f>SUM(Raw_Data34[[#This Row],[Math_Score]],Raw_Data34[[#This Row],[Science_Score]],Raw_Data34[[#This Row],[English_Score]])/300</f>
        <v>0.62666666666666671</v>
      </c>
      <c r="I84" s="7">
        <f>SUM(Raw_Data34[[#This Row],[Math_Score]],Raw_Data34[[#This Row],[Science_Score]],Raw_Data34[[#This Row],[English_Score]])</f>
        <v>188</v>
      </c>
      <c r="J84" s="22">
        <f>Raw_Data34[[#This Row],[Total_score]]/3</f>
        <v>62.666666666666664</v>
      </c>
      <c r="K84" s="22" t="str">
        <f>IF(Raw_Data34[[#This Row],[Average_score]]&gt;=40,"Pass","Fail")</f>
        <v>Pass</v>
      </c>
      <c r="L84" s="22" t="str" cm="1">
        <f t="array" ref="L8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84" s="26">
        <f>_xlfn.RANK.EQ(Raw_Data34[[#This Row],[Average_score]],Raw_Data34[[Student_ID]:[Average_score]],1)</f>
        <v>322</v>
      </c>
      <c r="N84" s="24" t="str" cm="1">
        <f t="array" ref="N84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85" spans="1:14" x14ac:dyDescent="0.9">
      <c r="A85" s="5" t="s">
        <v>92</v>
      </c>
      <c r="B85" s="6" t="s">
        <v>8</v>
      </c>
      <c r="C85" s="7">
        <v>19</v>
      </c>
      <c r="D85" s="8">
        <v>76.8</v>
      </c>
      <c r="E85" s="7">
        <v>72</v>
      </c>
      <c r="F85" s="7">
        <v>70</v>
      </c>
      <c r="G85" s="7">
        <v>76</v>
      </c>
      <c r="H85" s="15">
        <f>SUM(Raw_Data34[[#This Row],[Math_Score]],Raw_Data34[[#This Row],[Science_Score]],Raw_Data34[[#This Row],[English_Score]])/300</f>
        <v>0.72666666666666668</v>
      </c>
      <c r="I85" s="7">
        <f>SUM(Raw_Data34[[#This Row],[Math_Score]],Raw_Data34[[#This Row],[Science_Score]],Raw_Data34[[#This Row],[English_Score]])</f>
        <v>218</v>
      </c>
      <c r="J85" s="22">
        <f>Raw_Data34[[#This Row],[Total_score]]/3</f>
        <v>72.666666666666671</v>
      </c>
      <c r="K85" s="22" t="str">
        <f>IF(Raw_Data34[[#This Row],[Average_score]]&gt;=40,"Pass","Fail")</f>
        <v>Pass</v>
      </c>
      <c r="L85" s="22" t="str" cm="1">
        <f t="array" ref="L8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85" s="26">
        <f>_xlfn.RANK.EQ(Raw_Data34[[#This Row],[Average_score]],Raw_Data34[[Student_ID]:[Average_score]],1)</f>
        <v>436</v>
      </c>
      <c r="N85" s="24" t="str" cm="1">
        <f t="array" ref="N85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6" spans="1:14" x14ac:dyDescent="0.9">
      <c r="A86" s="5" t="s">
        <v>93</v>
      </c>
      <c r="B86" s="6" t="s">
        <v>8</v>
      </c>
      <c r="C86" s="7">
        <v>19</v>
      </c>
      <c r="D86" s="8">
        <v>73.900000000000006</v>
      </c>
      <c r="E86" s="7">
        <v>68</v>
      </c>
      <c r="F86" s="7">
        <v>65</v>
      </c>
      <c r="G86" s="7">
        <v>62</v>
      </c>
      <c r="H86" s="15">
        <f>SUM(Raw_Data34[[#This Row],[Math_Score]],Raw_Data34[[#This Row],[Science_Score]],Raw_Data34[[#This Row],[English_Score]])/300</f>
        <v>0.65</v>
      </c>
      <c r="I86" s="7">
        <f>SUM(Raw_Data34[[#This Row],[Math_Score]],Raw_Data34[[#This Row],[Science_Score]],Raw_Data34[[#This Row],[English_Score]])</f>
        <v>195</v>
      </c>
      <c r="J86" s="22">
        <f>Raw_Data34[[#This Row],[Total_score]]/3</f>
        <v>65</v>
      </c>
      <c r="K86" s="22" t="str">
        <f>IF(Raw_Data34[[#This Row],[Average_score]]&gt;=40,"Pass","Fail")</f>
        <v>Pass</v>
      </c>
      <c r="L86" s="22" t="str" cm="1">
        <f t="array" ref="L8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86" s="26">
        <f>_xlfn.RANK.EQ(Raw_Data34[[#This Row],[Average_score]],Raw_Data34[[Student_ID]:[Average_score]],1)</f>
        <v>342</v>
      </c>
      <c r="N86" s="24" t="str" cm="1">
        <f t="array" ref="N86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87" spans="1:14" x14ac:dyDescent="0.9">
      <c r="A87" s="5" t="s">
        <v>94</v>
      </c>
      <c r="B87" s="6" t="s">
        <v>8</v>
      </c>
      <c r="C87" s="7">
        <v>20</v>
      </c>
      <c r="D87" s="8">
        <v>77</v>
      </c>
      <c r="E87" s="7">
        <v>68</v>
      </c>
      <c r="F87" s="7">
        <v>84</v>
      </c>
      <c r="G87" s="7">
        <v>82</v>
      </c>
      <c r="H87" s="15">
        <f>SUM(Raw_Data34[[#This Row],[Math_Score]],Raw_Data34[[#This Row],[Science_Score]],Raw_Data34[[#This Row],[English_Score]])/300</f>
        <v>0.78</v>
      </c>
      <c r="I87" s="7">
        <f>SUM(Raw_Data34[[#This Row],[Math_Score]],Raw_Data34[[#This Row],[Science_Score]],Raw_Data34[[#This Row],[English_Score]])</f>
        <v>234</v>
      </c>
      <c r="J87" s="22">
        <f>Raw_Data34[[#This Row],[Total_score]]/3</f>
        <v>78</v>
      </c>
      <c r="K87" s="22" t="str">
        <f>IF(Raw_Data34[[#This Row],[Average_score]]&gt;=40,"Pass","Fail")</f>
        <v>Pass</v>
      </c>
      <c r="L87" s="22" t="str" cm="1">
        <f t="array" ref="L8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87" s="26">
        <f>_xlfn.RANK.EQ(Raw_Data34[[#This Row],[Average_score]],Raw_Data34[[Student_ID]:[Average_score]],1)</f>
        <v>523</v>
      </c>
      <c r="N87" s="24" t="str" cm="1">
        <f t="array" ref="N87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88" spans="1:14" x14ac:dyDescent="0.9">
      <c r="A88" s="5" t="s">
        <v>95</v>
      </c>
      <c r="B88" s="6" t="s">
        <v>8</v>
      </c>
      <c r="C88" s="7">
        <v>18</v>
      </c>
      <c r="D88" s="8">
        <v>91.2</v>
      </c>
      <c r="E88" s="7">
        <v>83</v>
      </c>
      <c r="F88" s="7">
        <v>87</v>
      </c>
      <c r="G88" s="7">
        <v>72</v>
      </c>
      <c r="H88" s="15">
        <f>SUM(Raw_Data34[[#This Row],[Math_Score]],Raw_Data34[[#This Row],[Science_Score]],Raw_Data34[[#This Row],[English_Score]])/300</f>
        <v>0.80666666666666664</v>
      </c>
      <c r="I88" s="7">
        <f>SUM(Raw_Data34[[#This Row],[Math_Score]],Raw_Data34[[#This Row],[Science_Score]],Raw_Data34[[#This Row],[English_Score]])</f>
        <v>242</v>
      </c>
      <c r="J88" s="22">
        <f>Raw_Data34[[#This Row],[Total_score]]/3</f>
        <v>80.666666666666671</v>
      </c>
      <c r="K88" s="22" t="str">
        <f>IF(Raw_Data34[[#This Row],[Average_score]]&gt;=40,"Pass","Fail")</f>
        <v>Pass</v>
      </c>
      <c r="L88" s="22" t="str" cm="1">
        <f t="array" ref="L8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88" s="26">
        <f>_xlfn.RANK.EQ(Raw_Data34[[#This Row],[Average_score]],Raw_Data34[[Student_ID]:[Average_score]],1)</f>
        <v>554</v>
      </c>
      <c r="N88" s="24" t="str" cm="1">
        <f t="array" ref="N88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89" spans="1:14" x14ac:dyDescent="0.9">
      <c r="A89" s="5" t="s">
        <v>96</v>
      </c>
      <c r="B89" s="6" t="s">
        <v>11</v>
      </c>
      <c r="C89" s="7">
        <v>21</v>
      </c>
      <c r="D89" s="8">
        <v>85.3</v>
      </c>
      <c r="E89" s="7">
        <v>70</v>
      </c>
      <c r="F89" s="7">
        <v>75</v>
      </c>
      <c r="G89" s="7">
        <v>65</v>
      </c>
      <c r="H89" s="15">
        <f>SUM(Raw_Data34[[#This Row],[Math_Score]],Raw_Data34[[#This Row],[Science_Score]],Raw_Data34[[#This Row],[English_Score]])/300</f>
        <v>0.7</v>
      </c>
      <c r="I89" s="7">
        <f>SUM(Raw_Data34[[#This Row],[Math_Score]],Raw_Data34[[#This Row],[Science_Score]],Raw_Data34[[#This Row],[English_Score]])</f>
        <v>210</v>
      </c>
      <c r="J89" s="22">
        <f>Raw_Data34[[#This Row],[Total_score]]/3</f>
        <v>70</v>
      </c>
      <c r="K89" s="22" t="str">
        <f>IF(Raw_Data34[[#This Row],[Average_score]]&gt;=40,"Pass","Fail")</f>
        <v>Pass</v>
      </c>
      <c r="L89" s="22" t="str" cm="1">
        <f t="array" ref="L8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89" s="26">
        <f>_xlfn.RANK.EQ(Raw_Data34[[#This Row],[Average_score]],Raw_Data34[[Student_ID]:[Average_score]],1)</f>
        <v>402</v>
      </c>
      <c r="N89" s="24" t="str" cm="1">
        <f t="array" ref="N89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0" spans="1:14" x14ac:dyDescent="0.9">
      <c r="A90" s="5" t="s">
        <v>97</v>
      </c>
      <c r="B90" s="6" t="s">
        <v>11</v>
      </c>
      <c r="C90" s="7">
        <v>19</v>
      </c>
      <c r="D90" s="8">
        <v>76.7</v>
      </c>
      <c r="E90" s="7">
        <v>61</v>
      </c>
      <c r="F90" s="7">
        <v>49</v>
      </c>
      <c r="G90" s="7">
        <v>72</v>
      </c>
      <c r="H90" s="15">
        <f>SUM(Raw_Data34[[#This Row],[Math_Score]],Raw_Data34[[#This Row],[Science_Score]],Raw_Data34[[#This Row],[English_Score]])/300</f>
        <v>0.60666666666666669</v>
      </c>
      <c r="I90" s="7">
        <f>SUM(Raw_Data34[[#This Row],[Math_Score]],Raw_Data34[[#This Row],[Science_Score]],Raw_Data34[[#This Row],[English_Score]])</f>
        <v>182</v>
      </c>
      <c r="J90" s="22">
        <f>Raw_Data34[[#This Row],[Total_score]]/3</f>
        <v>60.666666666666664</v>
      </c>
      <c r="K90" s="22" t="str">
        <f>IF(Raw_Data34[[#This Row],[Average_score]]&gt;=40,"Pass","Fail")</f>
        <v>Pass</v>
      </c>
      <c r="L90" s="22" t="str" cm="1">
        <f t="array" ref="L9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90" s="26">
        <f>_xlfn.RANK.EQ(Raw_Data34[[#This Row],[Average_score]],Raw_Data34[[Student_ID]:[Average_score]],1)</f>
        <v>300</v>
      </c>
      <c r="N90" s="24" t="str" cm="1">
        <f t="array" ref="N9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1" spans="1:14" x14ac:dyDescent="0.9">
      <c r="A91" s="5" t="s">
        <v>98</v>
      </c>
      <c r="B91" s="6" t="s">
        <v>8</v>
      </c>
      <c r="C91" s="7">
        <v>22</v>
      </c>
      <c r="D91" s="8">
        <v>87.1</v>
      </c>
      <c r="E91" s="7">
        <v>57</v>
      </c>
      <c r="F91" s="7">
        <v>52</v>
      </c>
      <c r="G91" s="7">
        <v>59</v>
      </c>
      <c r="H91" s="15">
        <f>SUM(Raw_Data34[[#This Row],[Math_Score]],Raw_Data34[[#This Row],[Science_Score]],Raw_Data34[[#This Row],[English_Score]])/300</f>
        <v>0.56000000000000005</v>
      </c>
      <c r="I91" s="7">
        <f>SUM(Raw_Data34[[#This Row],[Math_Score]],Raw_Data34[[#This Row],[Science_Score]],Raw_Data34[[#This Row],[English_Score]])</f>
        <v>168</v>
      </c>
      <c r="J91" s="22">
        <f>Raw_Data34[[#This Row],[Total_score]]/3</f>
        <v>56</v>
      </c>
      <c r="K91" s="22" t="str">
        <f>IF(Raw_Data34[[#This Row],[Average_score]]&gt;=40,"Pass","Fail")</f>
        <v>Pass</v>
      </c>
      <c r="L91" s="22" t="str" cm="1">
        <f t="array" ref="L9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91" s="26">
        <f>_xlfn.RANK.EQ(Raw_Data34[[#This Row],[Average_score]],Raw_Data34[[Student_ID]:[Average_score]],1)</f>
        <v>260</v>
      </c>
      <c r="N91" s="24" t="str" cm="1">
        <f t="array" ref="N91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2" spans="1:14" x14ac:dyDescent="0.9">
      <c r="A92" s="5" t="s">
        <v>99</v>
      </c>
      <c r="B92" s="6" t="s">
        <v>11</v>
      </c>
      <c r="C92" s="7">
        <v>19</v>
      </c>
      <c r="D92" s="8">
        <v>83</v>
      </c>
      <c r="E92" s="7">
        <v>44</v>
      </c>
      <c r="F92" s="7">
        <v>85</v>
      </c>
      <c r="G92" s="7">
        <v>64</v>
      </c>
      <c r="H92" s="15">
        <f>SUM(Raw_Data34[[#This Row],[Math_Score]],Raw_Data34[[#This Row],[Science_Score]],Raw_Data34[[#This Row],[English_Score]])/300</f>
        <v>0.64333333333333331</v>
      </c>
      <c r="I92" s="7">
        <f>SUM(Raw_Data34[[#This Row],[Math_Score]],Raw_Data34[[#This Row],[Science_Score]],Raw_Data34[[#This Row],[English_Score]])</f>
        <v>193</v>
      </c>
      <c r="J92" s="22">
        <f>Raw_Data34[[#This Row],[Total_score]]/3</f>
        <v>64.333333333333329</v>
      </c>
      <c r="K92" s="22" t="str">
        <f>IF(Raw_Data34[[#This Row],[Average_score]]&gt;=40,"Pass","Fail")</f>
        <v>Pass</v>
      </c>
      <c r="L92" s="22" t="str" cm="1">
        <f t="array" ref="L92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92" s="26">
        <f>_xlfn.RANK.EQ(Raw_Data34[[#This Row],[Average_score]],Raw_Data34[[Student_ID]:[Average_score]],1)</f>
        <v>338</v>
      </c>
      <c r="N92" s="24" t="str" cm="1">
        <f t="array" ref="N92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3" spans="1:14" x14ac:dyDescent="0.9">
      <c r="A93" s="5" t="s">
        <v>100</v>
      </c>
      <c r="B93" s="6" t="s">
        <v>11</v>
      </c>
      <c r="C93" s="7">
        <v>22</v>
      </c>
      <c r="D93" s="8">
        <v>91.7</v>
      </c>
      <c r="E93" s="7">
        <v>76</v>
      </c>
      <c r="F93" s="7">
        <v>92</v>
      </c>
      <c r="G93" s="7">
        <v>92</v>
      </c>
      <c r="H93" s="15">
        <f>SUM(Raw_Data34[[#This Row],[Math_Score]],Raw_Data34[[#This Row],[Science_Score]],Raw_Data34[[#This Row],[English_Score]])/300</f>
        <v>0.8666666666666667</v>
      </c>
      <c r="I93" s="7">
        <f>SUM(Raw_Data34[[#This Row],[Math_Score]],Raw_Data34[[#This Row],[Science_Score]],Raw_Data34[[#This Row],[English_Score]])</f>
        <v>260</v>
      </c>
      <c r="J93" s="22">
        <f>Raw_Data34[[#This Row],[Total_score]]/3</f>
        <v>86.666666666666671</v>
      </c>
      <c r="K93" s="22" t="str">
        <f>IF(Raw_Data34[[#This Row],[Average_score]]&gt;=40,"Pass","Fail")</f>
        <v>Pass</v>
      </c>
      <c r="L93" s="22" t="str" cm="1">
        <f t="array" ref="L93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A</v>
      </c>
      <c r="M93" s="26">
        <f>_xlfn.RANK.EQ(Raw_Data34[[#This Row],[Average_score]],Raw_Data34[[Student_ID]:[Average_score]],1)</f>
        <v>624</v>
      </c>
      <c r="N93" s="24" t="str" cm="1">
        <f t="array" ref="N93">_xlfn.IFS(Raw_Data34[[#This Row],[Attendance_%]]&gt;=90,"Excellent",AND(Raw_Data34[[#This Row],[Attendance_%]]&gt;=75, Raw_Data34[[#This Row],[Attendance_%]]&lt;90),"Good",Raw_Data34[[#This Row],[Attendance_%]]&lt;75,"Low")</f>
        <v>Excellent</v>
      </c>
    </row>
    <row r="94" spans="1:14" x14ac:dyDescent="0.9">
      <c r="A94" s="5" t="s">
        <v>101</v>
      </c>
      <c r="B94" s="6" t="s">
        <v>8</v>
      </c>
      <c r="C94" s="7">
        <v>20</v>
      </c>
      <c r="D94" s="8">
        <v>75</v>
      </c>
      <c r="E94" s="7">
        <v>70</v>
      </c>
      <c r="F94" s="7">
        <v>65</v>
      </c>
      <c r="G94" s="7">
        <v>82</v>
      </c>
      <c r="H94" s="15">
        <f>SUM(Raw_Data34[[#This Row],[Math_Score]],Raw_Data34[[#This Row],[Science_Score]],Raw_Data34[[#This Row],[English_Score]])/300</f>
        <v>0.72333333333333338</v>
      </c>
      <c r="I94" s="7">
        <f>SUM(Raw_Data34[[#This Row],[Math_Score]],Raw_Data34[[#This Row],[Science_Score]],Raw_Data34[[#This Row],[English_Score]])</f>
        <v>217</v>
      </c>
      <c r="J94" s="22">
        <f>Raw_Data34[[#This Row],[Total_score]]/3</f>
        <v>72.333333333333329</v>
      </c>
      <c r="K94" s="22" t="str">
        <f>IF(Raw_Data34[[#This Row],[Average_score]]&gt;=40,"Pass","Fail")</f>
        <v>Pass</v>
      </c>
      <c r="L94" s="22" t="str" cm="1">
        <f t="array" ref="L94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94" s="26">
        <f>_xlfn.RANK.EQ(Raw_Data34[[#This Row],[Average_score]],Raw_Data34[[Student_ID]:[Average_score]],1)</f>
        <v>433</v>
      </c>
      <c r="N94" s="24" t="str" cm="1">
        <f t="array" ref="N94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5" spans="1:14" x14ac:dyDescent="0.9">
      <c r="A95" s="5" t="s">
        <v>102</v>
      </c>
      <c r="B95" s="6" t="s">
        <v>8</v>
      </c>
      <c r="C95" s="7">
        <v>22</v>
      </c>
      <c r="D95" s="8">
        <v>78.7</v>
      </c>
      <c r="E95" s="7">
        <v>54</v>
      </c>
      <c r="F95" s="7">
        <v>67</v>
      </c>
      <c r="G95" s="7">
        <v>52</v>
      </c>
      <c r="H95" s="15">
        <f>SUM(Raw_Data34[[#This Row],[Math_Score]],Raw_Data34[[#This Row],[Science_Score]],Raw_Data34[[#This Row],[English_Score]])/300</f>
        <v>0.57666666666666666</v>
      </c>
      <c r="I95" s="7">
        <f>SUM(Raw_Data34[[#This Row],[Math_Score]],Raw_Data34[[#This Row],[Science_Score]],Raw_Data34[[#This Row],[English_Score]])</f>
        <v>173</v>
      </c>
      <c r="J95" s="22">
        <f>Raw_Data34[[#This Row],[Total_score]]/3</f>
        <v>57.666666666666664</v>
      </c>
      <c r="K95" s="22" t="str">
        <f>IF(Raw_Data34[[#This Row],[Average_score]]&gt;=40,"Pass","Fail")</f>
        <v>Pass</v>
      </c>
      <c r="L95" s="22" t="str" cm="1">
        <f t="array" ref="L95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95" s="26">
        <f>_xlfn.RANK.EQ(Raw_Data34[[#This Row],[Average_score]],Raw_Data34[[Student_ID]:[Average_score]],1)</f>
        <v>275</v>
      </c>
      <c r="N95" s="24" t="str" cm="1">
        <f t="array" ref="N95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6" spans="1:14" x14ac:dyDescent="0.9">
      <c r="A96" s="5" t="s">
        <v>103</v>
      </c>
      <c r="B96" s="6" t="s">
        <v>11</v>
      </c>
      <c r="C96" s="7">
        <v>21</v>
      </c>
      <c r="D96" s="8">
        <v>78.099999999999994</v>
      </c>
      <c r="E96" s="7">
        <v>74</v>
      </c>
      <c r="F96" s="7">
        <v>66</v>
      </c>
      <c r="G96" s="7">
        <v>69</v>
      </c>
      <c r="H96" s="15">
        <f>SUM(Raw_Data34[[#This Row],[Math_Score]],Raw_Data34[[#This Row],[Science_Score]],Raw_Data34[[#This Row],[English_Score]])/300</f>
        <v>0.69666666666666666</v>
      </c>
      <c r="I96" s="7">
        <f>SUM(Raw_Data34[[#This Row],[Math_Score]],Raw_Data34[[#This Row],[Science_Score]],Raw_Data34[[#This Row],[English_Score]])</f>
        <v>209</v>
      </c>
      <c r="J96" s="22">
        <f>Raw_Data34[[#This Row],[Total_score]]/3</f>
        <v>69.666666666666671</v>
      </c>
      <c r="K96" s="22" t="str">
        <f>IF(Raw_Data34[[#This Row],[Average_score]]&gt;=40,"Pass","Fail")</f>
        <v>Pass</v>
      </c>
      <c r="L96" s="22" t="str" cm="1">
        <f t="array" ref="L96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96" s="26">
        <f>_xlfn.RANK.EQ(Raw_Data34[[#This Row],[Average_score]],Raw_Data34[[Student_ID]:[Average_score]],1)</f>
        <v>400</v>
      </c>
      <c r="N96" s="24" t="str" cm="1">
        <f t="array" ref="N96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7" spans="1:14" x14ac:dyDescent="0.9">
      <c r="A97" s="5" t="s">
        <v>104</v>
      </c>
      <c r="B97" s="6" t="s">
        <v>8</v>
      </c>
      <c r="C97" s="7">
        <v>18</v>
      </c>
      <c r="D97" s="8">
        <v>67.400000000000006</v>
      </c>
      <c r="E97" s="7">
        <v>73</v>
      </c>
      <c r="F97" s="7">
        <v>62</v>
      </c>
      <c r="G97" s="7">
        <v>67</v>
      </c>
      <c r="H97" s="15">
        <f>SUM(Raw_Data34[[#This Row],[Math_Score]],Raw_Data34[[#This Row],[Science_Score]],Raw_Data34[[#This Row],[English_Score]])/300</f>
        <v>0.67333333333333334</v>
      </c>
      <c r="I97" s="7">
        <f>SUM(Raw_Data34[[#This Row],[Math_Score]],Raw_Data34[[#This Row],[Science_Score]],Raw_Data34[[#This Row],[English_Score]])</f>
        <v>202</v>
      </c>
      <c r="J97" s="22">
        <f>Raw_Data34[[#This Row],[Total_score]]/3</f>
        <v>67.333333333333329</v>
      </c>
      <c r="K97" s="22" t="str">
        <f>IF(Raw_Data34[[#This Row],[Average_score]]&gt;=40,"Pass","Fail")</f>
        <v>Pass</v>
      </c>
      <c r="L97" s="22" t="str" cm="1">
        <f t="array" ref="L97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97" s="26">
        <f>_xlfn.RANK.EQ(Raw_Data34[[#This Row],[Average_score]],Raw_Data34[[Student_ID]:[Average_score]],1)</f>
        <v>373</v>
      </c>
      <c r="N97" s="24" t="str" cm="1">
        <f t="array" ref="N97">_xlfn.IFS(Raw_Data34[[#This Row],[Attendance_%]]&gt;=90,"Excellent",AND(Raw_Data34[[#This Row],[Attendance_%]]&gt;=75, Raw_Data34[[#This Row],[Attendance_%]]&lt;90),"Good",Raw_Data34[[#This Row],[Attendance_%]]&lt;75,"Low")</f>
        <v>Low</v>
      </c>
    </row>
    <row r="98" spans="1:14" x14ac:dyDescent="0.9">
      <c r="A98" s="5" t="s">
        <v>105</v>
      </c>
      <c r="B98" s="6" t="s">
        <v>11</v>
      </c>
      <c r="C98" s="7">
        <v>22</v>
      </c>
      <c r="D98" s="8">
        <v>85</v>
      </c>
      <c r="E98" s="7">
        <v>75</v>
      </c>
      <c r="F98" s="7">
        <v>72</v>
      </c>
      <c r="G98" s="7">
        <v>70</v>
      </c>
      <c r="H98" s="15">
        <f>SUM(Raw_Data34[[#This Row],[Math_Score]],Raw_Data34[[#This Row],[Science_Score]],Raw_Data34[[#This Row],[English_Score]])/300</f>
        <v>0.72333333333333338</v>
      </c>
      <c r="I98" s="7">
        <f>SUM(Raw_Data34[[#This Row],[Math_Score]],Raw_Data34[[#This Row],[Science_Score]],Raw_Data34[[#This Row],[English_Score]])</f>
        <v>217</v>
      </c>
      <c r="J98" s="22">
        <f>Raw_Data34[[#This Row],[Total_score]]/3</f>
        <v>72.333333333333329</v>
      </c>
      <c r="K98" s="22" t="str">
        <f>IF(Raw_Data34[[#This Row],[Average_score]]&gt;=40,"Pass","Fail")</f>
        <v>Pass</v>
      </c>
      <c r="L98" s="22" t="str" cm="1">
        <f t="array" ref="L98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98" s="26">
        <f>_xlfn.RANK.EQ(Raw_Data34[[#This Row],[Average_score]],Raw_Data34[[Student_ID]:[Average_score]],1)</f>
        <v>433</v>
      </c>
      <c r="N98" s="24" t="str" cm="1">
        <f t="array" ref="N98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99" spans="1:14" x14ac:dyDescent="0.9">
      <c r="A99" s="5" t="s">
        <v>106</v>
      </c>
      <c r="B99" s="6" t="s">
        <v>8</v>
      </c>
      <c r="C99" s="7">
        <v>22</v>
      </c>
      <c r="D99" s="8">
        <v>84.6</v>
      </c>
      <c r="E99" s="7">
        <v>76</v>
      </c>
      <c r="F99" s="7">
        <v>60</v>
      </c>
      <c r="G99" s="7">
        <v>82</v>
      </c>
      <c r="H99" s="15">
        <f>SUM(Raw_Data34[[#This Row],[Math_Score]],Raw_Data34[[#This Row],[Science_Score]],Raw_Data34[[#This Row],[English_Score]])/300</f>
        <v>0.72666666666666668</v>
      </c>
      <c r="I99" s="7">
        <f>SUM(Raw_Data34[[#This Row],[Math_Score]],Raw_Data34[[#This Row],[Science_Score]],Raw_Data34[[#This Row],[English_Score]])</f>
        <v>218</v>
      </c>
      <c r="J99" s="22">
        <f>Raw_Data34[[#This Row],[Total_score]]/3</f>
        <v>72.666666666666671</v>
      </c>
      <c r="K99" s="22" t="str">
        <f>IF(Raw_Data34[[#This Row],[Average_score]]&gt;=40,"Pass","Fail")</f>
        <v>Pass</v>
      </c>
      <c r="L99" s="22" t="str" cm="1">
        <f t="array" ref="L99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B</v>
      </c>
      <c r="M99" s="26">
        <f>_xlfn.RANK.EQ(Raw_Data34[[#This Row],[Average_score]],Raw_Data34[[Student_ID]:[Average_score]],1)</f>
        <v>436</v>
      </c>
      <c r="N99" s="24" t="str" cm="1">
        <f t="array" ref="N99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100" spans="1:14" x14ac:dyDescent="0.9">
      <c r="A100" s="5" t="s">
        <v>107</v>
      </c>
      <c r="B100" s="6" t="s">
        <v>11</v>
      </c>
      <c r="C100" s="7">
        <v>18</v>
      </c>
      <c r="D100" s="8">
        <v>82.1</v>
      </c>
      <c r="E100" s="7">
        <v>69</v>
      </c>
      <c r="F100" s="7">
        <v>52</v>
      </c>
      <c r="G100" s="7">
        <v>84</v>
      </c>
      <c r="H100" s="15">
        <f>SUM(Raw_Data34[[#This Row],[Math_Score]],Raw_Data34[[#This Row],[Science_Score]],Raw_Data34[[#This Row],[English_Score]])/300</f>
        <v>0.68333333333333335</v>
      </c>
      <c r="I100" s="7">
        <f>SUM(Raw_Data34[[#This Row],[Math_Score]],Raw_Data34[[#This Row],[Science_Score]],Raw_Data34[[#This Row],[English_Score]])</f>
        <v>205</v>
      </c>
      <c r="J100" s="22">
        <f>Raw_Data34[[#This Row],[Total_score]]/3</f>
        <v>68.333333333333329</v>
      </c>
      <c r="K100" s="22" t="str">
        <f>IF(Raw_Data34[[#This Row],[Average_score]]&gt;=40,"Pass","Fail")</f>
        <v>Pass</v>
      </c>
      <c r="L100" s="22" t="str" cm="1">
        <f t="array" ref="L100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C</v>
      </c>
      <c r="M100" s="26">
        <f>_xlfn.RANK.EQ(Raw_Data34[[#This Row],[Average_score]],Raw_Data34[[Student_ID]:[Average_score]],1)</f>
        <v>390</v>
      </c>
      <c r="N100" s="24" t="str" cm="1">
        <f t="array" ref="N100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101" spans="1:14" x14ac:dyDescent="0.9">
      <c r="A101" s="5" t="s">
        <v>108</v>
      </c>
      <c r="B101" s="6" t="s">
        <v>8</v>
      </c>
      <c r="C101" s="7">
        <v>21</v>
      </c>
      <c r="D101" s="8">
        <v>79.7</v>
      </c>
      <c r="E101" s="7">
        <v>42</v>
      </c>
      <c r="F101" s="7">
        <v>63</v>
      </c>
      <c r="G101" s="7">
        <v>65</v>
      </c>
      <c r="H101" s="15">
        <f>SUM(Raw_Data34[[#This Row],[Math_Score]],Raw_Data34[[#This Row],[Science_Score]],Raw_Data34[[#This Row],[English_Score]])/300</f>
        <v>0.56666666666666665</v>
      </c>
      <c r="I101" s="7">
        <f>SUM(Raw_Data34[[#This Row],[Math_Score]],Raw_Data34[[#This Row],[Science_Score]],Raw_Data34[[#This Row],[English_Score]])</f>
        <v>170</v>
      </c>
      <c r="J101" s="8">
        <f>Raw_Data34[[#This Row],[Total_score]]/3</f>
        <v>56.666666666666664</v>
      </c>
      <c r="K101" s="22" t="str">
        <f>IF(Raw_Data34[[#This Row],[Average_score]]&gt;=40,"Pass","Fail")</f>
        <v>Pass</v>
      </c>
      <c r="L101" s="22" t="str" cm="1">
        <f t="array" ref="L101">_xlfn.IFS(Raw_Data34[[#This Row],[Result]]="Fail","Fail", Raw_Data34[[#This Row],[Percentage]]&gt;=0.9,"A+", Raw_Data34[[#This Row],[Percentage]]&gt;=0.8,"A", Raw_Data34[[#This Row],[Percentage]]&gt;=0.7,"B", Raw_Data34[[#This Row],[Percentage]]&gt;=0.6,"C", Raw_Data34[[#This Row],[Percentage]]&gt;=0.5,"D", TRUE,"F")</f>
        <v>D</v>
      </c>
      <c r="M101" s="26">
        <f>_xlfn.RANK.EQ(Raw_Data34[[#This Row],[Average_score]],Raw_Data34[[Student_ID]:[Average_score]],1)</f>
        <v>266</v>
      </c>
      <c r="N101" s="24" t="str" cm="1">
        <f t="array" ref="N101">_xlfn.IFS(Raw_Data34[[#This Row],[Attendance_%]]&gt;=90,"Excellent",AND(Raw_Data34[[#This Row],[Attendance_%]]&gt;=75, Raw_Data34[[#This Row],[Attendance_%]]&lt;90),"Good",Raw_Data34[[#This Row],[Attendance_%]]&lt;75,"Low")</f>
        <v>Good</v>
      </c>
    </row>
    <row r="102" spans="1:14" x14ac:dyDescent="0.9">
      <c r="D102" s="8" t="s">
        <v>120</v>
      </c>
    </row>
    <row r="103" spans="1:14" x14ac:dyDescent="0.9">
      <c r="D103" s="8">
        <f>COUNTIF(Raw_Data34[Attendance_%],"&lt;75.00")</f>
        <v>21</v>
      </c>
    </row>
  </sheetData>
  <mergeCells count="4">
    <mergeCell ref="V3:X3"/>
    <mergeCell ref="U8:Z8"/>
    <mergeCell ref="V5:Z5"/>
    <mergeCell ref="U6:AA6"/>
  </mergeCells>
  <phoneticPr fontId="8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5E14-11A7-4C74-8A1E-A52162F67E92}">
  <dimension ref="A1:G101"/>
  <sheetViews>
    <sheetView workbookViewId="0">
      <selection activeCell="A10" sqref="A10"/>
    </sheetView>
  </sheetViews>
  <sheetFormatPr defaultRowHeight="27" x14ac:dyDescent="0.9"/>
  <cols>
    <col min="1" max="1" width="12.796875" style="1" bestFit="1" customWidth="1"/>
    <col min="2" max="2" width="9.5" style="4" bestFit="1" customWidth="1"/>
    <col min="3" max="3" width="6.3984375" style="3" bestFit="1" customWidth="1"/>
    <col min="4" max="4" width="15.796875" style="2" bestFit="1" customWidth="1"/>
    <col min="5" max="5" width="13.5" style="3" bestFit="1" customWidth="1"/>
    <col min="6" max="6" width="16.296875" style="3" bestFit="1" customWidth="1"/>
    <col min="7" max="7" width="15.796875" style="3" bestFit="1" customWidth="1"/>
  </cols>
  <sheetData>
    <row r="1" spans="1:7" x14ac:dyDescent="0.9">
      <c r="A1" s="6" t="s">
        <v>0</v>
      </c>
      <c r="B1" s="6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x14ac:dyDescent="0.9">
      <c r="A2" s="5" t="s">
        <v>7</v>
      </c>
      <c r="B2" s="6" t="s">
        <v>8</v>
      </c>
      <c r="C2" s="7">
        <v>18</v>
      </c>
      <c r="D2" s="8">
        <v>87</v>
      </c>
      <c r="E2" s="7">
        <v>60</v>
      </c>
      <c r="F2" s="7">
        <v>41</v>
      </c>
      <c r="G2" s="7">
        <v>57</v>
      </c>
    </row>
    <row r="3" spans="1:7" x14ac:dyDescent="0.9">
      <c r="A3" s="5" t="s">
        <v>9</v>
      </c>
      <c r="B3" s="6" t="s">
        <v>8</v>
      </c>
      <c r="C3" s="7">
        <v>21</v>
      </c>
      <c r="D3" s="8">
        <v>80.599999999999994</v>
      </c>
      <c r="E3" s="7">
        <v>59</v>
      </c>
      <c r="F3" s="7">
        <v>68</v>
      </c>
      <c r="G3" s="7">
        <v>67</v>
      </c>
    </row>
    <row r="4" spans="1:7" x14ac:dyDescent="0.9">
      <c r="A4" s="5" t="s">
        <v>10</v>
      </c>
      <c r="B4" s="6" t="s">
        <v>11</v>
      </c>
      <c r="C4" s="7">
        <v>22</v>
      </c>
      <c r="D4" s="8">
        <v>88.5</v>
      </c>
      <c r="E4" s="7">
        <v>53</v>
      </c>
      <c r="F4" s="7">
        <v>76</v>
      </c>
      <c r="G4" s="7">
        <v>67</v>
      </c>
    </row>
    <row r="5" spans="1:7" x14ac:dyDescent="0.9">
      <c r="A5" s="5" t="s">
        <v>12</v>
      </c>
      <c r="B5" s="6" t="s">
        <v>8</v>
      </c>
      <c r="C5" s="7">
        <v>18</v>
      </c>
      <c r="D5" s="8">
        <v>97.2</v>
      </c>
      <c r="E5" s="7">
        <v>55</v>
      </c>
      <c r="F5" s="7">
        <v>78</v>
      </c>
      <c r="G5" s="7">
        <v>65</v>
      </c>
    </row>
    <row r="6" spans="1:7" x14ac:dyDescent="0.9">
      <c r="A6" s="5" t="s">
        <v>13</v>
      </c>
      <c r="B6" s="6" t="s">
        <v>11</v>
      </c>
      <c r="C6" s="7">
        <v>19</v>
      </c>
      <c r="D6" s="8">
        <v>79.7</v>
      </c>
      <c r="E6" s="7">
        <v>62</v>
      </c>
      <c r="F6" s="7">
        <v>59</v>
      </c>
      <c r="G6" s="7">
        <v>65</v>
      </c>
    </row>
    <row r="7" spans="1:7" x14ac:dyDescent="0.9">
      <c r="A7" s="5" t="s">
        <v>14</v>
      </c>
      <c r="B7" s="6" t="s">
        <v>11</v>
      </c>
      <c r="C7" s="7">
        <v>19</v>
      </c>
      <c r="D7" s="8">
        <v>79.7</v>
      </c>
      <c r="E7" s="7">
        <v>85</v>
      </c>
      <c r="F7" s="7">
        <v>70</v>
      </c>
      <c r="G7" s="7">
        <v>71</v>
      </c>
    </row>
    <row r="8" spans="1:7" x14ac:dyDescent="0.9">
      <c r="A8" s="5" t="s">
        <v>15</v>
      </c>
      <c r="B8" s="6" t="s">
        <v>11</v>
      </c>
      <c r="C8" s="7">
        <v>18</v>
      </c>
      <c r="D8" s="8">
        <v>97.8</v>
      </c>
      <c r="E8" s="7">
        <v>100</v>
      </c>
      <c r="F8" s="7">
        <v>99</v>
      </c>
      <c r="G8" s="7">
        <v>97</v>
      </c>
    </row>
    <row r="9" spans="1:7" x14ac:dyDescent="0.9">
      <c r="A9" s="5" t="s">
        <v>16</v>
      </c>
      <c r="B9" s="6" t="s">
        <v>8</v>
      </c>
      <c r="C9" s="7">
        <v>19</v>
      </c>
      <c r="D9" s="8">
        <v>89.7</v>
      </c>
      <c r="E9" s="7">
        <v>72</v>
      </c>
      <c r="F9" s="7">
        <v>92</v>
      </c>
      <c r="G9" s="7">
        <v>73</v>
      </c>
    </row>
    <row r="10" spans="1:7" x14ac:dyDescent="0.9">
      <c r="A10" s="5" t="s">
        <v>17</v>
      </c>
      <c r="B10" s="6" t="s">
        <v>8</v>
      </c>
      <c r="C10" s="7">
        <v>18</v>
      </c>
      <c r="D10" s="8">
        <v>77.3</v>
      </c>
      <c r="E10" s="7">
        <v>68</v>
      </c>
      <c r="F10" s="7">
        <v>71</v>
      </c>
      <c r="G10" s="7">
        <v>67</v>
      </c>
    </row>
    <row r="11" spans="1:7" x14ac:dyDescent="0.9">
      <c r="A11" s="5" t="s">
        <v>18</v>
      </c>
      <c r="B11" s="6" t="s">
        <v>11</v>
      </c>
      <c r="C11" s="7">
        <v>22</v>
      </c>
      <c r="D11" s="8">
        <v>87.4</v>
      </c>
      <c r="E11" s="7">
        <v>74</v>
      </c>
      <c r="F11" s="7">
        <v>84</v>
      </c>
      <c r="G11" s="7">
        <v>68</v>
      </c>
    </row>
    <row r="12" spans="1:7" x14ac:dyDescent="0.9">
      <c r="A12" s="5" t="s">
        <v>19</v>
      </c>
      <c r="B12" s="6" t="s">
        <v>11</v>
      </c>
      <c r="C12" s="7">
        <v>22</v>
      </c>
      <c r="D12" s="8">
        <v>77.400000000000006</v>
      </c>
      <c r="E12" s="7">
        <v>46</v>
      </c>
      <c r="F12" s="7">
        <v>46</v>
      </c>
      <c r="G12" s="7">
        <v>27</v>
      </c>
    </row>
    <row r="13" spans="1:7" x14ac:dyDescent="0.9">
      <c r="A13" s="5" t="s">
        <v>20</v>
      </c>
      <c r="B13" s="6" t="s">
        <v>8</v>
      </c>
      <c r="C13" s="7">
        <v>18</v>
      </c>
      <c r="D13" s="8">
        <v>77.3</v>
      </c>
      <c r="E13" s="7">
        <v>77</v>
      </c>
      <c r="F13" s="7">
        <v>77</v>
      </c>
      <c r="G13" s="7">
        <v>75</v>
      </c>
    </row>
    <row r="14" spans="1:7" x14ac:dyDescent="0.9">
      <c r="A14" s="5" t="s">
        <v>21</v>
      </c>
      <c r="B14" s="6" t="s">
        <v>11</v>
      </c>
      <c r="C14" s="7">
        <v>22</v>
      </c>
      <c r="D14" s="8">
        <v>84.4</v>
      </c>
      <c r="E14" s="7">
        <v>68</v>
      </c>
      <c r="F14" s="7">
        <v>80</v>
      </c>
      <c r="G14" s="7">
        <v>76</v>
      </c>
    </row>
    <row r="15" spans="1:7" x14ac:dyDescent="0.9">
      <c r="A15" s="5" t="s">
        <v>22</v>
      </c>
      <c r="B15" s="6" t="s">
        <v>8</v>
      </c>
      <c r="C15" s="7">
        <v>22</v>
      </c>
      <c r="D15" s="8">
        <v>62.9</v>
      </c>
      <c r="E15" s="7">
        <v>100</v>
      </c>
      <c r="F15" s="7">
        <v>93</v>
      </c>
      <c r="G15" s="7">
        <v>94</v>
      </c>
    </row>
    <row r="16" spans="1:7" x14ac:dyDescent="0.9">
      <c r="A16" s="5" t="s">
        <v>23</v>
      </c>
      <c r="B16" s="6" t="s">
        <v>11</v>
      </c>
      <c r="C16" s="7">
        <v>22</v>
      </c>
      <c r="D16" s="8">
        <v>64.8</v>
      </c>
      <c r="E16" s="7">
        <v>60</v>
      </c>
      <c r="F16" s="7">
        <v>51</v>
      </c>
      <c r="G16" s="7">
        <v>65</v>
      </c>
    </row>
    <row r="17" spans="1:7" x14ac:dyDescent="0.9">
      <c r="A17" s="5" t="s">
        <v>24</v>
      </c>
      <c r="B17" s="6" t="s">
        <v>8</v>
      </c>
      <c r="C17" s="7">
        <v>20</v>
      </c>
      <c r="D17" s="8">
        <v>76.400000000000006</v>
      </c>
      <c r="E17" s="7">
        <v>80</v>
      </c>
      <c r="F17" s="7">
        <v>68</v>
      </c>
      <c r="G17" s="7">
        <v>76</v>
      </c>
    </row>
    <row r="18" spans="1:7" x14ac:dyDescent="0.9">
      <c r="A18" s="5" t="s">
        <v>25</v>
      </c>
      <c r="B18" s="6" t="s">
        <v>11</v>
      </c>
      <c r="C18" s="7">
        <v>21</v>
      </c>
      <c r="D18" s="8">
        <v>71.900000000000006</v>
      </c>
      <c r="E18" s="7">
        <v>64</v>
      </c>
      <c r="F18" s="7">
        <v>78</v>
      </c>
      <c r="G18" s="7">
        <v>62</v>
      </c>
    </row>
    <row r="19" spans="1:7" x14ac:dyDescent="0.9">
      <c r="A19" s="5" t="s">
        <v>26</v>
      </c>
      <c r="B19" s="6" t="s">
        <v>8</v>
      </c>
      <c r="C19" s="7">
        <v>19</v>
      </c>
      <c r="D19" s="8">
        <v>85.1</v>
      </c>
      <c r="E19" s="7">
        <v>52</v>
      </c>
      <c r="F19" s="7">
        <v>64</v>
      </c>
      <c r="G19" s="7">
        <v>55</v>
      </c>
    </row>
    <row r="20" spans="1:7" x14ac:dyDescent="0.9">
      <c r="A20" s="5" t="s">
        <v>27</v>
      </c>
      <c r="B20" s="6" t="s">
        <v>11</v>
      </c>
      <c r="C20" s="7">
        <v>20</v>
      </c>
      <c r="D20" s="8">
        <v>72.900000000000006</v>
      </c>
      <c r="E20" s="7">
        <v>98</v>
      </c>
      <c r="F20" s="7">
        <v>75</v>
      </c>
      <c r="G20" s="7">
        <v>86</v>
      </c>
    </row>
    <row r="21" spans="1:7" x14ac:dyDescent="0.9">
      <c r="A21" s="5" t="s">
        <v>28</v>
      </c>
      <c r="B21" s="6" t="s">
        <v>8</v>
      </c>
      <c r="C21" s="7">
        <v>22</v>
      </c>
      <c r="D21" s="8">
        <v>67.900000000000006</v>
      </c>
      <c r="E21" s="7">
        <v>84</v>
      </c>
      <c r="F21" s="7">
        <v>70</v>
      </c>
      <c r="G21" s="7">
        <v>77</v>
      </c>
    </row>
    <row r="22" spans="1:7" x14ac:dyDescent="0.9">
      <c r="A22" s="5" t="s">
        <v>29</v>
      </c>
      <c r="B22" s="6" t="s">
        <v>8</v>
      </c>
      <c r="C22" s="7">
        <v>18</v>
      </c>
      <c r="D22" s="8">
        <v>96.7</v>
      </c>
      <c r="E22" s="7">
        <v>69</v>
      </c>
      <c r="F22" s="7">
        <v>68</v>
      </c>
      <c r="G22" s="7">
        <v>100</v>
      </c>
    </row>
    <row r="23" spans="1:7" x14ac:dyDescent="0.9">
      <c r="A23" s="5" t="s">
        <v>30</v>
      </c>
      <c r="B23" s="6" t="s">
        <v>11</v>
      </c>
      <c r="C23" s="7">
        <v>22</v>
      </c>
      <c r="D23" s="8">
        <v>79.7</v>
      </c>
      <c r="E23" s="7">
        <v>55</v>
      </c>
      <c r="F23" s="7">
        <v>70</v>
      </c>
      <c r="G23" s="7">
        <v>73</v>
      </c>
    </row>
    <row r="24" spans="1:7" x14ac:dyDescent="0.9">
      <c r="A24" s="5" t="s">
        <v>31</v>
      </c>
      <c r="B24" s="6" t="s">
        <v>11</v>
      </c>
      <c r="C24" s="7">
        <v>21</v>
      </c>
      <c r="D24" s="8">
        <v>82.7</v>
      </c>
      <c r="E24" s="7">
        <v>99</v>
      </c>
      <c r="F24" s="7">
        <v>94</v>
      </c>
      <c r="G24" s="7">
        <v>96</v>
      </c>
    </row>
    <row r="25" spans="1:7" x14ac:dyDescent="0.9">
      <c r="A25" s="5" t="s">
        <v>32</v>
      </c>
      <c r="B25" s="6" t="s">
        <v>8</v>
      </c>
      <c r="C25" s="7">
        <v>22</v>
      </c>
      <c r="D25" s="8">
        <v>67.8</v>
      </c>
      <c r="E25" s="7">
        <v>38</v>
      </c>
      <c r="F25" s="7">
        <v>46</v>
      </c>
      <c r="G25" s="7">
        <v>44</v>
      </c>
    </row>
    <row r="26" spans="1:7" x14ac:dyDescent="0.9">
      <c r="A26" s="5" t="s">
        <v>33</v>
      </c>
      <c r="B26" s="6" t="s">
        <v>11</v>
      </c>
      <c r="C26" s="7">
        <v>18</v>
      </c>
      <c r="D26" s="8">
        <v>76.599999999999994</v>
      </c>
      <c r="E26" s="7">
        <v>83</v>
      </c>
      <c r="F26" s="7">
        <v>76</v>
      </c>
      <c r="G26" s="7">
        <v>72</v>
      </c>
    </row>
    <row r="27" spans="1:7" x14ac:dyDescent="0.9">
      <c r="A27" s="5" t="s">
        <v>34</v>
      </c>
      <c r="B27" s="6" t="s">
        <v>8</v>
      </c>
      <c r="C27" s="7">
        <v>21</v>
      </c>
      <c r="D27" s="8">
        <v>83.1</v>
      </c>
      <c r="E27" s="7">
        <v>100</v>
      </c>
      <c r="F27" s="7">
        <v>76</v>
      </c>
      <c r="G27" s="7">
        <v>90</v>
      </c>
    </row>
    <row r="28" spans="1:7" x14ac:dyDescent="0.9">
      <c r="A28" s="5" t="s">
        <v>35</v>
      </c>
      <c r="B28" s="6" t="s">
        <v>11</v>
      </c>
      <c r="C28" s="7">
        <v>22</v>
      </c>
      <c r="D28" s="8">
        <v>70.5</v>
      </c>
      <c r="E28" s="7">
        <v>48</v>
      </c>
      <c r="F28" s="7">
        <v>48</v>
      </c>
      <c r="G28" s="7">
        <v>58</v>
      </c>
    </row>
    <row r="29" spans="1:7" x14ac:dyDescent="0.9">
      <c r="A29" s="5" t="s">
        <v>36</v>
      </c>
      <c r="B29" s="6" t="s">
        <v>8</v>
      </c>
      <c r="C29" s="7">
        <v>21</v>
      </c>
      <c r="D29" s="8">
        <v>85.8</v>
      </c>
      <c r="E29" s="7">
        <v>65</v>
      </c>
      <c r="F29" s="7">
        <v>75</v>
      </c>
      <c r="G29" s="7">
        <v>44</v>
      </c>
    </row>
    <row r="30" spans="1:7" x14ac:dyDescent="0.9">
      <c r="A30" s="5" t="s">
        <v>37</v>
      </c>
      <c r="B30" s="6" t="s">
        <v>8</v>
      </c>
      <c r="C30" s="7">
        <v>19</v>
      </c>
      <c r="D30" s="8">
        <v>76</v>
      </c>
      <c r="E30" s="7">
        <v>51</v>
      </c>
      <c r="F30" s="7">
        <v>77</v>
      </c>
      <c r="G30" s="7">
        <v>67</v>
      </c>
    </row>
    <row r="31" spans="1:7" x14ac:dyDescent="0.9">
      <c r="A31" s="5" t="s">
        <v>38</v>
      </c>
      <c r="B31" s="6" t="s">
        <v>8</v>
      </c>
      <c r="C31" s="7">
        <v>19</v>
      </c>
      <c r="D31" s="8">
        <v>79.099999999999994</v>
      </c>
      <c r="E31" s="7">
        <v>80</v>
      </c>
      <c r="F31" s="7">
        <v>65</v>
      </c>
      <c r="G31" s="7">
        <v>62</v>
      </c>
    </row>
    <row r="32" spans="1:7" x14ac:dyDescent="0.9">
      <c r="A32" s="5" t="s">
        <v>39</v>
      </c>
      <c r="B32" s="6" t="s">
        <v>8</v>
      </c>
      <c r="C32" s="7">
        <v>22</v>
      </c>
      <c r="D32" s="8">
        <v>76</v>
      </c>
      <c r="E32" s="7">
        <v>47</v>
      </c>
      <c r="F32" s="7">
        <v>48</v>
      </c>
      <c r="G32" s="7">
        <v>39</v>
      </c>
    </row>
    <row r="33" spans="1:7" x14ac:dyDescent="0.9">
      <c r="A33" s="5" t="s">
        <v>40</v>
      </c>
      <c r="B33" s="6" t="s">
        <v>8</v>
      </c>
      <c r="C33" s="7">
        <v>21</v>
      </c>
      <c r="D33" s="8">
        <v>100</v>
      </c>
      <c r="E33" s="7">
        <v>85</v>
      </c>
      <c r="F33" s="7">
        <v>83</v>
      </c>
      <c r="G33" s="7">
        <v>85</v>
      </c>
    </row>
    <row r="34" spans="1:7" x14ac:dyDescent="0.9">
      <c r="A34" s="5" t="s">
        <v>41</v>
      </c>
      <c r="B34" s="6" t="s">
        <v>8</v>
      </c>
      <c r="C34" s="7">
        <v>18</v>
      </c>
      <c r="D34" s="8">
        <v>81.900000000000006</v>
      </c>
      <c r="E34" s="7">
        <v>63</v>
      </c>
      <c r="F34" s="7">
        <v>53</v>
      </c>
      <c r="G34" s="7">
        <v>50</v>
      </c>
    </row>
    <row r="35" spans="1:7" x14ac:dyDescent="0.9">
      <c r="A35" s="5" t="s">
        <v>42</v>
      </c>
      <c r="B35" s="6" t="s">
        <v>11</v>
      </c>
      <c r="C35" s="7">
        <v>22</v>
      </c>
      <c r="D35" s="8">
        <v>71.400000000000006</v>
      </c>
      <c r="E35" s="7">
        <v>85</v>
      </c>
      <c r="F35" s="7">
        <v>56</v>
      </c>
      <c r="G35" s="7">
        <v>76</v>
      </c>
    </row>
    <row r="36" spans="1:7" x14ac:dyDescent="0.9">
      <c r="A36" s="5" t="s">
        <v>43</v>
      </c>
      <c r="B36" s="6" t="s">
        <v>11</v>
      </c>
      <c r="C36" s="7">
        <v>19</v>
      </c>
      <c r="D36" s="8">
        <v>90.2</v>
      </c>
      <c r="E36" s="7">
        <v>59</v>
      </c>
      <c r="F36" s="7">
        <v>60</v>
      </c>
      <c r="G36" s="7">
        <v>86</v>
      </c>
    </row>
    <row r="37" spans="1:7" x14ac:dyDescent="0.9">
      <c r="A37" s="5" t="s">
        <v>44</v>
      </c>
      <c r="B37" s="6" t="s">
        <v>11</v>
      </c>
      <c r="C37" s="7">
        <v>19</v>
      </c>
      <c r="D37" s="8">
        <v>69.8</v>
      </c>
      <c r="E37" s="7">
        <v>87</v>
      </c>
      <c r="F37" s="7">
        <v>87</v>
      </c>
      <c r="G37" s="7">
        <v>73</v>
      </c>
    </row>
    <row r="38" spans="1:7" x14ac:dyDescent="0.9">
      <c r="A38" s="5" t="s">
        <v>45</v>
      </c>
      <c r="B38" s="6" t="s">
        <v>8</v>
      </c>
      <c r="C38" s="7">
        <v>22</v>
      </c>
      <c r="D38" s="8">
        <v>84.1</v>
      </c>
      <c r="E38" s="7">
        <v>67</v>
      </c>
      <c r="F38" s="7">
        <v>70</v>
      </c>
      <c r="G38" s="7">
        <v>62</v>
      </c>
    </row>
    <row r="39" spans="1:7" x14ac:dyDescent="0.9">
      <c r="A39" s="5" t="s">
        <v>46</v>
      </c>
      <c r="B39" s="6" t="s">
        <v>8</v>
      </c>
      <c r="C39" s="7">
        <v>21</v>
      </c>
      <c r="D39" s="8">
        <v>62.4</v>
      </c>
      <c r="E39" s="7">
        <v>68</v>
      </c>
      <c r="F39" s="7">
        <v>45</v>
      </c>
      <c r="G39" s="7">
        <v>58</v>
      </c>
    </row>
    <row r="40" spans="1:7" x14ac:dyDescent="0.9">
      <c r="A40" s="5" t="s">
        <v>47</v>
      </c>
      <c r="B40" s="6" t="s">
        <v>8</v>
      </c>
      <c r="C40" s="7">
        <v>19</v>
      </c>
      <c r="D40" s="8">
        <v>68.7</v>
      </c>
      <c r="E40" s="7">
        <v>86</v>
      </c>
      <c r="F40" s="7">
        <v>73</v>
      </c>
      <c r="G40" s="7">
        <v>72</v>
      </c>
    </row>
    <row r="41" spans="1:7" x14ac:dyDescent="0.9">
      <c r="A41" s="5" t="s">
        <v>48</v>
      </c>
      <c r="B41" s="6" t="s">
        <v>8</v>
      </c>
      <c r="C41" s="7">
        <v>21</v>
      </c>
      <c r="D41" s="8">
        <v>84</v>
      </c>
      <c r="E41" s="7">
        <v>52</v>
      </c>
      <c r="F41" s="7">
        <v>54</v>
      </c>
      <c r="G41" s="7">
        <v>64</v>
      </c>
    </row>
    <row r="42" spans="1:7" x14ac:dyDescent="0.9">
      <c r="A42" s="5" t="s">
        <v>49</v>
      </c>
      <c r="B42" s="6" t="s">
        <v>11</v>
      </c>
      <c r="C42" s="7">
        <v>19</v>
      </c>
      <c r="D42" s="8">
        <v>89.4</v>
      </c>
      <c r="E42" s="7">
        <v>70</v>
      </c>
      <c r="F42" s="7">
        <v>64</v>
      </c>
      <c r="G42" s="7">
        <v>86</v>
      </c>
    </row>
    <row r="43" spans="1:7" x14ac:dyDescent="0.9">
      <c r="A43" s="5" t="s">
        <v>50</v>
      </c>
      <c r="B43" s="6" t="s">
        <v>11</v>
      </c>
      <c r="C43" s="7">
        <v>19</v>
      </c>
      <c r="D43" s="8">
        <v>83.7</v>
      </c>
      <c r="E43" s="7">
        <v>99</v>
      </c>
      <c r="F43" s="7">
        <v>89</v>
      </c>
      <c r="G43" s="7">
        <v>94</v>
      </c>
    </row>
    <row r="44" spans="1:7" x14ac:dyDescent="0.9">
      <c r="A44" s="5" t="s">
        <v>51</v>
      </c>
      <c r="B44" s="6" t="s">
        <v>8</v>
      </c>
      <c r="C44" s="7">
        <v>20</v>
      </c>
      <c r="D44" s="8">
        <v>80.8</v>
      </c>
      <c r="E44" s="7">
        <v>33</v>
      </c>
      <c r="F44" s="7">
        <v>56</v>
      </c>
      <c r="G44" s="7">
        <v>46</v>
      </c>
    </row>
    <row r="45" spans="1:7" x14ac:dyDescent="0.9">
      <c r="A45" s="5" t="s">
        <v>52</v>
      </c>
      <c r="B45" s="6" t="s">
        <v>11</v>
      </c>
      <c r="C45" s="7">
        <v>19</v>
      </c>
      <c r="D45" s="8">
        <v>79</v>
      </c>
      <c r="E45" s="7">
        <v>86</v>
      </c>
      <c r="F45" s="7">
        <v>67</v>
      </c>
      <c r="G45" s="7">
        <v>92</v>
      </c>
    </row>
    <row r="46" spans="1:7" x14ac:dyDescent="0.9">
      <c r="A46" s="5" t="s">
        <v>53</v>
      </c>
      <c r="B46" s="6" t="s">
        <v>11</v>
      </c>
      <c r="C46" s="7">
        <v>18</v>
      </c>
      <c r="D46" s="8">
        <v>67.2</v>
      </c>
      <c r="E46" s="7">
        <v>66</v>
      </c>
      <c r="F46" s="7">
        <v>85</v>
      </c>
      <c r="G46" s="7">
        <v>55</v>
      </c>
    </row>
    <row r="47" spans="1:7" x14ac:dyDescent="0.9">
      <c r="A47" s="5" t="s">
        <v>54</v>
      </c>
      <c r="B47" s="6" t="s">
        <v>8</v>
      </c>
      <c r="C47" s="7">
        <v>22</v>
      </c>
      <c r="D47" s="8">
        <v>74.8</v>
      </c>
      <c r="E47" s="7">
        <v>78</v>
      </c>
      <c r="F47" s="7">
        <v>73</v>
      </c>
      <c r="G47" s="7">
        <v>70</v>
      </c>
    </row>
    <row r="48" spans="1:7" x14ac:dyDescent="0.9">
      <c r="A48" s="5" t="s">
        <v>55</v>
      </c>
      <c r="B48" s="6" t="s">
        <v>11</v>
      </c>
      <c r="C48" s="7">
        <v>22</v>
      </c>
      <c r="D48" s="8">
        <v>77.400000000000006</v>
      </c>
      <c r="E48" s="7">
        <v>48</v>
      </c>
      <c r="F48" s="7">
        <v>48</v>
      </c>
      <c r="G48" s="7">
        <v>57</v>
      </c>
    </row>
    <row r="49" spans="1:7" x14ac:dyDescent="0.9">
      <c r="A49" s="5" t="s">
        <v>56</v>
      </c>
      <c r="B49" s="6" t="s">
        <v>8</v>
      </c>
      <c r="C49" s="7">
        <v>21</v>
      </c>
      <c r="D49" s="8">
        <v>92.6</v>
      </c>
      <c r="E49" s="7">
        <v>58</v>
      </c>
      <c r="F49" s="7">
        <v>52</v>
      </c>
      <c r="G49" s="7">
        <v>60</v>
      </c>
    </row>
    <row r="50" spans="1:7" x14ac:dyDescent="0.9">
      <c r="A50" s="5" t="s">
        <v>57</v>
      </c>
      <c r="B50" s="6" t="s">
        <v>11</v>
      </c>
      <c r="C50" s="7">
        <v>19</v>
      </c>
      <c r="D50" s="8">
        <v>85.4</v>
      </c>
      <c r="E50" s="7">
        <v>90</v>
      </c>
      <c r="F50" s="7">
        <v>69</v>
      </c>
      <c r="G50" s="7">
        <v>83</v>
      </c>
    </row>
    <row r="51" spans="1:7" x14ac:dyDescent="0.9">
      <c r="A51" s="5" t="s">
        <v>58</v>
      </c>
      <c r="B51" s="6" t="s">
        <v>8</v>
      </c>
      <c r="C51" s="7">
        <v>18</v>
      </c>
      <c r="D51" s="8">
        <v>64.400000000000006</v>
      </c>
      <c r="E51" s="7">
        <v>75</v>
      </c>
      <c r="F51" s="7">
        <v>61</v>
      </c>
      <c r="G51" s="7">
        <v>82</v>
      </c>
    </row>
    <row r="52" spans="1:7" x14ac:dyDescent="0.9">
      <c r="A52" s="5" t="s">
        <v>59</v>
      </c>
      <c r="B52" s="6" t="s">
        <v>8</v>
      </c>
      <c r="C52" s="7">
        <v>21</v>
      </c>
      <c r="D52" s="8">
        <v>85.2</v>
      </c>
      <c r="E52" s="7">
        <v>79</v>
      </c>
      <c r="F52" s="7">
        <v>60</v>
      </c>
      <c r="G52" s="7">
        <v>75</v>
      </c>
    </row>
    <row r="53" spans="1:7" x14ac:dyDescent="0.9">
      <c r="A53" s="5" t="s">
        <v>60</v>
      </c>
      <c r="B53" s="6" t="s">
        <v>8</v>
      </c>
      <c r="C53" s="7">
        <v>20</v>
      </c>
      <c r="D53" s="8">
        <v>78.099999999999994</v>
      </c>
      <c r="E53" s="7">
        <v>74</v>
      </c>
      <c r="F53" s="7">
        <v>70</v>
      </c>
      <c r="G53" s="7">
        <v>75</v>
      </c>
    </row>
    <row r="54" spans="1:7" x14ac:dyDescent="0.9">
      <c r="A54" s="5" t="s">
        <v>61</v>
      </c>
      <c r="B54" s="6" t="s">
        <v>8</v>
      </c>
      <c r="C54" s="7">
        <v>21</v>
      </c>
      <c r="D54" s="8">
        <v>75.2</v>
      </c>
      <c r="E54" s="7">
        <v>47</v>
      </c>
      <c r="F54" s="7">
        <v>59</v>
      </c>
      <c r="G54" s="7">
        <v>56</v>
      </c>
    </row>
    <row r="55" spans="1:7" x14ac:dyDescent="0.9">
      <c r="A55" s="5" t="s">
        <v>62</v>
      </c>
      <c r="B55" s="6" t="s">
        <v>11</v>
      </c>
      <c r="C55" s="7">
        <v>21</v>
      </c>
      <c r="D55" s="8">
        <v>88.1</v>
      </c>
      <c r="E55" s="7">
        <v>68</v>
      </c>
      <c r="F55" s="7">
        <v>53</v>
      </c>
      <c r="G55" s="7">
        <v>81</v>
      </c>
    </row>
    <row r="56" spans="1:7" x14ac:dyDescent="0.9">
      <c r="A56" s="5" t="s">
        <v>63</v>
      </c>
      <c r="B56" s="6" t="s">
        <v>8</v>
      </c>
      <c r="C56" s="7">
        <v>19</v>
      </c>
      <c r="D56" s="8">
        <v>92.3</v>
      </c>
      <c r="E56" s="7">
        <v>75</v>
      </c>
      <c r="F56" s="7">
        <v>75</v>
      </c>
      <c r="G56" s="7">
        <v>76</v>
      </c>
    </row>
    <row r="57" spans="1:7" x14ac:dyDescent="0.9">
      <c r="A57" s="5" t="s">
        <v>64</v>
      </c>
      <c r="B57" s="6" t="s">
        <v>8</v>
      </c>
      <c r="C57" s="7">
        <v>20</v>
      </c>
      <c r="D57" s="8">
        <v>91.3</v>
      </c>
      <c r="E57" s="7">
        <v>70</v>
      </c>
      <c r="F57" s="7">
        <v>64</v>
      </c>
      <c r="G57" s="7">
        <v>64</v>
      </c>
    </row>
    <row r="58" spans="1:7" x14ac:dyDescent="0.9">
      <c r="A58" s="5" t="s">
        <v>65</v>
      </c>
      <c r="B58" s="6" t="s">
        <v>8</v>
      </c>
      <c r="C58" s="7">
        <v>21</v>
      </c>
      <c r="D58" s="8">
        <v>73.599999999999994</v>
      </c>
      <c r="E58" s="7">
        <v>91</v>
      </c>
      <c r="F58" s="7">
        <v>93</v>
      </c>
      <c r="G58" s="7">
        <v>95</v>
      </c>
    </row>
    <row r="59" spans="1:7" x14ac:dyDescent="0.9">
      <c r="A59" s="5" t="s">
        <v>66</v>
      </c>
      <c r="B59" s="6" t="s">
        <v>11</v>
      </c>
      <c r="C59" s="7">
        <v>18</v>
      </c>
      <c r="D59" s="8">
        <v>78.900000000000006</v>
      </c>
      <c r="E59" s="7">
        <v>84</v>
      </c>
      <c r="F59" s="7">
        <v>84</v>
      </c>
      <c r="G59" s="7">
        <v>85</v>
      </c>
    </row>
    <row r="60" spans="1:7" x14ac:dyDescent="0.9">
      <c r="A60" s="5" t="s">
        <v>67</v>
      </c>
      <c r="B60" s="6" t="s">
        <v>8</v>
      </c>
      <c r="C60" s="7">
        <v>18</v>
      </c>
      <c r="D60" s="8">
        <v>85.3</v>
      </c>
      <c r="E60" s="7">
        <v>62</v>
      </c>
      <c r="F60" s="7">
        <v>63</v>
      </c>
      <c r="G60" s="7">
        <v>41</v>
      </c>
    </row>
    <row r="61" spans="1:7" x14ac:dyDescent="0.9">
      <c r="A61" s="5" t="s">
        <v>68</v>
      </c>
      <c r="B61" s="6" t="s">
        <v>11</v>
      </c>
      <c r="C61" s="7">
        <v>22</v>
      </c>
      <c r="D61" s="8">
        <v>91.8</v>
      </c>
      <c r="E61" s="7">
        <v>82</v>
      </c>
      <c r="F61" s="7">
        <v>74</v>
      </c>
      <c r="G61" s="7">
        <v>86</v>
      </c>
    </row>
    <row r="62" spans="1:7" x14ac:dyDescent="0.9">
      <c r="A62" s="5" t="s">
        <v>69</v>
      </c>
      <c r="B62" s="6" t="s">
        <v>8</v>
      </c>
      <c r="C62" s="7">
        <v>20</v>
      </c>
      <c r="D62" s="8">
        <v>77.2</v>
      </c>
      <c r="E62" s="7">
        <v>78</v>
      </c>
      <c r="F62" s="7">
        <v>49</v>
      </c>
      <c r="G62" s="7">
        <v>56</v>
      </c>
    </row>
    <row r="63" spans="1:7" x14ac:dyDescent="0.9">
      <c r="A63" s="5" t="s">
        <v>70</v>
      </c>
      <c r="B63" s="6" t="s">
        <v>11</v>
      </c>
      <c r="C63" s="7">
        <v>20</v>
      </c>
      <c r="D63" s="8">
        <v>80.099999999999994</v>
      </c>
      <c r="E63" s="7">
        <v>83</v>
      </c>
      <c r="F63" s="7">
        <v>83</v>
      </c>
      <c r="G63" s="7">
        <v>88</v>
      </c>
    </row>
    <row r="64" spans="1:7" x14ac:dyDescent="0.9">
      <c r="A64" s="5" t="s">
        <v>71</v>
      </c>
      <c r="B64" s="6" t="s">
        <v>11</v>
      </c>
      <c r="C64" s="7">
        <v>22</v>
      </c>
      <c r="D64" s="8">
        <v>70.900000000000006</v>
      </c>
      <c r="E64" s="7">
        <v>77</v>
      </c>
      <c r="F64" s="7">
        <v>74</v>
      </c>
      <c r="G64" s="7">
        <v>80</v>
      </c>
    </row>
    <row r="65" spans="1:7" x14ac:dyDescent="0.9">
      <c r="A65" s="5" t="s">
        <v>72</v>
      </c>
      <c r="B65" s="6" t="s">
        <v>8</v>
      </c>
      <c r="C65" s="7">
        <v>21</v>
      </c>
      <c r="D65" s="8">
        <v>70</v>
      </c>
      <c r="E65" s="7">
        <v>73</v>
      </c>
      <c r="F65" s="7">
        <v>44</v>
      </c>
      <c r="G65" s="7">
        <v>68</v>
      </c>
    </row>
    <row r="66" spans="1:7" x14ac:dyDescent="0.9">
      <c r="A66" s="5" t="s">
        <v>73</v>
      </c>
      <c r="B66" s="6" t="s">
        <v>11</v>
      </c>
      <c r="C66" s="7">
        <v>20</v>
      </c>
      <c r="D66" s="8">
        <v>90.1</v>
      </c>
      <c r="E66" s="7">
        <v>96</v>
      </c>
      <c r="F66" s="7">
        <v>100</v>
      </c>
      <c r="G66" s="7">
        <v>81</v>
      </c>
    </row>
    <row r="67" spans="1:7" x14ac:dyDescent="0.9">
      <c r="A67" s="5" t="s">
        <v>74</v>
      </c>
      <c r="B67" s="6" t="s">
        <v>8</v>
      </c>
      <c r="C67" s="7">
        <v>18</v>
      </c>
      <c r="D67" s="8">
        <v>95.6</v>
      </c>
      <c r="E67" s="7">
        <v>97</v>
      </c>
      <c r="F67" s="7">
        <v>76</v>
      </c>
      <c r="G67" s="7">
        <v>64</v>
      </c>
    </row>
    <row r="68" spans="1:7" x14ac:dyDescent="0.9">
      <c r="A68" s="5" t="s">
        <v>75</v>
      </c>
      <c r="B68" s="6" t="s">
        <v>8</v>
      </c>
      <c r="C68" s="7">
        <v>18</v>
      </c>
      <c r="D68" s="8">
        <v>81.3</v>
      </c>
      <c r="E68" s="7">
        <v>79</v>
      </c>
      <c r="F68" s="7">
        <v>73</v>
      </c>
      <c r="G68" s="7">
        <v>90</v>
      </c>
    </row>
    <row r="69" spans="1:7" x14ac:dyDescent="0.9">
      <c r="A69" s="5" t="s">
        <v>76</v>
      </c>
      <c r="B69" s="6" t="s">
        <v>8</v>
      </c>
      <c r="C69" s="7">
        <v>19</v>
      </c>
      <c r="D69" s="8">
        <v>92</v>
      </c>
      <c r="E69" s="7">
        <v>100</v>
      </c>
      <c r="F69" s="7">
        <v>75</v>
      </c>
      <c r="G69" s="7">
        <v>91</v>
      </c>
    </row>
    <row r="70" spans="1:7" x14ac:dyDescent="0.9">
      <c r="A70" s="5" t="s">
        <v>77</v>
      </c>
      <c r="B70" s="6" t="s">
        <v>11</v>
      </c>
      <c r="C70" s="7">
        <v>20</v>
      </c>
      <c r="D70" s="8">
        <v>85.6</v>
      </c>
      <c r="E70" s="7">
        <v>56</v>
      </c>
      <c r="F70" s="7">
        <v>75</v>
      </c>
      <c r="G70" s="7">
        <v>57</v>
      </c>
    </row>
    <row r="71" spans="1:7" x14ac:dyDescent="0.9">
      <c r="A71" s="5" t="s">
        <v>78</v>
      </c>
      <c r="B71" s="6" t="s">
        <v>11</v>
      </c>
      <c r="C71" s="7">
        <v>21</v>
      </c>
      <c r="D71" s="8">
        <v>75.5</v>
      </c>
      <c r="E71" s="7">
        <v>66</v>
      </c>
      <c r="F71" s="7">
        <v>48</v>
      </c>
      <c r="G71" s="7">
        <v>61</v>
      </c>
    </row>
    <row r="72" spans="1:7" x14ac:dyDescent="0.9">
      <c r="A72" s="5" t="s">
        <v>79</v>
      </c>
      <c r="B72" s="6" t="s">
        <v>8</v>
      </c>
      <c r="C72" s="7">
        <v>22</v>
      </c>
      <c r="D72" s="8">
        <v>85.6</v>
      </c>
      <c r="E72" s="7">
        <v>60</v>
      </c>
      <c r="F72" s="7">
        <v>60</v>
      </c>
      <c r="G72" s="7">
        <v>60</v>
      </c>
    </row>
    <row r="73" spans="1:7" x14ac:dyDescent="0.9">
      <c r="A73" s="5" t="s">
        <v>80</v>
      </c>
      <c r="B73" s="6" t="s">
        <v>8</v>
      </c>
      <c r="C73" s="7">
        <v>22</v>
      </c>
      <c r="D73" s="8">
        <v>97.4</v>
      </c>
      <c r="E73" s="7">
        <v>54</v>
      </c>
      <c r="F73" s="7">
        <v>73</v>
      </c>
      <c r="G73" s="7">
        <v>74</v>
      </c>
    </row>
    <row r="74" spans="1:7" x14ac:dyDescent="0.9">
      <c r="A74" s="5" t="s">
        <v>81</v>
      </c>
      <c r="B74" s="6" t="s">
        <v>11</v>
      </c>
      <c r="C74" s="7">
        <v>21</v>
      </c>
      <c r="D74" s="8">
        <v>81.599999999999994</v>
      </c>
      <c r="E74" s="7">
        <v>79</v>
      </c>
      <c r="F74" s="7">
        <v>59</v>
      </c>
      <c r="G74" s="7">
        <v>78</v>
      </c>
    </row>
    <row r="75" spans="1:7" x14ac:dyDescent="0.9">
      <c r="A75" s="5" t="s">
        <v>82</v>
      </c>
      <c r="B75" s="6" t="s">
        <v>8</v>
      </c>
      <c r="C75" s="7">
        <v>19</v>
      </c>
      <c r="D75" s="8">
        <v>97.6</v>
      </c>
      <c r="E75" s="7">
        <v>64</v>
      </c>
      <c r="F75" s="7">
        <v>79</v>
      </c>
      <c r="G75" s="7">
        <v>82</v>
      </c>
    </row>
    <row r="76" spans="1:7" x14ac:dyDescent="0.9">
      <c r="A76" s="5" t="s">
        <v>83</v>
      </c>
      <c r="B76" s="6" t="s">
        <v>8</v>
      </c>
      <c r="C76" s="7">
        <v>22</v>
      </c>
      <c r="D76" s="8">
        <v>55.8</v>
      </c>
      <c r="E76" s="7">
        <v>48</v>
      </c>
      <c r="F76" s="7">
        <v>77</v>
      </c>
      <c r="G76" s="7">
        <v>59</v>
      </c>
    </row>
    <row r="77" spans="1:7" x14ac:dyDescent="0.9">
      <c r="A77" s="5" t="s">
        <v>84</v>
      </c>
      <c r="B77" s="6" t="s">
        <v>8</v>
      </c>
      <c r="C77" s="7">
        <v>20</v>
      </c>
      <c r="D77" s="8">
        <v>90.2</v>
      </c>
      <c r="E77" s="7">
        <v>87</v>
      </c>
      <c r="F77" s="7">
        <v>59</v>
      </c>
      <c r="G77" s="7">
        <v>87</v>
      </c>
    </row>
    <row r="78" spans="1:7" x14ac:dyDescent="0.9">
      <c r="A78" s="5" t="s">
        <v>85</v>
      </c>
      <c r="B78" s="6" t="s">
        <v>11</v>
      </c>
      <c r="C78" s="7">
        <v>19</v>
      </c>
      <c r="D78" s="8">
        <v>82.9</v>
      </c>
      <c r="E78" s="7">
        <v>76</v>
      </c>
      <c r="F78" s="7">
        <v>62</v>
      </c>
      <c r="G78" s="7">
        <v>73</v>
      </c>
    </row>
    <row r="79" spans="1:7" x14ac:dyDescent="0.9">
      <c r="A79" s="5" t="s">
        <v>86</v>
      </c>
      <c r="B79" s="6" t="s">
        <v>11</v>
      </c>
      <c r="C79" s="7">
        <v>20</v>
      </c>
      <c r="D79" s="8">
        <v>79</v>
      </c>
      <c r="E79" s="7">
        <v>96</v>
      </c>
      <c r="F79" s="7">
        <v>77</v>
      </c>
      <c r="G79" s="7">
        <v>93</v>
      </c>
    </row>
    <row r="80" spans="1:7" x14ac:dyDescent="0.9">
      <c r="A80" s="5" t="s">
        <v>87</v>
      </c>
      <c r="B80" s="6" t="s">
        <v>11</v>
      </c>
      <c r="C80" s="7">
        <v>18</v>
      </c>
      <c r="D80" s="8">
        <v>82.9</v>
      </c>
      <c r="E80" s="7">
        <v>75</v>
      </c>
      <c r="F80" s="7">
        <v>64</v>
      </c>
      <c r="G80" s="7">
        <v>62</v>
      </c>
    </row>
    <row r="81" spans="1:7" x14ac:dyDescent="0.9">
      <c r="A81" s="5" t="s">
        <v>88</v>
      </c>
      <c r="B81" s="6" t="s">
        <v>8</v>
      </c>
      <c r="C81" s="7">
        <v>19</v>
      </c>
      <c r="D81" s="8">
        <v>62.1</v>
      </c>
      <c r="E81" s="7">
        <v>100</v>
      </c>
      <c r="F81" s="7">
        <v>94</v>
      </c>
      <c r="G81" s="7">
        <v>94</v>
      </c>
    </row>
    <row r="82" spans="1:7" x14ac:dyDescent="0.9">
      <c r="A82" s="5" t="s">
        <v>89</v>
      </c>
      <c r="B82" s="6" t="s">
        <v>8</v>
      </c>
      <c r="C82" s="7">
        <v>22</v>
      </c>
      <c r="D82" s="8">
        <v>79.8</v>
      </c>
      <c r="E82" s="7">
        <v>84</v>
      </c>
      <c r="F82" s="7">
        <v>66</v>
      </c>
      <c r="G82" s="7">
        <v>83</v>
      </c>
    </row>
    <row r="83" spans="1:7" x14ac:dyDescent="0.9">
      <c r="A83" s="5" t="s">
        <v>90</v>
      </c>
      <c r="B83" s="6" t="s">
        <v>8</v>
      </c>
      <c r="C83" s="7">
        <v>19</v>
      </c>
      <c r="D83" s="8">
        <v>85.6</v>
      </c>
      <c r="E83" s="7">
        <v>60</v>
      </c>
      <c r="F83" s="7">
        <v>54</v>
      </c>
      <c r="G83" s="7">
        <v>73</v>
      </c>
    </row>
    <row r="84" spans="1:7" x14ac:dyDescent="0.9">
      <c r="A84" s="5" t="s">
        <v>91</v>
      </c>
      <c r="B84" s="6" t="s">
        <v>11</v>
      </c>
      <c r="C84" s="7">
        <v>19</v>
      </c>
      <c r="D84" s="8">
        <v>96.8</v>
      </c>
      <c r="E84" s="7">
        <v>62</v>
      </c>
      <c r="F84" s="7">
        <v>54</v>
      </c>
      <c r="G84" s="7">
        <v>72</v>
      </c>
    </row>
    <row r="85" spans="1:7" x14ac:dyDescent="0.9">
      <c r="A85" s="5" t="s">
        <v>92</v>
      </c>
      <c r="B85" s="6" t="s">
        <v>8</v>
      </c>
      <c r="C85" s="7">
        <v>19</v>
      </c>
      <c r="D85" s="8">
        <v>76.8</v>
      </c>
      <c r="E85" s="7">
        <v>72</v>
      </c>
      <c r="F85" s="7">
        <v>70</v>
      </c>
      <c r="G85" s="7">
        <v>76</v>
      </c>
    </row>
    <row r="86" spans="1:7" x14ac:dyDescent="0.9">
      <c r="A86" s="5" t="s">
        <v>93</v>
      </c>
      <c r="B86" s="6" t="s">
        <v>8</v>
      </c>
      <c r="C86" s="7">
        <v>19</v>
      </c>
      <c r="D86" s="8">
        <v>73.900000000000006</v>
      </c>
      <c r="E86" s="7">
        <v>68</v>
      </c>
      <c r="F86" s="7">
        <v>65</v>
      </c>
      <c r="G86" s="7">
        <v>62</v>
      </c>
    </row>
    <row r="87" spans="1:7" x14ac:dyDescent="0.9">
      <c r="A87" s="5" t="s">
        <v>94</v>
      </c>
      <c r="B87" s="6" t="s">
        <v>8</v>
      </c>
      <c r="C87" s="7">
        <v>20</v>
      </c>
      <c r="D87" s="8">
        <v>77</v>
      </c>
      <c r="E87" s="7">
        <v>68</v>
      </c>
      <c r="F87" s="7">
        <v>84</v>
      </c>
      <c r="G87" s="7">
        <v>82</v>
      </c>
    </row>
    <row r="88" spans="1:7" x14ac:dyDescent="0.9">
      <c r="A88" s="5" t="s">
        <v>95</v>
      </c>
      <c r="B88" s="6" t="s">
        <v>8</v>
      </c>
      <c r="C88" s="7">
        <v>18</v>
      </c>
      <c r="D88" s="8">
        <v>91.2</v>
      </c>
      <c r="E88" s="7">
        <v>83</v>
      </c>
      <c r="F88" s="7">
        <v>87</v>
      </c>
      <c r="G88" s="7">
        <v>72</v>
      </c>
    </row>
    <row r="89" spans="1:7" x14ac:dyDescent="0.9">
      <c r="A89" s="5" t="s">
        <v>96</v>
      </c>
      <c r="B89" s="6" t="s">
        <v>11</v>
      </c>
      <c r="C89" s="7">
        <v>21</v>
      </c>
      <c r="D89" s="8">
        <v>85.3</v>
      </c>
      <c r="E89" s="7">
        <v>70</v>
      </c>
      <c r="F89" s="7">
        <v>75</v>
      </c>
      <c r="G89" s="7">
        <v>65</v>
      </c>
    </row>
    <row r="90" spans="1:7" x14ac:dyDescent="0.9">
      <c r="A90" s="5" t="s">
        <v>97</v>
      </c>
      <c r="B90" s="6" t="s">
        <v>11</v>
      </c>
      <c r="C90" s="7">
        <v>19</v>
      </c>
      <c r="D90" s="8">
        <v>76.7</v>
      </c>
      <c r="E90" s="7">
        <v>61</v>
      </c>
      <c r="F90" s="7">
        <v>49</v>
      </c>
      <c r="G90" s="7">
        <v>72</v>
      </c>
    </row>
    <row r="91" spans="1:7" x14ac:dyDescent="0.9">
      <c r="A91" s="5" t="s">
        <v>98</v>
      </c>
      <c r="B91" s="6" t="s">
        <v>8</v>
      </c>
      <c r="C91" s="7">
        <v>22</v>
      </c>
      <c r="D91" s="8">
        <v>87.1</v>
      </c>
      <c r="E91" s="7">
        <v>57</v>
      </c>
      <c r="F91" s="7">
        <v>52</v>
      </c>
      <c r="G91" s="7">
        <v>59</v>
      </c>
    </row>
    <row r="92" spans="1:7" x14ac:dyDescent="0.9">
      <c r="A92" s="5" t="s">
        <v>99</v>
      </c>
      <c r="B92" s="6" t="s">
        <v>11</v>
      </c>
      <c r="C92" s="7">
        <v>19</v>
      </c>
      <c r="D92" s="8">
        <v>83</v>
      </c>
      <c r="E92" s="7">
        <v>44</v>
      </c>
      <c r="F92" s="7">
        <v>85</v>
      </c>
      <c r="G92" s="7">
        <v>64</v>
      </c>
    </row>
    <row r="93" spans="1:7" x14ac:dyDescent="0.9">
      <c r="A93" s="5" t="s">
        <v>100</v>
      </c>
      <c r="B93" s="6" t="s">
        <v>11</v>
      </c>
      <c r="C93" s="7">
        <v>22</v>
      </c>
      <c r="D93" s="8">
        <v>91.7</v>
      </c>
      <c r="E93" s="7">
        <v>76</v>
      </c>
      <c r="F93" s="7">
        <v>92</v>
      </c>
      <c r="G93" s="7">
        <v>92</v>
      </c>
    </row>
    <row r="94" spans="1:7" x14ac:dyDescent="0.9">
      <c r="A94" s="5" t="s">
        <v>101</v>
      </c>
      <c r="B94" s="6" t="s">
        <v>8</v>
      </c>
      <c r="C94" s="7">
        <v>20</v>
      </c>
      <c r="D94" s="8">
        <v>75</v>
      </c>
      <c r="E94" s="7">
        <v>70</v>
      </c>
      <c r="F94" s="7">
        <v>65</v>
      </c>
      <c r="G94" s="7">
        <v>82</v>
      </c>
    </row>
    <row r="95" spans="1:7" x14ac:dyDescent="0.9">
      <c r="A95" s="5" t="s">
        <v>102</v>
      </c>
      <c r="B95" s="6" t="s">
        <v>8</v>
      </c>
      <c r="C95" s="7">
        <v>22</v>
      </c>
      <c r="D95" s="8">
        <v>78.7</v>
      </c>
      <c r="E95" s="7">
        <v>54</v>
      </c>
      <c r="F95" s="7">
        <v>67</v>
      </c>
      <c r="G95" s="7">
        <v>52</v>
      </c>
    </row>
    <row r="96" spans="1:7" x14ac:dyDescent="0.9">
      <c r="A96" s="5" t="s">
        <v>103</v>
      </c>
      <c r="B96" s="6" t="s">
        <v>11</v>
      </c>
      <c r="C96" s="7">
        <v>21</v>
      </c>
      <c r="D96" s="8">
        <v>78.099999999999994</v>
      </c>
      <c r="E96" s="7">
        <v>74</v>
      </c>
      <c r="F96" s="7">
        <v>66</v>
      </c>
      <c r="G96" s="7">
        <v>69</v>
      </c>
    </row>
    <row r="97" spans="1:7" x14ac:dyDescent="0.9">
      <c r="A97" s="5" t="s">
        <v>104</v>
      </c>
      <c r="B97" s="6" t="s">
        <v>8</v>
      </c>
      <c r="C97" s="7">
        <v>18</v>
      </c>
      <c r="D97" s="8">
        <v>67.400000000000006</v>
      </c>
      <c r="E97" s="7">
        <v>73</v>
      </c>
      <c r="F97" s="7">
        <v>62</v>
      </c>
      <c r="G97" s="7">
        <v>67</v>
      </c>
    </row>
    <row r="98" spans="1:7" x14ac:dyDescent="0.9">
      <c r="A98" s="5" t="s">
        <v>105</v>
      </c>
      <c r="B98" s="6" t="s">
        <v>11</v>
      </c>
      <c r="C98" s="7">
        <v>22</v>
      </c>
      <c r="D98" s="8">
        <v>85</v>
      </c>
      <c r="E98" s="7">
        <v>75</v>
      </c>
      <c r="F98" s="7">
        <v>72</v>
      </c>
      <c r="G98" s="7">
        <v>70</v>
      </c>
    </row>
    <row r="99" spans="1:7" x14ac:dyDescent="0.9">
      <c r="A99" s="5" t="s">
        <v>106</v>
      </c>
      <c r="B99" s="6" t="s">
        <v>8</v>
      </c>
      <c r="C99" s="7">
        <v>22</v>
      </c>
      <c r="D99" s="8">
        <v>84.6</v>
      </c>
      <c r="E99" s="7">
        <v>76</v>
      </c>
      <c r="F99" s="7">
        <v>60</v>
      </c>
      <c r="G99" s="7">
        <v>82</v>
      </c>
    </row>
    <row r="100" spans="1:7" x14ac:dyDescent="0.9">
      <c r="A100" s="5" t="s">
        <v>107</v>
      </c>
      <c r="B100" s="6" t="s">
        <v>11</v>
      </c>
      <c r="C100" s="7">
        <v>18</v>
      </c>
      <c r="D100" s="8">
        <v>82.1</v>
      </c>
      <c r="E100" s="7">
        <v>69</v>
      </c>
      <c r="F100" s="7">
        <v>52</v>
      </c>
      <c r="G100" s="7">
        <v>84</v>
      </c>
    </row>
    <row r="101" spans="1:7" x14ac:dyDescent="0.9">
      <c r="A101" s="5" t="s">
        <v>108</v>
      </c>
      <c r="B101" s="6" t="s">
        <v>8</v>
      </c>
      <c r="C101" s="7">
        <v>21</v>
      </c>
      <c r="D101" s="8">
        <v>79.7</v>
      </c>
      <c r="E101" s="7">
        <v>42</v>
      </c>
      <c r="F101" s="7">
        <v>63</v>
      </c>
      <c r="G101" s="7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C6F0-C313-4352-B510-46102D1A7D65}">
  <dimension ref="A1:G101"/>
  <sheetViews>
    <sheetView workbookViewId="0"/>
  </sheetViews>
  <sheetFormatPr defaultRowHeight="24" x14ac:dyDescent="0.8"/>
  <cols>
    <col min="1" max="1" width="12.796875" bestFit="1" customWidth="1"/>
    <col min="2" max="2" width="9.5" bestFit="1" customWidth="1"/>
    <col min="3" max="3" width="6.3984375" bestFit="1" customWidth="1"/>
    <col min="4" max="4" width="15.796875" bestFit="1" customWidth="1"/>
    <col min="5" max="5" width="13.5" bestFit="1" customWidth="1"/>
    <col min="6" max="6" width="16.296875" bestFit="1" customWidth="1"/>
    <col min="7" max="7" width="15.796875" bestFit="1" customWidth="1"/>
  </cols>
  <sheetData>
    <row r="1" spans="1:7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8">
      <c r="A2" t="s">
        <v>7</v>
      </c>
      <c r="B2" t="s">
        <v>8</v>
      </c>
      <c r="C2">
        <v>18</v>
      </c>
      <c r="D2">
        <v>87</v>
      </c>
      <c r="E2">
        <v>60</v>
      </c>
      <c r="F2">
        <v>41</v>
      </c>
      <c r="G2">
        <v>57</v>
      </c>
    </row>
    <row r="3" spans="1:7" x14ac:dyDescent="0.8">
      <c r="A3" t="s">
        <v>9</v>
      </c>
      <c r="B3" t="s">
        <v>8</v>
      </c>
      <c r="C3">
        <v>21</v>
      </c>
      <c r="D3">
        <v>80.599999999999994</v>
      </c>
      <c r="E3">
        <v>59</v>
      </c>
      <c r="F3">
        <v>68</v>
      </c>
      <c r="G3">
        <v>67</v>
      </c>
    </row>
    <row r="4" spans="1:7" x14ac:dyDescent="0.8">
      <c r="A4" t="s">
        <v>10</v>
      </c>
      <c r="B4" t="s">
        <v>11</v>
      </c>
      <c r="C4">
        <v>22</v>
      </c>
      <c r="D4">
        <v>88.5</v>
      </c>
      <c r="E4">
        <v>53</v>
      </c>
      <c r="F4">
        <v>76</v>
      </c>
      <c r="G4">
        <v>67</v>
      </c>
    </row>
    <row r="5" spans="1:7" x14ac:dyDescent="0.8">
      <c r="A5" t="s">
        <v>12</v>
      </c>
      <c r="B5" t="s">
        <v>8</v>
      </c>
      <c r="C5">
        <v>18</v>
      </c>
      <c r="D5">
        <v>97.2</v>
      </c>
      <c r="E5">
        <v>55</v>
      </c>
      <c r="F5">
        <v>78</v>
      </c>
      <c r="G5">
        <v>65</v>
      </c>
    </row>
    <row r="6" spans="1:7" x14ac:dyDescent="0.8">
      <c r="A6" t="s">
        <v>13</v>
      </c>
      <c r="B6" t="s">
        <v>11</v>
      </c>
      <c r="C6">
        <v>19</v>
      </c>
      <c r="D6">
        <v>79.7</v>
      </c>
      <c r="E6">
        <v>62</v>
      </c>
      <c r="F6">
        <v>59</v>
      </c>
      <c r="G6">
        <v>65</v>
      </c>
    </row>
    <row r="7" spans="1:7" x14ac:dyDescent="0.8">
      <c r="A7" t="s">
        <v>14</v>
      </c>
      <c r="B7" t="s">
        <v>11</v>
      </c>
      <c r="C7">
        <v>19</v>
      </c>
      <c r="D7">
        <v>79.7</v>
      </c>
      <c r="E7">
        <v>85</v>
      </c>
      <c r="F7">
        <v>70</v>
      </c>
      <c r="G7">
        <v>71</v>
      </c>
    </row>
    <row r="8" spans="1:7" x14ac:dyDescent="0.8">
      <c r="A8" t="s">
        <v>15</v>
      </c>
      <c r="B8" t="s">
        <v>11</v>
      </c>
      <c r="C8">
        <v>18</v>
      </c>
      <c r="D8">
        <v>97.8</v>
      </c>
      <c r="E8">
        <v>100</v>
      </c>
      <c r="F8">
        <v>99</v>
      </c>
      <c r="G8">
        <v>97</v>
      </c>
    </row>
    <row r="9" spans="1:7" x14ac:dyDescent="0.8">
      <c r="A9" t="s">
        <v>16</v>
      </c>
      <c r="B9" t="s">
        <v>8</v>
      </c>
      <c r="C9">
        <v>19</v>
      </c>
      <c r="D9">
        <v>89.7</v>
      </c>
      <c r="E9">
        <v>72</v>
      </c>
      <c r="F9">
        <v>92</v>
      </c>
      <c r="G9">
        <v>73</v>
      </c>
    </row>
    <row r="10" spans="1:7" x14ac:dyDescent="0.8">
      <c r="A10" t="s">
        <v>17</v>
      </c>
      <c r="B10" t="s">
        <v>8</v>
      </c>
      <c r="C10">
        <v>18</v>
      </c>
      <c r="D10">
        <v>77.3</v>
      </c>
      <c r="E10">
        <v>68</v>
      </c>
      <c r="F10">
        <v>71</v>
      </c>
      <c r="G10">
        <v>67</v>
      </c>
    </row>
    <row r="11" spans="1:7" x14ac:dyDescent="0.8">
      <c r="A11" t="s">
        <v>18</v>
      </c>
      <c r="B11" t="s">
        <v>11</v>
      </c>
      <c r="C11">
        <v>22</v>
      </c>
      <c r="D11">
        <v>87.4</v>
      </c>
      <c r="E11">
        <v>74</v>
      </c>
      <c r="F11">
        <v>84</v>
      </c>
      <c r="G11">
        <v>68</v>
      </c>
    </row>
    <row r="12" spans="1:7" x14ac:dyDescent="0.8">
      <c r="A12" t="s">
        <v>19</v>
      </c>
      <c r="B12" t="s">
        <v>11</v>
      </c>
      <c r="C12">
        <v>22</v>
      </c>
      <c r="D12">
        <v>77.400000000000006</v>
      </c>
      <c r="E12">
        <v>46</v>
      </c>
      <c r="F12">
        <v>46</v>
      </c>
      <c r="G12">
        <v>27</v>
      </c>
    </row>
    <row r="13" spans="1:7" x14ac:dyDescent="0.8">
      <c r="A13" t="s">
        <v>20</v>
      </c>
      <c r="B13" t="s">
        <v>8</v>
      </c>
      <c r="C13">
        <v>18</v>
      </c>
      <c r="D13">
        <v>77.3</v>
      </c>
      <c r="E13">
        <v>77</v>
      </c>
      <c r="F13">
        <v>77</v>
      </c>
      <c r="G13">
        <v>75</v>
      </c>
    </row>
    <row r="14" spans="1:7" x14ac:dyDescent="0.8">
      <c r="A14" t="s">
        <v>21</v>
      </c>
      <c r="B14" t="s">
        <v>11</v>
      </c>
      <c r="C14">
        <v>22</v>
      </c>
      <c r="D14">
        <v>84.4</v>
      </c>
      <c r="E14">
        <v>68</v>
      </c>
      <c r="F14">
        <v>80</v>
      </c>
      <c r="G14">
        <v>76</v>
      </c>
    </row>
    <row r="15" spans="1:7" x14ac:dyDescent="0.8">
      <c r="A15" t="s">
        <v>22</v>
      </c>
      <c r="B15" t="s">
        <v>8</v>
      </c>
      <c r="C15">
        <v>22</v>
      </c>
      <c r="D15">
        <v>62.9</v>
      </c>
      <c r="E15">
        <v>100</v>
      </c>
      <c r="F15">
        <v>93</v>
      </c>
      <c r="G15">
        <v>94</v>
      </c>
    </row>
    <row r="16" spans="1:7" x14ac:dyDescent="0.8">
      <c r="A16" t="s">
        <v>23</v>
      </c>
      <c r="B16" t="s">
        <v>11</v>
      </c>
      <c r="C16">
        <v>22</v>
      </c>
      <c r="D16">
        <v>64.8</v>
      </c>
      <c r="E16">
        <v>60</v>
      </c>
      <c r="F16">
        <v>51</v>
      </c>
      <c r="G16">
        <v>65</v>
      </c>
    </row>
    <row r="17" spans="1:7" x14ac:dyDescent="0.8">
      <c r="A17" t="s">
        <v>24</v>
      </c>
      <c r="B17" t="s">
        <v>8</v>
      </c>
      <c r="C17">
        <v>20</v>
      </c>
      <c r="D17">
        <v>76.400000000000006</v>
      </c>
      <c r="E17">
        <v>80</v>
      </c>
      <c r="F17">
        <v>68</v>
      </c>
      <c r="G17">
        <v>76</v>
      </c>
    </row>
    <row r="18" spans="1:7" x14ac:dyDescent="0.8">
      <c r="A18" t="s">
        <v>25</v>
      </c>
      <c r="B18" t="s">
        <v>11</v>
      </c>
      <c r="C18">
        <v>21</v>
      </c>
      <c r="D18">
        <v>71.900000000000006</v>
      </c>
      <c r="E18">
        <v>64</v>
      </c>
      <c r="F18">
        <v>78</v>
      </c>
      <c r="G18">
        <v>62</v>
      </c>
    </row>
    <row r="19" spans="1:7" x14ac:dyDescent="0.8">
      <c r="A19" t="s">
        <v>26</v>
      </c>
      <c r="B19" t="s">
        <v>8</v>
      </c>
      <c r="C19">
        <v>19</v>
      </c>
      <c r="D19">
        <v>85.1</v>
      </c>
      <c r="E19">
        <v>52</v>
      </c>
      <c r="F19">
        <v>64</v>
      </c>
      <c r="G19">
        <v>55</v>
      </c>
    </row>
    <row r="20" spans="1:7" x14ac:dyDescent="0.8">
      <c r="A20" t="s">
        <v>27</v>
      </c>
      <c r="B20" t="s">
        <v>11</v>
      </c>
      <c r="C20">
        <v>20</v>
      </c>
      <c r="D20">
        <v>72.900000000000006</v>
      </c>
      <c r="E20">
        <v>98</v>
      </c>
      <c r="F20">
        <v>75</v>
      </c>
      <c r="G20">
        <v>86</v>
      </c>
    </row>
    <row r="21" spans="1:7" x14ac:dyDescent="0.8">
      <c r="A21" t="s">
        <v>28</v>
      </c>
      <c r="B21" t="s">
        <v>8</v>
      </c>
      <c r="C21">
        <v>22</v>
      </c>
      <c r="D21">
        <v>67.900000000000006</v>
      </c>
      <c r="E21">
        <v>84</v>
      </c>
      <c r="F21">
        <v>70</v>
      </c>
      <c r="G21">
        <v>77</v>
      </c>
    </row>
    <row r="22" spans="1:7" x14ac:dyDescent="0.8">
      <c r="A22" t="s">
        <v>29</v>
      </c>
      <c r="B22" t="s">
        <v>8</v>
      </c>
      <c r="C22">
        <v>18</v>
      </c>
      <c r="D22">
        <v>96.7</v>
      </c>
      <c r="E22">
        <v>69</v>
      </c>
      <c r="F22">
        <v>68</v>
      </c>
      <c r="G22">
        <v>100</v>
      </c>
    </row>
    <row r="23" spans="1:7" x14ac:dyDescent="0.8">
      <c r="A23" t="s">
        <v>30</v>
      </c>
      <c r="B23" t="s">
        <v>11</v>
      </c>
      <c r="C23">
        <v>22</v>
      </c>
      <c r="D23">
        <v>79.7</v>
      </c>
      <c r="E23">
        <v>55</v>
      </c>
      <c r="F23">
        <v>70</v>
      </c>
      <c r="G23">
        <v>73</v>
      </c>
    </row>
    <row r="24" spans="1:7" x14ac:dyDescent="0.8">
      <c r="A24" t="s">
        <v>31</v>
      </c>
      <c r="B24" t="s">
        <v>11</v>
      </c>
      <c r="C24">
        <v>21</v>
      </c>
      <c r="D24">
        <v>82.7</v>
      </c>
      <c r="E24">
        <v>99</v>
      </c>
      <c r="F24">
        <v>94</v>
      </c>
      <c r="G24">
        <v>96</v>
      </c>
    </row>
    <row r="25" spans="1:7" x14ac:dyDescent="0.8">
      <c r="A25" t="s">
        <v>32</v>
      </c>
      <c r="B25" t="s">
        <v>8</v>
      </c>
      <c r="C25">
        <v>22</v>
      </c>
      <c r="D25">
        <v>67.8</v>
      </c>
      <c r="E25">
        <v>38</v>
      </c>
      <c r="F25">
        <v>46</v>
      </c>
      <c r="G25">
        <v>44</v>
      </c>
    </row>
    <row r="26" spans="1:7" x14ac:dyDescent="0.8">
      <c r="A26" t="s">
        <v>33</v>
      </c>
      <c r="B26" t="s">
        <v>11</v>
      </c>
      <c r="C26">
        <v>18</v>
      </c>
      <c r="D26">
        <v>76.599999999999994</v>
      </c>
      <c r="E26">
        <v>83</v>
      </c>
      <c r="F26">
        <v>76</v>
      </c>
      <c r="G26">
        <v>72</v>
      </c>
    </row>
    <row r="27" spans="1:7" x14ac:dyDescent="0.8">
      <c r="A27" t="s">
        <v>34</v>
      </c>
      <c r="B27" t="s">
        <v>8</v>
      </c>
      <c r="C27">
        <v>21</v>
      </c>
      <c r="D27">
        <v>83.1</v>
      </c>
      <c r="E27">
        <v>100</v>
      </c>
      <c r="F27">
        <v>76</v>
      </c>
      <c r="G27">
        <v>90</v>
      </c>
    </row>
    <row r="28" spans="1:7" x14ac:dyDescent="0.8">
      <c r="A28" t="s">
        <v>35</v>
      </c>
      <c r="B28" t="s">
        <v>11</v>
      </c>
      <c r="C28">
        <v>22</v>
      </c>
      <c r="D28">
        <v>70.5</v>
      </c>
      <c r="E28">
        <v>48</v>
      </c>
      <c r="F28">
        <v>48</v>
      </c>
      <c r="G28">
        <v>58</v>
      </c>
    </row>
    <row r="29" spans="1:7" x14ac:dyDescent="0.8">
      <c r="A29" t="s">
        <v>36</v>
      </c>
      <c r="B29" t="s">
        <v>8</v>
      </c>
      <c r="C29">
        <v>21</v>
      </c>
      <c r="D29">
        <v>85.8</v>
      </c>
      <c r="E29">
        <v>65</v>
      </c>
      <c r="F29">
        <v>75</v>
      </c>
      <c r="G29">
        <v>44</v>
      </c>
    </row>
    <row r="30" spans="1:7" x14ac:dyDescent="0.8">
      <c r="A30" t="s">
        <v>37</v>
      </c>
      <c r="B30" t="s">
        <v>8</v>
      </c>
      <c r="C30">
        <v>19</v>
      </c>
      <c r="D30">
        <v>76</v>
      </c>
      <c r="E30">
        <v>51</v>
      </c>
      <c r="F30">
        <v>77</v>
      </c>
      <c r="G30">
        <v>67</v>
      </c>
    </row>
    <row r="31" spans="1:7" x14ac:dyDescent="0.8">
      <c r="A31" t="s">
        <v>38</v>
      </c>
      <c r="B31" t="s">
        <v>8</v>
      </c>
      <c r="C31">
        <v>19</v>
      </c>
      <c r="D31">
        <v>79.099999999999994</v>
      </c>
      <c r="E31">
        <v>80</v>
      </c>
      <c r="F31">
        <v>65</v>
      </c>
      <c r="G31">
        <v>62</v>
      </c>
    </row>
    <row r="32" spans="1:7" x14ac:dyDescent="0.8">
      <c r="A32" t="s">
        <v>39</v>
      </c>
      <c r="B32" t="s">
        <v>8</v>
      </c>
      <c r="C32">
        <v>22</v>
      </c>
      <c r="D32">
        <v>76</v>
      </c>
      <c r="E32">
        <v>47</v>
      </c>
      <c r="F32">
        <v>48</v>
      </c>
      <c r="G32">
        <v>39</v>
      </c>
    </row>
    <row r="33" spans="1:7" x14ac:dyDescent="0.8">
      <c r="A33" t="s">
        <v>40</v>
      </c>
      <c r="B33" t="s">
        <v>8</v>
      </c>
      <c r="C33">
        <v>21</v>
      </c>
      <c r="D33">
        <v>100</v>
      </c>
      <c r="E33">
        <v>85</v>
      </c>
      <c r="F33">
        <v>83</v>
      </c>
      <c r="G33">
        <v>85</v>
      </c>
    </row>
    <row r="34" spans="1:7" x14ac:dyDescent="0.8">
      <c r="A34" t="s">
        <v>41</v>
      </c>
      <c r="B34" t="s">
        <v>8</v>
      </c>
      <c r="C34">
        <v>18</v>
      </c>
      <c r="D34">
        <v>81.900000000000006</v>
      </c>
      <c r="E34">
        <v>63</v>
      </c>
      <c r="F34">
        <v>53</v>
      </c>
      <c r="G34">
        <v>50</v>
      </c>
    </row>
    <row r="35" spans="1:7" x14ac:dyDescent="0.8">
      <c r="A35" t="s">
        <v>42</v>
      </c>
      <c r="B35" t="s">
        <v>11</v>
      </c>
      <c r="C35">
        <v>22</v>
      </c>
      <c r="D35">
        <v>71.400000000000006</v>
      </c>
      <c r="E35">
        <v>85</v>
      </c>
      <c r="F35">
        <v>56</v>
      </c>
      <c r="G35">
        <v>76</v>
      </c>
    </row>
    <row r="36" spans="1:7" x14ac:dyDescent="0.8">
      <c r="A36" t="s">
        <v>43</v>
      </c>
      <c r="B36" t="s">
        <v>11</v>
      </c>
      <c r="C36">
        <v>19</v>
      </c>
      <c r="D36">
        <v>90.2</v>
      </c>
      <c r="E36">
        <v>59</v>
      </c>
      <c r="F36">
        <v>60</v>
      </c>
      <c r="G36">
        <v>86</v>
      </c>
    </row>
    <row r="37" spans="1:7" x14ac:dyDescent="0.8">
      <c r="A37" t="s">
        <v>44</v>
      </c>
      <c r="B37" t="s">
        <v>11</v>
      </c>
      <c r="C37">
        <v>19</v>
      </c>
      <c r="D37">
        <v>69.8</v>
      </c>
      <c r="E37">
        <v>87</v>
      </c>
      <c r="F37">
        <v>87</v>
      </c>
      <c r="G37">
        <v>73</v>
      </c>
    </row>
    <row r="38" spans="1:7" x14ac:dyDescent="0.8">
      <c r="A38" t="s">
        <v>45</v>
      </c>
      <c r="B38" t="s">
        <v>8</v>
      </c>
      <c r="C38">
        <v>22</v>
      </c>
      <c r="D38">
        <v>84.1</v>
      </c>
      <c r="E38">
        <v>67</v>
      </c>
      <c r="F38">
        <v>70</v>
      </c>
      <c r="G38">
        <v>62</v>
      </c>
    </row>
    <row r="39" spans="1:7" x14ac:dyDescent="0.8">
      <c r="A39" t="s">
        <v>46</v>
      </c>
      <c r="B39" t="s">
        <v>8</v>
      </c>
      <c r="C39">
        <v>21</v>
      </c>
      <c r="D39">
        <v>62.4</v>
      </c>
      <c r="E39">
        <v>68</v>
      </c>
      <c r="F39">
        <v>45</v>
      </c>
      <c r="G39">
        <v>58</v>
      </c>
    </row>
    <row r="40" spans="1:7" x14ac:dyDescent="0.8">
      <c r="A40" t="s">
        <v>47</v>
      </c>
      <c r="B40" t="s">
        <v>8</v>
      </c>
      <c r="C40">
        <v>19</v>
      </c>
      <c r="D40">
        <v>68.7</v>
      </c>
      <c r="E40">
        <v>86</v>
      </c>
      <c r="F40">
        <v>73</v>
      </c>
      <c r="G40">
        <v>72</v>
      </c>
    </row>
    <row r="41" spans="1:7" x14ac:dyDescent="0.8">
      <c r="A41" t="s">
        <v>48</v>
      </c>
      <c r="B41" t="s">
        <v>8</v>
      </c>
      <c r="C41">
        <v>21</v>
      </c>
      <c r="D41">
        <v>84</v>
      </c>
      <c r="E41">
        <v>52</v>
      </c>
      <c r="F41">
        <v>54</v>
      </c>
      <c r="G41">
        <v>64</v>
      </c>
    </row>
    <row r="42" spans="1:7" x14ac:dyDescent="0.8">
      <c r="A42" t="s">
        <v>49</v>
      </c>
      <c r="B42" t="s">
        <v>11</v>
      </c>
      <c r="C42">
        <v>19</v>
      </c>
      <c r="D42">
        <v>89.4</v>
      </c>
      <c r="E42">
        <v>70</v>
      </c>
      <c r="F42">
        <v>64</v>
      </c>
      <c r="G42">
        <v>86</v>
      </c>
    </row>
    <row r="43" spans="1:7" x14ac:dyDescent="0.8">
      <c r="A43" t="s">
        <v>50</v>
      </c>
      <c r="B43" t="s">
        <v>11</v>
      </c>
      <c r="C43">
        <v>19</v>
      </c>
      <c r="D43">
        <v>83.7</v>
      </c>
      <c r="E43">
        <v>99</v>
      </c>
      <c r="F43">
        <v>89</v>
      </c>
      <c r="G43">
        <v>94</v>
      </c>
    </row>
    <row r="44" spans="1:7" x14ac:dyDescent="0.8">
      <c r="A44" t="s">
        <v>51</v>
      </c>
      <c r="B44" t="s">
        <v>8</v>
      </c>
      <c r="C44">
        <v>20</v>
      </c>
      <c r="D44">
        <v>80.8</v>
      </c>
      <c r="E44">
        <v>33</v>
      </c>
      <c r="F44">
        <v>56</v>
      </c>
      <c r="G44">
        <v>46</v>
      </c>
    </row>
    <row r="45" spans="1:7" x14ac:dyDescent="0.8">
      <c r="A45" t="s">
        <v>52</v>
      </c>
      <c r="B45" t="s">
        <v>11</v>
      </c>
      <c r="C45">
        <v>19</v>
      </c>
      <c r="D45">
        <v>79</v>
      </c>
      <c r="E45">
        <v>86</v>
      </c>
      <c r="F45">
        <v>67</v>
      </c>
      <c r="G45">
        <v>92</v>
      </c>
    </row>
    <row r="46" spans="1:7" x14ac:dyDescent="0.8">
      <c r="A46" t="s">
        <v>53</v>
      </c>
      <c r="B46" t="s">
        <v>11</v>
      </c>
      <c r="C46">
        <v>18</v>
      </c>
      <c r="D46">
        <v>67.2</v>
      </c>
      <c r="E46">
        <v>66</v>
      </c>
      <c r="F46">
        <v>85</v>
      </c>
      <c r="G46">
        <v>55</v>
      </c>
    </row>
    <row r="47" spans="1:7" x14ac:dyDescent="0.8">
      <c r="A47" t="s">
        <v>54</v>
      </c>
      <c r="B47" t="s">
        <v>8</v>
      </c>
      <c r="C47">
        <v>22</v>
      </c>
      <c r="D47">
        <v>74.8</v>
      </c>
      <c r="E47">
        <v>78</v>
      </c>
      <c r="F47">
        <v>73</v>
      </c>
      <c r="G47">
        <v>70</v>
      </c>
    </row>
    <row r="48" spans="1:7" x14ac:dyDescent="0.8">
      <c r="A48" t="s">
        <v>55</v>
      </c>
      <c r="B48" t="s">
        <v>11</v>
      </c>
      <c r="C48">
        <v>22</v>
      </c>
      <c r="D48">
        <v>77.400000000000006</v>
      </c>
      <c r="E48">
        <v>48</v>
      </c>
      <c r="F48">
        <v>48</v>
      </c>
      <c r="G48">
        <v>57</v>
      </c>
    </row>
    <row r="49" spans="1:7" x14ac:dyDescent="0.8">
      <c r="A49" t="s">
        <v>56</v>
      </c>
      <c r="B49" t="s">
        <v>8</v>
      </c>
      <c r="C49">
        <v>21</v>
      </c>
      <c r="D49">
        <v>92.6</v>
      </c>
      <c r="E49">
        <v>58</v>
      </c>
      <c r="F49">
        <v>52</v>
      </c>
      <c r="G49">
        <v>60</v>
      </c>
    </row>
    <row r="50" spans="1:7" x14ac:dyDescent="0.8">
      <c r="A50" t="s">
        <v>57</v>
      </c>
      <c r="B50" t="s">
        <v>11</v>
      </c>
      <c r="C50">
        <v>19</v>
      </c>
      <c r="D50">
        <v>85.4</v>
      </c>
      <c r="E50">
        <v>90</v>
      </c>
      <c r="F50">
        <v>69</v>
      </c>
      <c r="G50">
        <v>83</v>
      </c>
    </row>
    <row r="51" spans="1:7" x14ac:dyDescent="0.8">
      <c r="A51" t="s">
        <v>58</v>
      </c>
      <c r="B51" t="s">
        <v>8</v>
      </c>
      <c r="C51">
        <v>18</v>
      </c>
      <c r="D51">
        <v>64.400000000000006</v>
      </c>
      <c r="E51">
        <v>75</v>
      </c>
      <c r="F51">
        <v>61</v>
      </c>
      <c r="G51">
        <v>82</v>
      </c>
    </row>
    <row r="52" spans="1:7" x14ac:dyDescent="0.8">
      <c r="A52" t="s">
        <v>59</v>
      </c>
      <c r="B52" t="s">
        <v>8</v>
      </c>
      <c r="C52">
        <v>21</v>
      </c>
      <c r="D52">
        <v>85.2</v>
      </c>
      <c r="E52">
        <v>79</v>
      </c>
      <c r="F52">
        <v>60</v>
      </c>
      <c r="G52">
        <v>75</v>
      </c>
    </row>
    <row r="53" spans="1:7" x14ac:dyDescent="0.8">
      <c r="A53" t="s">
        <v>60</v>
      </c>
      <c r="B53" t="s">
        <v>8</v>
      </c>
      <c r="C53">
        <v>20</v>
      </c>
      <c r="D53">
        <v>78.099999999999994</v>
      </c>
      <c r="E53">
        <v>74</v>
      </c>
      <c r="F53">
        <v>70</v>
      </c>
      <c r="G53">
        <v>75</v>
      </c>
    </row>
    <row r="54" spans="1:7" x14ac:dyDescent="0.8">
      <c r="A54" t="s">
        <v>61</v>
      </c>
      <c r="B54" t="s">
        <v>8</v>
      </c>
      <c r="C54">
        <v>21</v>
      </c>
      <c r="D54">
        <v>75.2</v>
      </c>
      <c r="E54">
        <v>47</v>
      </c>
      <c r="F54">
        <v>59</v>
      </c>
      <c r="G54">
        <v>56</v>
      </c>
    </row>
    <row r="55" spans="1:7" x14ac:dyDescent="0.8">
      <c r="A55" t="s">
        <v>62</v>
      </c>
      <c r="B55" t="s">
        <v>11</v>
      </c>
      <c r="C55">
        <v>21</v>
      </c>
      <c r="D55">
        <v>88.1</v>
      </c>
      <c r="E55">
        <v>68</v>
      </c>
      <c r="F55">
        <v>53</v>
      </c>
      <c r="G55">
        <v>81</v>
      </c>
    </row>
    <row r="56" spans="1:7" x14ac:dyDescent="0.8">
      <c r="A56" t="s">
        <v>63</v>
      </c>
      <c r="B56" t="s">
        <v>8</v>
      </c>
      <c r="C56">
        <v>19</v>
      </c>
      <c r="D56">
        <v>92.3</v>
      </c>
      <c r="E56">
        <v>75</v>
      </c>
      <c r="F56">
        <v>75</v>
      </c>
      <c r="G56">
        <v>76</v>
      </c>
    </row>
    <row r="57" spans="1:7" x14ac:dyDescent="0.8">
      <c r="A57" t="s">
        <v>64</v>
      </c>
      <c r="B57" t="s">
        <v>8</v>
      </c>
      <c r="C57">
        <v>20</v>
      </c>
      <c r="D57">
        <v>91.3</v>
      </c>
      <c r="E57">
        <v>70</v>
      </c>
      <c r="F57">
        <v>64</v>
      </c>
      <c r="G57">
        <v>64</v>
      </c>
    </row>
    <row r="58" spans="1:7" x14ac:dyDescent="0.8">
      <c r="A58" t="s">
        <v>65</v>
      </c>
      <c r="B58" t="s">
        <v>8</v>
      </c>
      <c r="C58">
        <v>21</v>
      </c>
      <c r="D58">
        <v>73.599999999999994</v>
      </c>
      <c r="E58">
        <v>91</v>
      </c>
      <c r="F58">
        <v>93</v>
      </c>
      <c r="G58">
        <v>95</v>
      </c>
    </row>
    <row r="59" spans="1:7" x14ac:dyDescent="0.8">
      <c r="A59" t="s">
        <v>66</v>
      </c>
      <c r="B59" t="s">
        <v>11</v>
      </c>
      <c r="C59">
        <v>18</v>
      </c>
      <c r="D59">
        <v>78.900000000000006</v>
      </c>
      <c r="E59">
        <v>84</v>
      </c>
      <c r="F59">
        <v>84</v>
      </c>
      <c r="G59">
        <v>85</v>
      </c>
    </row>
    <row r="60" spans="1:7" x14ac:dyDescent="0.8">
      <c r="A60" t="s">
        <v>67</v>
      </c>
      <c r="B60" t="s">
        <v>8</v>
      </c>
      <c r="C60">
        <v>18</v>
      </c>
      <c r="D60">
        <v>85.3</v>
      </c>
      <c r="E60">
        <v>62</v>
      </c>
      <c r="F60">
        <v>63</v>
      </c>
      <c r="G60">
        <v>41</v>
      </c>
    </row>
    <row r="61" spans="1:7" x14ac:dyDescent="0.8">
      <c r="A61" t="s">
        <v>68</v>
      </c>
      <c r="B61" t="s">
        <v>11</v>
      </c>
      <c r="C61">
        <v>22</v>
      </c>
      <c r="D61">
        <v>91.8</v>
      </c>
      <c r="E61">
        <v>82</v>
      </c>
      <c r="F61">
        <v>74</v>
      </c>
      <c r="G61">
        <v>86</v>
      </c>
    </row>
    <row r="62" spans="1:7" x14ac:dyDescent="0.8">
      <c r="A62" t="s">
        <v>69</v>
      </c>
      <c r="B62" t="s">
        <v>8</v>
      </c>
      <c r="C62">
        <v>20</v>
      </c>
      <c r="D62">
        <v>77.2</v>
      </c>
      <c r="E62">
        <v>78</v>
      </c>
      <c r="F62">
        <v>49</v>
      </c>
      <c r="G62">
        <v>56</v>
      </c>
    </row>
    <row r="63" spans="1:7" x14ac:dyDescent="0.8">
      <c r="A63" t="s">
        <v>70</v>
      </c>
      <c r="B63" t="s">
        <v>11</v>
      </c>
      <c r="C63">
        <v>20</v>
      </c>
      <c r="D63">
        <v>80.099999999999994</v>
      </c>
      <c r="E63">
        <v>83</v>
      </c>
      <c r="F63">
        <v>83</v>
      </c>
      <c r="G63">
        <v>88</v>
      </c>
    </row>
    <row r="64" spans="1:7" x14ac:dyDescent="0.8">
      <c r="A64" t="s">
        <v>71</v>
      </c>
      <c r="B64" t="s">
        <v>11</v>
      </c>
      <c r="C64">
        <v>22</v>
      </c>
      <c r="D64">
        <v>70.900000000000006</v>
      </c>
      <c r="E64">
        <v>77</v>
      </c>
      <c r="F64">
        <v>74</v>
      </c>
      <c r="G64">
        <v>80</v>
      </c>
    </row>
    <row r="65" spans="1:7" x14ac:dyDescent="0.8">
      <c r="A65" t="s">
        <v>72</v>
      </c>
      <c r="B65" t="s">
        <v>8</v>
      </c>
      <c r="C65">
        <v>21</v>
      </c>
      <c r="D65">
        <v>70</v>
      </c>
      <c r="E65">
        <v>73</v>
      </c>
      <c r="F65">
        <v>44</v>
      </c>
      <c r="G65">
        <v>68</v>
      </c>
    </row>
    <row r="66" spans="1:7" x14ac:dyDescent="0.8">
      <c r="A66" t="s">
        <v>73</v>
      </c>
      <c r="B66" t="s">
        <v>11</v>
      </c>
      <c r="C66">
        <v>20</v>
      </c>
      <c r="D66">
        <v>90.1</v>
      </c>
      <c r="E66">
        <v>96</v>
      </c>
      <c r="F66">
        <v>100</v>
      </c>
      <c r="G66">
        <v>81</v>
      </c>
    </row>
    <row r="67" spans="1:7" x14ac:dyDescent="0.8">
      <c r="A67" t="s">
        <v>74</v>
      </c>
      <c r="B67" t="s">
        <v>8</v>
      </c>
      <c r="C67">
        <v>18</v>
      </c>
      <c r="D67">
        <v>95.6</v>
      </c>
      <c r="E67">
        <v>97</v>
      </c>
      <c r="F67">
        <v>76</v>
      </c>
      <c r="G67">
        <v>64</v>
      </c>
    </row>
    <row r="68" spans="1:7" x14ac:dyDescent="0.8">
      <c r="A68" t="s">
        <v>75</v>
      </c>
      <c r="B68" t="s">
        <v>8</v>
      </c>
      <c r="C68">
        <v>18</v>
      </c>
      <c r="D68">
        <v>81.3</v>
      </c>
      <c r="E68">
        <v>79</v>
      </c>
      <c r="F68">
        <v>73</v>
      </c>
      <c r="G68">
        <v>90</v>
      </c>
    </row>
    <row r="69" spans="1:7" x14ac:dyDescent="0.8">
      <c r="A69" t="s">
        <v>76</v>
      </c>
      <c r="B69" t="s">
        <v>8</v>
      </c>
      <c r="C69">
        <v>19</v>
      </c>
      <c r="D69">
        <v>92</v>
      </c>
      <c r="E69">
        <v>100</v>
      </c>
      <c r="F69">
        <v>75</v>
      </c>
      <c r="G69">
        <v>91</v>
      </c>
    </row>
    <row r="70" spans="1:7" x14ac:dyDescent="0.8">
      <c r="A70" t="s">
        <v>77</v>
      </c>
      <c r="B70" t="s">
        <v>11</v>
      </c>
      <c r="C70">
        <v>20</v>
      </c>
      <c r="D70">
        <v>85.6</v>
      </c>
      <c r="E70">
        <v>56</v>
      </c>
      <c r="F70">
        <v>75</v>
      </c>
      <c r="G70">
        <v>57</v>
      </c>
    </row>
    <row r="71" spans="1:7" x14ac:dyDescent="0.8">
      <c r="A71" t="s">
        <v>78</v>
      </c>
      <c r="B71" t="s">
        <v>11</v>
      </c>
      <c r="C71">
        <v>21</v>
      </c>
      <c r="D71">
        <v>75.5</v>
      </c>
      <c r="E71">
        <v>66</v>
      </c>
      <c r="F71">
        <v>48</v>
      </c>
      <c r="G71">
        <v>61</v>
      </c>
    </row>
    <row r="72" spans="1:7" x14ac:dyDescent="0.8">
      <c r="A72" t="s">
        <v>79</v>
      </c>
      <c r="B72" t="s">
        <v>8</v>
      </c>
      <c r="C72">
        <v>22</v>
      </c>
      <c r="D72">
        <v>85.6</v>
      </c>
      <c r="E72">
        <v>60</v>
      </c>
      <c r="F72">
        <v>60</v>
      </c>
      <c r="G72">
        <v>60</v>
      </c>
    </row>
    <row r="73" spans="1:7" x14ac:dyDescent="0.8">
      <c r="A73" t="s">
        <v>80</v>
      </c>
      <c r="B73" t="s">
        <v>8</v>
      </c>
      <c r="C73">
        <v>22</v>
      </c>
      <c r="D73">
        <v>97.4</v>
      </c>
      <c r="E73">
        <v>54</v>
      </c>
      <c r="F73">
        <v>73</v>
      </c>
      <c r="G73">
        <v>74</v>
      </c>
    </row>
    <row r="74" spans="1:7" x14ac:dyDescent="0.8">
      <c r="A74" t="s">
        <v>81</v>
      </c>
      <c r="B74" t="s">
        <v>11</v>
      </c>
      <c r="C74">
        <v>21</v>
      </c>
      <c r="D74">
        <v>81.599999999999994</v>
      </c>
      <c r="E74">
        <v>79</v>
      </c>
      <c r="F74">
        <v>59</v>
      </c>
      <c r="G74">
        <v>78</v>
      </c>
    </row>
    <row r="75" spans="1:7" x14ac:dyDescent="0.8">
      <c r="A75" t="s">
        <v>82</v>
      </c>
      <c r="B75" t="s">
        <v>8</v>
      </c>
      <c r="C75">
        <v>19</v>
      </c>
      <c r="D75">
        <v>97.6</v>
      </c>
      <c r="E75">
        <v>64</v>
      </c>
      <c r="F75">
        <v>79</v>
      </c>
      <c r="G75">
        <v>82</v>
      </c>
    </row>
    <row r="76" spans="1:7" x14ac:dyDescent="0.8">
      <c r="A76" t="s">
        <v>83</v>
      </c>
      <c r="B76" t="s">
        <v>8</v>
      </c>
      <c r="C76">
        <v>22</v>
      </c>
      <c r="D76">
        <v>55.8</v>
      </c>
      <c r="E76">
        <v>48</v>
      </c>
      <c r="F76">
        <v>77</v>
      </c>
      <c r="G76">
        <v>59</v>
      </c>
    </row>
    <row r="77" spans="1:7" x14ac:dyDescent="0.8">
      <c r="A77" t="s">
        <v>84</v>
      </c>
      <c r="B77" t="s">
        <v>8</v>
      </c>
      <c r="C77">
        <v>20</v>
      </c>
      <c r="D77">
        <v>90.2</v>
      </c>
      <c r="E77">
        <v>87</v>
      </c>
      <c r="F77">
        <v>59</v>
      </c>
      <c r="G77">
        <v>87</v>
      </c>
    </row>
    <row r="78" spans="1:7" x14ac:dyDescent="0.8">
      <c r="A78" t="s">
        <v>85</v>
      </c>
      <c r="B78" t="s">
        <v>11</v>
      </c>
      <c r="C78">
        <v>19</v>
      </c>
      <c r="D78">
        <v>82.9</v>
      </c>
      <c r="E78">
        <v>76</v>
      </c>
      <c r="F78">
        <v>62</v>
      </c>
      <c r="G78">
        <v>73</v>
      </c>
    </row>
    <row r="79" spans="1:7" x14ac:dyDescent="0.8">
      <c r="A79" t="s">
        <v>86</v>
      </c>
      <c r="B79" t="s">
        <v>11</v>
      </c>
      <c r="C79">
        <v>20</v>
      </c>
      <c r="D79">
        <v>79</v>
      </c>
      <c r="E79">
        <v>96</v>
      </c>
      <c r="F79">
        <v>77</v>
      </c>
      <c r="G79">
        <v>93</v>
      </c>
    </row>
    <row r="80" spans="1:7" x14ac:dyDescent="0.8">
      <c r="A80" t="s">
        <v>87</v>
      </c>
      <c r="B80" t="s">
        <v>11</v>
      </c>
      <c r="C80">
        <v>18</v>
      </c>
      <c r="D80">
        <v>82.9</v>
      </c>
      <c r="E80">
        <v>75</v>
      </c>
      <c r="F80">
        <v>64</v>
      </c>
      <c r="G80">
        <v>62</v>
      </c>
    </row>
    <row r="81" spans="1:7" x14ac:dyDescent="0.8">
      <c r="A81" t="s">
        <v>88</v>
      </c>
      <c r="B81" t="s">
        <v>8</v>
      </c>
      <c r="C81">
        <v>19</v>
      </c>
      <c r="D81">
        <v>62.1</v>
      </c>
      <c r="E81">
        <v>100</v>
      </c>
      <c r="F81">
        <v>94</v>
      </c>
      <c r="G81">
        <v>94</v>
      </c>
    </row>
    <row r="82" spans="1:7" x14ac:dyDescent="0.8">
      <c r="A82" t="s">
        <v>89</v>
      </c>
      <c r="B82" t="s">
        <v>8</v>
      </c>
      <c r="C82">
        <v>22</v>
      </c>
      <c r="D82">
        <v>79.8</v>
      </c>
      <c r="E82">
        <v>84</v>
      </c>
      <c r="F82">
        <v>66</v>
      </c>
      <c r="G82">
        <v>83</v>
      </c>
    </row>
    <row r="83" spans="1:7" x14ac:dyDescent="0.8">
      <c r="A83" t="s">
        <v>90</v>
      </c>
      <c r="B83" t="s">
        <v>8</v>
      </c>
      <c r="C83">
        <v>19</v>
      </c>
      <c r="D83">
        <v>85.6</v>
      </c>
      <c r="E83">
        <v>60</v>
      </c>
      <c r="F83">
        <v>54</v>
      </c>
      <c r="G83">
        <v>73</v>
      </c>
    </row>
    <row r="84" spans="1:7" x14ac:dyDescent="0.8">
      <c r="A84" t="s">
        <v>91</v>
      </c>
      <c r="B84" t="s">
        <v>11</v>
      </c>
      <c r="C84">
        <v>19</v>
      </c>
      <c r="D84">
        <v>96.8</v>
      </c>
      <c r="E84">
        <v>62</v>
      </c>
      <c r="F84">
        <v>54</v>
      </c>
      <c r="G84">
        <v>72</v>
      </c>
    </row>
    <row r="85" spans="1:7" x14ac:dyDescent="0.8">
      <c r="A85" t="s">
        <v>92</v>
      </c>
      <c r="B85" t="s">
        <v>8</v>
      </c>
      <c r="C85">
        <v>19</v>
      </c>
      <c r="D85">
        <v>76.8</v>
      </c>
      <c r="E85">
        <v>72</v>
      </c>
      <c r="F85">
        <v>70</v>
      </c>
      <c r="G85">
        <v>76</v>
      </c>
    </row>
    <row r="86" spans="1:7" x14ac:dyDescent="0.8">
      <c r="A86" t="s">
        <v>93</v>
      </c>
      <c r="B86" t="s">
        <v>8</v>
      </c>
      <c r="C86">
        <v>19</v>
      </c>
      <c r="D86">
        <v>73.900000000000006</v>
      </c>
      <c r="E86">
        <v>68</v>
      </c>
      <c r="F86">
        <v>65</v>
      </c>
      <c r="G86">
        <v>62</v>
      </c>
    </row>
    <row r="87" spans="1:7" x14ac:dyDescent="0.8">
      <c r="A87" t="s">
        <v>94</v>
      </c>
      <c r="B87" t="s">
        <v>8</v>
      </c>
      <c r="C87">
        <v>20</v>
      </c>
      <c r="D87">
        <v>77</v>
      </c>
      <c r="E87">
        <v>68</v>
      </c>
      <c r="F87">
        <v>84</v>
      </c>
      <c r="G87">
        <v>82</v>
      </c>
    </row>
    <row r="88" spans="1:7" x14ac:dyDescent="0.8">
      <c r="A88" t="s">
        <v>95</v>
      </c>
      <c r="B88" t="s">
        <v>8</v>
      </c>
      <c r="C88">
        <v>18</v>
      </c>
      <c r="D88">
        <v>91.2</v>
      </c>
      <c r="E88">
        <v>83</v>
      </c>
      <c r="F88">
        <v>87</v>
      </c>
      <c r="G88">
        <v>72</v>
      </c>
    </row>
    <row r="89" spans="1:7" x14ac:dyDescent="0.8">
      <c r="A89" t="s">
        <v>96</v>
      </c>
      <c r="B89" t="s">
        <v>11</v>
      </c>
      <c r="C89">
        <v>21</v>
      </c>
      <c r="D89">
        <v>85.3</v>
      </c>
      <c r="E89">
        <v>70</v>
      </c>
      <c r="F89">
        <v>75</v>
      </c>
      <c r="G89">
        <v>65</v>
      </c>
    </row>
    <row r="90" spans="1:7" x14ac:dyDescent="0.8">
      <c r="A90" t="s">
        <v>97</v>
      </c>
      <c r="B90" t="s">
        <v>11</v>
      </c>
      <c r="C90">
        <v>19</v>
      </c>
      <c r="D90">
        <v>76.7</v>
      </c>
      <c r="E90">
        <v>61</v>
      </c>
      <c r="F90">
        <v>49</v>
      </c>
      <c r="G90">
        <v>72</v>
      </c>
    </row>
    <row r="91" spans="1:7" x14ac:dyDescent="0.8">
      <c r="A91" t="s">
        <v>98</v>
      </c>
      <c r="B91" t="s">
        <v>8</v>
      </c>
      <c r="C91">
        <v>22</v>
      </c>
      <c r="D91">
        <v>87.1</v>
      </c>
      <c r="E91">
        <v>57</v>
      </c>
      <c r="F91">
        <v>52</v>
      </c>
      <c r="G91">
        <v>59</v>
      </c>
    </row>
    <row r="92" spans="1:7" x14ac:dyDescent="0.8">
      <c r="A92" t="s">
        <v>99</v>
      </c>
      <c r="B92" t="s">
        <v>11</v>
      </c>
      <c r="C92">
        <v>19</v>
      </c>
      <c r="D92">
        <v>83</v>
      </c>
      <c r="E92">
        <v>44</v>
      </c>
      <c r="F92">
        <v>85</v>
      </c>
      <c r="G92">
        <v>64</v>
      </c>
    </row>
    <row r="93" spans="1:7" x14ac:dyDescent="0.8">
      <c r="A93" t="s">
        <v>100</v>
      </c>
      <c r="B93" t="s">
        <v>11</v>
      </c>
      <c r="C93">
        <v>22</v>
      </c>
      <c r="D93">
        <v>91.7</v>
      </c>
      <c r="E93">
        <v>76</v>
      </c>
      <c r="F93">
        <v>92</v>
      </c>
      <c r="G93">
        <v>92</v>
      </c>
    </row>
    <row r="94" spans="1:7" x14ac:dyDescent="0.8">
      <c r="A94" t="s">
        <v>101</v>
      </c>
      <c r="B94" t="s">
        <v>8</v>
      </c>
      <c r="C94">
        <v>20</v>
      </c>
      <c r="D94">
        <v>75</v>
      </c>
      <c r="E94">
        <v>70</v>
      </c>
      <c r="F94">
        <v>65</v>
      </c>
      <c r="G94">
        <v>82</v>
      </c>
    </row>
    <row r="95" spans="1:7" x14ac:dyDescent="0.8">
      <c r="A95" t="s">
        <v>102</v>
      </c>
      <c r="B95" t="s">
        <v>8</v>
      </c>
      <c r="C95">
        <v>22</v>
      </c>
      <c r="D95">
        <v>78.7</v>
      </c>
      <c r="E95">
        <v>54</v>
      </c>
      <c r="F95">
        <v>67</v>
      </c>
      <c r="G95">
        <v>52</v>
      </c>
    </row>
    <row r="96" spans="1:7" x14ac:dyDescent="0.8">
      <c r="A96" t="s">
        <v>103</v>
      </c>
      <c r="B96" t="s">
        <v>11</v>
      </c>
      <c r="C96">
        <v>21</v>
      </c>
      <c r="D96">
        <v>78.099999999999994</v>
      </c>
      <c r="E96">
        <v>74</v>
      </c>
      <c r="F96">
        <v>66</v>
      </c>
      <c r="G96">
        <v>69</v>
      </c>
    </row>
    <row r="97" spans="1:7" x14ac:dyDescent="0.8">
      <c r="A97" t="s">
        <v>104</v>
      </c>
      <c r="B97" t="s">
        <v>8</v>
      </c>
      <c r="C97">
        <v>18</v>
      </c>
      <c r="D97">
        <v>67.400000000000006</v>
      </c>
      <c r="E97">
        <v>73</v>
      </c>
      <c r="F97">
        <v>62</v>
      </c>
      <c r="G97">
        <v>67</v>
      </c>
    </row>
    <row r="98" spans="1:7" x14ac:dyDescent="0.8">
      <c r="A98" t="s">
        <v>105</v>
      </c>
      <c r="B98" t="s">
        <v>11</v>
      </c>
      <c r="C98">
        <v>22</v>
      </c>
      <c r="D98">
        <v>85</v>
      </c>
      <c r="E98">
        <v>75</v>
      </c>
      <c r="F98">
        <v>72</v>
      </c>
      <c r="G98">
        <v>70</v>
      </c>
    </row>
    <row r="99" spans="1:7" x14ac:dyDescent="0.8">
      <c r="A99" t="s">
        <v>106</v>
      </c>
      <c r="B99" t="s">
        <v>8</v>
      </c>
      <c r="C99">
        <v>22</v>
      </c>
      <c r="D99">
        <v>84.6</v>
      </c>
      <c r="E99">
        <v>76</v>
      </c>
      <c r="F99">
        <v>60</v>
      </c>
      <c r="G99">
        <v>82</v>
      </c>
    </row>
    <row r="100" spans="1:7" x14ac:dyDescent="0.8">
      <c r="A100" t="s">
        <v>107</v>
      </c>
      <c r="B100" t="s">
        <v>11</v>
      </c>
      <c r="C100">
        <v>18</v>
      </c>
      <c r="D100">
        <v>82.1</v>
      </c>
      <c r="E100">
        <v>69</v>
      </c>
      <c r="F100">
        <v>52</v>
      </c>
      <c r="G100">
        <v>84</v>
      </c>
    </row>
    <row r="101" spans="1:7" x14ac:dyDescent="0.8">
      <c r="A101" t="s">
        <v>108</v>
      </c>
      <c r="B101" t="s">
        <v>8</v>
      </c>
      <c r="C101">
        <v>21</v>
      </c>
      <c r="D101">
        <v>79.7</v>
      </c>
      <c r="E101">
        <v>42</v>
      </c>
      <c r="F101">
        <v>63</v>
      </c>
      <c r="G101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02C9-3548-4D0F-98C4-1359CE85273D}">
  <dimension ref="D2:BC12"/>
  <sheetViews>
    <sheetView topLeftCell="M1" workbookViewId="0">
      <selection activeCell="X8" sqref="X8"/>
    </sheetView>
  </sheetViews>
  <sheetFormatPr defaultRowHeight="24" x14ac:dyDescent="0.8"/>
  <cols>
    <col min="7" max="7" width="34.59765625" customWidth="1"/>
    <col min="23" max="23" width="15.69921875" customWidth="1"/>
    <col min="24" max="24" width="26.796875" customWidth="1"/>
    <col min="28" max="28" width="4.296875" customWidth="1"/>
    <col min="30" max="30" width="17.3984375" customWidth="1"/>
    <col min="35" max="35" width="25" customWidth="1"/>
    <col min="49" max="49" width="4.5" customWidth="1"/>
    <col min="50" max="50" width="10.09765625" customWidth="1"/>
    <col min="51" max="51" width="28.59765625" customWidth="1"/>
    <col min="52" max="52" width="27.09765625" customWidth="1"/>
    <col min="54" max="54" width="8.796875" customWidth="1"/>
    <col min="55" max="55" width="94.5" customWidth="1"/>
    <col min="57" max="57" width="8.796875" customWidth="1"/>
  </cols>
  <sheetData>
    <row r="2" spans="4:55" ht="24.6" thickBot="1" x14ac:dyDescent="0.85"/>
    <row r="3" spans="4:55" ht="27.6" thickBot="1" x14ac:dyDescent="0.95">
      <c r="D3" s="41" t="s">
        <v>127</v>
      </c>
      <c r="E3" s="42"/>
      <c r="F3" s="42"/>
      <c r="G3" s="43"/>
    </row>
    <row r="5" spans="4:55" ht="30.6" x14ac:dyDescent="1">
      <c r="D5" s="38" t="s">
        <v>128</v>
      </c>
      <c r="E5" s="39"/>
      <c r="F5" s="39"/>
      <c r="G5" s="40"/>
      <c r="J5" s="27" t="s">
        <v>130</v>
      </c>
      <c r="K5" s="28"/>
      <c r="L5" s="28"/>
      <c r="M5" s="28"/>
      <c r="N5" s="28"/>
      <c r="S5" s="51" t="s">
        <v>132</v>
      </c>
      <c r="T5" s="50"/>
      <c r="U5" s="50"/>
      <c r="V5" s="50"/>
      <c r="W5" s="50"/>
      <c r="X5" s="50"/>
      <c r="Y5" s="50"/>
      <c r="AC5" s="52" t="s">
        <v>133</v>
      </c>
      <c r="AD5" s="28"/>
      <c r="AE5" s="28"/>
      <c r="AF5" s="28"/>
      <c r="AG5" s="28"/>
      <c r="AH5" s="28"/>
      <c r="AI5" s="28"/>
      <c r="AL5" s="27" t="s">
        <v>135</v>
      </c>
      <c r="AM5" s="28"/>
      <c r="AN5" s="28"/>
      <c r="AO5" s="28"/>
      <c r="AP5" s="28"/>
      <c r="AQ5" s="28"/>
      <c r="AW5" s="55" t="s">
        <v>138</v>
      </c>
      <c r="AX5" s="28"/>
      <c r="AY5" s="28"/>
      <c r="AZ5" s="28"/>
      <c r="BA5" s="28"/>
      <c r="BB5" s="28"/>
      <c r="BC5" s="28"/>
    </row>
    <row r="6" spans="4:55" x14ac:dyDescent="0.8">
      <c r="AY6" s="29" t="s">
        <v>140</v>
      </c>
      <c r="AZ6" s="29"/>
      <c r="BA6" s="29"/>
      <c r="BB6" s="29"/>
      <c r="BC6" s="29"/>
    </row>
    <row r="7" spans="4:55" ht="25.8" x14ac:dyDescent="0.85">
      <c r="D7" s="48" t="s">
        <v>131</v>
      </c>
      <c r="E7" s="28"/>
      <c r="F7" s="28"/>
      <c r="G7" s="28"/>
      <c r="H7" s="28"/>
      <c r="J7" s="49" t="s">
        <v>129</v>
      </c>
      <c r="K7" s="47"/>
      <c r="L7" s="47"/>
      <c r="M7" s="47"/>
      <c r="N7" s="47"/>
      <c r="O7" s="47"/>
      <c r="P7" s="47"/>
      <c r="T7" s="29" t="s">
        <v>141</v>
      </c>
      <c r="U7" s="28"/>
      <c r="V7" s="28"/>
      <c r="W7" s="28"/>
      <c r="X7" s="28"/>
      <c r="AC7" s="29" t="s">
        <v>134</v>
      </c>
      <c r="AD7" s="28"/>
      <c r="AE7" s="28"/>
      <c r="AF7" s="28"/>
      <c r="AG7" s="28"/>
      <c r="AH7" s="28"/>
      <c r="AI7" s="28"/>
      <c r="AL7" s="29" t="s">
        <v>136</v>
      </c>
      <c r="AM7" s="28"/>
      <c r="AN7" s="28"/>
      <c r="AO7" s="28"/>
      <c r="AP7" s="28"/>
      <c r="AQ7" s="28"/>
      <c r="AY7" s="29"/>
      <c r="AZ7" s="29"/>
      <c r="BA7" s="29"/>
      <c r="BB7" s="29"/>
      <c r="BC7" s="29"/>
    </row>
    <row r="8" spans="4:55" x14ac:dyDescent="0.8">
      <c r="AY8" s="57" t="s">
        <v>121</v>
      </c>
      <c r="AZ8" s="58" t="s">
        <v>139</v>
      </c>
    </row>
    <row r="9" spans="4:55" x14ac:dyDescent="0.8">
      <c r="AY9" s="56" t="s">
        <v>122</v>
      </c>
      <c r="AZ9" s="8">
        <v>76.925925925925938</v>
      </c>
    </row>
    <row r="10" spans="4:55" x14ac:dyDescent="0.8">
      <c r="AY10" s="56" t="s">
        <v>123</v>
      </c>
      <c r="AZ10" s="8">
        <v>68.185792349726768</v>
      </c>
    </row>
    <row r="11" spans="4:55" x14ac:dyDescent="0.8">
      <c r="AY11" s="56" t="s">
        <v>124</v>
      </c>
      <c r="AZ11" s="8">
        <v>71.650793650793645</v>
      </c>
    </row>
    <row r="12" spans="4:55" x14ac:dyDescent="0.8">
      <c r="AY12" s="56" t="s">
        <v>125</v>
      </c>
      <c r="AZ12" s="8">
        <v>70.486666666666679</v>
      </c>
    </row>
  </sheetData>
  <mergeCells count="13">
    <mergeCell ref="AW5:BC5"/>
    <mergeCell ref="AY6:BC7"/>
    <mergeCell ref="S5:Y5"/>
    <mergeCell ref="T7:X7"/>
    <mergeCell ref="AC5:AI5"/>
    <mergeCell ref="AC7:AI7"/>
    <mergeCell ref="AL5:AQ5"/>
    <mergeCell ref="AL7:AQ7"/>
    <mergeCell ref="D3:G3"/>
    <mergeCell ref="D5:G5"/>
    <mergeCell ref="J5:N5"/>
    <mergeCell ref="J7:P7"/>
    <mergeCell ref="D7:H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EE983-612E-4302-934B-E40C717E2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conditional_formatting</vt:lpstr>
      <vt:lpstr>03_Performance_Analysis</vt:lpstr>
      <vt:lpstr>Cleaned_Data</vt:lpstr>
      <vt:lpstr>Raw_Data</vt:lpstr>
      <vt:lpstr>Insights</vt:lpstr>
      <vt:lpstr>'03_Performance_Analysis'!Student_data</vt:lpstr>
      <vt:lpstr>conditional_formatting!Student_data</vt:lpstr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Suryawanshi</dc:creator>
  <cp:lastModifiedBy>Swati Suryawanshi</cp:lastModifiedBy>
  <dcterms:created xsi:type="dcterms:W3CDTF">2026-08-10T18:17:56Z</dcterms:created>
  <dcterms:modified xsi:type="dcterms:W3CDTF">2026-08-11T18:36:33Z</dcterms:modified>
</cp:coreProperties>
</file>